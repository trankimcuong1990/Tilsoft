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375"/>
  </bookViews>
  <sheets>
    <sheet name="PriceOffer" sheetId="1" r:id="rId1"/>
    <sheet name="Data1" sheetId="2" r:id="rId2"/>
  </sheets>
  <definedNames>
    <definedName name="_xlnm._FilterDatabase" localSheetId="0" hidden="1">PriceOffer!$A$5:$AB$5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" i="1" l="1"/>
  <c r="Z6" i="1"/>
  <c r="AB6" i="1"/>
  <c r="V6" i="1" l="1"/>
  <c r="D6" i="1"/>
  <c r="Y6" i="1"/>
  <c r="O6" i="1"/>
  <c r="F1" i="1" l="1"/>
  <c r="G6" i="1"/>
  <c r="B6" i="1"/>
  <c r="C6" i="1"/>
  <c r="E6" i="1"/>
  <c r="F6" i="1"/>
  <c r="X6" i="1"/>
  <c r="A6" i="1" l="1"/>
  <c r="AA6" i="1" l="1"/>
  <c r="U6" i="1"/>
  <c r="T6" i="1"/>
  <c r="S6" i="1"/>
  <c r="R6" i="1"/>
  <c r="Q6" i="1"/>
  <c r="P6" i="1"/>
  <c r="N6" i="1"/>
  <c r="M6" i="1"/>
  <c r="L6" i="1"/>
  <c r="K6" i="1"/>
  <c r="J6" i="1"/>
  <c r="I6" i="1"/>
  <c r="H6" i="1"/>
</calcChain>
</file>

<file path=xl/sharedStrings.xml><?xml version="1.0" encoding="utf-8"?>
<sst xmlns="http://schemas.openxmlformats.org/spreadsheetml/2006/main" count="130" uniqueCount="129">
  <si>
    <t>#</t>
  </si>
  <si>
    <t>CLIENT</t>
  </si>
  <si>
    <t>FACTORY</t>
  </si>
  <si>
    <t>FACTORY ORDER</t>
  </si>
  <si>
    <t>ART.CODE</t>
  </si>
  <si>
    <t>DESCRIPTION</t>
  </si>
  <si>
    <t>ORDER TYPE</t>
  </si>
  <si>
    <t>QNT / 40HC</t>
  </si>
  <si>
    <t>ORDER QNT</t>
  </si>
  <si>
    <t>ORDER QNT/40HC</t>
  </si>
  <si>
    <t>DIFF.CODE</t>
  </si>
  <si>
    <t>REMARK OLD PRICE</t>
  </si>
  <si>
    <t>FACTORY PRICE 1</t>
  </si>
  <si>
    <t>TARGET PRICE 1</t>
  </si>
  <si>
    <t>FACTORY PRICE2</t>
  </si>
  <si>
    <t>TARGET PRICE 2</t>
  </si>
  <si>
    <t>FACTORY PRICE3</t>
  </si>
  <si>
    <t>TARGET PRICE 3</t>
  </si>
  <si>
    <t>PRICE STATUS</t>
  </si>
  <si>
    <t>STATUS DATE</t>
  </si>
  <si>
    <t>REMARK</t>
  </si>
  <si>
    <t>STATUS</t>
  </si>
  <si>
    <t>PRICE UPDATED DATE</t>
  </si>
  <si>
    <t>WAITING COMMENT</t>
  </si>
  <si>
    <t>LDS</t>
  </si>
  <si>
    <t>Purchasing Price Offer (Margin Included)</t>
  </si>
  <si>
    <t>QuotationDetailID</t>
  </si>
  <si>
    <t>Season</t>
  </si>
  <si>
    <t>ProformaInvoiceNo</t>
  </si>
  <si>
    <t>ClientUD</t>
  </si>
  <si>
    <t>ClientNM</t>
  </si>
  <si>
    <t>ArticleCode</t>
  </si>
  <si>
    <t>Description</t>
  </si>
  <si>
    <t>PriceDifferenceCode</t>
  </si>
  <si>
    <t>FactoryUD</t>
  </si>
  <si>
    <t>PurchasingPrice3rdPreviousSeason</t>
  </si>
  <si>
    <t>PurchasingPrice2ndPreviousSeason</t>
  </si>
  <si>
    <t>PurchasingPricePreviousSeason</t>
  </si>
  <si>
    <t>PurchasingPrice</t>
  </si>
  <si>
    <t>PriceIncludeDiff</t>
  </si>
  <si>
    <t>TargetPrice</t>
  </si>
  <si>
    <t>QuotationStatusNM</t>
  </si>
  <si>
    <t>StatusUpdatedDate</t>
  </si>
  <si>
    <t>StatusUpdatorNM</t>
  </si>
  <si>
    <t>SalePrice</t>
  </si>
  <si>
    <t>OrderQnt</t>
  </si>
  <si>
    <t>Qnt40HC</t>
  </si>
  <si>
    <t>OrderQnt40HC</t>
  </si>
  <si>
    <t>PackagingMethodNM</t>
  </si>
  <si>
    <t>Remark</t>
  </si>
  <si>
    <t>OrderTypeNM</t>
  </si>
  <si>
    <t>Transportation</t>
  </si>
  <si>
    <t>PriceUpdatedDate</t>
  </si>
  <si>
    <t>Currency</t>
  </si>
  <si>
    <t>ExRate</t>
  </si>
  <si>
    <t>CommissionPercent</t>
  </si>
  <si>
    <t>PriceDifferenceRate</t>
  </si>
  <si>
    <t>StatusID</t>
  </si>
  <si>
    <t>StatusUpdatedBy</t>
  </si>
  <si>
    <t>PackagingMethodID</t>
  </si>
  <si>
    <t>ClientID</t>
  </si>
  <si>
    <t>FactoryID</t>
  </si>
  <si>
    <t>ItemTypeID</t>
  </si>
  <si>
    <t>FactoryOrderDetailID</t>
  </si>
  <si>
    <t>FactoryOrderSparepartDetailID</t>
  </si>
  <si>
    <t>QuotationOfferDirectionID</t>
  </si>
  <si>
    <t>ModelID</t>
  </si>
  <si>
    <t>OrderTypeID</t>
  </si>
  <si>
    <t>OfferLineID</t>
  </si>
  <si>
    <t>MaterialID</t>
  </si>
  <si>
    <t>MaterialTypeID</t>
  </si>
  <si>
    <t>MaterialColorID</t>
  </si>
  <si>
    <t>FrameMaterialID</t>
  </si>
  <si>
    <t>FrameMaterialColorID</t>
  </si>
  <si>
    <t>SubMaterialID</t>
  </si>
  <si>
    <t>SubMaterialColorID</t>
  </si>
  <si>
    <t>BackCushionID</t>
  </si>
  <si>
    <t>SeatCushionID</t>
  </si>
  <si>
    <t>CushionColorID</t>
  </si>
  <si>
    <t>FSCTypeID</t>
  </si>
  <si>
    <t>FSCPercentID</t>
  </si>
  <si>
    <t>ClientSpecialPackagingMethodID</t>
  </si>
  <si>
    <t>SpecialRequirement</t>
  </si>
  <si>
    <t>ThumbnailLocation</t>
  </si>
  <si>
    <t>FileLocation</t>
  </si>
  <si>
    <t>FactoryPrice1</t>
  </si>
  <si>
    <t>FactoryPrice2</t>
  </si>
  <si>
    <t>FactoryPrice3</t>
  </si>
  <si>
    <t>TargetPrice1</t>
  </si>
  <si>
    <t>TargetPrice2</t>
  </si>
  <si>
    <t>TargetPrice3</t>
  </si>
  <si>
    <t>DeliveryTerm</t>
  </si>
  <si>
    <t>ExportCost40HC</t>
  </si>
  <si>
    <t>SaleOrderID</t>
  </si>
  <si>
    <t>OfferID</t>
  </si>
  <si>
    <t>ShippedByFactory</t>
  </si>
  <si>
    <t>FOBPurchasingAmountUSD</t>
  </si>
  <si>
    <t>ConfirmedPurchasingPriceUSD</t>
  </si>
  <si>
    <t>UnitPriceUSD</t>
  </si>
  <si>
    <t>SaleAmountUSD</t>
  </si>
  <si>
    <t>UnitPriceEUR</t>
  </si>
  <si>
    <t>SaleAmountEUR</t>
  </si>
  <si>
    <t>TransportPerUnitEUR</t>
  </si>
  <si>
    <t>TotalTransportEUR</t>
  </si>
  <si>
    <t>UnitPriceExcludeTransportEUR</t>
  </si>
  <si>
    <t>UnitPriceExcludeTransportUSD</t>
  </si>
  <si>
    <t>FOBSaleAmountUSD</t>
  </si>
  <si>
    <t>MarginBeforeUSD</t>
  </si>
  <si>
    <t>MarginPercentBefore</t>
  </si>
  <si>
    <t>CommissionAmountUSD</t>
  </si>
  <si>
    <t>CommissionAmountEUR</t>
  </si>
  <si>
    <t>CommissionAmountConvertedToUSD</t>
  </si>
  <si>
    <t>MarginAfterCommUSD</t>
  </si>
  <si>
    <t>LCCostAmount</t>
  </si>
  <si>
    <t>InterestAmount</t>
  </si>
  <si>
    <t>DamagesUSD</t>
  </si>
  <si>
    <t>MarginAfterUSD</t>
  </si>
  <si>
    <t>MarginAfterPercent</t>
  </si>
  <si>
    <t>ProductID</t>
  </si>
  <si>
    <t>AVFBreakdownAmount</t>
  </si>
  <si>
    <t>AVTBreakdownAmount</t>
  </si>
  <si>
    <t>AVFBreakdownLoadability</t>
  </si>
  <si>
    <t>AVTBreakdownLoadability</t>
  </si>
  <si>
    <t>TotalShippedQnt</t>
  </si>
  <si>
    <t>ShippedByFactoryID</t>
  </si>
  <si>
    <t>PrimaryID</t>
  </si>
  <si>
    <t>OldPriceRemark</t>
  </si>
  <si>
    <t>ProductionStatus</t>
  </si>
  <si>
    <t>FactoryOrderUD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</si>
</sst>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\ _B_F_-;\-* #,##0\ _B_F_-;_-* &quot;-&quot;\ _B_F_-;_-@_-"/>
    <numFmt numFmtId="165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/>
  </cellStyleXfs>
  <cellXfs count="20">
    <xf numFmtId="0" fontId="0" fillId="0" borderId="0" xfId="0"/>
    <xf numFmtId="0" fontId="4" fillId="2" borderId="1" xfId="0" applyNumberFormat="1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3" fontId="4" fillId="3" borderId="1" xfId="0" applyNumberFormat="1" applyFont="1" applyFill="1" applyBorder="1" applyAlignment="1">
      <alignment horizontal="right" vertical="center" wrapText="1"/>
    </xf>
    <xf numFmtId="4" fontId="4" fillId="3" borderId="1" xfId="0" applyNumberFormat="1" applyFont="1" applyFill="1" applyBorder="1" applyAlignment="1">
      <alignment horizontal="right" vertical="center" wrapText="1"/>
    </xf>
    <xf numFmtId="0" fontId="3" fillId="3" borderId="1" xfId="0" applyNumberFormat="1" applyFont="1" applyFill="1" applyBorder="1"/>
    <xf numFmtId="0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center" vertical="top"/>
    </xf>
    <xf numFmtId="0" fontId="3" fillId="0" borderId="1" xfId="0" applyNumberFormat="1" applyFont="1" applyFill="1" applyBorder="1" applyAlignment="1">
      <alignment horizontal="left" vertical="top"/>
    </xf>
    <xf numFmtId="3" fontId="3" fillId="0" borderId="1" xfId="0" applyNumberFormat="1" applyFont="1" applyFill="1" applyBorder="1" applyAlignment="1">
      <alignment horizontal="right" vertical="top"/>
    </xf>
    <xf numFmtId="4" fontId="3" fillId="0" borderId="1" xfId="0" applyNumberFormat="1" applyFont="1" applyFill="1" applyBorder="1" applyAlignment="1">
      <alignment horizontal="right" vertical="top"/>
    </xf>
    <xf numFmtId="165" fontId="3" fillId="0" borderId="1" xfId="0" applyNumberFormat="1" applyFont="1" applyFill="1" applyBorder="1" applyAlignment="1">
      <alignment horizontal="right" vertical="top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Fill="1" applyBorder="1"/>
    <xf numFmtId="0" fontId="3" fillId="0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3" fillId="0" borderId="2" xfId="0" applyNumberFormat="1" applyFont="1" applyFill="1" applyBorder="1" applyAlignment="1">
      <alignment horizontal="left" vertical="top"/>
    </xf>
    <xf numFmtId="0" fontId="3" fillId="0" borderId="2" xfId="0" applyNumberFormat="1" applyFont="1" applyFill="1" applyBorder="1" applyAlignment="1">
      <alignment horizontal="center" vertical="top"/>
    </xf>
    <xf numFmtId="14" fontId="0" fillId="0" borderId="0" xfId="0" applyNumberFormat="1"/>
    <xf numFmtId="14" fontId="3" fillId="0" borderId="1" xfId="0" applyNumberFormat="1" applyFon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6"/>
  <sheetViews>
    <sheetView tabSelected="1" topLeftCell="L1" workbookViewId="0">
      <selection activeCell="W9" sqref="W9"/>
    </sheetView>
  </sheetViews>
  <sheetFormatPr defaultRowHeight="15" x14ac:dyDescent="0.25"/>
  <cols>
    <col min="1" max="1" width="5" customWidth="1"/>
    <col min="2" max="2" width="10.42578125" customWidth="1"/>
    <col min="3" max="3" width="12.5703125" customWidth="1"/>
    <col min="4" max="4" width="11.5703125" customWidth="1"/>
    <col min="5" max="5" width="18.5703125" customWidth="1"/>
    <col min="6" max="6" width="45.5703125" customWidth="1"/>
    <col min="7" max="7" width="11.140625" customWidth="1"/>
    <col min="12" max="12" width="8.85546875" customWidth="1"/>
    <col min="13" max="13" width="8.5703125" customWidth="1"/>
    <col min="14" max="14" width="8.85546875" customWidth="1"/>
    <col min="15" max="15" width="16.42578125" customWidth="1"/>
    <col min="23" max="23" width="9.7109375" customWidth="1"/>
    <col min="24" max="24" width="18.28515625" customWidth="1"/>
    <col min="25" max="25" width="11.7109375" customWidth="1"/>
    <col min="26" max="26" width="9.7109375" customWidth="1"/>
    <col min="27" max="27" width="18.85546875" customWidth="1"/>
    <col min="28" max="28" width="9.7109375" customWidth="1"/>
  </cols>
  <sheetData>
    <row r="1" spans="1:28" ht="23.25" customHeight="1" x14ac:dyDescent="0.25">
      <c r="A1" s="12" t="s">
        <v>25</v>
      </c>
      <c r="F1" s="15" t="str">
        <f>Data1!B2&amp;""</f>
        <v/>
      </c>
    </row>
    <row r="2" spans="1:28" ht="33.75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/>
      <c r="M2" s="1"/>
      <c r="N2" s="1"/>
      <c r="O2" s="1" t="s">
        <v>11</v>
      </c>
      <c r="P2" s="1" t="s">
        <v>12</v>
      </c>
      <c r="Q2" s="1" t="s">
        <v>13</v>
      </c>
      <c r="R2" s="1" t="s">
        <v>14</v>
      </c>
      <c r="S2" s="1" t="s">
        <v>15</v>
      </c>
      <c r="T2" s="1" t="s">
        <v>16</v>
      </c>
      <c r="U2" s="1" t="s">
        <v>17</v>
      </c>
      <c r="V2" s="1" t="s">
        <v>18</v>
      </c>
      <c r="W2" s="1" t="s">
        <v>19</v>
      </c>
      <c r="X2" s="1" t="s">
        <v>20</v>
      </c>
      <c r="Y2" s="1" t="s">
        <v>21</v>
      </c>
      <c r="Z2" s="1" t="s">
        <v>22</v>
      </c>
      <c r="AA2" s="1" t="s">
        <v>23</v>
      </c>
      <c r="AB2" s="1" t="s">
        <v>24</v>
      </c>
    </row>
    <row r="3" spans="1:28" x14ac:dyDescent="0.25">
      <c r="A3" s="2"/>
      <c r="B3" s="2"/>
      <c r="C3" s="2"/>
      <c r="D3" s="2"/>
      <c r="E3" s="2"/>
      <c r="F3" s="2"/>
      <c r="G3" s="2"/>
      <c r="H3" s="3"/>
      <c r="I3" s="3"/>
      <c r="J3" s="4"/>
      <c r="K3" s="4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5"/>
      <c r="Z3" s="5"/>
      <c r="AA3" s="5"/>
      <c r="AB3" s="5"/>
    </row>
    <row r="4" spans="1:28" x14ac:dyDescent="0.25">
      <c r="A4" s="2"/>
      <c r="B4" s="2"/>
      <c r="C4" s="2"/>
      <c r="D4" s="2"/>
      <c r="E4" s="2"/>
      <c r="F4" s="2"/>
      <c r="G4" s="2"/>
      <c r="H4" s="3"/>
      <c r="I4" s="3"/>
      <c r="J4" s="4"/>
      <c r="K4" s="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5"/>
      <c r="Z4" s="5"/>
      <c r="AA4" s="5"/>
      <c r="AB4" s="5"/>
    </row>
    <row r="5" spans="1:28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x14ac:dyDescent="0.25">
      <c r="A6" s="14">
        <f>ROW()-5</f>
        <v>1</v>
      </c>
      <c r="B6" s="8" t="str">
        <f>Data1!D2&amp;""</f>
        <v/>
      </c>
      <c r="C6" s="8" t="str">
        <f>Data1!I2&amp;""</f>
        <v/>
      </c>
      <c r="D6" s="7" t="str">
        <f>Data1!CY2&amp;""</f>
        <v/>
      </c>
      <c r="E6" s="8" t="str">
        <f>Data1!F2&amp;""</f>
        <v/>
      </c>
      <c r="F6" s="8" t="str">
        <f>Data1!G2&amp;""</f>
        <v/>
      </c>
      <c r="G6" s="8" t="str">
        <f>Data1!Z2&amp;""</f>
        <v/>
      </c>
      <c r="H6" s="9">
        <f>Data1!U2</f>
        <v>0</v>
      </c>
      <c r="I6" s="9">
        <f>Data1!T2</f>
        <v>0</v>
      </c>
      <c r="J6" s="10">
        <f>Data1!V2</f>
        <v>0</v>
      </c>
      <c r="K6" s="7">
        <f>Data1!H2</f>
        <v>0</v>
      </c>
      <c r="L6" s="11">
        <f>Data1!J2</f>
        <v>0</v>
      </c>
      <c r="M6" s="11">
        <f>Data1!K2</f>
        <v>0</v>
      </c>
      <c r="N6" s="11">
        <f>Data1!L2</f>
        <v>0</v>
      </c>
      <c r="O6" s="7">
        <f>Data1!CW2</f>
        <v>0</v>
      </c>
      <c r="P6" s="11">
        <f>Data1!BI2</f>
        <v>0</v>
      </c>
      <c r="Q6" s="11">
        <f>Data1!BL2</f>
        <v>0</v>
      </c>
      <c r="R6" s="11">
        <f>Data1!BJ2</f>
        <v>0</v>
      </c>
      <c r="S6" s="11">
        <f>Data1!BM2</f>
        <v>0</v>
      </c>
      <c r="T6" s="11">
        <f>Data1!BK2</f>
        <v>0</v>
      </c>
      <c r="U6" s="11">
        <f>Data1!BN2</f>
        <v>0</v>
      </c>
      <c r="V6" s="7" t="str">
        <f>Data1!P2&amp;""</f>
        <v/>
      </c>
      <c r="W6" s="19">
        <f>Data1!Q2</f>
        <v>0</v>
      </c>
      <c r="X6" s="16" t="str">
        <f>Data1!X2&amp;""</f>
        <v/>
      </c>
      <c r="Y6" s="7" t="str">
        <f>Data1!CX2&amp;""</f>
        <v/>
      </c>
      <c r="Z6" s="19">
        <f>Data1!AB2</f>
        <v>0</v>
      </c>
      <c r="AA6" s="17" t="str">
        <f>IF(Data1!AO2 = 1, "WAIT FOR EUROFAR",IF(Data1!AO2 = 2,"WAIT FOR FACTORY", ""))</f>
        <v/>
      </c>
      <c r="AB6" s="19">
        <f>Data1!Y2</f>
        <v>0</v>
      </c>
    </row>
  </sheetData>
  <autoFilter ref="A5:AB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2"/>
  <sheetViews>
    <sheetView topLeftCell="K1" workbookViewId="0">
      <selection activeCell="CW2" sqref="CW2"/>
    </sheetView>
  </sheetViews>
  <sheetFormatPr defaultRowHeight="15" x14ac:dyDescent="0.25"/>
  <cols>
    <col min="1" max="1" width="17.42578125" bestFit="1" customWidth="1"/>
    <col min="2" max="2" width="7.28515625" bestFit="1" customWidth="1"/>
    <col min="3" max="3" width="18.5703125" bestFit="1" customWidth="1"/>
    <col min="4" max="4" width="8.85546875" bestFit="1" customWidth="1"/>
    <col min="5" max="5" width="9.42578125" bestFit="1" customWidth="1"/>
    <col min="6" max="6" width="11.42578125" bestFit="1" customWidth="1"/>
    <col min="7" max="7" width="11.140625" bestFit="1" customWidth="1"/>
    <col min="8" max="8" width="19.7109375" bestFit="1" customWidth="1"/>
    <col min="9" max="9" width="10" bestFit="1" customWidth="1"/>
    <col min="10" max="10" width="32.5703125" bestFit="1" customWidth="1"/>
    <col min="11" max="11" width="33" bestFit="1" customWidth="1"/>
    <col min="12" max="12" width="29.7109375" bestFit="1" customWidth="1"/>
    <col min="13" max="13" width="15.140625" bestFit="1" customWidth="1"/>
    <col min="14" max="14" width="15.42578125" bestFit="1" customWidth="1"/>
    <col min="15" max="15" width="11" bestFit="1" customWidth="1"/>
    <col min="16" max="16" width="18.85546875" bestFit="1" customWidth="1"/>
    <col min="17" max="17" width="18.42578125" bestFit="1" customWidth="1"/>
    <col min="18" max="18" width="16.85546875" bestFit="1" customWidth="1"/>
    <col min="20" max="20" width="9.42578125" bestFit="1" customWidth="1"/>
    <col min="21" max="21" width="8.7109375" bestFit="1" customWidth="1"/>
    <col min="22" max="22" width="14" bestFit="1" customWidth="1"/>
    <col min="23" max="23" width="20.140625" bestFit="1" customWidth="1"/>
    <col min="24" max="24" width="7.7109375" bestFit="1" customWidth="1"/>
    <col min="25" max="25" width="4.140625" bestFit="1" customWidth="1"/>
    <col min="26" max="26" width="13.7109375" bestFit="1" customWidth="1"/>
    <col min="27" max="27" width="14.140625" bestFit="1" customWidth="1"/>
    <col min="28" max="28" width="17.42578125" bestFit="1" customWidth="1"/>
    <col min="29" max="29" width="8.85546875" bestFit="1" customWidth="1"/>
    <col min="30" max="30" width="7" bestFit="1" customWidth="1"/>
    <col min="31" max="31" width="19" bestFit="1" customWidth="1"/>
    <col min="32" max="32" width="19.140625" bestFit="1" customWidth="1"/>
    <col min="33" max="33" width="8.28515625" bestFit="1" customWidth="1"/>
    <col min="34" max="34" width="16.28515625" bestFit="1" customWidth="1"/>
    <col min="35" max="35" width="18.85546875" bestFit="1" customWidth="1"/>
    <col min="36" max="36" width="8.140625" bestFit="1" customWidth="1"/>
    <col min="37" max="37" width="9.28515625" bestFit="1" customWidth="1"/>
    <col min="38" max="38" width="11.28515625" bestFit="1" customWidth="1"/>
    <col min="39" max="39" width="20" bestFit="1" customWidth="1"/>
    <col min="40" max="40" width="28.85546875" bestFit="1" customWidth="1"/>
    <col min="41" max="41" width="25.140625" bestFit="1" customWidth="1"/>
    <col min="42" max="42" width="8.5703125" bestFit="1" customWidth="1"/>
    <col min="43" max="43" width="12.28515625" bestFit="1" customWidth="1"/>
    <col min="44" max="44" width="11.28515625" bestFit="1" customWidth="1"/>
    <col min="45" max="45" width="10.28515625" bestFit="1" customWidth="1"/>
    <col min="46" max="46" width="14.7109375" bestFit="1" customWidth="1"/>
    <col min="47" max="47" width="15.140625" bestFit="1" customWidth="1"/>
    <col min="48" max="48" width="16" bestFit="1" customWidth="1"/>
    <col min="49" max="49" width="20.85546875" bestFit="1" customWidth="1"/>
    <col min="50" max="50" width="13.7109375" bestFit="1" customWidth="1"/>
    <col min="51" max="51" width="18.5703125" bestFit="1" customWidth="1"/>
    <col min="52" max="52" width="14.140625" bestFit="1" customWidth="1"/>
    <col min="53" max="53" width="14" bestFit="1" customWidth="1"/>
    <col min="54" max="54" width="14.85546875" bestFit="1" customWidth="1"/>
    <col min="55" max="55" width="10.28515625" bestFit="1" customWidth="1"/>
    <col min="56" max="56" width="12.85546875" bestFit="1" customWidth="1"/>
    <col min="57" max="57" width="30.85546875" bestFit="1" customWidth="1"/>
    <col min="58" max="58" width="19.28515625" bestFit="1" customWidth="1"/>
    <col min="59" max="59" width="18.140625" bestFit="1" customWidth="1"/>
    <col min="60" max="60" width="11.7109375" bestFit="1" customWidth="1"/>
    <col min="61" max="63" width="12.85546875" bestFit="1" customWidth="1"/>
    <col min="64" max="66" width="12" bestFit="1" customWidth="1"/>
    <col min="67" max="67" width="13.140625" bestFit="1" customWidth="1"/>
    <col min="68" max="68" width="15.140625" bestFit="1" customWidth="1"/>
    <col min="69" max="69" width="11.7109375" bestFit="1" customWidth="1"/>
    <col min="70" max="70" width="7.5703125" bestFit="1" customWidth="1"/>
    <col min="71" max="71" width="17" bestFit="1" customWidth="1"/>
    <col min="72" max="72" width="25.28515625" bestFit="1" customWidth="1"/>
    <col min="73" max="73" width="28.5703125" bestFit="1" customWidth="1"/>
    <col min="74" max="74" width="12.7109375" bestFit="1" customWidth="1"/>
    <col min="75" max="75" width="15.5703125" bestFit="1" customWidth="1"/>
    <col min="76" max="76" width="12.5703125" bestFit="1" customWidth="1"/>
    <col min="77" max="77" width="15.42578125" bestFit="1" customWidth="1"/>
    <col min="78" max="78" width="19.85546875" bestFit="1" customWidth="1"/>
    <col min="79" max="79" width="17.5703125" bestFit="1" customWidth="1"/>
    <col min="80" max="80" width="28.42578125" bestFit="1" customWidth="1"/>
    <col min="81" max="81" width="28.5703125" bestFit="1" customWidth="1"/>
    <col min="82" max="82" width="19.28515625" bestFit="1" customWidth="1"/>
    <col min="83" max="83" width="16.85546875" bestFit="1" customWidth="1"/>
    <col min="84" max="84" width="20.28515625" bestFit="1" customWidth="1"/>
    <col min="85" max="85" width="23" bestFit="1" customWidth="1"/>
    <col min="86" max="86" width="22.85546875" bestFit="1" customWidth="1"/>
    <col min="87" max="87" width="34.85546875" bestFit="1" customWidth="1"/>
    <col min="88" max="88" width="21.42578125" bestFit="1" customWidth="1"/>
    <col min="89" max="89" width="14.140625" bestFit="1" customWidth="1"/>
    <col min="90" max="90" width="15.28515625" bestFit="1" customWidth="1"/>
    <col min="91" max="91" width="12.5703125" bestFit="1" customWidth="1"/>
    <col min="92" max="92" width="15.42578125" bestFit="1" customWidth="1"/>
    <col min="93" max="93" width="18.85546875" bestFit="1" customWidth="1"/>
    <col min="94" max="94" width="9.7109375" bestFit="1" customWidth="1"/>
    <col min="95" max="96" width="22.140625" bestFit="1" customWidth="1"/>
    <col min="97" max="98" width="24.7109375" bestFit="1" customWidth="1"/>
    <col min="99" max="99" width="16.140625" bestFit="1" customWidth="1"/>
    <col min="100" max="100" width="19" bestFit="1" customWidth="1"/>
    <col min="101" max="101" width="15.42578125" bestFit="1" customWidth="1"/>
    <col min="102" max="102" width="16.28515625" bestFit="1" customWidth="1"/>
    <col min="103" max="103" width="15.28515625" bestFit="1" customWidth="1"/>
    <col min="104" max="104" width="9.7109375" bestFit="1" customWidth="1"/>
  </cols>
  <sheetData>
    <row r="1" spans="1:104" s="13" customFormat="1" x14ac:dyDescent="0.25">
      <c r="A1" s="13" t="s">
        <v>26</v>
      </c>
      <c r="B1" s="13" t="s">
        <v>27</v>
      </c>
      <c r="C1" s="13" t="s">
        <v>28</v>
      </c>
      <c r="D1" s="13" t="s">
        <v>29</v>
      </c>
      <c r="E1" s="13" t="s">
        <v>30</v>
      </c>
      <c r="F1" s="13" t="s">
        <v>31</v>
      </c>
      <c r="G1" s="13" t="s">
        <v>32</v>
      </c>
      <c r="H1" s="13" t="s">
        <v>33</v>
      </c>
      <c r="I1" s="13" t="s">
        <v>34</v>
      </c>
      <c r="J1" s="13" t="s">
        <v>35</v>
      </c>
      <c r="K1" s="13" t="s">
        <v>36</v>
      </c>
      <c r="L1" s="13" t="s">
        <v>37</v>
      </c>
      <c r="M1" s="13" t="s">
        <v>38</v>
      </c>
      <c r="N1" s="13" t="s">
        <v>39</v>
      </c>
      <c r="O1" s="13" t="s">
        <v>40</v>
      </c>
      <c r="P1" s="13" t="s">
        <v>41</v>
      </c>
      <c r="Q1" s="13" t="s">
        <v>42</v>
      </c>
      <c r="R1" s="13" t="s">
        <v>43</v>
      </c>
      <c r="S1" s="13" t="s">
        <v>44</v>
      </c>
      <c r="T1" s="13" t="s">
        <v>45</v>
      </c>
      <c r="U1" s="13" t="s">
        <v>46</v>
      </c>
      <c r="V1" s="13" t="s">
        <v>47</v>
      </c>
      <c r="W1" s="13" t="s">
        <v>48</v>
      </c>
      <c r="X1" s="13" t="s">
        <v>49</v>
      </c>
      <c r="Y1" s="13" t="s">
        <v>24</v>
      </c>
      <c r="Z1" s="13" t="s">
        <v>50</v>
      </c>
      <c r="AA1" s="13" t="s">
        <v>51</v>
      </c>
      <c r="AB1" s="13" t="s">
        <v>52</v>
      </c>
      <c r="AC1" s="13" t="s">
        <v>53</v>
      </c>
      <c r="AD1" s="13" t="s">
        <v>54</v>
      </c>
      <c r="AE1" s="13" t="s">
        <v>55</v>
      </c>
      <c r="AF1" s="13" t="s">
        <v>56</v>
      </c>
      <c r="AG1" s="13" t="s">
        <v>57</v>
      </c>
      <c r="AH1" s="13" t="s">
        <v>58</v>
      </c>
      <c r="AI1" s="13" t="s">
        <v>59</v>
      </c>
      <c r="AJ1" s="13" t="s">
        <v>60</v>
      </c>
      <c r="AK1" s="13" t="s">
        <v>61</v>
      </c>
      <c r="AL1" s="13" t="s">
        <v>62</v>
      </c>
      <c r="AM1" s="13" t="s">
        <v>63</v>
      </c>
      <c r="AN1" s="13" t="s">
        <v>64</v>
      </c>
      <c r="AO1" s="13" t="s">
        <v>65</v>
      </c>
      <c r="AP1" s="13" t="s">
        <v>66</v>
      </c>
      <c r="AQ1" s="13" t="s">
        <v>67</v>
      </c>
      <c r="AR1" s="13" t="s">
        <v>68</v>
      </c>
      <c r="AS1" s="13" t="s">
        <v>69</v>
      </c>
      <c r="AT1" s="13" t="s">
        <v>70</v>
      </c>
      <c r="AU1" s="13" t="s">
        <v>71</v>
      </c>
      <c r="AV1" s="13" t="s">
        <v>72</v>
      </c>
      <c r="AW1" s="13" t="s">
        <v>73</v>
      </c>
      <c r="AX1" s="13" t="s">
        <v>74</v>
      </c>
      <c r="AY1" s="13" t="s">
        <v>75</v>
      </c>
      <c r="AZ1" s="13" t="s">
        <v>76</v>
      </c>
      <c r="BA1" s="13" t="s">
        <v>77</v>
      </c>
      <c r="BB1" s="13" t="s">
        <v>78</v>
      </c>
      <c r="BC1" s="13" t="s">
        <v>79</v>
      </c>
      <c r="BD1" s="13" t="s">
        <v>80</v>
      </c>
      <c r="BE1" s="13" t="s">
        <v>81</v>
      </c>
      <c r="BF1" s="13" t="s">
        <v>82</v>
      </c>
      <c r="BG1" s="13" t="s">
        <v>83</v>
      </c>
      <c r="BH1" s="13" t="s">
        <v>84</v>
      </c>
      <c r="BI1" s="13" t="s">
        <v>85</v>
      </c>
      <c r="BJ1" s="13" t="s">
        <v>86</v>
      </c>
      <c r="BK1" s="13" t="s">
        <v>87</v>
      </c>
      <c r="BL1" s="13" t="s">
        <v>88</v>
      </c>
      <c r="BM1" s="13" t="s">
        <v>89</v>
      </c>
      <c r="BN1" s="13" t="s">
        <v>90</v>
      </c>
      <c r="BO1" s="13" t="s">
        <v>91</v>
      </c>
      <c r="BP1" s="13" t="s">
        <v>92</v>
      </c>
      <c r="BQ1" s="13" t="s">
        <v>93</v>
      </c>
      <c r="BR1" s="13" t="s">
        <v>94</v>
      </c>
      <c r="BS1" s="13" t="s">
        <v>95</v>
      </c>
      <c r="BT1" s="13" t="s">
        <v>96</v>
      </c>
      <c r="BU1" s="13" t="s">
        <v>97</v>
      </c>
      <c r="BV1" s="13" t="s">
        <v>98</v>
      </c>
      <c r="BW1" s="13" t="s">
        <v>99</v>
      </c>
      <c r="BX1" s="13" t="s">
        <v>100</v>
      </c>
      <c r="BY1" s="13" t="s">
        <v>101</v>
      </c>
      <c r="BZ1" s="13" t="s">
        <v>102</v>
      </c>
      <c r="CA1" s="13" t="s">
        <v>103</v>
      </c>
      <c r="CB1" s="13" t="s">
        <v>104</v>
      </c>
      <c r="CC1" s="13" t="s">
        <v>105</v>
      </c>
      <c r="CD1" s="13" t="s">
        <v>106</v>
      </c>
      <c r="CE1" s="13" t="s">
        <v>107</v>
      </c>
      <c r="CF1" s="13" t="s">
        <v>108</v>
      </c>
      <c r="CG1" s="13" t="s">
        <v>109</v>
      </c>
      <c r="CH1" s="13" t="s">
        <v>110</v>
      </c>
      <c r="CI1" s="13" t="s">
        <v>111</v>
      </c>
      <c r="CJ1" s="13" t="s">
        <v>112</v>
      </c>
      <c r="CK1" s="13" t="s">
        <v>113</v>
      </c>
      <c r="CL1" s="13" t="s">
        <v>114</v>
      </c>
      <c r="CM1" s="13" t="s">
        <v>115</v>
      </c>
      <c r="CN1" s="13" t="s">
        <v>116</v>
      </c>
      <c r="CO1" s="13" t="s">
        <v>117</v>
      </c>
      <c r="CP1" s="13" t="s">
        <v>118</v>
      </c>
      <c r="CQ1" s="13" t="s">
        <v>119</v>
      </c>
      <c r="CR1" s="13" t="s">
        <v>120</v>
      </c>
      <c r="CS1" s="13" t="s">
        <v>121</v>
      </c>
      <c r="CT1" s="13" t="s">
        <v>122</v>
      </c>
      <c r="CU1" s="13" t="s">
        <v>123</v>
      </c>
      <c r="CV1" s="13" t="s">
        <v>124</v>
      </c>
      <c r="CW1" s="13" t="s">
        <v>126</v>
      </c>
      <c r="CX1" s="13" t="s">
        <v>127</v>
      </c>
      <c r="CY1" s="13" t="s">
        <v>128</v>
      </c>
      <c r="CZ1" s="13" t="s">
        <v>125</v>
      </c>
    </row>
    <row r="2" spans="1:104" x14ac:dyDescent="0.25">
      <c r="Q2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PriceOffer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 BIN</dc:creator>
  <cp:lastModifiedBy>AuvietSoft</cp:lastModifiedBy>
  <dcterms:created xsi:type="dcterms:W3CDTF">2019-02-22T01:57:44Z</dcterms:created>
  <dcterms:modified xsi:type="dcterms:W3CDTF">2019-05-16T06:02:27Z</dcterms:modified>
</cp:coreProperties>
</file>