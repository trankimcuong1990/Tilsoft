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435"/>
  </bookViews>
  <sheets>
    <sheet name="Summary Per Article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7" i="2" l="1"/>
  <c r="AU7" i="2"/>
  <c r="AS7" i="2"/>
  <c r="AR7" i="2"/>
  <c r="AQ7" i="2"/>
  <c r="AP4" i="2"/>
  <c r="AO7" i="2"/>
  <c r="AN7" i="2"/>
  <c r="AJ4" i="2" l="1"/>
  <c r="AB5" i="2"/>
  <c r="AC5" i="2"/>
  <c r="AJ5" i="2"/>
  <c r="AK5" i="2"/>
  <c r="AL5" i="2"/>
  <c r="AM5" i="2"/>
  <c r="AN5" i="2"/>
  <c r="AP5" i="2"/>
  <c r="AQ5" i="2"/>
  <c r="AR5" i="2"/>
  <c r="AB4" i="2"/>
  <c r="AC4" i="2"/>
  <c r="AK4" i="2"/>
  <c r="AL4" i="2"/>
  <c r="AM4" i="2"/>
  <c r="AN4" i="2"/>
  <c r="AQ4" i="2"/>
  <c r="AR4" i="2"/>
  <c r="AA5" i="2"/>
  <c r="AA4" i="2"/>
  <c r="B1" i="2" l="1"/>
</calcChain>
</file>

<file path=xl/connections.xml><?xml version="1.0" encoding="utf-8"?>
<connections xmlns="http://schemas.openxmlformats.org/spreadsheetml/2006/main">
  <connection id="1" name="3bfa1c04879a48e5bca32b0ad2a57751" type="4" refreshedVersion="0" background="1">
    <webPr xml="1" sourceData="1" url="http://localhost:8889/Tmp/3bfa1c04879a48e5bca32b0ad2a57751.xml" htmlTables="1" htmlFormat="all"/>
  </connection>
</connections>
</file>

<file path=xl/sharedStrings.xml><?xml version="1.0" encoding="utf-8"?>
<sst xmlns="http://schemas.openxmlformats.org/spreadsheetml/2006/main" count="112" uniqueCount="112">
  <si>
    <t>ns1:OfferUD</t>
  </si>
  <si>
    <t>ns1:OfferDate</t>
  </si>
  <si>
    <t>ns1:ClientUD</t>
  </si>
  <si>
    <t>ns1:ClientNM</t>
  </si>
  <si>
    <t>ns1:ClientCountryNM</t>
  </si>
  <si>
    <t>ns1:SaleNM</t>
  </si>
  <si>
    <t>ns1:Currency</t>
  </si>
  <si>
    <t>ns1:OfferAmountInUSD</t>
  </si>
  <si>
    <t>ns1:OfferAmountInEUR</t>
  </si>
  <si>
    <t>ns1:OfferAmountConvertToEUR</t>
  </si>
  <si>
    <t>ns1:ProformaInvoiceNo</t>
  </si>
  <si>
    <t>ns1:SaleOrderInvoiceDate</t>
  </si>
  <si>
    <t>ns1:TrackingStatusNM</t>
  </si>
  <si>
    <t>ns1:SaleOrderAmountInUSD</t>
  </si>
  <si>
    <t>ns1:SaleOrderAmountInEUR</t>
  </si>
  <si>
    <t>ns1:SaleOrderAmountConvertToEUR</t>
  </si>
  <si>
    <t>ns1:EurofarInvoiceNo</t>
  </si>
  <si>
    <t>ns1:EurofarInvoiceDate</t>
  </si>
  <si>
    <t>ns1:EurofarNetAmountInUSD</t>
  </si>
  <si>
    <t>ns1:EurofarNetAmountInEUR</t>
  </si>
  <si>
    <t>ns1:EurofarNetAmountConvertToEUR</t>
  </si>
  <si>
    <t>ns1:BLNo</t>
  </si>
  <si>
    <t>ns1:SupplierNM</t>
  </si>
  <si>
    <t>ns1:SupplierUD</t>
  </si>
  <si>
    <t>ns1:FactoryInvoiceNo</t>
  </si>
  <si>
    <t>ns1:PurchasingInvoiceNo</t>
  </si>
  <si>
    <t>ns1:PurchasingInvoiceDate</t>
  </si>
  <si>
    <t>ns1:FactoryInvoiceAmount</t>
  </si>
  <si>
    <t>ns1:FactoryInvoiceAmountConvertoToEUR</t>
  </si>
  <si>
    <t>ns1:GrossMarginGoods</t>
  </si>
  <si>
    <t>ns1:GrossMarginPercentGoods</t>
  </si>
  <si>
    <t>ns1:CommissionPercent</t>
  </si>
  <si>
    <t>ns1:CommissionAmount</t>
  </si>
  <si>
    <t>Offer</t>
  </si>
  <si>
    <t>Offer Date</t>
  </si>
  <si>
    <t>Client Code</t>
  </si>
  <si>
    <t>Client Name</t>
  </si>
  <si>
    <t>Client Country</t>
  </si>
  <si>
    <t>Acc Manager</t>
  </si>
  <si>
    <t>Offer Qnt</t>
  </si>
  <si>
    <t>Offer Amount In USD</t>
  </si>
  <si>
    <t>Offer Amount In EUR</t>
  </si>
  <si>
    <t>Sale Order Invoice Date</t>
  </si>
  <si>
    <t>Sale Order Amount In USD</t>
  </si>
  <si>
    <t>Sale Order Amount In EUR</t>
  </si>
  <si>
    <t>Eurofar Invoice Date</t>
  </si>
  <si>
    <t>BL No</t>
  </si>
  <si>
    <t>Supplier Name</t>
  </si>
  <si>
    <t>Supplier Code</t>
  </si>
  <si>
    <t>Factory Invoice No</t>
  </si>
  <si>
    <t>Purchasing Invoice No</t>
  </si>
  <si>
    <t>Purchasing Invoice Date</t>
  </si>
  <si>
    <t>Factory Invoice Amount</t>
  </si>
  <si>
    <t>Factory Invoice Amount Convert To EUR</t>
  </si>
  <si>
    <t>Gross Margin Goods</t>
  </si>
  <si>
    <t>Gross Margin Goods (%)</t>
  </si>
  <si>
    <t>(A)</t>
  </si>
  <si>
    <t>(B)</t>
  </si>
  <si>
    <t>(G)</t>
  </si>
  <si>
    <t>( E)</t>
  </si>
  <si>
    <t>(F)</t>
  </si>
  <si>
    <t>Total</t>
  </si>
  <si>
    <t>Sub Total</t>
  </si>
  <si>
    <t>ns1:Season</t>
  </si>
  <si>
    <t>ns1:ArticleCode</t>
  </si>
  <si>
    <t>ns1:Description</t>
  </si>
  <si>
    <t>ns1:OfferQnt</t>
  </si>
  <si>
    <t>ns1:OfferPriceInUSD</t>
  </si>
  <si>
    <t>ns1:OfferPriceInEUR</t>
  </si>
  <si>
    <t>ns1:OfferPriceConvertToEUR</t>
  </si>
  <si>
    <t>ns1:Quantity</t>
  </si>
  <si>
    <t>ns1:PurchasingQnt</t>
  </si>
  <si>
    <t>ns1:PurchasingInvoiceAmount</t>
  </si>
  <si>
    <t>ns1:GrossMarginExcludeTransport</t>
  </si>
  <si>
    <t>ns1:GrossMarginPercentExcludeTransport</t>
  </si>
  <si>
    <t>ns1:PurchasePriceFOB</t>
  </si>
  <si>
    <t>ns1:PurchasePriceDifference</t>
  </si>
  <si>
    <t>ns1:PriceStatus</t>
  </si>
  <si>
    <t>ns1:QuantityDifference</t>
  </si>
  <si>
    <t>Currency</t>
  </si>
  <si>
    <t>ArticleCode</t>
  </si>
  <si>
    <t>Description</t>
  </si>
  <si>
    <t>Offer Price In USD</t>
  </si>
  <si>
    <t>Offer Price In EUR</t>
  </si>
  <si>
    <t>Offer Price Convert To EUR</t>
  </si>
  <si>
    <t>Offer Amount Convert To EUR</t>
  </si>
  <si>
    <t>Prof. Invoice No</t>
  </si>
  <si>
    <t>Sale Order Amount Convert To EUR</t>
  </si>
  <si>
    <t>Sale Order Status</t>
  </si>
  <si>
    <t>Eurofar Invoice No</t>
  </si>
  <si>
    <t>Eurofar Net Amount In USD</t>
  </si>
  <si>
    <t>Eurofar Net Amount In EUR</t>
  </si>
  <si>
    <t>Eurofar Net Amount Convert To EUR</t>
  </si>
  <si>
    <t>Purchasing Invoice Qnt</t>
  </si>
  <si>
    <t>Purchasing Invoice Amount</t>
  </si>
  <si>
    <t>Commission Percent</t>
  </si>
  <si>
    <t>Commission Amount</t>
  </si>
  <si>
    <t>Gross Margin Exclude Transport</t>
  </si>
  <si>
    <t>Gross Margin Exclude Transport (%)</t>
  </si>
  <si>
    <t>Pruchasing Price FOB</t>
  </si>
  <si>
    <t>Purchasing Price Difference</t>
  </si>
  <si>
    <t>Price Status</t>
  </si>
  <si>
    <t>Quantity Difference</t>
  </si>
  <si>
    <t>Eurofar Invoice Quantity</t>
  </si>
  <si>
    <t>(A - B)</t>
  </si>
  <si>
    <t>( C)</t>
  </si>
  <si>
    <t>(A*C=D)</t>
  </si>
  <si>
    <t>(A-B-D)</t>
  </si>
  <si>
    <t>(A-B-D)/A</t>
  </si>
  <si>
    <t>(H)</t>
  </si>
  <si>
    <t>(E-F)</t>
  </si>
  <si>
    <t>(G-H)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</si>
</sst>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b/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3" fillId="0" borderId="0" xfId="0" applyFont="1"/>
    <xf numFmtId="49" fontId="0" fillId="0" borderId="1" xfId="0" applyNumberFormat="1" applyBorder="1"/>
    <xf numFmtId="4" fontId="0" fillId="0" borderId="1" xfId="0" applyNumberFormat="1" applyBorder="1"/>
    <xf numFmtId="3" fontId="0" fillId="0" borderId="1" xfId="0" applyNumberFormat="1" applyBorder="1"/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3" fillId="3" borderId="1" xfId="0" applyFont="1" applyFill="1" applyBorder="1"/>
    <xf numFmtId="0" fontId="3" fillId="4" borderId="1" xfId="0" applyFont="1" applyFill="1" applyBorder="1"/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right" vertical="center"/>
    </xf>
    <xf numFmtId="4" fontId="4" fillId="4" borderId="1" xfId="0" applyNumberFormat="1" applyFont="1" applyFill="1" applyBorder="1" applyAlignment="1">
      <alignment horizontal="right" vertical="center"/>
    </xf>
    <xf numFmtId="3" fontId="4" fillId="4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53">
    <dxf>
      <numFmt numFmtId="3" formatCode="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D9E1F2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ummaryPerArticle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OfferQnt" type="xs:int" minOccurs="0"/>
                  <xs:element name="OfferPriceInUSD" msdata:ReadOnly="true" type="xs:decimal" minOccurs="0"/>
                  <xs:element name="OfferPriceInEUR" msdata:ReadOnly="true" type="xs:decimal" minOccurs="0"/>
                  <xs:element name="OfferPriceConvertToEUR" msdata:ReadOnly="true" type="xs:decimal" minOccurs="0"/>
                  <xs:element name="OfferAmountInUSD" msdata:ReadOnly="true" type="xs:decimal" minOccurs="0"/>
                  <xs:element name="OfferAmountInEUR" msdata:ReadOnly="true" type="xs:decimal" minOccurs="0"/>
                  <xs:element name="OfferAmountConvertToEUR" msdata:ReadOnly="true" type="xs:decimal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aleOrderInvoice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SaleOrderAmountInUSD" msdata:ReadOnly="true" type="xs:decimal" minOccurs="0"/>
                  <xs:element name="SaleOrderAmountInEUR" msdata:ReadOnly="true" type="xs:decimal" minOccurs="0"/>
                  <xs:element name="SaleOrderAmountConvertToEUR" msdata:ReadOnly="true" type="xs:decimal" minOccurs="0"/>
                  <xs:element name="Tracking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urofar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EurofarInvoice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Quantity" type="xs:int" minOccurs="0"/>
                  <xs:element name="EurofarNetAmountInUSD" msdata:ReadOnly="true" type="xs:decimal" minOccurs="0"/>
                  <xs:element name="EurofarNetAmountInEUR" msdata:ReadOnly="true" type="xs:decimal" minOccurs="0"/>
                  <xs:element name="EurofarNetAmountConvertToEUR" msdata:ReadOnly="true" type="xs:decimal" minOccurs="0"/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uppli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urchasing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urchasingInvoice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urchasingQnt" type="xs:int" minOccurs="0"/>
                  <xs:element name="FactoryInvoiceAmount" msdata:ReadOnly="true" type="xs:decimal" minOccurs="0"/>
                  <xs:element name="PurchasingInvoiceAmount" msdata:ReadOnly="true" type="xs:decimal" minOccurs="0"/>
                  <xs:element name="FactoryInvoiceAmountConvertoToEUR" msdata:ReadOnly="true" type="xs:decimal" minOccurs="0"/>
                  <xs:element name="GrossMarginGoods" msdata:ReadOnly="true" type="xs:decimal" minOccurs="0"/>
                  <xs:element name="GrossMarginPercentGoods" msdata:ReadOnly="true" type="xs:decimal" minOccurs="0"/>
                  <xs:element name="CommissionPercent" type="xs:decimal" minOccurs="0"/>
                  <xs:element name="CommissionAmount" msdata:ReadOnly="true" type="xs:decimal" minOccurs="0"/>
                  <xs:element name="GrossMarginExcludeTransport" msdata:ReadOnly="true" type="xs:decimal" minOccurs="0"/>
                  <xs:element name="GrossMarginPercentExcludeTransport" msdata:ReadOnly="true" type="xs:decimal" minOccurs="0"/>
                  <xs:element name="PurchasePriceFOB" msdata:ReadOnly="true" type="xs:decimal" minOccurs="0"/>
                  <xs:element name="PurchasePriceDifference" msdata:ReadOnly="true" type="xs:decimal" minOccurs="0"/>
                  <xs:element name="PriceStatus" msdata:ReadOnly="tru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QuantityDifference" msdata:ReadOnly="true" type="xs:decimal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6:AW7" tableType="xml" totalsRowShown="0" headerRowDxfId="52" headerRowBorderDxfId="51" tableBorderDxfId="50" totalsRowBorderDxfId="49" connectionId="1">
  <autoFilter ref="A6:AW7"/>
  <tableColumns count="49">
    <tableColumn id="1" uniqueName="ns1:Season" name="ns1:Season" dataDxfId="48">
      <xmlColumnPr mapId="2" xpath="/ns1:ReportDataObject/ns1:Report_SummaryPerArticle_View/ns1:Season" xmlDataType="string"/>
    </tableColumn>
    <tableColumn id="2" uniqueName="ns1:OfferUD" name="ns1:OfferUD" dataDxfId="47">
      <xmlColumnPr mapId="2" xpath="/ns1:ReportDataObject/ns1:Report_SummaryPerArticle_View/ns1:OfferUD" xmlDataType="string"/>
    </tableColumn>
    <tableColumn id="3" uniqueName="ns1:OfferDate" name="ns1:OfferDate" dataDxfId="46">
      <xmlColumnPr mapId="2" xpath="/ns1:ReportDataObject/ns1:Report_SummaryPerArticle_View/ns1:OfferDate" xmlDataType="string"/>
    </tableColumn>
    <tableColumn id="4" uniqueName="ns1:ClientUD" name="ns1:ClientUD" dataDxfId="45">
      <xmlColumnPr mapId="2" xpath="/ns1:ReportDataObject/ns1:Report_SummaryPerArticle_View/ns1:ClientUD" xmlDataType="string"/>
    </tableColumn>
    <tableColumn id="5" uniqueName="ns1:ClientNM" name="ns1:ClientNM" dataDxfId="44">
      <xmlColumnPr mapId="2" xpath="/ns1:ReportDataObject/ns1:Report_SummaryPerArticle_View/ns1:ClientNM" xmlDataType="string"/>
    </tableColumn>
    <tableColumn id="6" uniqueName="ns1:ClientCountryNM" name="ns1:ClientCountryNM" dataDxfId="43">
      <xmlColumnPr mapId="2" xpath="/ns1:ReportDataObject/ns1:Report_SummaryPerArticle_View/ns1:ClientCountryNM" xmlDataType="string"/>
    </tableColumn>
    <tableColumn id="7" uniqueName="ns1:SaleNM" name="ns1:SaleNM" dataDxfId="42">
      <xmlColumnPr mapId="2" xpath="/ns1:ReportDataObject/ns1:Report_SummaryPerArticle_View/ns1:SaleNM" xmlDataType="string"/>
    </tableColumn>
    <tableColumn id="8" uniqueName="ns1:Currency" name="ns1:Currency" dataDxfId="41">
      <xmlColumnPr mapId="2" xpath="/ns1:ReportDataObject/ns1:Report_SummaryPerArticle_View/ns1:Currency" xmlDataType="string"/>
    </tableColumn>
    <tableColumn id="9" uniqueName="ns1:ArticleCode" name="ns1:ArticleCode" dataDxfId="40">
      <xmlColumnPr mapId="2" xpath="/ns1:ReportDataObject/ns1:Report_SummaryPerArticle_View/ns1:ArticleCode" xmlDataType="string"/>
    </tableColumn>
    <tableColumn id="10" uniqueName="ns1:Description" name="ns1:Description" dataDxfId="39">
      <xmlColumnPr mapId="2" xpath="/ns1:ReportDataObject/ns1:Report_SummaryPerArticle_View/ns1:Description" xmlDataType="string"/>
    </tableColumn>
    <tableColumn id="11" uniqueName="ns1:OfferQnt" name="ns1:OfferQnt" dataDxfId="38">
      <xmlColumnPr mapId="2" xpath="/ns1:ReportDataObject/ns1:Report_SummaryPerArticle_View/ns1:OfferQnt" xmlDataType="int"/>
    </tableColumn>
    <tableColumn id="12" uniqueName="ns1:OfferPriceInUSD" name="ns1:OfferPriceInUSD" dataDxfId="37">
      <xmlColumnPr mapId="2" xpath="/ns1:ReportDataObject/ns1:Report_SummaryPerArticle_View/ns1:OfferPriceInUSD" xmlDataType="decimal"/>
    </tableColumn>
    <tableColumn id="13" uniqueName="ns1:OfferPriceInEUR" name="ns1:OfferPriceInEUR" dataDxfId="36">
      <xmlColumnPr mapId="2" xpath="/ns1:ReportDataObject/ns1:Report_SummaryPerArticle_View/ns1:OfferPriceInEUR" xmlDataType="decimal"/>
    </tableColumn>
    <tableColumn id="14" uniqueName="ns1:OfferPriceConvertToEUR" name="ns1:OfferPriceConvertToEUR" dataDxfId="35">
      <xmlColumnPr mapId="2" xpath="/ns1:ReportDataObject/ns1:Report_SummaryPerArticle_View/ns1:OfferPriceConvertToEUR" xmlDataType="decimal"/>
    </tableColumn>
    <tableColumn id="15" uniqueName="ns1:OfferAmountInUSD" name="ns1:OfferAmountInUSD" dataDxfId="34">
      <xmlColumnPr mapId="2" xpath="/ns1:ReportDataObject/ns1:Report_SummaryPerArticle_View/ns1:OfferAmountInUSD" xmlDataType="decimal"/>
    </tableColumn>
    <tableColumn id="16" uniqueName="ns1:OfferAmountInEUR" name="ns1:OfferAmountInEUR" dataDxfId="33">
      <xmlColumnPr mapId="2" xpath="/ns1:ReportDataObject/ns1:Report_SummaryPerArticle_View/ns1:OfferAmountInEUR" xmlDataType="decimal"/>
    </tableColumn>
    <tableColumn id="17" uniqueName="ns1:OfferAmountConvertToEUR" name="ns1:OfferAmountConvertToEUR" dataDxfId="32">
      <xmlColumnPr mapId="2" xpath="/ns1:ReportDataObject/ns1:Report_SummaryPerArticle_View/ns1:OfferAmountConvertToEUR" xmlDataType="decimal"/>
    </tableColumn>
    <tableColumn id="18" uniqueName="ns1:ProformaInvoiceNo" name="ns1:ProformaInvoiceNo" dataDxfId="31">
      <xmlColumnPr mapId="2" xpath="/ns1:ReportDataObject/ns1:Report_SummaryPerArticle_View/ns1:ProformaInvoiceNo" xmlDataType="string"/>
    </tableColumn>
    <tableColumn id="19" uniqueName="ns1:SaleOrderInvoiceDate" name="ns1:SaleOrderInvoiceDate" dataDxfId="30">
      <xmlColumnPr mapId="2" xpath="/ns1:ReportDataObject/ns1:Report_SummaryPerArticle_View/ns1:SaleOrderInvoiceDate" xmlDataType="string"/>
    </tableColumn>
    <tableColumn id="20" uniqueName="ns1:SaleOrderAmountInUSD" name="ns1:SaleOrderAmountInUSD" dataDxfId="29">
      <xmlColumnPr mapId="2" xpath="/ns1:ReportDataObject/ns1:Report_SummaryPerArticle_View/ns1:SaleOrderAmountInUSD" xmlDataType="decimal"/>
    </tableColumn>
    <tableColumn id="21" uniqueName="ns1:SaleOrderAmountInEUR" name="ns1:SaleOrderAmountInEUR" dataDxfId="28">
      <xmlColumnPr mapId="2" xpath="/ns1:ReportDataObject/ns1:Report_SummaryPerArticle_View/ns1:SaleOrderAmountInEUR" xmlDataType="decimal"/>
    </tableColumn>
    <tableColumn id="22" uniqueName="ns1:SaleOrderAmountConvertToEUR" name="ns1:SaleOrderAmountConvertToEUR" dataDxfId="27">
      <xmlColumnPr mapId="2" xpath="/ns1:ReportDataObject/ns1:Report_SummaryPerArticle_View/ns1:SaleOrderAmountConvertToEUR" xmlDataType="decimal"/>
    </tableColumn>
    <tableColumn id="23" uniqueName="ns1:TrackingStatusNM" name="ns1:TrackingStatusNM" dataDxfId="26">
      <xmlColumnPr mapId="2" xpath="/ns1:ReportDataObject/ns1:Report_SummaryPerArticle_View/ns1:TrackingStatusNM" xmlDataType="string"/>
    </tableColumn>
    <tableColumn id="24" uniqueName="ns1:EurofarInvoiceNo" name="ns1:EurofarInvoiceNo" dataDxfId="25">
      <xmlColumnPr mapId="2" xpath="/ns1:ReportDataObject/ns1:Report_SummaryPerArticle_View/ns1:EurofarInvoiceNo" xmlDataType="string"/>
    </tableColumn>
    <tableColumn id="25" uniqueName="ns1:EurofarInvoiceDate" name="ns1:EurofarInvoiceDate" dataDxfId="24">
      <xmlColumnPr mapId="2" xpath="/ns1:ReportDataObject/ns1:Report_SummaryPerArticle_View/ns1:EurofarInvoiceDate" xmlDataType="string"/>
    </tableColumn>
    <tableColumn id="26" uniqueName="ns1:Quantity" name="ns1:Quantity" dataDxfId="23">
      <xmlColumnPr mapId="2" xpath="/ns1:ReportDataObject/ns1:Report_SummaryPerArticle_View/ns1:Quantity" xmlDataType="int"/>
    </tableColumn>
    <tableColumn id="27" uniqueName="ns1:EurofarNetAmountInUSD" name="ns1:EurofarNetAmountInUSD" dataDxfId="22">
      <xmlColumnPr mapId="2" xpath="/ns1:ReportDataObject/ns1:Report_SummaryPerArticle_View/ns1:EurofarNetAmountInUSD" xmlDataType="decimal"/>
    </tableColumn>
    <tableColumn id="28" uniqueName="ns1:EurofarNetAmountInEUR" name="ns1:EurofarNetAmountInEUR" dataDxfId="21">
      <xmlColumnPr mapId="2" xpath="/ns1:ReportDataObject/ns1:Report_SummaryPerArticle_View/ns1:EurofarNetAmountInEUR" xmlDataType="decimal"/>
    </tableColumn>
    <tableColumn id="29" uniqueName="ns1:EurofarNetAmountConvertToEUR" name="ns1:EurofarNetAmountConvertToEUR" dataDxfId="20">
      <xmlColumnPr mapId="2" xpath="/ns1:ReportDataObject/ns1:Report_SummaryPerArticle_View/ns1:EurofarNetAmountConvertToEUR" xmlDataType="decimal"/>
    </tableColumn>
    <tableColumn id="30" uniqueName="ns1:BLNo" name="ns1:BLNo" dataDxfId="19">
      <xmlColumnPr mapId="2" xpath="/ns1:ReportDataObject/ns1:Report_SummaryPerArticle_View/ns1:BLNo" xmlDataType="string"/>
    </tableColumn>
    <tableColumn id="31" uniqueName="ns1:SupplierNM" name="ns1:SupplierNM" dataDxfId="18">
      <xmlColumnPr mapId="2" xpath="/ns1:ReportDataObject/ns1:Report_SummaryPerArticle_View/ns1:SupplierNM" xmlDataType="string"/>
    </tableColumn>
    <tableColumn id="32" uniqueName="ns1:SupplierUD" name="ns1:SupplierUD" dataDxfId="17">
      <xmlColumnPr mapId="2" xpath="/ns1:ReportDataObject/ns1:Report_SummaryPerArticle_View/ns1:SupplierUD" xmlDataType="string"/>
    </tableColumn>
    <tableColumn id="33" uniqueName="ns1:FactoryInvoiceNo" name="ns1:FactoryInvoiceNo" dataDxfId="16">
      <xmlColumnPr mapId="2" xpath="/ns1:ReportDataObject/ns1:Report_SummaryPerArticle_View/ns1:FactoryInvoiceNo" xmlDataType="string"/>
    </tableColumn>
    <tableColumn id="34" uniqueName="ns1:PurchasingInvoiceNo" name="ns1:PurchasingInvoiceNo" dataDxfId="15">
      <xmlColumnPr mapId="2" xpath="/ns1:ReportDataObject/ns1:Report_SummaryPerArticle_View/ns1:PurchasingInvoiceNo" xmlDataType="string"/>
    </tableColumn>
    <tableColumn id="35" uniqueName="ns1:PurchasingInvoiceDate" name="ns1:PurchasingInvoiceDate" dataDxfId="14">
      <xmlColumnPr mapId="2" xpath="/ns1:ReportDataObject/ns1:Report_SummaryPerArticle_View/ns1:PurchasingInvoiceDate" xmlDataType="string"/>
    </tableColumn>
    <tableColumn id="36" uniqueName="ns1:PurchasingQnt" name="ns1:PurchasingQnt" dataDxfId="13">
      <xmlColumnPr mapId="2" xpath="/ns1:ReportDataObject/ns1:Report_SummaryPerArticle_View/ns1:PurchasingQnt" xmlDataType="int"/>
    </tableColumn>
    <tableColumn id="37" uniqueName="ns1:FactoryInvoiceAmount" name="ns1:FactoryInvoiceAmount" dataDxfId="12">
      <xmlColumnPr mapId="2" xpath="/ns1:ReportDataObject/ns1:Report_SummaryPerArticle_View/ns1:FactoryInvoiceAmount" xmlDataType="decimal"/>
    </tableColumn>
    <tableColumn id="38" uniqueName="ns1:PurchasingInvoiceAmount" name="ns1:PurchasingInvoiceAmount" dataDxfId="11">
      <xmlColumnPr mapId="2" xpath="/ns1:ReportDataObject/ns1:Report_SummaryPerArticle_View/ns1:PurchasingInvoiceAmount" xmlDataType="decimal"/>
    </tableColumn>
    <tableColumn id="39" uniqueName="ns1:FactoryInvoiceAmountConvertoToEUR" name="ns1:FactoryInvoiceAmountConvertoToEUR" dataDxfId="10">
      <xmlColumnPr mapId="2" xpath="/ns1:ReportDataObject/ns1:Report_SummaryPerArticle_View/ns1:FactoryInvoiceAmountConvertoToEUR" xmlDataType="decimal"/>
    </tableColumn>
    <tableColumn id="40" uniqueName="ns1:GrossMarginGoods" name="ns1:GrossMarginGoods" dataDxfId="9">
      <calculatedColumnFormula>Table2[ns1:EurofarNetAmountConvertToEUR]-Table2[ns1:FactoryInvoiceAmountConvertoToEUR]</calculatedColumnFormula>
      <xmlColumnPr mapId="2" xpath="/ns1:ReportDataObject/ns1:Report_SummaryPerArticle_View/ns1:GrossMarginGoods" xmlDataType="decimal"/>
    </tableColumn>
    <tableColumn id="41" uniqueName="ns1:GrossMarginPercentGoods" name="ns1:GrossMarginPercentGoods" dataDxfId="8">
      <calculatedColumnFormula>Table2[ns1:GrossMarginGoods]/Table2[ns1:EurofarNetAmountConvertToEUR]</calculatedColumnFormula>
      <xmlColumnPr mapId="2" xpath="/ns1:ReportDataObject/ns1:Report_SummaryPerArticle_View/ns1:GrossMarginPercentGoods" xmlDataType="decimal"/>
    </tableColumn>
    <tableColumn id="42" uniqueName="ns1:CommissionPercent" name="ns1:CommissionPercent" dataDxfId="7">
      <xmlColumnPr mapId="2" xpath="/ns1:ReportDataObject/ns1:Report_SummaryPerArticle_View/ns1:CommissionPercent" xmlDataType="decimal"/>
    </tableColumn>
    <tableColumn id="43" uniqueName="ns1:CommissionAmount" name="ns1:CommissionAmount" dataDxfId="6">
      <calculatedColumnFormula>Table2[ns1:EurofarNetAmountConvertToEUR]*Table2[ns1:CommissionPercent]</calculatedColumnFormula>
      <xmlColumnPr mapId="2" xpath="/ns1:ReportDataObject/ns1:Report_SummaryPerArticle_View/ns1:CommissionAmount" xmlDataType="decimal"/>
    </tableColumn>
    <tableColumn id="44" uniqueName="ns1:GrossMarginExcludeTransport" name="ns1:GrossMarginExcludeTransport" dataDxfId="5">
      <calculatedColumnFormula>Table2[ns1:EurofarNetAmountConvertToEUR]-Table2[ns1:FactoryInvoiceAmountConvertoToEUR]-Table2[ns1:CommissionAmount]</calculatedColumnFormula>
      <xmlColumnPr mapId="2" xpath="/ns1:ReportDataObject/ns1:Report_SummaryPerArticle_View/ns1:GrossMarginExcludeTransport" xmlDataType="decimal"/>
    </tableColumn>
    <tableColumn id="45" uniqueName="ns1:GrossMarginPercentExcludeTransport" name="ns1:GrossMarginPercentExcludeTransport" dataDxfId="4">
      <calculatedColumnFormula>Table2[ns1:GrossMarginExcludeTransport]/Table2[ns1:EurofarNetAmountConvertToEUR]</calculatedColumnFormula>
      <xmlColumnPr mapId="2" xpath="/ns1:ReportDataObject/ns1:Report_SummaryPerArticle_View/ns1:GrossMarginPercentExcludeTransport" xmlDataType="decimal"/>
    </tableColumn>
    <tableColumn id="46" uniqueName="ns1:PurchasePriceFOB" name="ns1:PurchasePriceFOB" dataDxfId="3">
      <xmlColumnPr mapId="2" xpath="/ns1:ReportDataObject/ns1:Report_SummaryPerArticle_View/ns1:PurchasePriceFOB" xmlDataType="decimal"/>
    </tableColumn>
    <tableColumn id="47" uniqueName="ns1:PurchasePriceDifference" name="ns1:PurchasePriceDifference" dataDxfId="2">
      <calculatedColumnFormula>Table2[ns1:PurchasingInvoiceAmount]-Table2[ns1:PurchasePriceFOB]</calculatedColumnFormula>
      <xmlColumnPr mapId="2" xpath="/ns1:ReportDataObject/ns1:Report_SummaryPerArticle_View/ns1:PurchasePriceDifference" xmlDataType="decimal"/>
    </tableColumn>
    <tableColumn id="48" uniqueName="ns1:PriceStatus" name="ns1:PriceStatus" dataDxfId="1">
      <xmlColumnPr mapId="2" xpath="/ns1:ReportDataObject/ns1:Report_SummaryPerArticle_View/ns1:PriceStatus" xmlDataType="string"/>
    </tableColumn>
    <tableColumn id="49" uniqueName="ns1:QuantityDifference" name="ns1:QuantityDifference" dataDxfId="0">
      <calculatedColumnFormula>Table2[ns1:Quantity]-Table2[ns1:PurchasingQnt]</calculatedColumnFormula>
      <xmlColumnPr mapId="2" xpath="/ns1:ReportDataObject/ns1:Report_SummaryPerArticle_View/ns1:QuantityDifference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7"/>
  <sheetViews>
    <sheetView tabSelected="1"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J14" sqref="J14"/>
    </sheetView>
  </sheetViews>
  <sheetFormatPr defaultRowHeight="15" x14ac:dyDescent="0.25"/>
  <cols>
    <col min="1" max="1" width="13.140625" hidden="1" customWidth="1"/>
    <col min="2" max="2" width="32.5703125" customWidth="1"/>
    <col min="3" max="3" width="11.5703125" customWidth="1"/>
    <col min="4" max="4" width="8.140625" customWidth="1"/>
    <col min="5" max="5" width="33.5703125" customWidth="1"/>
    <col min="6" max="6" width="12.7109375" customWidth="1"/>
    <col min="7" max="7" width="17.42578125" customWidth="1"/>
    <col min="8" max="8" width="6.140625" customWidth="1"/>
    <col min="9" max="9" width="24" customWidth="1"/>
    <col min="10" max="10" width="66.5703125" customWidth="1"/>
    <col min="11" max="11" width="10.7109375" customWidth="1"/>
    <col min="12" max="17" width="18.7109375" customWidth="1"/>
    <col min="18" max="18" width="9.5703125" customWidth="1"/>
    <col min="19" max="19" width="11.7109375" customWidth="1"/>
    <col min="20" max="22" width="18.7109375" customWidth="1"/>
    <col min="23" max="23" width="13.28515625" customWidth="1"/>
    <col min="24" max="24" width="11.28515625" customWidth="1"/>
    <col min="25" max="25" width="11.85546875" customWidth="1"/>
    <col min="26" max="26" width="8.85546875" customWidth="1"/>
    <col min="27" max="29" width="18.7109375" customWidth="1"/>
    <col min="30" max="30" width="21.85546875" customWidth="1"/>
    <col min="31" max="31" width="52.140625" customWidth="1"/>
    <col min="32" max="32" width="7.42578125" customWidth="1"/>
    <col min="33" max="33" width="21" customWidth="1"/>
    <col min="34" max="34" width="14.28515625" customWidth="1"/>
    <col min="35" max="35" width="11.85546875" customWidth="1"/>
    <col min="36" max="36" width="10.7109375" customWidth="1"/>
    <col min="37" max="49" width="18.7109375" customWidth="1"/>
  </cols>
  <sheetData>
    <row r="1" spans="1:49" ht="28.5" x14ac:dyDescent="0.45">
      <c r="A1" s="2"/>
      <c r="B1" s="2" t="str">
        <f>"SUMMARY PER ARTICLE SEASON " &amp;A7</f>
        <v xml:space="preserve">SUMMARY PER ARTICLE SEASON </v>
      </c>
    </row>
    <row r="2" spans="1:49" ht="45" x14ac:dyDescent="0.25">
      <c r="A2" s="6"/>
      <c r="B2" s="7" t="s">
        <v>33</v>
      </c>
      <c r="C2" s="7" t="s">
        <v>34</v>
      </c>
      <c r="D2" s="7" t="s">
        <v>35</v>
      </c>
      <c r="E2" s="7" t="s">
        <v>36</v>
      </c>
      <c r="F2" s="7" t="s">
        <v>37</v>
      </c>
      <c r="G2" s="7" t="s">
        <v>38</v>
      </c>
      <c r="H2" s="7" t="s">
        <v>79</v>
      </c>
      <c r="I2" s="7" t="s">
        <v>80</v>
      </c>
      <c r="J2" s="7" t="s">
        <v>81</v>
      </c>
      <c r="K2" s="7" t="s">
        <v>39</v>
      </c>
      <c r="L2" s="7" t="s">
        <v>82</v>
      </c>
      <c r="M2" s="7" t="s">
        <v>83</v>
      </c>
      <c r="N2" s="7" t="s">
        <v>84</v>
      </c>
      <c r="O2" s="7" t="s">
        <v>40</v>
      </c>
      <c r="P2" s="7" t="s">
        <v>41</v>
      </c>
      <c r="Q2" s="7" t="s">
        <v>85</v>
      </c>
      <c r="R2" s="7" t="s">
        <v>86</v>
      </c>
      <c r="S2" s="7" t="s">
        <v>42</v>
      </c>
      <c r="T2" s="7" t="s">
        <v>43</v>
      </c>
      <c r="U2" s="7" t="s">
        <v>44</v>
      </c>
      <c r="V2" s="7" t="s">
        <v>87</v>
      </c>
      <c r="W2" s="7" t="s">
        <v>88</v>
      </c>
      <c r="X2" s="7" t="s">
        <v>89</v>
      </c>
      <c r="Y2" s="7" t="s">
        <v>45</v>
      </c>
      <c r="Z2" s="7" t="s">
        <v>103</v>
      </c>
      <c r="AA2" s="7" t="s">
        <v>90</v>
      </c>
      <c r="AB2" s="7" t="s">
        <v>91</v>
      </c>
      <c r="AC2" s="7" t="s">
        <v>92</v>
      </c>
      <c r="AD2" s="7" t="s">
        <v>46</v>
      </c>
      <c r="AE2" s="7" t="s">
        <v>47</v>
      </c>
      <c r="AF2" s="7" t="s">
        <v>48</v>
      </c>
      <c r="AG2" s="7" t="s">
        <v>49</v>
      </c>
      <c r="AH2" s="7" t="s">
        <v>50</v>
      </c>
      <c r="AI2" s="7" t="s">
        <v>51</v>
      </c>
      <c r="AJ2" s="7" t="s">
        <v>93</v>
      </c>
      <c r="AK2" s="7" t="s">
        <v>52</v>
      </c>
      <c r="AL2" s="7" t="s">
        <v>94</v>
      </c>
      <c r="AM2" s="7" t="s">
        <v>53</v>
      </c>
      <c r="AN2" s="7" t="s">
        <v>54</v>
      </c>
      <c r="AO2" s="7" t="s">
        <v>55</v>
      </c>
      <c r="AP2" s="7" t="s">
        <v>95</v>
      </c>
      <c r="AQ2" s="7" t="s">
        <v>96</v>
      </c>
      <c r="AR2" s="7" t="s">
        <v>97</v>
      </c>
      <c r="AS2" s="7" t="s">
        <v>98</v>
      </c>
      <c r="AT2" s="7" t="s">
        <v>99</v>
      </c>
      <c r="AU2" s="7" t="s">
        <v>100</v>
      </c>
      <c r="AV2" s="7" t="s">
        <v>101</v>
      </c>
      <c r="AW2" s="7" t="s">
        <v>102</v>
      </c>
    </row>
    <row r="3" spans="1:49" ht="15" customHeight="1" x14ac:dyDescent="0.45">
      <c r="A3" s="8"/>
      <c r="B3" s="1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 t="s">
        <v>58</v>
      </c>
      <c r="AA3" s="16"/>
      <c r="AB3" s="16"/>
      <c r="AC3" s="16" t="s">
        <v>56</v>
      </c>
      <c r="AD3" s="16"/>
      <c r="AE3" s="16"/>
      <c r="AF3" s="16"/>
      <c r="AG3" s="16"/>
      <c r="AH3" s="16"/>
      <c r="AI3" s="16"/>
      <c r="AJ3" s="16" t="s">
        <v>109</v>
      </c>
      <c r="AK3" s="16"/>
      <c r="AL3" s="16" t="s">
        <v>59</v>
      </c>
      <c r="AM3" s="16" t="s">
        <v>57</v>
      </c>
      <c r="AN3" s="16" t="s">
        <v>104</v>
      </c>
      <c r="AO3" s="16"/>
      <c r="AP3" s="16" t="s">
        <v>105</v>
      </c>
      <c r="AQ3" s="16" t="s">
        <v>106</v>
      </c>
      <c r="AR3" s="16" t="s">
        <v>107</v>
      </c>
      <c r="AS3" s="16" t="s">
        <v>108</v>
      </c>
      <c r="AT3" s="16" t="s">
        <v>60</v>
      </c>
      <c r="AU3" s="16" t="s">
        <v>110</v>
      </c>
      <c r="AV3" s="16"/>
      <c r="AW3" s="16" t="s">
        <v>111</v>
      </c>
    </row>
    <row r="4" spans="1:49" ht="15" customHeight="1" x14ac:dyDescent="0.45">
      <c r="A4" s="9"/>
      <c r="B4" s="10" t="s">
        <v>61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2">
        <f>SUM(Table2[ns1:EurofarNetAmountInUSD])</f>
        <v>0</v>
      </c>
      <c r="AB4" s="12">
        <f>SUM(Table2[ns1:EurofarNetAmountInEUR])</f>
        <v>0</v>
      </c>
      <c r="AC4" s="12">
        <f>SUM(Table2[ns1:EurofarNetAmountConvertToEUR])</f>
        <v>0</v>
      </c>
      <c r="AD4" s="12"/>
      <c r="AE4" s="12"/>
      <c r="AF4" s="12"/>
      <c r="AG4" s="12"/>
      <c r="AH4" s="12"/>
      <c r="AI4" s="12"/>
      <c r="AJ4" s="13">
        <f>SUM(Table2[ns1:PurchasingQnt])</f>
        <v>0</v>
      </c>
      <c r="AK4" s="12">
        <f>SUM(Table2[ns1:FactoryInvoiceAmount])</f>
        <v>0</v>
      </c>
      <c r="AL4" s="12">
        <f>SUM(Table2[ns1:PurchasingInvoiceAmount])</f>
        <v>0</v>
      </c>
      <c r="AM4" s="12">
        <f>SUM(Table2[ns1:FactoryInvoiceAmountConvertoToEUR])</f>
        <v>0</v>
      </c>
      <c r="AN4" s="12">
        <f>SUM(Table2[ns1:GrossMarginGoods])</f>
        <v>0</v>
      </c>
      <c r="AO4" s="12"/>
      <c r="AP4" s="12">
        <f>SUM(Table2[ns1:CommissionPercent])</f>
        <v>0</v>
      </c>
      <c r="AQ4" s="12">
        <f>SUM(Table2[ns1:CommissionAmount])</f>
        <v>0</v>
      </c>
      <c r="AR4" s="12">
        <f>SUM(Table2[ns1:GrossMarginExcludeTransport])</f>
        <v>0</v>
      </c>
      <c r="AS4" s="12"/>
      <c r="AT4" s="12"/>
      <c r="AU4" s="12"/>
      <c r="AV4" s="12"/>
      <c r="AW4" s="12"/>
    </row>
    <row r="5" spans="1:49" ht="15" customHeight="1" x14ac:dyDescent="0.45">
      <c r="A5" s="9"/>
      <c r="B5" s="10" t="s">
        <v>62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2">
        <f>SUBTOTAL(9,Table2[ns1:EurofarNetAmountInUSD])</f>
        <v>0</v>
      </c>
      <c r="AB5" s="12">
        <f>SUBTOTAL(9,Table2[ns1:EurofarNetAmountInEUR])</f>
        <v>0</v>
      </c>
      <c r="AC5" s="12">
        <f>SUBTOTAL(9,Table2[ns1:EurofarNetAmountConvertToEUR])</f>
        <v>0</v>
      </c>
      <c r="AD5" s="12"/>
      <c r="AE5" s="12"/>
      <c r="AF5" s="12"/>
      <c r="AG5" s="12"/>
      <c r="AH5" s="12"/>
      <c r="AI5" s="12"/>
      <c r="AJ5" s="13">
        <f>SUBTOTAL(9,Table2[ns1:PurchasingQnt])</f>
        <v>0</v>
      </c>
      <c r="AK5" s="12">
        <f>SUBTOTAL(9,Table2[ns1:FactoryInvoiceAmount])</f>
        <v>0</v>
      </c>
      <c r="AL5" s="12">
        <f>SUBTOTAL(9,Table2[ns1:PurchasingInvoiceAmount])</f>
        <v>0</v>
      </c>
      <c r="AM5" s="12">
        <f>SUBTOTAL(9,Table2[ns1:FactoryInvoiceAmountConvertoToEUR])</f>
        <v>0</v>
      </c>
      <c r="AN5" s="12">
        <f>SUBTOTAL(9,Table2[ns1:GrossMarginGoods])</f>
        <v>0</v>
      </c>
      <c r="AO5" s="12"/>
      <c r="AP5" s="12">
        <f>SUBTOTAL(9,Table2[ns1:CommissionPercent])</f>
        <v>0</v>
      </c>
      <c r="AQ5" s="12">
        <f>SUBTOTAL(9,Table2[ns1:CommissionAmount])</f>
        <v>0</v>
      </c>
      <c r="AR5" s="12">
        <f>SUBTOTAL(9,Table2[ns1:GrossMarginExcludeTransport])</f>
        <v>0</v>
      </c>
      <c r="AS5" s="12"/>
      <c r="AT5" s="12"/>
      <c r="AU5" s="12"/>
      <c r="AV5" s="12"/>
      <c r="AW5" s="12"/>
    </row>
    <row r="6" spans="1:49" x14ac:dyDescent="0.25">
      <c r="A6" s="1" t="s">
        <v>63</v>
      </c>
      <c r="B6" s="14" t="s">
        <v>0</v>
      </c>
      <c r="C6" s="14" t="s">
        <v>1</v>
      </c>
      <c r="D6" s="14" t="s">
        <v>2</v>
      </c>
      <c r="E6" s="14" t="s">
        <v>3</v>
      </c>
      <c r="F6" s="14" t="s">
        <v>4</v>
      </c>
      <c r="G6" s="14" t="s">
        <v>5</v>
      </c>
      <c r="H6" s="14" t="s">
        <v>6</v>
      </c>
      <c r="I6" s="14" t="s">
        <v>64</v>
      </c>
      <c r="J6" s="14" t="s">
        <v>65</v>
      </c>
      <c r="K6" s="14" t="s">
        <v>66</v>
      </c>
      <c r="L6" s="14" t="s">
        <v>67</v>
      </c>
      <c r="M6" s="14" t="s">
        <v>68</v>
      </c>
      <c r="N6" s="14" t="s">
        <v>69</v>
      </c>
      <c r="O6" s="14" t="s">
        <v>7</v>
      </c>
      <c r="P6" s="14" t="s">
        <v>8</v>
      </c>
      <c r="Q6" s="14" t="s">
        <v>9</v>
      </c>
      <c r="R6" s="14" t="s">
        <v>10</v>
      </c>
      <c r="S6" s="14" t="s">
        <v>11</v>
      </c>
      <c r="T6" s="14" t="s">
        <v>13</v>
      </c>
      <c r="U6" s="14" t="s">
        <v>14</v>
      </c>
      <c r="V6" s="14" t="s">
        <v>15</v>
      </c>
      <c r="W6" s="14" t="s">
        <v>12</v>
      </c>
      <c r="X6" s="14" t="s">
        <v>16</v>
      </c>
      <c r="Y6" s="14" t="s">
        <v>17</v>
      </c>
      <c r="Z6" s="14" t="s">
        <v>70</v>
      </c>
      <c r="AA6" s="14" t="s">
        <v>18</v>
      </c>
      <c r="AB6" s="14" t="s">
        <v>19</v>
      </c>
      <c r="AC6" s="14" t="s">
        <v>20</v>
      </c>
      <c r="AD6" s="14" t="s">
        <v>21</v>
      </c>
      <c r="AE6" s="14" t="s">
        <v>22</v>
      </c>
      <c r="AF6" s="14" t="s">
        <v>23</v>
      </c>
      <c r="AG6" s="14" t="s">
        <v>24</v>
      </c>
      <c r="AH6" s="14" t="s">
        <v>25</v>
      </c>
      <c r="AI6" s="14" t="s">
        <v>26</v>
      </c>
      <c r="AJ6" s="14" t="s">
        <v>71</v>
      </c>
      <c r="AK6" s="14" t="s">
        <v>27</v>
      </c>
      <c r="AL6" s="14" t="s">
        <v>72</v>
      </c>
      <c r="AM6" s="14" t="s">
        <v>28</v>
      </c>
      <c r="AN6" s="14" t="s">
        <v>29</v>
      </c>
      <c r="AO6" s="14" t="s">
        <v>30</v>
      </c>
      <c r="AP6" s="14" t="s">
        <v>31</v>
      </c>
      <c r="AQ6" s="14" t="s">
        <v>32</v>
      </c>
      <c r="AR6" s="14" t="s">
        <v>73</v>
      </c>
      <c r="AS6" s="14" t="s">
        <v>74</v>
      </c>
      <c r="AT6" s="14" t="s">
        <v>75</v>
      </c>
      <c r="AU6" s="14" t="s">
        <v>76</v>
      </c>
      <c r="AV6" s="14" t="s">
        <v>77</v>
      </c>
      <c r="AW6" s="14" t="s">
        <v>78</v>
      </c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5"/>
      <c r="L7" s="4"/>
      <c r="M7" s="4"/>
      <c r="N7" s="4"/>
      <c r="O7" s="4"/>
      <c r="P7" s="4"/>
      <c r="Q7" s="4"/>
      <c r="R7" s="3"/>
      <c r="S7" s="3"/>
      <c r="T7" s="4"/>
      <c r="U7" s="4"/>
      <c r="V7" s="4"/>
      <c r="W7" s="3"/>
      <c r="X7" s="3"/>
      <c r="Y7" s="3"/>
      <c r="Z7" s="1"/>
      <c r="AA7" s="4"/>
      <c r="AB7" s="4"/>
      <c r="AC7" s="4"/>
      <c r="AD7" s="3"/>
      <c r="AE7" s="3"/>
      <c r="AF7" s="3"/>
      <c r="AG7" s="3"/>
      <c r="AH7" s="3"/>
      <c r="AI7" s="3"/>
      <c r="AJ7" s="1"/>
      <c r="AK7" s="4"/>
      <c r="AL7" s="4"/>
      <c r="AM7" s="4"/>
      <c r="AN7" s="4">
        <f>Table2[ns1:EurofarNetAmountConvertToEUR]-Table2[ns1:FactoryInvoiceAmountConvertoToEUR]</f>
        <v>0</v>
      </c>
      <c r="AO7" s="4" t="e">
        <f>Table2[ns1:GrossMarginGoods]/Table2[ns1:EurofarNetAmountConvertToEUR]</f>
        <v>#DIV/0!</v>
      </c>
      <c r="AP7" s="4"/>
      <c r="AQ7" s="4">
        <f>Table2[ns1:EurofarNetAmountConvertToEUR]*Table2[ns1:CommissionPercent]</f>
        <v>0</v>
      </c>
      <c r="AR7" s="4">
        <f>Table2[ns1:EurofarNetAmountConvertToEUR]-Table2[ns1:FactoryInvoiceAmountConvertoToEUR]-Table2[ns1:CommissionAmount]</f>
        <v>0</v>
      </c>
      <c r="AS7" s="4" t="e">
        <f>Table2[ns1:GrossMarginExcludeTransport]/Table2[ns1:EurofarNetAmountConvertToEUR]</f>
        <v>#DIV/0!</v>
      </c>
      <c r="AT7" s="4"/>
      <c r="AU7" s="4">
        <f>Table2[ns1:PurchasingInvoiceAmount]-Table2[ns1:PurchasePriceFOB]</f>
        <v>0</v>
      </c>
      <c r="AV7" s="4"/>
      <c r="AW7" s="5">
        <f>Table2[ns1:Quantity]-Table2[ns1:PurchasingQnt]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 Per Article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2017-02-20T09:40:57Z</dcterms:created>
  <dcterms:modified xsi:type="dcterms:W3CDTF">2017-02-23T08:29:05Z</dcterms:modified>
</cp:coreProperties>
</file>