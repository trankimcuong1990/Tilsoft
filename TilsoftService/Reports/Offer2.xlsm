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tables/tableSingleCells2.xml" ContentType="application/vnd.openxmlformats-officedocument.spreadsheetml.tableSingleCell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240" yWindow="420" windowWidth="15600" windowHeight="9195"/>
  </bookViews>
  <sheets>
    <sheet name="Report" sheetId="5" r:id="rId1"/>
    <sheet name="Overall" sheetId="1" r:id="rId2"/>
    <sheet name="REFItems" sheetId="2" r:id="rId3"/>
    <sheet name="TEMPLATE_PS" sheetId="4" r:id="rId4"/>
    <sheet name="IncludeTabs" sheetId="6" r:id="rId5"/>
  </sheets>
  <definedNames>
    <definedName name="_xlnm._FilterDatabase" localSheetId="1" hidden="1">Overall!$A$18:$AI$18</definedName>
    <definedName name="_xlnm._FilterDatabase" localSheetId="0" hidden="1">Report!$A$9:$U$11</definedName>
    <definedName name="_xlnm.Print_Area" localSheetId="1">Overall!$A$1:$AK$20</definedName>
    <definedName name="_xlnm.Print_Area" localSheetId="3">TEMPLATE_PS!$A$1:$Z$52</definedName>
    <definedName name="_xlnm.Print_Titles" localSheetId="0">Report!$9:$11</definedName>
  </definedNames>
  <calcPr calcId="152511"/>
</workbook>
</file>

<file path=xl/calcChain.xml><?xml version="1.0" encoding="utf-8"?>
<calcChain xmlns="http://schemas.openxmlformats.org/spreadsheetml/2006/main">
  <c r="R8" i="5" l="1"/>
  <c r="R7" i="5"/>
  <c r="T8" i="5"/>
  <c r="T7" i="5"/>
  <c r="S11" i="5" l="1"/>
  <c r="S10" i="5"/>
  <c r="T43" i="4"/>
  <c r="X49" i="4"/>
  <c r="Q49" i="4"/>
  <c r="P49" i="4"/>
  <c r="O49" i="4"/>
  <c r="I49" i="4"/>
  <c r="G49" i="4"/>
  <c r="E49" i="4"/>
  <c r="T21" i="4"/>
  <c r="W43" i="4"/>
  <c r="X11" i="4"/>
  <c r="T11" i="4"/>
  <c r="B11" i="4"/>
  <c r="D9" i="4"/>
  <c r="D8" i="4"/>
  <c r="U5" i="4"/>
  <c r="U4" i="4"/>
  <c r="U3" i="4"/>
  <c r="U2" i="4"/>
  <c r="K6" i="4"/>
  <c r="K5" i="4"/>
  <c r="K4" i="4"/>
  <c r="K3" i="4"/>
  <c r="K2" i="4"/>
  <c r="B2" i="4"/>
</calcChain>
</file>

<file path=xl/connections.xml><?xml version="1.0" encoding="utf-8"?>
<connections xmlns="http://schemas.openxmlformats.org/spreadsheetml/2006/main">
  <connection id="1" name="tmpFF3C" type="4" refreshedVersion="0" background="1">
    <webPr xml="1" sourceData="1" url="C:\Users\mynt\AppData\Local\Temp\tmpFF3C.xml" htmlTables="1" htmlFormat="all"/>
  </connection>
</connections>
</file>

<file path=xl/sharedStrings.xml><?xml version="1.0" encoding="utf-8"?>
<sst xmlns="http://schemas.openxmlformats.org/spreadsheetml/2006/main" count="186" uniqueCount="141">
  <si>
    <t>Customer details:</t>
  </si>
  <si>
    <t>Name:</t>
  </si>
  <si>
    <t>Delivery address:</t>
  </si>
  <si>
    <t>Order details:</t>
  </si>
  <si>
    <t>Payment terms:</t>
  </si>
  <si>
    <t>Date:</t>
  </si>
  <si>
    <t>Contactperson:</t>
  </si>
  <si>
    <t>Delivery terms:</t>
  </si>
  <si>
    <t>Currency:</t>
  </si>
  <si>
    <t>Phone:</t>
  </si>
  <si>
    <t>Delivery time:</t>
  </si>
  <si>
    <t>Sales person:</t>
  </si>
  <si>
    <t>Email:</t>
  </si>
  <si>
    <t>LDS  (dd-mm-yyyy):</t>
  </si>
  <si>
    <t>Version:</t>
  </si>
  <si>
    <t>Contractperson:</t>
  </si>
  <si>
    <t>Port of discharge:</t>
  </si>
  <si>
    <t>Prices valid until:</t>
  </si>
  <si>
    <t>In case of FOB shipment:</t>
  </si>
  <si>
    <t>Packaging:</t>
  </si>
  <si>
    <t>Labelling:</t>
  </si>
  <si>
    <t>In production:</t>
  </si>
  <si>
    <t>Cont:</t>
  </si>
  <si>
    <t># of containers</t>
  </si>
  <si>
    <t>Forwarder details:</t>
  </si>
  <si>
    <t>Standard</t>
  </si>
  <si>
    <t>Directly</t>
  </si>
  <si>
    <t>20'DC</t>
  </si>
  <si>
    <t>Special:</t>
  </si>
  <si>
    <t>After signature customer</t>
  </si>
  <si>
    <t>40'DC</t>
  </si>
  <si>
    <t>After DP customer</t>
  </si>
  <si>
    <t>40'HC</t>
  </si>
  <si>
    <t>After LC customer</t>
  </si>
  <si>
    <t>Partial</t>
  </si>
  <si>
    <t>Contractnumber:</t>
  </si>
  <si>
    <t>Other:</t>
  </si>
  <si>
    <t>Remarks:</t>
  </si>
  <si>
    <t>Forwarder details will follow by sales</t>
  </si>
  <si>
    <t>Packaging details will follow by sales</t>
  </si>
  <si>
    <t>Labelling details will follow by sales</t>
  </si>
  <si>
    <t>Forwarder details need to be asked by logistics</t>
  </si>
  <si>
    <t>COLLECTION</t>
  </si>
  <si>
    <t>CATALOGUS</t>
  </si>
  <si>
    <t>PICTURE</t>
  </si>
  <si>
    <t>RANGE</t>
  </si>
  <si>
    <t>CODE</t>
  </si>
  <si>
    <t>DESCRIPTION</t>
  </si>
  <si>
    <t>COLOR MATERIAL</t>
  </si>
  <si>
    <t>THICKNESS CUSHION + FOAM IN CM</t>
  </si>
  <si>
    <t>FABRIC WEIGHT / M2</t>
  </si>
  <si>
    <t>COLOR CUSHION</t>
  </si>
  <si>
    <t>PRODUCT SIZE IN CM</t>
  </si>
  <si>
    <t>NETT W PROD</t>
  </si>
  <si>
    <t>CARTON BOX</t>
  </si>
  <si>
    <t>GROSS WEIGHT/BOX</t>
  </si>
  <si>
    <t>CARTON</t>
  </si>
  <si>
    <t>QNT/CONTAINER</t>
  </si>
  <si>
    <t>SETS 40'HC</t>
  </si>
  <si>
    <t>PRODUCTION LOCATION</t>
  </si>
  <si>
    <t>PORT OF LOADING</t>
  </si>
  <si>
    <t>ORDER QNT</t>
  </si>
  <si>
    <t>REMARKS</t>
  </si>
  <si>
    <t>BOX SIZE IN CM</t>
  </si>
  <si>
    <t>QNT/ BOX</t>
  </si>
  <si>
    <t>L</t>
  </si>
  <si>
    <t>W</t>
  </si>
  <si>
    <t>H</t>
  </si>
  <si>
    <t>20</t>
  </si>
  <si>
    <t>40</t>
  </si>
  <si>
    <t>40HC</t>
  </si>
  <si>
    <t>MAIN MATERIAL</t>
  </si>
  <si>
    <t>FRAME</t>
  </si>
  <si>
    <t>TYPE MATERIAL</t>
  </si>
  <si>
    <t>CUSHION</t>
  </si>
  <si>
    <t>TOTAL AMOUNT</t>
  </si>
  <si>
    <t>ORDER QNT / 40HC</t>
  </si>
  <si>
    <t>PRICE</t>
  </si>
  <si>
    <t>COMPANY NAME</t>
  </si>
  <si>
    <t>DATE</t>
  </si>
  <si>
    <t>ADDRESS</t>
  </si>
  <si>
    <t>OFFERNO</t>
  </si>
  <si>
    <t>ZIPCODE</t>
  </si>
  <si>
    <t>PLACE</t>
  </si>
  <si>
    <t>OFFER VALID UNTIL</t>
  </si>
  <si>
    <t>COUNTRY</t>
  </si>
  <si>
    <t>ACCOUNTMANAGER</t>
  </si>
  <si>
    <t>TELEPHONE NUMBER</t>
  </si>
  <si>
    <t>ART. DESCRIPTION:</t>
  </si>
  <si>
    <t>MATERIAL COLOR</t>
  </si>
  <si>
    <t>CUSHION COLOR</t>
  </si>
  <si>
    <t>ART. CODE:</t>
  </si>
  <si>
    <t>MEASUREMENTS</t>
  </si>
  <si>
    <t>LENGTH</t>
  </si>
  <si>
    <t>WIDTH</t>
  </si>
  <si>
    <t>HEIGHT</t>
  </si>
  <si>
    <t>LOADABILITY</t>
  </si>
  <si>
    <t>20FT</t>
  </si>
  <si>
    <t>40DC</t>
  </si>
  <si>
    <t>EUROFAR INT. BV.</t>
  </si>
  <si>
    <t>THE NETHERLANDS</t>
  </si>
  <si>
    <t>TEL +31 (0)13-5446193</t>
  </si>
  <si>
    <t>ns2:OfferID</t>
  </si>
  <si>
    <t>ns2:OfferDetailID</t>
  </si>
  <si>
    <t>ns2:LogoImage</t>
  </si>
  <si>
    <t>ns2:FullImage</t>
  </si>
  <si>
    <t>ns2:MaterialColorImage</t>
  </si>
  <si>
    <t>ns2:CushionColorImage</t>
  </si>
  <si>
    <t>ns2:LogoImagePath</t>
  </si>
  <si>
    <t>ns2:Address</t>
  </si>
  <si>
    <t>ns2:ZipCode</t>
  </si>
  <si>
    <t>ns2:CountryNM</t>
  </si>
  <si>
    <t>ns2:Telephone</t>
  </si>
  <si>
    <t>ns2:OfferDate</t>
  </si>
  <si>
    <t>ns2:OfferUD</t>
  </si>
  <si>
    <t>ns2:ValidUntil</t>
  </si>
  <si>
    <t>ns2:SaleNM</t>
  </si>
  <si>
    <t>ns2:ArticleCode</t>
  </si>
  <si>
    <t>ns2:Description</t>
  </si>
  <si>
    <t>ns2:FullImagePath</t>
  </si>
  <si>
    <t>ns2:MaterialImagePath</t>
  </si>
  <si>
    <t>ns2:CushionImagePath</t>
  </si>
  <si>
    <t>ns2:UnitPrice</t>
  </si>
  <si>
    <t>ns2:Remark</t>
  </si>
  <si>
    <t>ns2:OverallDimL</t>
  </si>
  <si>
    <t>ns2:OverallDimW</t>
  </si>
  <si>
    <t>ns2:OverallDimH</t>
  </si>
  <si>
    <t>ns2:Loadability20DC</t>
  </si>
  <si>
    <t>ns2:Loadability40DC</t>
  </si>
  <si>
    <t>ns2:Loadability40HC</t>
  </si>
  <si>
    <t>ns2:Email</t>
  </si>
  <si>
    <t>ns2:BuyerNM</t>
  </si>
  <si>
    <t>Delivery Address</t>
  </si>
  <si>
    <t/>
  </si>
  <si>
    <t>LDS:</t>
  </si>
  <si>
    <t>CLICK ON THE PICTURE FOR PRESENTATION / DRUECKEN SIE ON DIE FOTO FUR GROESSER BILD</t>
  </si>
  <si>
    <t>NO</t>
  </si>
  <si>
    <t>PICTURE 2 (OPTIONAL)</t>
  </si>
  <si>
    <t>PRICE IN</t>
  </si>
  <si>
    <t>Total</t>
  </si>
  <si>
    <t>Sub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</si>
</sst>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4">
    <numFmt numFmtId="164" formatCode="_ * #,##0.00_ ;_ * \-#,##0.00_ ;_ * &quot;-&quot;??_ ;_ @_ "/>
    <numFmt numFmtId="165" formatCode="_(* #,##0.00_);_(* \(#,##0.00\);_(* &quot;-&quot;??_);_(@_)"/>
    <numFmt numFmtId="166" formatCode="_-* #,##0\ _B_F_-;\-* #,##0\ _B_F_-;_-* &quot;-&quot;\ _B_F_-;_-@_-"/>
    <numFmt numFmtId="167" formatCode="_-* #,##0.00_-;_-* #,##0.00\-;_-* &quot;-&quot;??_-;_-@_-"/>
    <numFmt numFmtId="168" formatCode="_(* #,##0_);_(* \(#,##0\);_(* &quot;-&quot;??_);_(@_)"/>
    <numFmt numFmtId="169" formatCode="0.0"/>
    <numFmt numFmtId="170" formatCode="[$$-409]#,##0.00_ ;\-[$$-409]#,##0.00\ "/>
    <numFmt numFmtId="171" formatCode="&quot;$&quot;#,##0.00"/>
    <numFmt numFmtId="172" formatCode="_-* #,##0\ _B_F_-;\-* #,##0\ _B_F_-;_-* &quot;- &quot;_B_F_-;_-@_-"/>
    <numFmt numFmtId="173" formatCode="00.000"/>
    <numFmt numFmtId="174" formatCode="_(* #,##0.00_);_(* \(#,##0.00\);_(* \-??_);_(@_)"/>
    <numFmt numFmtId="175" formatCode="&quot;€&quot;\ #,##0.00_-;[Red]&quot;€&quot;\ #,##0.00\-"/>
    <numFmt numFmtId="176" formatCode="&quot;€&quot;\ #,##0.00_-;&quot;€&quot;\ #,##0.00\-"/>
    <numFmt numFmtId="177" formatCode="_([$€]* #,##0.00_);_([$€]* \(#,##0.00\);_([$€]* &quot;-&quot;??_);_(@_)"/>
    <numFmt numFmtId="178" formatCode="[$$-409]#,##0.00"/>
    <numFmt numFmtId="179" formatCode="#,##0\ &quot;DM&quot;;\-#,##0\ &quot;DM&quot;"/>
    <numFmt numFmtId="180" formatCode="0.000%"/>
    <numFmt numFmtId="181" formatCode="&quot;￥&quot;#,##0;&quot;￥&quot;\-#,##0"/>
    <numFmt numFmtId="182" formatCode="_-* #,##0_-;\-* #,##0_-;_-* &quot;-&quot;_-;_-@_-"/>
    <numFmt numFmtId="183" formatCode="_-&quot;F&quot;* #,##0_-;\-&quot;F&quot;* #,##0_-;_-&quot;F&quot;* &quot;-&quot;_-;_-@_-"/>
    <numFmt numFmtId="184" formatCode="#,##0\ &quot;F&quot;;[Red]\-#,##0\ &quot;F&quot;"/>
    <numFmt numFmtId="185" formatCode="_-&quot;F&quot;* #,##0.00_-;\-&quot;F&quot;* #,##0.00_-;_-&quot;F&quot;* &quot;-&quot;??_-;_-@_-"/>
    <numFmt numFmtId="186" formatCode="[$-409]d\-mmm\-yy;@"/>
    <numFmt numFmtId="187" formatCode="[$$-C09]#,##0.00"/>
  </numFmts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VNI-Times"/>
    </font>
    <font>
      <sz val="12"/>
      <name val="宋体"/>
      <charset val="134"/>
    </font>
    <font>
      <b/>
      <sz val="12"/>
      <name val="Arial"/>
      <family val="2"/>
    </font>
    <font>
      <u/>
      <sz val="8.25"/>
      <color theme="10"/>
      <name val="Calibri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0"/>
      <name val=" "/>
      <family val="1"/>
      <charset val="136"/>
    </font>
    <font>
      <sz val="12"/>
      <name val="Times New Roman"/>
      <family val="1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1"/>
      <name val="돋움"/>
      <family val="3"/>
    </font>
    <font>
      <sz val="10"/>
      <name val="굴림체"/>
      <family val="3"/>
    </font>
    <font>
      <b/>
      <sz val="9"/>
      <name val="Arial"/>
      <family val="2"/>
    </font>
    <font>
      <sz val="12"/>
      <name val="新細明體"/>
      <charset val="136"/>
    </font>
    <font>
      <sz val="12"/>
      <name val="Courier"/>
      <family val="3"/>
    </font>
    <font>
      <sz val="8"/>
      <color theme="1"/>
      <name val="Calibri"/>
      <family val="2"/>
      <scheme val="minor"/>
    </font>
    <font>
      <u/>
      <sz val="12.65"/>
      <color theme="10"/>
      <name val="Calibri"/>
      <family val="2"/>
    </font>
    <font>
      <u/>
      <sz val="9"/>
      <color theme="10"/>
      <name val="Calibri"/>
      <family val="2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8"/>
      <name val="Verdana"/>
      <family val="2"/>
    </font>
    <font>
      <sz val="18"/>
      <name val="Verdana"/>
      <family val="2"/>
    </font>
    <font>
      <b/>
      <sz val="18"/>
      <color theme="0"/>
      <name val="Verdana"/>
      <family val="2"/>
    </font>
    <font>
      <sz val="18"/>
      <name val="Calibri"/>
      <family val="2"/>
      <scheme val="minor"/>
    </font>
    <font>
      <sz val="18"/>
      <color indexed="8"/>
      <name val="Calibri"/>
      <family val="2"/>
    </font>
    <font>
      <sz val="18"/>
      <color indexed="8"/>
      <name val="Verdana"/>
      <family val="2"/>
    </font>
    <font>
      <sz val="18"/>
      <name val="Arial"/>
      <family val="2"/>
    </font>
    <font>
      <b/>
      <sz val="15"/>
      <name val="Verdana"/>
      <family val="2"/>
    </font>
    <font>
      <b/>
      <sz val="15"/>
      <name val="VNI-Times"/>
    </font>
    <font>
      <sz val="15"/>
      <name val="VNI-Times"/>
    </font>
    <font>
      <sz val="15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0">
    <xf numFmtId="0" fontId="0" fillId="0" borderId="0"/>
    <xf numFmtId="0" fontId="2" fillId="0" borderId="0"/>
    <xf numFmtId="166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1" fillId="0" borderId="0"/>
    <xf numFmtId="0" fontId="3" fillId="0" borderId="0"/>
    <xf numFmtId="166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4" fontId="3" fillId="0" borderId="0" applyFill="0" applyBorder="0" applyAlignment="0" applyProtection="0"/>
    <xf numFmtId="165" fontId="2" fillId="0" borderId="0" applyFont="0" applyFill="0" applyBorder="0" applyAlignment="0" applyProtection="0"/>
    <xf numFmtId="175" fontId="2" fillId="0" borderId="0" applyFont="0" applyFill="0" applyBorder="0" applyAlignment="0" applyProtection="0"/>
    <xf numFmtId="176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75" fontId="2" fillId="0" borderId="0" applyFont="0" applyFill="0" applyBorder="0" applyAlignment="0" applyProtection="0"/>
    <xf numFmtId="176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175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175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175" fontId="2" fillId="0" borderId="0" applyFont="0" applyFill="0" applyBorder="0" applyAlignment="0" applyProtection="0"/>
    <xf numFmtId="175" fontId="2" fillId="0" borderId="0" applyFont="0" applyFill="0" applyBorder="0" applyAlignment="0" applyProtection="0"/>
    <xf numFmtId="176" fontId="1" fillId="0" borderId="0" applyFont="0" applyFill="0" applyBorder="0" applyAlignment="0" applyProtection="0"/>
    <xf numFmtId="169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3" fillId="0" borderId="0" applyFont="0" applyFill="0" applyBorder="0" applyAlignment="0" applyProtection="0"/>
    <xf numFmtId="0" fontId="6" fillId="0" borderId="47" applyNumberFormat="0" applyAlignment="0" applyProtection="0">
      <alignment horizontal="left" vertical="center"/>
    </xf>
    <xf numFmtId="0" fontId="6" fillId="0" borderId="17">
      <alignment horizontal="left"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>
      <alignment vertical="top"/>
      <protection locked="0"/>
    </xf>
    <xf numFmtId="0" fontId="9" fillId="0" borderId="0" applyNumberFormat="0" applyFont="0" applyFill="0" applyAlignment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2" fillId="0" borderId="0"/>
    <xf numFmtId="178" fontId="1" fillId="0" borderId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2" fillId="0" borderId="0"/>
    <xf numFmtId="0" fontId="3" fillId="0" borderId="0"/>
    <xf numFmtId="166" fontId="1" fillId="0" borderId="0" applyFill="0" applyBorder="0" applyAlignment="0" applyProtection="0"/>
    <xf numFmtId="166" fontId="2" fillId="0" borderId="0" applyFill="0" applyBorder="0" applyAlignment="0" applyProtection="0"/>
    <xf numFmtId="0" fontId="3" fillId="0" borderId="0"/>
    <xf numFmtId="0" fontId="1" fillId="0" borderId="0"/>
    <xf numFmtId="0" fontId="3" fillId="0" borderId="0"/>
    <xf numFmtId="166" fontId="1" fillId="0" borderId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1" fillId="0" borderId="0">
      <alignment vertical="center"/>
    </xf>
    <xf numFmtId="40" fontId="12" fillId="0" borderId="0" applyFont="0" applyFill="0" applyBorder="0" applyAlignment="0" applyProtection="0"/>
    <xf numFmtId="38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4" fillId="0" borderId="0"/>
    <xf numFmtId="179" fontId="15" fillId="0" borderId="0" applyFont="0" applyFill="0" applyBorder="0" applyAlignment="0" applyProtection="0"/>
    <xf numFmtId="180" fontId="15" fillId="0" borderId="0" applyFont="0" applyFill="0" applyBorder="0" applyAlignment="0" applyProtection="0"/>
    <xf numFmtId="181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16" fillId="0" borderId="0"/>
    <xf numFmtId="0" fontId="17" fillId="0" borderId="0" applyProtection="0"/>
    <xf numFmtId="182" fontId="18" fillId="0" borderId="0" applyFont="0" applyFill="0" applyBorder="0" applyAlignment="0" applyProtection="0"/>
    <xf numFmtId="40" fontId="19" fillId="0" borderId="0" applyFont="0" applyFill="0" applyBorder="0" applyAlignment="0" applyProtection="0"/>
    <xf numFmtId="0" fontId="3" fillId="0" borderId="0"/>
    <xf numFmtId="183" fontId="18" fillId="0" borderId="0" applyFont="0" applyFill="0" applyBorder="0" applyAlignment="0" applyProtection="0"/>
    <xf numFmtId="184" fontId="19" fillId="0" borderId="0" applyFont="0" applyFill="0" applyBorder="0" applyAlignment="0" applyProtection="0"/>
    <xf numFmtId="185" fontId="18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</cellStyleXfs>
  <cellXfs count="397">
    <xf numFmtId="0" fontId="0" fillId="0" borderId="0" xfId="0"/>
    <xf numFmtId="49" fontId="0" fillId="0" borderId="0" xfId="0" applyNumberFormat="1"/>
    <xf numFmtId="14" fontId="0" fillId="0" borderId="0" xfId="0" applyNumberFormat="1"/>
    <xf numFmtId="0" fontId="20" fillId="0" borderId="0" xfId="0" applyFont="1"/>
    <xf numFmtId="0" fontId="22" fillId="0" borderId="0" xfId="109" applyFont="1" applyAlignment="1" applyProtection="1">
      <alignment horizontal="right"/>
    </xf>
    <xf numFmtId="0" fontId="20" fillId="0" borderId="36" xfId="0" applyFont="1" applyBorder="1" applyAlignment="1">
      <alignment vertical="center"/>
    </xf>
    <xf numFmtId="0" fontId="20" fillId="0" borderId="10" xfId="0" applyFont="1" applyBorder="1" applyAlignment="1">
      <alignment vertical="center"/>
    </xf>
    <xf numFmtId="0" fontId="20" fillId="0" borderId="0" xfId="0" applyFont="1" applyBorder="1"/>
    <xf numFmtId="0" fontId="20" fillId="0" borderId="14" xfId="0" applyFont="1" applyBorder="1" applyAlignment="1">
      <alignment vertical="center"/>
    </xf>
    <xf numFmtId="0" fontId="20" fillId="0" borderId="40" xfId="0" applyFont="1" applyBorder="1" applyAlignment="1">
      <alignment vertical="center"/>
    </xf>
    <xf numFmtId="49" fontId="20" fillId="0" borderId="0" xfId="0" applyNumberFormat="1" applyFont="1"/>
    <xf numFmtId="0" fontId="20" fillId="0" borderId="10" xfId="0" applyFont="1" applyBorder="1" applyAlignment="1">
      <alignment horizontal="center" vertical="center"/>
    </xf>
    <xf numFmtId="0" fontId="20" fillId="0" borderId="37" xfId="0" applyFont="1" applyBorder="1" applyAlignment="1">
      <alignment vertical="center"/>
    </xf>
    <xf numFmtId="0" fontId="20" fillId="0" borderId="36" xfId="0" applyFont="1" applyBorder="1" applyAlignment="1"/>
    <xf numFmtId="0" fontId="20" fillId="0" borderId="10" xfId="0" applyFont="1" applyBorder="1" applyAlignment="1"/>
    <xf numFmtId="0" fontId="20" fillId="0" borderId="37" xfId="0" applyFont="1" applyBorder="1" applyAlignment="1"/>
    <xf numFmtId="0" fontId="20" fillId="0" borderId="39" xfId="0" applyFont="1" applyBorder="1"/>
    <xf numFmtId="0" fontId="20" fillId="0" borderId="0" xfId="0" applyFont="1" applyBorder="1" applyAlignment="1">
      <alignment horizontal="center"/>
    </xf>
    <xf numFmtId="0" fontId="20" fillId="0" borderId="12" xfId="0" applyFont="1" applyBorder="1"/>
    <xf numFmtId="0" fontId="20" fillId="0" borderId="39" xfId="0" applyFont="1" applyBorder="1" applyAlignment="1"/>
    <xf numFmtId="0" fontId="20" fillId="0" borderId="0" xfId="0" applyFont="1" applyBorder="1" applyAlignment="1"/>
    <xf numFmtId="0" fontId="20" fillId="0" borderId="0" xfId="0" applyFont="1" applyBorder="1" applyAlignment="1">
      <alignment vertical="center"/>
    </xf>
    <xf numFmtId="0" fontId="20" fillId="0" borderId="12" xfId="0" applyFont="1" applyBorder="1" applyAlignment="1"/>
    <xf numFmtId="0" fontId="20" fillId="0" borderId="12" xfId="0" applyFont="1" applyBorder="1" applyAlignment="1">
      <alignment horizontal="left" vertical="center"/>
    </xf>
    <xf numFmtId="0" fontId="20" fillId="0" borderId="14" xfId="0" applyFont="1" applyBorder="1"/>
    <xf numFmtId="0" fontId="20" fillId="0" borderId="40" xfId="0" applyFont="1" applyBorder="1"/>
    <xf numFmtId="0" fontId="20" fillId="0" borderId="40" xfId="0" applyFont="1" applyBorder="1" applyAlignment="1">
      <alignment horizontal="center"/>
    </xf>
    <xf numFmtId="0" fontId="20" fillId="0" borderId="15" xfId="0" applyFont="1" applyBorder="1"/>
    <xf numFmtId="0" fontId="20" fillId="0" borderId="14" xfId="0" applyFont="1" applyBorder="1" applyAlignment="1"/>
    <xf numFmtId="0" fontId="20" fillId="0" borderId="40" xfId="0" applyFont="1" applyBorder="1" applyAlignment="1"/>
    <xf numFmtId="0" fontId="20" fillId="0" borderId="15" xfId="0" applyFont="1" applyBorder="1" applyAlignment="1"/>
    <xf numFmtId="0" fontId="0" fillId="0" borderId="0" xfId="0" applyAlignment="1">
      <alignment vertical="center"/>
    </xf>
    <xf numFmtId="0" fontId="20" fillId="0" borderId="40" xfId="0" applyNumberFormat="1" applyFont="1" applyBorder="1" applyAlignment="1">
      <alignment horizontal="left" vertical="center"/>
    </xf>
    <xf numFmtId="0" fontId="20" fillId="0" borderId="15" xfId="0" applyNumberFormat="1" applyFont="1" applyBorder="1" applyAlignment="1">
      <alignment horizontal="left" vertical="center"/>
    </xf>
    <xf numFmtId="0" fontId="20" fillId="0" borderId="0" xfId="0" applyNumberFormat="1" applyFont="1" applyBorder="1" applyAlignment="1">
      <alignment horizontal="left" vertical="center"/>
    </xf>
    <xf numFmtId="0" fontId="20" fillId="0" borderId="0" xfId="0" applyNumberFormat="1" applyFont="1" applyBorder="1" applyAlignment="1">
      <alignment vertical="center"/>
    </xf>
    <xf numFmtId="0" fontId="25" fillId="0" borderId="0" xfId="0" applyFont="1"/>
    <xf numFmtId="0" fontId="26" fillId="0" borderId="6" xfId="1" applyFont="1" applyBorder="1" applyAlignment="1">
      <alignment horizontal="center" vertical="center" wrapText="1"/>
    </xf>
    <xf numFmtId="0" fontId="27" fillId="0" borderId="0" xfId="1" applyFont="1" applyBorder="1" applyAlignment="1">
      <alignment horizontal="center" wrapText="1"/>
    </xf>
    <xf numFmtId="0" fontId="27" fillId="0" borderId="0" xfId="1" applyFont="1" applyBorder="1" applyAlignment="1">
      <alignment wrapText="1"/>
    </xf>
    <xf numFmtId="0" fontId="27" fillId="0" borderId="0" xfId="1" applyFont="1" applyAlignment="1">
      <alignment wrapText="1"/>
    </xf>
    <xf numFmtId="0" fontId="27" fillId="0" borderId="17" xfId="1" applyFont="1" applyFill="1" applyBorder="1" applyAlignment="1">
      <alignment horizontal="left" vertical="center" wrapText="1"/>
    </xf>
    <xf numFmtId="0" fontId="27" fillId="0" borderId="19" xfId="1" applyFont="1" applyFill="1" applyBorder="1" applyAlignment="1">
      <alignment horizontal="left" vertical="center" wrapText="1"/>
    </xf>
    <xf numFmtId="0" fontId="27" fillId="2" borderId="0" xfId="1" applyFont="1" applyFill="1" applyBorder="1" applyAlignment="1">
      <alignment horizontal="left" vertical="center" wrapText="1"/>
    </xf>
    <xf numFmtId="0" fontId="30" fillId="2" borderId="0" xfId="1" applyFont="1" applyFill="1" applyBorder="1" applyAlignment="1">
      <alignment horizontal="left" vertical="center" wrapText="1"/>
    </xf>
    <xf numFmtId="0" fontId="26" fillId="2" borderId="13" xfId="1" applyFont="1" applyFill="1" applyBorder="1" applyAlignment="1">
      <alignment horizontal="right" vertical="center" wrapText="1"/>
    </xf>
    <xf numFmtId="4" fontId="26" fillId="2" borderId="13" xfId="1" applyNumberFormat="1" applyFont="1" applyFill="1" applyBorder="1" applyAlignment="1">
      <alignment horizontal="right" vertical="center" wrapText="1"/>
    </xf>
    <xf numFmtId="187" fontId="26" fillId="2" borderId="13" xfId="1" applyNumberFormat="1" applyFont="1" applyFill="1" applyBorder="1" applyAlignment="1">
      <alignment horizontal="right" vertical="center" wrapText="1"/>
    </xf>
    <xf numFmtId="0" fontId="27" fillId="2" borderId="0" xfId="1" applyFont="1" applyFill="1" applyBorder="1" applyAlignment="1">
      <alignment horizontal="center" wrapText="1"/>
    </xf>
    <xf numFmtId="0" fontId="26" fillId="2" borderId="0" xfId="1" applyFont="1" applyFill="1" applyBorder="1" applyAlignment="1">
      <alignment vertical="center" wrapText="1"/>
    </xf>
    <xf numFmtId="0" fontId="26" fillId="6" borderId="0" xfId="1" applyFont="1" applyFill="1" applyBorder="1" applyAlignment="1">
      <alignment horizontal="left" vertical="top"/>
    </xf>
    <xf numFmtId="0" fontId="27" fillId="6" borderId="0" xfId="1" applyFont="1" applyFill="1" applyBorder="1" applyAlignment="1">
      <alignment horizontal="left" vertical="center" wrapText="1"/>
    </xf>
    <xf numFmtId="0" fontId="27" fillId="2" borderId="0" xfId="1" applyFont="1" applyFill="1" applyAlignment="1">
      <alignment wrapText="1"/>
    </xf>
    <xf numFmtId="0" fontId="27" fillId="2" borderId="0" xfId="1" applyFont="1" applyFill="1" applyBorder="1" applyAlignment="1">
      <alignment wrapText="1"/>
    </xf>
    <xf numFmtId="0" fontId="30" fillId="0" borderId="0" xfId="1" applyFont="1" applyAlignment="1">
      <alignment wrapText="1"/>
    </xf>
    <xf numFmtId="0" fontId="27" fillId="0" borderId="13" xfId="1" applyFont="1" applyFill="1" applyBorder="1" applyAlignment="1">
      <alignment horizontal="center" vertical="center" wrapText="1"/>
    </xf>
    <xf numFmtId="49" fontId="27" fillId="0" borderId="13" xfId="1" applyNumberFormat="1" applyFont="1" applyFill="1" applyBorder="1" applyAlignment="1">
      <alignment horizontal="center" vertical="center" wrapText="1"/>
    </xf>
    <xf numFmtId="0" fontId="27" fillId="0" borderId="13" xfId="1" applyNumberFormat="1" applyFont="1" applyFill="1" applyBorder="1" applyAlignment="1">
      <alignment horizontal="center" vertical="center" wrapText="1"/>
    </xf>
    <xf numFmtId="171" fontId="30" fillId="0" borderId="0" xfId="1" applyNumberFormat="1" applyFont="1" applyAlignment="1">
      <alignment wrapText="1"/>
    </xf>
    <xf numFmtId="0" fontId="30" fillId="0" borderId="0" xfId="1" applyNumberFormat="1" applyFont="1" applyAlignment="1">
      <alignment wrapText="1"/>
    </xf>
    <xf numFmtId="0" fontId="26" fillId="2" borderId="0" xfId="1" applyFont="1" applyFill="1" applyBorder="1" applyAlignment="1">
      <alignment horizontal="left" wrapText="1"/>
    </xf>
    <xf numFmtId="0" fontId="27" fillId="0" borderId="10" xfId="1" applyFont="1" applyBorder="1" applyAlignment="1">
      <alignment horizontal="center"/>
    </xf>
    <xf numFmtId="0" fontId="27" fillId="0" borderId="0" xfId="1" applyFont="1" applyBorder="1" applyAlignment="1">
      <alignment horizontal="center"/>
    </xf>
    <xf numFmtId="0" fontId="27" fillId="0" borderId="0" xfId="1" applyFont="1" applyBorder="1"/>
    <xf numFmtId="0" fontId="27" fillId="0" borderId="0" xfId="1" applyFont="1"/>
    <xf numFmtId="0" fontId="27" fillId="2" borderId="0" xfId="1" applyFont="1" applyFill="1" applyBorder="1" applyAlignment="1">
      <alignment horizontal="left" wrapText="1"/>
    </xf>
    <xf numFmtId="0" fontId="27" fillId="2" borderId="0" xfId="1" applyFont="1" applyFill="1" applyBorder="1" applyAlignment="1">
      <alignment horizontal="center" vertical="center" wrapText="1"/>
    </xf>
    <xf numFmtId="0" fontId="26" fillId="0" borderId="31" xfId="1" applyFont="1" applyBorder="1" applyAlignment="1">
      <alignment horizontal="left" vertical="center" wrapText="1"/>
    </xf>
    <xf numFmtId="49" fontId="26" fillId="0" borderId="33" xfId="1" applyNumberFormat="1" applyFont="1" applyBorder="1" applyAlignment="1">
      <alignment horizontal="center" vertical="center" wrapText="1"/>
    </xf>
    <xf numFmtId="49" fontId="26" fillId="0" borderId="33" xfId="1" applyNumberFormat="1" applyFont="1" applyBorder="1" applyAlignment="1">
      <alignment vertical="center" wrapText="1"/>
    </xf>
    <xf numFmtId="0" fontId="27" fillId="0" borderId="35" xfId="1" applyFont="1" applyBorder="1" applyAlignment="1">
      <alignment horizontal="center" vertical="center" wrapText="1"/>
    </xf>
    <xf numFmtId="0" fontId="27" fillId="0" borderId="33" xfId="1" applyFont="1" applyBorder="1" applyAlignment="1">
      <alignment horizontal="center" vertical="center" wrapText="1"/>
    </xf>
    <xf numFmtId="0" fontId="27" fillId="0" borderId="0" xfId="1" applyFont="1" applyBorder="1" applyAlignment="1">
      <alignment horizontal="center" vertical="center"/>
    </xf>
    <xf numFmtId="49" fontId="26" fillId="0" borderId="43" xfId="1" applyNumberFormat="1" applyFont="1" applyBorder="1" applyAlignment="1">
      <alignment horizontal="center" vertical="center" wrapText="1"/>
    </xf>
    <xf numFmtId="0" fontId="27" fillId="2" borderId="0" xfId="1" applyFont="1" applyFill="1" applyBorder="1" applyAlignment="1">
      <alignment vertical="center" wrapText="1"/>
    </xf>
    <xf numFmtId="0" fontId="30" fillId="0" borderId="0" xfId="1" applyFont="1"/>
    <xf numFmtId="0" fontId="27" fillId="0" borderId="0" xfId="1" applyNumberFormat="1" applyFont="1" applyFill="1" applyAlignment="1">
      <alignment horizontal="center" vertical="center"/>
    </xf>
    <xf numFmtId="49" fontId="31" fillId="0" borderId="0" xfId="4" applyNumberFormat="1" applyFont="1" applyFill="1" applyBorder="1" applyAlignment="1">
      <alignment horizontal="center" vertical="center" wrapText="1"/>
    </xf>
    <xf numFmtId="0" fontId="26" fillId="0" borderId="0" xfId="4" applyNumberFormat="1" applyFont="1" applyFill="1" applyBorder="1" applyAlignment="1">
      <alignment horizontal="center" vertical="center" wrapText="1"/>
    </xf>
    <xf numFmtId="0" fontId="27" fillId="0" borderId="0" xfId="4" applyNumberFormat="1" applyFont="1" applyFill="1" applyBorder="1" applyAlignment="1">
      <alignment horizontal="center" vertical="center" wrapText="1"/>
    </xf>
    <xf numFmtId="49" fontId="27" fillId="0" borderId="0" xfId="4" applyNumberFormat="1" applyFont="1" applyFill="1" applyBorder="1" applyAlignment="1">
      <alignment horizontal="left" vertical="center" wrapText="1"/>
    </xf>
    <xf numFmtId="0" fontId="27" fillId="0" borderId="0" xfId="4" applyNumberFormat="1" applyFont="1" applyFill="1" applyBorder="1" applyAlignment="1">
      <alignment horizontal="left" vertical="center" wrapText="1"/>
    </xf>
    <xf numFmtId="168" fontId="32" fillId="0" borderId="0" xfId="5" applyNumberFormat="1" applyFont="1" applyFill="1" applyBorder="1" applyAlignment="1">
      <alignment horizontal="center" vertical="center" wrapText="1"/>
    </xf>
    <xf numFmtId="169" fontId="32" fillId="0" borderId="0" xfId="5" applyNumberFormat="1" applyFont="1" applyFill="1" applyBorder="1" applyAlignment="1">
      <alignment horizontal="center" vertical="center" wrapText="1"/>
    </xf>
    <xf numFmtId="1" fontId="27" fillId="0" borderId="0" xfId="4" applyNumberFormat="1" applyFont="1" applyFill="1" applyBorder="1" applyAlignment="1">
      <alignment horizontal="center" vertical="center" wrapText="1"/>
    </xf>
    <xf numFmtId="165" fontId="27" fillId="0" borderId="0" xfId="5" applyFont="1" applyFill="1" applyBorder="1" applyAlignment="1" applyProtection="1">
      <alignment horizontal="center" vertical="center" wrapText="1"/>
      <protection locked="0"/>
    </xf>
    <xf numFmtId="1" fontId="27" fillId="0" borderId="0" xfId="1" applyNumberFormat="1" applyFont="1" applyFill="1" applyBorder="1" applyAlignment="1">
      <alignment horizontal="center" vertical="center"/>
    </xf>
    <xf numFmtId="170" fontId="26" fillId="0" borderId="0" xfId="1" applyNumberFormat="1" applyFont="1" applyFill="1" applyBorder="1" applyAlignment="1">
      <alignment horizontal="center" vertical="center"/>
    </xf>
    <xf numFmtId="10" fontId="27" fillId="0" borderId="0" xfId="1" applyNumberFormat="1" applyFont="1" applyFill="1" applyBorder="1" applyAlignment="1">
      <alignment horizontal="center" vertical="center" wrapText="1"/>
    </xf>
    <xf numFmtId="0" fontId="30" fillId="0" borderId="0" xfId="1" applyNumberFormat="1" applyFont="1"/>
    <xf numFmtId="171" fontId="30" fillId="0" borderId="0" xfId="1" applyNumberFormat="1" applyFont="1"/>
    <xf numFmtId="168" fontId="33" fillId="4" borderId="45" xfId="3" applyNumberFormat="1" applyFont="1" applyFill="1" applyBorder="1" applyAlignment="1">
      <alignment horizontal="center" vertical="center" wrapText="1"/>
    </xf>
    <xf numFmtId="0" fontId="33" fillId="4" borderId="45" xfId="2" quotePrefix="1" applyNumberFormat="1" applyFont="1" applyFill="1" applyBorder="1" applyAlignment="1">
      <alignment horizontal="center" vertical="center" wrapText="1"/>
    </xf>
    <xf numFmtId="166" fontId="33" fillId="4" borderId="45" xfId="2" applyFont="1" applyFill="1" applyBorder="1" applyAlignment="1">
      <alignment horizontal="center" vertical="center" wrapText="1"/>
    </xf>
    <xf numFmtId="0" fontId="36" fillId="0" borderId="0" xfId="1" applyFont="1" applyAlignment="1">
      <alignment wrapText="1"/>
    </xf>
    <xf numFmtId="166" fontId="33" fillId="4" borderId="46" xfId="2" applyFont="1" applyFill="1" applyBorder="1" applyAlignment="1">
      <alignment horizontal="center" vertical="center" wrapText="1"/>
    </xf>
    <xf numFmtId="166" fontId="33" fillId="4" borderId="49" xfId="2" applyFont="1" applyFill="1" applyBorder="1" applyAlignment="1">
      <alignment horizontal="center" vertical="center" wrapText="1"/>
    </xf>
    <xf numFmtId="168" fontId="33" fillId="4" borderId="13" xfId="3" applyNumberFormat="1" applyFont="1" applyFill="1" applyBorder="1" applyAlignment="1">
      <alignment horizontal="center" vertical="center" wrapText="1"/>
    </xf>
    <xf numFmtId="169" fontId="33" fillId="4" borderId="13" xfId="2" applyNumberFormat="1" applyFont="1" applyFill="1" applyBorder="1" applyAlignment="1">
      <alignment horizontal="center" vertical="center" wrapText="1"/>
    </xf>
    <xf numFmtId="49" fontId="27" fillId="0" borderId="13" xfId="1" applyNumberFormat="1" applyFont="1" applyFill="1" applyBorder="1" applyAlignment="1">
      <alignment horizontal="left" vertical="center" wrapText="1"/>
    </xf>
    <xf numFmtId="0" fontId="27" fillId="0" borderId="13" xfId="1" applyNumberFormat="1" applyFont="1" applyFill="1" applyBorder="1" applyAlignment="1">
      <alignment horizontal="left" vertical="center" wrapText="1"/>
    </xf>
    <xf numFmtId="49" fontId="27" fillId="0" borderId="13" xfId="1" applyNumberFormat="1" applyFont="1" applyFill="1" applyBorder="1" applyAlignment="1">
      <alignment horizontal="left" vertical="center" textRotation="90" wrapText="1"/>
    </xf>
    <xf numFmtId="0" fontId="26" fillId="2" borderId="13" xfId="1" applyFont="1" applyFill="1" applyBorder="1" applyAlignment="1">
      <alignment horizontal="left" vertical="center" wrapText="1"/>
    </xf>
    <xf numFmtId="0" fontId="27" fillId="0" borderId="13" xfId="1" applyFont="1" applyFill="1" applyBorder="1" applyAlignment="1">
      <alignment horizontal="right" vertical="center" wrapText="1"/>
    </xf>
    <xf numFmtId="3" fontId="27" fillId="0" borderId="13" xfId="1" applyNumberFormat="1" applyFont="1" applyFill="1" applyBorder="1" applyAlignment="1">
      <alignment horizontal="right" vertical="center" wrapText="1"/>
    </xf>
    <xf numFmtId="1" fontId="27" fillId="0" borderId="13" xfId="1" applyNumberFormat="1" applyFont="1" applyFill="1" applyBorder="1" applyAlignment="1">
      <alignment horizontal="right" vertical="center" wrapText="1"/>
    </xf>
    <xf numFmtId="0" fontId="33" fillId="4" borderId="13" xfId="2" quotePrefix="1" applyNumberFormat="1" applyFont="1" applyFill="1" applyBorder="1" applyAlignment="1">
      <alignment horizontal="center" vertical="center" wrapText="1"/>
    </xf>
    <xf numFmtId="49" fontId="27" fillId="0" borderId="13" xfId="4" applyNumberFormat="1" applyFont="1" applyFill="1" applyBorder="1" applyAlignment="1">
      <alignment horizontal="left" vertical="center" wrapText="1"/>
    </xf>
    <xf numFmtId="0" fontId="27" fillId="0" borderId="13" xfId="4" applyNumberFormat="1" applyFont="1" applyFill="1" applyBorder="1" applyAlignment="1">
      <alignment horizontal="left" vertical="center" wrapText="1"/>
    </xf>
    <xf numFmtId="49" fontId="27" fillId="0" borderId="13" xfId="4" applyNumberFormat="1" applyFont="1" applyFill="1" applyBorder="1" applyAlignment="1">
      <alignment horizontal="center" vertical="center" wrapText="1"/>
    </xf>
    <xf numFmtId="0" fontId="27" fillId="0" borderId="13" xfId="4" applyNumberFormat="1" applyFont="1" applyFill="1" applyBorder="1" applyAlignment="1">
      <alignment horizontal="center" vertical="center" wrapText="1"/>
    </xf>
    <xf numFmtId="4" fontId="27" fillId="0" borderId="13" xfId="4" applyNumberFormat="1" applyFont="1" applyFill="1" applyBorder="1" applyAlignment="1">
      <alignment horizontal="right" vertical="center" wrapText="1"/>
    </xf>
    <xf numFmtId="0" fontId="27" fillId="0" borderId="13" xfId="4" applyNumberFormat="1" applyFont="1" applyFill="1" applyBorder="1" applyAlignment="1">
      <alignment horizontal="right" vertical="center" wrapText="1"/>
    </xf>
    <xf numFmtId="0" fontId="27" fillId="0" borderId="17" xfId="1" applyFont="1" applyFill="1" applyBorder="1" applyAlignment="1">
      <alignment horizontal="left" vertical="center" wrapText="1"/>
    </xf>
    <xf numFmtId="0" fontId="27" fillId="0" borderId="19" xfId="1" applyFont="1" applyFill="1" applyBorder="1" applyAlignment="1">
      <alignment horizontal="left" vertical="center" wrapText="1"/>
    </xf>
    <xf numFmtId="49" fontId="27" fillId="0" borderId="14" xfId="1" applyNumberFormat="1" applyFont="1" applyFill="1" applyBorder="1" applyAlignment="1" applyProtection="1">
      <alignment horizontal="left" vertical="center" wrapText="1"/>
      <protection locked="0"/>
    </xf>
    <xf numFmtId="49" fontId="27" fillId="0" borderId="15" xfId="1" applyNumberFormat="1" applyFont="1" applyFill="1" applyBorder="1" applyAlignment="1" applyProtection="1">
      <alignment horizontal="left" vertical="center" wrapText="1"/>
      <protection locked="0"/>
    </xf>
    <xf numFmtId="0" fontId="27" fillId="0" borderId="5" xfId="1" applyFont="1" applyBorder="1" applyAlignment="1">
      <alignment horizontal="left" vertical="center" wrapText="1"/>
    </xf>
    <xf numFmtId="0" fontId="27" fillId="0" borderId="6" xfId="1" applyFont="1" applyBorder="1" applyAlignment="1">
      <alignment horizontal="left" vertical="center" wrapText="1"/>
    </xf>
    <xf numFmtId="0" fontId="27" fillId="0" borderId="8" xfId="1" applyFont="1" applyBorder="1" applyAlignment="1">
      <alignment horizontal="left" vertical="center" wrapText="1"/>
    </xf>
    <xf numFmtId="49" fontId="27" fillId="0" borderId="13" xfId="1" applyNumberFormat="1" applyFont="1" applyBorder="1" applyAlignment="1">
      <alignment horizontal="left" vertical="center" wrapText="1"/>
    </xf>
    <xf numFmtId="49" fontId="23" fillId="0" borderId="13" xfId="0" applyNumberFormat="1" applyFont="1" applyBorder="1" applyAlignment="1">
      <alignment wrapText="1"/>
    </xf>
    <xf numFmtId="49" fontId="27" fillId="0" borderId="42" xfId="1" applyNumberFormat="1" applyFont="1" applyBorder="1" applyAlignment="1">
      <alignment horizontal="center" wrapText="1"/>
    </xf>
    <xf numFmtId="49" fontId="27" fillId="0" borderId="10" xfId="1" applyNumberFormat="1" applyFont="1" applyBorder="1" applyAlignment="1">
      <alignment horizontal="center" wrapText="1"/>
    </xf>
    <xf numFmtId="49" fontId="27" fillId="0" borderId="37" xfId="1" applyNumberFormat="1" applyFont="1" applyBorder="1" applyAlignment="1">
      <alignment horizontal="center" wrapText="1"/>
    </xf>
    <xf numFmtId="49" fontId="27" fillId="0" borderId="11" xfId="1" applyNumberFormat="1" applyFont="1" applyBorder="1" applyAlignment="1">
      <alignment horizontal="center" wrapText="1"/>
    </xf>
    <xf numFmtId="49" fontId="27" fillId="0" borderId="0" xfId="1" applyNumberFormat="1" applyFont="1" applyBorder="1" applyAlignment="1">
      <alignment horizontal="center" wrapText="1"/>
    </xf>
    <xf numFmtId="49" fontId="27" fillId="0" borderId="12" xfId="1" applyNumberFormat="1" applyFont="1" applyBorder="1" applyAlignment="1">
      <alignment horizontal="center" wrapText="1"/>
    </xf>
    <xf numFmtId="49" fontId="27" fillId="0" borderId="21" xfId="1" applyNumberFormat="1" applyFont="1" applyBorder="1" applyAlignment="1">
      <alignment horizontal="center" wrapText="1"/>
    </xf>
    <xf numFmtId="49" fontId="27" fillId="0" borderId="22" xfId="1" applyNumberFormat="1" applyFont="1" applyBorder="1" applyAlignment="1">
      <alignment horizontal="center" wrapText="1"/>
    </xf>
    <xf numFmtId="49" fontId="27" fillId="0" borderId="23" xfId="1" applyNumberFormat="1" applyFont="1" applyBorder="1" applyAlignment="1">
      <alignment horizontal="center" wrapText="1"/>
    </xf>
    <xf numFmtId="49" fontId="27" fillId="0" borderId="45" xfId="1" applyNumberFormat="1" applyFont="1" applyBorder="1" applyAlignment="1">
      <alignment horizontal="center" wrapText="1"/>
    </xf>
    <xf numFmtId="0" fontId="23" fillId="0" borderId="46" xfId="0" applyFont="1" applyBorder="1" applyAlignment="1">
      <alignment horizontal="center" wrapText="1"/>
    </xf>
    <xf numFmtId="0" fontId="23" fillId="0" borderId="48" xfId="0" applyFont="1" applyBorder="1" applyAlignment="1">
      <alignment horizontal="center" wrapText="1"/>
    </xf>
    <xf numFmtId="0" fontId="27" fillId="0" borderId="16" xfId="1" applyFont="1" applyBorder="1" applyAlignment="1">
      <alignment horizontal="left" vertical="center" wrapText="1"/>
    </xf>
    <xf numFmtId="0" fontId="27" fillId="0" borderId="19" xfId="1" applyFont="1" applyBorder="1" applyAlignment="1">
      <alignment horizontal="left" vertical="center" wrapText="1"/>
    </xf>
    <xf numFmtId="49" fontId="27" fillId="0" borderId="16" xfId="1" applyNumberFormat="1" applyFont="1" applyBorder="1" applyAlignment="1" applyProtection="1">
      <alignment horizontal="left" vertical="center" wrapText="1"/>
      <protection locked="0"/>
    </xf>
    <xf numFmtId="49" fontId="27" fillId="0" borderId="19" xfId="1" applyNumberFormat="1" applyFont="1" applyBorder="1" applyAlignment="1" applyProtection="1">
      <alignment horizontal="left" vertical="center" wrapText="1"/>
      <protection locked="0"/>
    </xf>
    <xf numFmtId="49" fontId="27" fillId="0" borderId="13" xfId="1" applyNumberFormat="1" applyFont="1" applyBorder="1" applyAlignment="1">
      <alignment horizontal="left" vertical="top" wrapText="1"/>
    </xf>
    <xf numFmtId="0" fontId="23" fillId="0" borderId="13" xfId="0" applyFont="1" applyBorder="1" applyAlignment="1">
      <alignment horizontal="left" vertical="top" wrapText="1"/>
    </xf>
    <xf numFmtId="0" fontId="27" fillId="0" borderId="16" xfId="1" applyFont="1" applyFill="1" applyBorder="1" applyAlignment="1">
      <alignment horizontal="left" vertical="center" wrapText="1"/>
    </xf>
    <xf numFmtId="0" fontId="23" fillId="0" borderId="13" xfId="0" applyFont="1" applyBorder="1" applyAlignment="1">
      <alignment wrapText="1"/>
    </xf>
    <xf numFmtId="0" fontId="26" fillId="0" borderId="30" xfId="1" applyFont="1" applyBorder="1" applyAlignment="1">
      <alignment horizontal="center" vertical="center" wrapText="1"/>
    </xf>
    <xf numFmtId="0" fontId="26" fillId="0" borderId="6" xfId="1" applyFont="1" applyBorder="1" applyAlignment="1">
      <alignment horizontal="center" vertical="center" wrapText="1"/>
    </xf>
    <xf numFmtId="0" fontId="26" fillId="0" borderId="8" xfId="1" applyFont="1" applyBorder="1" applyAlignment="1">
      <alignment horizontal="center" vertical="center" wrapText="1"/>
    </xf>
    <xf numFmtId="49" fontId="27" fillId="0" borderId="5" xfId="1" applyNumberFormat="1" applyFont="1" applyBorder="1" applyAlignment="1" applyProtection="1">
      <alignment horizontal="left" vertical="center" wrapText="1"/>
      <protection locked="0"/>
    </xf>
    <xf numFmtId="49" fontId="27" fillId="0" borderId="8" xfId="1" applyNumberFormat="1" applyFont="1" applyBorder="1" applyAlignment="1" applyProtection="1">
      <alignment horizontal="left" vertical="center" wrapText="1"/>
      <protection locked="0"/>
    </xf>
    <xf numFmtId="0" fontId="27" fillId="0" borderId="13" xfId="1" applyFont="1" applyBorder="1" applyAlignment="1">
      <alignment horizontal="left" vertical="center" wrapText="1"/>
    </xf>
    <xf numFmtId="0" fontId="23" fillId="0" borderId="13" xfId="0" applyFont="1" applyBorder="1" applyAlignment="1">
      <alignment horizontal="left" vertical="center" wrapText="1"/>
    </xf>
    <xf numFmtId="166" fontId="33" fillId="4" borderId="45" xfId="2" applyFont="1" applyFill="1" applyBorder="1" applyAlignment="1">
      <alignment horizontal="center" vertical="center" wrapText="1"/>
    </xf>
    <xf numFmtId="166" fontId="33" fillId="4" borderId="46" xfId="2" applyFont="1" applyFill="1" applyBorder="1" applyAlignment="1">
      <alignment horizontal="center" vertical="center" wrapText="1"/>
    </xf>
    <xf numFmtId="166" fontId="33" fillId="4" borderId="49" xfId="2" applyFont="1" applyFill="1" applyBorder="1" applyAlignment="1">
      <alignment horizontal="center" vertical="center" wrapText="1"/>
    </xf>
    <xf numFmtId="166" fontId="33" fillId="4" borderId="13" xfId="2" applyFont="1" applyFill="1" applyBorder="1" applyAlignment="1">
      <alignment horizontal="center" vertical="center" wrapText="1"/>
    </xf>
    <xf numFmtId="0" fontId="27" fillId="0" borderId="13" xfId="1" applyFont="1" applyFill="1" applyBorder="1" applyAlignment="1">
      <alignment horizontal="left" vertical="center" wrapText="1"/>
    </xf>
    <xf numFmtId="0" fontId="27" fillId="0" borderId="13" xfId="1" applyNumberFormat="1" applyFont="1" applyBorder="1" applyAlignment="1">
      <alignment horizontal="left" vertical="center" wrapText="1"/>
    </xf>
    <xf numFmtId="49" fontId="27" fillId="0" borderId="16" xfId="1" applyNumberFormat="1" applyFont="1" applyFill="1" applyBorder="1" applyAlignment="1" applyProtection="1">
      <alignment horizontal="center" vertical="center" wrapText="1"/>
      <protection locked="0"/>
    </xf>
    <xf numFmtId="49" fontId="27" fillId="0" borderId="19" xfId="1" applyNumberFormat="1" applyFont="1" applyFill="1" applyBorder="1" applyAlignment="1" applyProtection="1">
      <alignment horizontal="center" vertical="center" wrapText="1"/>
      <protection locked="0"/>
    </xf>
    <xf numFmtId="0" fontId="28" fillId="3" borderId="45" xfId="1" applyFont="1" applyFill="1" applyBorder="1" applyAlignment="1">
      <alignment horizontal="left" vertical="center" wrapText="1"/>
    </xf>
    <xf numFmtId="49" fontId="27" fillId="0" borderId="45" xfId="1" applyNumberFormat="1" applyFont="1" applyFill="1" applyBorder="1" applyAlignment="1">
      <alignment horizontal="left" vertical="center" wrapText="1"/>
    </xf>
    <xf numFmtId="49" fontId="29" fillId="0" borderId="45" xfId="0" applyNumberFormat="1" applyFont="1" applyFill="1" applyBorder="1" applyAlignment="1">
      <alignment wrapText="1"/>
    </xf>
    <xf numFmtId="49" fontId="29" fillId="0" borderId="13" xfId="0" applyNumberFormat="1" applyFont="1" applyFill="1" applyBorder="1" applyAlignment="1">
      <alignment wrapText="1"/>
    </xf>
    <xf numFmtId="168" fontId="33" fillId="4" borderId="36" xfId="3" applyNumberFormat="1" applyFont="1" applyFill="1" applyBorder="1" applyAlignment="1">
      <alignment horizontal="center" vertical="center" wrapText="1"/>
    </xf>
    <xf numFmtId="168" fontId="33" fillId="4" borderId="10" xfId="3" applyNumberFormat="1" applyFont="1" applyFill="1" applyBorder="1" applyAlignment="1">
      <alignment horizontal="center" vertical="center" wrapText="1"/>
    </xf>
    <xf numFmtId="168" fontId="33" fillId="4" borderId="37" xfId="3" applyNumberFormat="1" applyFont="1" applyFill="1" applyBorder="1" applyAlignment="1">
      <alignment horizontal="center" vertical="center" wrapText="1"/>
    </xf>
    <xf numFmtId="168" fontId="33" fillId="4" borderId="14" xfId="3" applyNumberFormat="1" applyFont="1" applyFill="1" applyBorder="1" applyAlignment="1">
      <alignment horizontal="center" vertical="center" wrapText="1"/>
    </xf>
    <xf numFmtId="168" fontId="33" fillId="4" borderId="40" xfId="3" applyNumberFormat="1" applyFont="1" applyFill="1" applyBorder="1" applyAlignment="1">
      <alignment horizontal="center" vertical="center" wrapText="1"/>
    </xf>
    <xf numFmtId="168" fontId="33" fillId="4" borderId="15" xfId="3" applyNumberFormat="1" applyFont="1" applyFill="1" applyBorder="1" applyAlignment="1">
      <alignment horizontal="center" vertical="center" wrapText="1"/>
    </xf>
    <xf numFmtId="2" fontId="33" fillId="4" borderId="45" xfId="2" applyNumberFormat="1" applyFont="1" applyFill="1" applyBorder="1" applyAlignment="1">
      <alignment horizontal="center" vertical="center" wrapText="1"/>
    </xf>
    <xf numFmtId="2" fontId="33" fillId="4" borderId="46" xfId="2" applyNumberFormat="1" applyFont="1" applyFill="1" applyBorder="1" applyAlignment="1">
      <alignment horizontal="center" vertical="center" wrapText="1"/>
    </xf>
    <xf numFmtId="2" fontId="33" fillId="4" borderId="49" xfId="2" applyNumberFormat="1" applyFont="1" applyFill="1" applyBorder="1" applyAlignment="1">
      <alignment horizontal="center" vertical="center" wrapText="1"/>
    </xf>
    <xf numFmtId="0" fontId="33" fillId="4" borderId="36" xfId="2" applyNumberFormat="1" applyFont="1" applyFill="1" applyBorder="1" applyAlignment="1">
      <alignment horizontal="center" vertical="center" wrapText="1"/>
    </xf>
    <xf numFmtId="0" fontId="33" fillId="4" borderId="14" xfId="2" applyNumberFormat="1" applyFont="1" applyFill="1" applyBorder="1" applyAlignment="1">
      <alignment horizontal="center" vertical="center" wrapText="1"/>
    </xf>
    <xf numFmtId="166" fontId="33" fillId="5" borderId="45" xfId="2" applyFont="1" applyFill="1" applyBorder="1" applyAlignment="1">
      <alignment horizontal="center" vertical="center" wrapText="1"/>
    </xf>
    <xf numFmtId="166" fontId="33" fillId="5" borderId="46" xfId="2" applyFont="1" applyFill="1" applyBorder="1" applyAlignment="1">
      <alignment horizontal="center" vertical="center" wrapText="1"/>
    </xf>
    <xf numFmtId="166" fontId="33" fillId="5" borderId="49" xfId="2" applyFont="1" applyFill="1" applyBorder="1" applyAlignment="1">
      <alignment horizontal="center" vertical="center" wrapText="1"/>
    </xf>
    <xf numFmtId="0" fontId="27" fillId="0" borderId="20" xfId="1" applyFont="1" applyBorder="1" applyAlignment="1">
      <alignment horizontal="left" vertical="center" wrapText="1"/>
    </xf>
    <xf numFmtId="0" fontId="23" fillId="0" borderId="20" xfId="0" applyFont="1" applyBorder="1" applyAlignment="1">
      <alignment horizontal="left" wrapText="1"/>
    </xf>
    <xf numFmtId="0" fontId="26" fillId="0" borderId="1" xfId="1" applyFont="1" applyBorder="1" applyAlignment="1">
      <alignment horizontal="left" vertical="top" wrapText="1"/>
    </xf>
    <xf numFmtId="0" fontId="23" fillId="0" borderId="2" xfId="0" applyFont="1" applyBorder="1" applyAlignment="1">
      <alignment horizontal="left" vertical="top" wrapText="1"/>
    </xf>
    <xf numFmtId="0" fontId="23" fillId="0" borderId="3" xfId="0" applyFont="1" applyBorder="1" applyAlignment="1">
      <alignment horizontal="left" vertical="top" wrapText="1"/>
    </xf>
    <xf numFmtId="0" fontId="23" fillId="0" borderId="11" xfId="0" applyFont="1" applyBorder="1" applyAlignment="1">
      <alignment horizontal="left" vertical="top" wrapText="1"/>
    </xf>
    <xf numFmtId="0" fontId="23" fillId="0" borderId="0" xfId="0" applyFont="1" applyAlignment="1">
      <alignment horizontal="left" vertical="top" wrapText="1"/>
    </xf>
    <xf numFmtId="0" fontId="23" fillId="0" borderId="12" xfId="0" applyFont="1" applyBorder="1" applyAlignment="1">
      <alignment horizontal="left" vertical="top" wrapText="1"/>
    </xf>
    <xf numFmtId="0" fontId="23" fillId="0" borderId="21" xfId="0" applyFont="1" applyBorder="1" applyAlignment="1">
      <alignment horizontal="left" vertical="top" wrapText="1"/>
    </xf>
    <xf numFmtId="0" fontId="23" fillId="0" borderId="22" xfId="0" applyFont="1" applyBorder="1" applyAlignment="1">
      <alignment horizontal="left" vertical="top" wrapText="1"/>
    </xf>
    <xf numFmtId="0" fontId="23" fillId="0" borderId="23" xfId="0" applyFont="1" applyBorder="1" applyAlignment="1">
      <alignment horizontal="left" vertical="top" wrapText="1"/>
    </xf>
    <xf numFmtId="0" fontId="27" fillId="0" borderId="16" xfId="1" applyNumberFormat="1" applyFont="1" applyBorder="1" applyAlignment="1">
      <alignment horizontal="center" vertical="center" wrapText="1"/>
    </xf>
    <xf numFmtId="0" fontId="27" fillId="0" borderId="17" xfId="1" applyNumberFormat="1" applyFont="1" applyBorder="1" applyAlignment="1">
      <alignment horizontal="center" vertical="center" wrapText="1"/>
    </xf>
    <xf numFmtId="0" fontId="27" fillId="0" borderId="18" xfId="1" applyNumberFormat="1" applyFont="1" applyBorder="1" applyAlignment="1">
      <alignment horizontal="center" vertical="center" wrapText="1"/>
    </xf>
    <xf numFmtId="0" fontId="26" fillId="0" borderId="5" xfId="1" applyFont="1" applyBorder="1" applyAlignment="1">
      <alignment horizontal="center" vertical="center" wrapText="1"/>
    </xf>
    <xf numFmtId="0" fontId="26" fillId="0" borderId="7" xfId="1" applyFont="1" applyBorder="1" applyAlignment="1">
      <alignment horizontal="center" vertical="center" wrapText="1"/>
    </xf>
    <xf numFmtId="166" fontId="33" fillId="5" borderId="13" xfId="2" applyFont="1" applyFill="1" applyBorder="1" applyAlignment="1">
      <alignment horizontal="center" vertical="center" wrapText="1"/>
    </xf>
    <xf numFmtId="166" fontId="35" fillId="5" borderId="13" xfId="2" applyFont="1" applyFill="1" applyBorder="1" applyAlignment="1">
      <alignment horizontal="center" vertical="center"/>
    </xf>
    <xf numFmtId="166" fontId="35" fillId="4" borderId="13" xfId="2" applyFont="1" applyFill="1" applyBorder="1" applyAlignment="1">
      <alignment horizontal="center" vertical="center"/>
    </xf>
    <xf numFmtId="168" fontId="33" fillId="4" borderId="13" xfId="3" applyNumberFormat="1" applyFont="1" applyFill="1" applyBorder="1" applyAlignment="1">
      <alignment horizontal="center" vertical="center" wrapText="1"/>
    </xf>
    <xf numFmtId="168" fontId="34" fillId="4" borderId="13" xfId="3" applyNumberFormat="1" applyFont="1" applyFill="1" applyBorder="1" applyAlignment="1">
      <alignment horizontal="center" wrapText="1"/>
    </xf>
    <xf numFmtId="2" fontId="33" fillId="4" borderId="13" xfId="2" applyNumberFormat="1" applyFont="1" applyFill="1" applyBorder="1" applyAlignment="1">
      <alignment horizontal="center" vertical="center" wrapText="1"/>
    </xf>
    <xf numFmtId="2" fontId="34" fillId="4" borderId="13" xfId="2" applyNumberFormat="1" applyFont="1" applyFill="1" applyBorder="1" applyAlignment="1">
      <alignment horizontal="center" vertical="center" wrapText="1"/>
    </xf>
    <xf numFmtId="166" fontId="34" fillId="4" borderId="13" xfId="2" applyFont="1" applyFill="1" applyBorder="1" applyAlignment="1">
      <alignment horizontal="center" vertical="center" wrapText="1"/>
    </xf>
    <xf numFmtId="0" fontId="33" fillId="4" borderId="13" xfId="2" applyNumberFormat="1" applyFont="1" applyFill="1" applyBorder="1" applyAlignment="1">
      <alignment horizontal="center" vertical="center" wrapText="1"/>
    </xf>
    <xf numFmtId="0" fontId="34" fillId="4" borderId="13" xfId="2" applyNumberFormat="1" applyFont="1" applyFill="1" applyBorder="1" applyAlignment="1">
      <alignment horizontal="center" vertical="center" wrapText="1"/>
    </xf>
    <xf numFmtId="169" fontId="33" fillId="4" borderId="13" xfId="2" applyNumberFormat="1" applyFont="1" applyFill="1" applyBorder="1" applyAlignment="1">
      <alignment horizontal="center" vertical="center" wrapText="1"/>
    </xf>
    <xf numFmtId="0" fontId="26" fillId="0" borderId="33" xfId="1" applyFont="1" applyBorder="1" applyAlignment="1">
      <alignment horizontal="left" vertical="center" wrapText="1"/>
    </xf>
    <xf numFmtId="0" fontId="26" fillId="0" borderId="19" xfId="1" applyFont="1" applyBorder="1" applyAlignment="1">
      <alignment horizontal="left" vertical="center" wrapText="1"/>
    </xf>
    <xf numFmtId="0" fontId="26" fillId="0" borderId="13" xfId="1" applyFont="1" applyBorder="1" applyAlignment="1">
      <alignment horizontal="left" vertical="center" wrapText="1"/>
    </xf>
    <xf numFmtId="0" fontId="26" fillId="0" borderId="16" xfId="1" applyFont="1" applyBorder="1" applyAlignment="1">
      <alignment horizontal="left" vertical="center" wrapText="1"/>
    </xf>
    <xf numFmtId="0" fontId="26" fillId="0" borderId="34" xfId="1" applyFont="1" applyBorder="1" applyAlignment="1">
      <alignment horizontal="left" vertical="center" wrapText="1"/>
    </xf>
    <xf numFmtId="49" fontId="27" fillId="0" borderId="42" xfId="1" applyNumberFormat="1" applyFont="1" applyBorder="1" applyAlignment="1">
      <alignment horizontal="left" vertical="center" wrapText="1"/>
    </xf>
    <xf numFmtId="49" fontId="27" fillId="0" borderId="10" xfId="1" applyNumberFormat="1" applyFont="1" applyBorder="1" applyAlignment="1">
      <alignment horizontal="left" vertical="center" wrapText="1"/>
    </xf>
    <xf numFmtId="49" fontId="27" fillId="0" borderId="38" xfId="1" applyNumberFormat="1" applyFont="1" applyBorder="1" applyAlignment="1">
      <alignment horizontal="left" vertical="center" wrapText="1"/>
    </xf>
    <xf numFmtId="49" fontId="27" fillId="0" borderId="21" xfId="1" applyNumberFormat="1" applyFont="1" applyBorder="1" applyAlignment="1">
      <alignment horizontal="left" vertical="center" wrapText="1"/>
    </xf>
    <xf numFmtId="49" fontId="27" fillId="0" borderId="22" xfId="1" applyNumberFormat="1" applyFont="1" applyBorder="1" applyAlignment="1">
      <alignment horizontal="left" vertical="center" wrapText="1"/>
    </xf>
    <xf numFmtId="49" fontId="27" fillId="0" borderId="29" xfId="1" applyNumberFormat="1" applyFont="1" applyBorder="1" applyAlignment="1">
      <alignment horizontal="left" vertical="center" wrapText="1"/>
    </xf>
    <xf numFmtId="49" fontId="26" fillId="0" borderId="33" xfId="1" applyNumberFormat="1" applyFont="1" applyBorder="1" applyAlignment="1">
      <alignment horizontal="center" vertical="center" wrapText="1"/>
    </xf>
    <xf numFmtId="49" fontId="26" fillId="0" borderId="43" xfId="1" applyNumberFormat="1" applyFont="1" applyBorder="1" applyAlignment="1">
      <alignment horizontal="center" vertical="center" wrapText="1"/>
    </xf>
    <xf numFmtId="49" fontId="26" fillId="0" borderId="36" xfId="1" applyNumberFormat="1" applyFont="1" applyBorder="1" applyAlignment="1">
      <alignment horizontal="left" vertical="top" wrapText="1"/>
    </xf>
    <xf numFmtId="49" fontId="26" fillId="0" borderId="10" xfId="1" applyNumberFormat="1" applyFont="1" applyBorder="1" applyAlignment="1">
      <alignment horizontal="left" vertical="top" wrapText="1"/>
    </xf>
    <xf numFmtId="49" fontId="26" fillId="0" borderId="38" xfId="1" applyNumberFormat="1" applyFont="1" applyBorder="1" applyAlignment="1">
      <alignment horizontal="left" vertical="top" wrapText="1"/>
    </xf>
    <xf numFmtId="49" fontId="26" fillId="0" borderId="39" xfId="1" applyNumberFormat="1" applyFont="1" applyBorder="1" applyAlignment="1">
      <alignment horizontal="left" vertical="top" wrapText="1"/>
    </xf>
    <xf numFmtId="49" fontId="26" fillId="0" borderId="0" xfId="1" applyNumberFormat="1" applyFont="1" applyBorder="1" applyAlignment="1">
      <alignment horizontal="left" vertical="top" wrapText="1"/>
    </xf>
    <xf numFmtId="49" fontId="26" fillId="0" borderId="20" xfId="1" applyNumberFormat="1" applyFont="1" applyBorder="1" applyAlignment="1">
      <alignment horizontal="left" vertical="top" wrapText="1"/>
    </xf>
    <xf numFmtId="49" fontId="26" fillId="0" borderId="14" xfId="1" applyNumberFormat="1" applyFont="1" applyBorder="1" applyAlignment="1">
      <alignment horizontal="left" vertical="top" wrapText="1"/>
    </xf>
    <xf numFmtId="49" fontId="26" fillId="0" borderId="40" xfId="1" applyNumberFormat="1" applyFont="1" applyBorder="1" applyAlignment="1">
      <alignment horizontal="left" vertical="top" wrapText="1"/>
    </xf>
    <xf numFmtId="49" fontId="26" fillId="0" borderId="41" xfId="1" applyNumberFormat="1" applyFont="1" applyBorder="1" applyAlignment="1">
      <alignment horizontal="left" vertical="top" wrapText="1"/>
    </xf>
    <xf numFmtId="0" fontId="27" fillId="0" borderId="34" xfId="1" applyFont="1" applyBorder="1" applyAlignment="1">
      <alignment horizontal="left" vertical="center" wrapText="1"/>
    </xf>
    <xf numFmtId="0" fontId="27" fillId="0" borderId="17" xfId="1" applyFont="1" applyBorder="1" applyAlignment="1">
      <alignment horizontal="left" vertical="center" wrapText="1"/>
    </xf>
    <xf numFmtId="49" fontId="27" fillId="0" borderId="34" xfId="1" applyNumberFormat="1" applyFont="1" applyBorder="1" applyAlignment="1">
      <alignment horizontal="left" vertical="center" wrapText="1"/>
    </xf>
    <xf numFmtId="0" fontId="27" fillId="0" borderId="10" xfId="1" applyFont="1" applyBorder="1" applyAlignment="1">
      <alignment horizontal="left" vertical="center" wrapText="1"/>
    </xf>
    <xf numFmtId="0" fontId="27" fillId="0" borderId="38" xfId="1" applyFont="1" applyBorder="1" applyAlignment="1">
      <alignment horizontal="left" vertical="center" wrapText="1"/>
    </xf>
    <xf numFmtId="0" fontId="27" fillId="0" borderId="22" xfId="1" applyFont="1" applyBorder="1" applyAlignment="1">
      <alignment horizontal="left" vertical="center" wrapText="1"/>
    </xf>
    <xf numFmtId="0" fontId="27" fillId="0" borderId="29" xfId="1" applyFont="1" applyBorder="1" applyAlignment="1">
      <alignment horizontal="left" vertical="center" wrapText="1"/>
    </xf>
    <xf numFmtId="49" fontId="27" fillId="0" borderId="36" xfId="1" applyNumberFormat="1" applyFont="1" applyBorder="1" applyAlignment="1">
      <alignment horizontal="left" vertical="center" wrapText="1"/>
    </xf>
    <xf numFmtId="49" fontId="27" fillId="0" borderId="25" xfId="1" applyNumberFormat="1" applyFont="1" applyBorder="1" applyAlignment="1">
      <alignment horizontal="left" vertical="center" wrapText="1"/>
    </xf>
    <xf numFmtId="0" fontId="27" fillId="0" borderId="24" xfId="1" applyFont="1" applyBorder="1" applyAlignment="1">
      <alignment horizontal="left" vertical="center" wrapText="1"/>
    </xf>
    <xf numFmtId="0" fontId="27" fillId="0" borderId="44" xfId="1" applyFont="1" applyBorder="1" applyAlignment="1">
      <alignment horizontal="left" vertical="center" wrapText="1"/>
    </xf>
    <xf numFmtId="49" fontId="27" fillId="0" borderId="36" xfId="1" applyNumberFormat="1" applyFont="1" applyBorder="1" applyAlignment="1">
      <alignment horizontal="left" vertical="top" wrapText="1"/>
    </xf>
    <xf numFmtId="49" fontId="27" fillId="0" borderId="10" xfId="1" applyNumberFormat="1" applyFont="1" applyBorder="1" applyAlignment="1">
      <alignment horizontal="left" vertical="top" wrapText="1"/>
    </xf>
    <xf numFmtId="49" fontId="27" fillId="0" borderId="38" xfId="1" applyNumberFormat="1" applyFont="1" applyBorder="1" applyAlignment="1">
      <alignment horizontal="left" vertical="top" wrapText="1"/>
    </xf>
    <xf numFmtId="49" fontId="27" fillId="0" borderId="39" xfId="1" applyNumberFormat="1" applyFont="1" applyBorder="1" applyAlignment="1">
      <alignment horizontal="left" vertical="top" wrapText="1"/>
    </xf>
    <xf numFmtId="49" fontId="27" fillId="0" borderId="0" xfId="1" applyNumberFormat="1" applyFont="1" applyBorder="1" applyAlignment="1">
      <alignment horizontal="left" vertical="top" wrapText="1"/>
    </xf>
    <xf numFmtId="49" fontId="27" fillId="0" borderId="20" xfId="1" applyNumberFormat="1" applyFont="1" applyBorder="1" applyAlignment="1">
      <alignment horizontal="left" vertical="top" wrapText="1"/>
    </xf>
    <xf numFmtId="49" fontId="27" fillId="0" borderId="14" xfId="1" applyNumberFormat="1" applyFont="1" applyBorder="1" applyAlignment="1">
      <alignment horizontal="left" vertical="top" wrapText="1"/>
    </xf>
    <xf numFmtId="49" fontId="27" fillId="0" borderId="40" xfId="1" applyNumberFormat="1" applyFont="1" applyBorder="1" applyAlignment="1">
      <alignment horizontal="left" vertical="top" wrapText="1"/>
    </xf>
    <xf numFmtId="49" fontId="27" fillId="0" borderId="41" xfId="1" applyNumberFormat="1" applyFont="1" applyBorder="1" applyAlignment="1">
      <alignment horizontal="left" vertical="top" wrapText="1"/>
    </xf>
    <xf numFmtId="0" fontId="26" fillId="0" borderId="30" xfId="1" applyFont="1" applyBorder="1" applyAlignment="1">
      <alignment horizontal="left" vertical="center" wrapText="1"/>
    </xf>
    <xf numFmtId="0" fontId="26" fillId="0" borderId="6" xfId="1" applyFont="1" applyBorder="1" applyAlignment="1">
      <alignment horizontal="left" vertical="center" wrapText="1"/>
    </xf>
    <xf numFmtId="0" fontId="26" fillId="0" borderId="7" xfId="1" applyFont="1" applyBorder="1" applyAlignment="1">
      <alignment horizontal="left" vertical="center" wrapText="1"/>
    </xf>
    <xf numFmtId="0" fontId="26" fillId="0" borderId="31" xfId="1" applyFont="1" applyBorder="1" applyAlignment="1">
      <alignment horizontal="left" vertical="center" wrapText="1"/>
    </xf>
    <xf numFmtId="0" fontId="26" fillId="0" borderId="4" xfId="1" applyFont="1" applyBorder="1" applyAlignment="1">
      <alignment horizontal="left" vertical="center" wrapText="1"/>
    </xf>
    <xf numFmtId="0" fontId="26" fillId="0" borderId="32" xfId="1" applyFont="1" applyBorder="1" applyAlignment="1">
      <alignment horizontal="left" vertical="center" wrapText="1"/>
    </xf>
    <xf numFmtId="0" fontId="26" fillId="0" borderId="33" xfId="1" applyFont="1" applyBorder="1" applyAlignment="1">
      <alignment horizontal="center" vertical="center" wrapText="1"/>
    </xf>
    <xf numFmtId="0" fontId="27" fillId="0" borderId="13" xfId="1" applyFont="1" applyBorder="1" applyAlignment="1">
      <alignment horizontal="left" vertical="top" wrapText="1"/>
    </xf>
    <xf numFmtId="49" fontId="27" fillId="0" borderId="16" xfId="1" applyNumberFormat="1" applyFont="1" applyBorder="1" applyAlignment="1">
      <alignment horizontal="left" vertical="center" wrapText="1"/>
    </xf>
    <xf numFmtId="49" fontId="30" fillId="0" borderId="18" xfId="1" applyNumberFormat="1" applyFont="1" applyBorder="1" applyAlignment="1">
      <alignment wrapText="1"/>
    </xf>
    <xf numFmtId="0" fontId="27" fillId="0" borderId="18" xfId="1" applyFont="1" applyBorder="1" applyAlignment="1">
      <alignment horizontal="left" vertical="center" wrapText="1"/>
    </xf>
    <xf numFmtId="0" fontId="30" fillId="0" borderId="19" xfId="1" applyFont="1" applyBorder="1" applyAlignment="1">
      <alignment horizontal="left" vertical="center" wrapText="1"/>
    </xf>
    <xf numFmtId="0" fontId="27" fillId="0" borderId="36" xfId="1" applyFont="1" applyBorder="1" applyAlignment="1">
      <alignment horizontal="left" vertical="top" wrapText="1"/>
    </xf>
    <xf numFmtId="0" fontId="27" fillId="0" borderId="37" xfId="1" applyFont="1" applyBorder="1" applyAlignment="1">
      <alignment horizontal="left" vertical="top" wrapText="1"/>
    </xf>
    <xf numFmtId="0" fontId="27" fillId="0" borderId="39" xfId="1" applyFont="1" applyBorder="1" applyAlignment="1">
      <alignment horizontal="left" vertical="top" wrapText="1"/>
    </xf>
    <xf numFmtId="0" fontId="27" fillId="0" borderId="12" xfId="1" applyFont="1" applyBorder="1" applyAlignment="1">
      <alignment horizontal="left" vertical="top" wrapText="1"/>
    </xf>
    <xf numFmtId="0" fontId="27" fillId="0" borderId="14" xfId="1" applyFont="1" applyBorder="1" applyAlignment="1">
      <alignment horizontal="left" vertical="top" wrapText="1"/>
    </xf>
    <xf numFmtId="0" fontId="27" fillId="0" borderId="15" xfId="1" applyFont="1" applyBorder="1" applyAlignment="1">
      <alignment horizontal="left" vertical="top" wrapText="1"/>
    </xf>
    <xf numFmtId="0" fontId="27" fillId="0" borderId="36" xfId="1" applyFont="1" applyBorder="1" applyAlignment="1">
      <alignment horizontal="left" vertical="center" wrapText="1"/>
    </xf>
    <xf numFmtId="0" fontId="27" fillId="0" borderId="25" xfId="1" applyFont="1" applyBorder="1" applyAlignment="1">
      <alignment horizontal="left" vertical="center" wrapText="1"/>
    </xf>
    <xf numFmtId="49" fontId="26" fillId="0" borderId="5" xfId="1" applyNumberFormat="1" applyFont="1" applyBorder="1" applyAlignment="1">
      <alignment horizontal="left" vertical="center" wrapText="1"/>
    </xf>
    <xf numFmtId="49" fontId="26" fillId="0" borderId="6" xfId="1" applyNumberFormat="1" applyFont="1" applyBorder="1" applyAlignment="1">
      <alignment horizontal="left" vertical="center" wrapText="1"/>
    </xf>
    <xf numFmtId="49" fontId="26" fillId="0" borderId="7" xfId="1" applyNumberFormat="1" applyFont="1" applyBorder="1" applyAlignment="1">
      <alignment horizontal="left" vertical="center" wrapText="1"/>
    </xf>
    <xf numFmtId="49" fontId="26" fillId="0" borderId="16" xfId="1" applyNumberFormat="1" applyFont="1" applyBorder="1" applyAlignment="1">
      <alignment horizontal="left" wrapText="1"/>
    </xf>
    <xf numFmtId="49" fontId="26" fillId="0" borderId="17" xfId="1" applyNumberFormat="1" applyFont="1" applyBorder="1" applyAlignment="1">
      <alignment horizontal="left" wrapText="1"/>
    </xf>
    <xf numFmtId="0" fontId="27" fillId="2" borderId="13" xfId="1" applyFont="1" applyFill="1" applyBorder="1" applyAlignment="1">
      <alignment horizontal="left" vertical="center" wrapText="1"/>
    </xf>
    <xf numFmtId="0" fontId="26" fillId="0" borderId="16" xfId="1" applyNumberFormat="1" applyFont="1" applyBorder="1" applyAlignment="1">
      <alignment horizontal="left" vertical="center" wrapText="1"/>
    </xf>
    <xf numFmtId="0" fontId="26" fillId="0" borderId="17" xfId="1" applyNumberFormat="1" applyFont="1" applyBorder="1" applyAlignment="1">
      <alignment horizontal="left" vertical="center" wrapText="1"/>
    </xf>
    <xf numFmtId="0" fontId="26" fillId="0" borderId="18" xfId="1" applyNumberFormat="1" applyFont="1" applyBorder="1" applyAlignment="1">
      <alignment horizontal="left" vertical="center" wrapText="1"/>
    </xf>
    <xf numFmtId="49" fontId="26" fillId="0" borderId="25" xfId="1" applyNumberFormat="1" applyFont="1" applyBorder="1" applyAlignment="1" applyProtection="1">
      <alignment horizontal="left" vertical="center" wrapText="1"/>
      <protection locked="0"/>
    </xf>
    <xf numFmtId="49" fontId="26" fillId="0" borderId="23" xfId="1" applyNumberFormat="1" applyFont="1" applyBorder="1" applyAlignment="1" applyProtection="1">
      <alignment horizontal="left" vertical="center" wrapText="1"/>
      <protection locked="0"/>
    </xf>
    <xf numFmtId="0" fontId="27" fillId="0" borderId="26" xfId="1" applyFont="1" applyBorder="1" applyAlignment="1">
      <alignment horizontal="left" vertical="center" wrapText="1"/>
    </xf>
    <xf numFmtId="0" fontId="27" fillId="0" borderId="27" xfId="1" applyFont="1" applyBorder="1" applyAlignment="1">
      <alignment horizontal="left" vertical="center" wrapText="1"/>
    </xf>
    <xf numFmtId="0" fontId="27" fillId="0" borderId="28" xfId="1" applyFont="1" applyBorder="1" applyAlignment="1">
      <alignment horizontal="left" vertical="center" wrapText="1"/>
    </xf>
    <xf numFmtId="49" fontId="26" fillId="0" borderId="26" xfId="1" applyNumberFormat="1" applyFont="1" applyBorder="1" applyAlignment="1">
      <alignment horizontal="left" wrapText="1"/>
    </xf>
    <xf numFmtId="49" fontId="26" fillId="0" borderId="27" xfId="1" applyNumberFormat="1" applyFont="1" applyBorder="1" applyAlignment="1">
      <alignment horizontal="left" wrapText="1"/>
    </xf>
    <xf numFmtId="0" fontId="28" fillId="3" borderId="24" xfId="1" applyFont="1" applyFill="1" applyBorder="1" applyAlignment="1">
      <alignment horizontal="left" vertical="center" wrapText="1"/>
    </xf>
    <xf numFmtId="49" fontId="28" fillId="3" borderId="25" xfId="1" applyNumberFormat="1" applyFont="1" applyFill="1" applyBorder="1" applyAlignment="1">
      <alignment horizontal="left" vertical="center" wrapText="1"/>
    </xf>
    <xf numFmtId="49" fontId="28" fillId="3" borderId="22" xfId="1" applyNumberFormat="1" applyFont="1" applyFill="1" applyBorder="1" applyAlignment="1">
      <alignment horizontal="left" vertical="center" wrapText="1"/>
    </xf>
    <xf numFmtId="49" fontId="28" fillId="3" borderId="29" xfId="1" applyNumberFormat="1" applyFont="1" applyFill="1" applyBorder="1" applyAlignment="1">
      <alignment horizontal="left" vertical="center" wrapText="1"/>
    </xf>
    <xf numFmtId="49" fontId="27" fillId="0" borderId="36" xfId="1" applyNumberFormat="1" applyFont="1" applyBorder="1" applyAlignment="1">
      <alignment horizontal="center" vertical="center" wrapText="1"/>
    </xf>
    <xf numFmtId="49" fontId="27" fillId="0" borderId="10" xfId="1" applyNumberFormat="1" applyFont="1" applyBorder="1" applyAlignment="1">
      <alignment horizontal="center" vertical="center" wrapText="1"/>
    </xf>
    <xf numFmtId="49" fontId="27" fillId="0" borderId="38" xfId="1" applyNumberFormat="1" applyFont="1" applyBorder="1" applyAlignment="1">
      <alignment horizontal="center" vertical="center" wrapText="1"/>
    </xf>
    <xf numFmtId="49" fontId="27" fillId="0" borderId="39" xfId="1" applyNumberFormat="1" applyFont="1" applyBorder="1" applyAlignment="1">
      <alignment horizontal="center" vertical="center" wrapText="1"/>
    </xf>
    <xf numFmtId="49" fontId="27" fillId="0" borderId="0" xfId="1" applyNumberFormat="1" applyFont="1" applyBorder="1" applyAlignment="1">
      <alignment horizontal="center" vertical="center" wrapText="1"/>
    </xf>
    <xf numFmtId="49" fontId="27" fillId="0" borderId="20" xfId="1" applyNumberFormat="1" applyFont="1" applyBorder="1" applyAlignment="1">
      <alignment horizontal="center" vertical="center" wrapText="1"/>
    </xf>
    <xf numFmtId="49" fontId="27" fillId="0" borderId="25" xfId="1" applyNumberFormat="1" applyFont="1" applyBorder="1" applyAlignment="1">
      <alignment horizontal="center" vertical="center" wrapText="1"/>
    </xf>
    <xf numFmtId="49" fontId="27" fillId="0" borderId="22" xfId="1" applyNumberFormat="1" applyFont="1" applyBorder="1" applyAlignment="1">
      <alignment horizontal="center" vertical="center" wrapText="1"/>
    </xf>
    <xf numFmtId="49" fontId="27" fillId="0" borderId="29" xfId="1" applyNumberFormat="1" applyFont="1" applyBorder="1" applyAlignment="1">
      <alignment horizontal="center" vertical="center" wrapText="1"/>
    </xf>
    <xf numFmtId="49" fontId="27" fillId="0" borderId="11" xfId="1" applyNumberFormat="1" applyFont="1" applyBorder="1" applyAlignment="1">
      <alignment horizontal="center" vertical="top" wrapText="1"/>
    </xf>
    <xf numFmtId="49" fontId="27" fillId="0" borderId="0" xfId="1" applyNumberFormat="1" applyFont="1" applyBorder="1" applyAlignment="1">
      <alignment horizontal="center" vertical="top" wrapText="1"/>
    </xf>
    <xf numFmtId="49" fontId="27" fillId="0" borderId="12" xfId="1" applyNumberFormat="1" applyFont="1" applyBorder="1" applyAlignment="1">
      <alignment horizontal="center" vertical="top" wrapText="1"/>
    </xf>
    <xf numFmtId="49" fontId="27" fillId="0" borderId="21" xfId="1" applyNumberFormat="1" applyFont="1" applyBorder="1" applyAlignment="1">
      <alignment horizontal="center" vertical="top" wrapText="1"/>
    </xf>
    <xf numFmtId="49" fontId="27" fillId="0" borderId="22" xfId="1" applyNumberFormat="1" applyFont="1" applyBorder="1" applyAlignment="1">
      <alignment horizontal="center" vertical="top" wrapText="1"/>
    </xf>
    <xf numFmtId="49" fontId="27" fillId="0" borderId="23" xfId="1" applyNumberFormat="1" applyFont="1" applyBorder="1" applyAlignment="1">
      <alignment horizontal="center" vertical="top" wrapText="1"/>
    </xf>
    <xf numFmtId="0" fontId="26" fillId="0" borderId="1" xfId="1" applyFont="1" applyBorder="1" applyAlignment="1">
      <alignment horizontal="center" vertical="top" wrapText="1"/>
    </xf>
    <xf numFmtId="0" fontId="26" fillId="0" borderId="2" xfId="1" applyFont="1" applyBorder="1" applyAlignment="1">
      <alignment horizontal="center" vertical="top" wrapText="1"/>
    </xf>
    <xf numFmtId="0" fontId="26" fillId="0" borderId="3" xfId="1" applyFont="1" applyBorder="1" applyAlignment="1">
      <alignment horizontal="center" vertical="top" wrapText="1"/>
    </xf>
    <xf numFmtId="0" fontId="27" fillId="2" borderId="1" xfId="1" applyFont="1" applyFill="1" applyBorder="1" applyAlignment="1">
      <alignment horizontal="center" wrapText="1"/>
    </xf>
    <xf numFmtId="0" fontId="27" fillId="2" borderId="2" xfId="1" applyFont="1" applyFill="1" applyBorder="1" applyAlignment="1">
      <alignment horizontal="center" wrapText="1"/>
    </xf>
    <xf numFmtId="0" fontId="27" fillId="2" borderId="9" xfId="1" applyFont="1" applyFill="1" applyBorder="1" applyAlignment="1">
      <alignment horizontal="center" wrapText="1"/>
    </xf>
    <xf numFmtId="0" fontId="27" fillId="2" borderId="11" xfId="1" applyFont="1" applyFill="1" applyBorder="1" applyAlignment="1">
      <alignment horizontal="center" wrapText="1"/>
    </xf>
    <xf numFmtId="0" fontId="27" fillId="2" borderId="0" xfId="1" applyFont="1" applyFill="1" applyBorder="1" applyAlignment="1">
      <alignment horizontal="center" wrapText="1"/>
    </xf>
    <xf numFmtId="0" fontId="27" fillId="2" borderId="20" xfId="1" applyFont="1" applyFill="1" applyBorder="1" applyAlignment="1">
      <alignment horizontal="center" wrapText="1"/>
    </xf>
    <xf numFmtId="0" fontId="27" fillId="2" borderId="22" xfId="1" applyFont="1" applyFill="1" applyBorder="1" applyAlignment="1">
      <alignment horizontal="center" wrapText="1"/>
    </xf>
    <xf numFmtId="0" fontId="27" fillId="2" borderId="29" xfId="1" applyFont="1" applyFill="1" applyBorder="1" applyAlignment="1">
      <alignment horizontal="center" wrapText="1"/>
    </xf>
    <xf numFmtId="0" fontId="30" fillId="0" borderId="13" xfId="1" applyFont="1" applyBorder="1" applyAlignment="1">
      <alignment horizontal="left" vertical="center" wrapText="1"/>
    </xf>
    <xf numFmtId="49" fontId="26" fillId="0" borderId="14" xfId="1" applyNumberFormat="1" applyFont="1" applyBorder="1" applyAlignment="1" applyProtection="1">
      <alignment horizontal="left" vertical="center" wrapText="1"/>
      <protection locked="0"/>
    </xf>
    <xf numFmtId="49" fontId="26" fillId="0" borderId="15" xfId="1" applyNumberFormat="1" applyFont="1" applyBorder="1" applyAlignment="1" applyProtection="1">
      <alignment horizontal="left" vertical="center" wrapText="1"/>
      <protection locked="0"/>
    </xf>
    <xf numFmtId="49" fontId="26" fillId="0" borderId="19" xfId="1" applyNumberFormat="1" applyFont="1" applyBorder="1" applyAlignment="1">
      <alignment horizontal="left" wrapText="1"/>
    </xf>
    <xf numFmtId="0" fontId="27" fillId="0" borderId="4" xfId="1" applyFont="1" applyBorder="1" applyAlignment="1">
      <alignment horizontal="left" vertical="center" wrapText="1"/>
    </xf>
    <xf numFmtId="49" fontId="26" fillId="0" borderId="4" xfId="1" applyNumberFormat="1" applyFont="1" applyBorder="1" applyAlignment="1" applyProtection="1">
      <alignment horizontal="left" vertical="center" wrapText="1"/>
      <protection locked="0"/>
    </xf>
    <xf numFmtId="0" fontId="27" fillId="0" borderId="7" xfId="1" applyFont="1" applyBorder="1" applyAlignment="1">
      <alignment horizontal="left" vertical="center" wrapText="1"/>
    </xf>
    <xf numFmtId="0" fontId="26" fillId="0" borderId="2" xfId="1" applyFont="1" applyBorder="1" applyAlignment="1">
      <alignment horizontal="left" vertical="top" wrapText="1"/>
    </xf>
    <xf numFmtId="0" fontId="26" fillId="0" borderId="3" xfId="1" applyFont="1" applyBorder="1" applyAlignment="1">
      <alignment horizontal="left" vertical="top" wrapText="1"/>
    </xf>
    <xf numFmtId="0" fontId="26" fillId="0" borderId="11" xfId="1" applyFont="1" applyBorder="1" applyAlignment="1">
      <alignment horizontal="left" vertical="top" wrapText="1"/>
    </xf>
    <xf numFmtId="0" fontId="26" fillId="0" borderId="0" xfId="1" applyFont="1" applyBorder="1" applyAlignment="1">
      <alignment horizontal="left" vertical="top" wrapText="1"/>
    </xf>
    <xf numFmtId="0" fontId="26" fillId="0" borderId="12" xfId="1" applyFont="1" applyBorder="1" applyAlignment="1">
      <alignment horizontal="left" vertical="top" wrapText="1"/>
    </xf>
    <xf numFmtId="0" fontId="26" fillId="0" borderId="21" xfId="1" applyFont="1" applyBorder="1" applyAlignment="1">
      <alignment horizontal="left" vertical="top" wrapText="1"/>
    </xf>
    <xf numFmtId="0" fontId="26" fillId="0" borderId="22" xfId="1" applyFont="1" applyBorder="1" applyAlignment="1">
      <alignment horizontal="left" vertical="top" wrapText="1"/>
    </xf>
    <xf numFmtId="0" fontId="26" fillId="0" borderId="23" xfId="1" applyFont="1" applyBorder="1" applyAlignment="1">
      <alignment horizontal="left" vertical="top" wrapText="1"/>
    </xf>
    <xf numFmtId="49" fontId="26" fillId="0" borderId="16" xfId="1" applyNumberFormat="1" applyFont="1" applyBorder="1" applyAlignment="1">
      <alignment horizontal="left" vertical="center" wrapText="1"/>
    </xf>
    <xf numFmtId="49" fontId="26" fillId="0" borderId="17" xfId="1" applyNumberFormat="1" applyFont="1" applyBorder="1" applyAlignment="1">
      <alignment horizontal="left" vertical="center" wrapText="1"/>
    </xf>
    <xf numFmtId="49" fontId="26" fillId="0" borderId="18" xfId="1" applyNumberFormat="1" applyFont="1" applyBorder="1" applyAlignment="1">
      <alignment horizontal="left" vertical="center" wrapText="1"/>
    </xf>
    <xf numFmtId="49" fontId="26" fillId="0" borderId="5" xfId="1" applyNumberFormat="1" applyFont="1" applyBorder="1" applyAlignment="1">
      <alignment horizontal="left" wrapText="1"/>
    </xf>
    <xf numFmtId="49" fontId="26" fillId="0" borderId="6" xfId="1" applyNumberFormat="1" applyFont="1" applyBorder="1" applyAlignment="1">
      <alignment horizontal="left" wrapText="1"/>
    </xf>
    <xf numFmtId="49" fontId="26" fillId="0" borderId="8" xfId="1" applyNumberFormat="1" applyFont="1" applyBorder="1" applyAlignment="1">
      <alignment horizontal="left" wrapText="1"/>
    </xf>
    <xf numFmtId="0" fontId="24" fillId="0" borderId="36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0" fontId="24" fillId="0" borderId="10" xfId="0" applyNumberFormat="1" applyFont="1" applyBorder="1" applyAlignment="1">
      <alignment horizontal="right" vertical="center"/>
    </xf>
    <xf numFmtId="0" fontId="24" fillId="0" borderId="37" xfId="0" applyNumberFormat="1" applyFont="1" applyBorder="1" applyAlignment="1">
      <alignment horizontal="right" vertical="center"/>
    </xf>
    <xf numFmtId="0" fontId="24" fillId="0" borderId="0" xfId="0" applyNumberFormat="1" applyFont="1" applyBorder="1" applyAlignment="1">
      <alignment horizontal="right" vertical="center"/>
    </xf>
    <xf numFmtId="0" fontId="24" fillId="0" borderId="12" xfId="0" applyNumberFormat="1" applyFont="1" applyBorder="1" applyAlignment="1">
      <alignment horizontal="right" vertical="center"/>
    </xf>
    <xf numFmtId="0" fontId="24" fillId="0" borderId="40" xfId="0" applyNumberFormat="1" applyFont="1" applyBorder="1" applyAlignment="1">
      <alignment horizontal="right" vertical="center"/>
    </xf>
    <xf numFmtId="0" fontId="24" fillId="0" borderId="15" xfId="0" applyNumberFormat="1" applyFont="1" applyBorder="1" applyAlignment="1">
      <alignment horizontal="right" vertical="center"/>
    </xf>
    <xf numFmtId="49" fontId="20" fillId="0" borderId="39" xfId="0" applyNumberFormat="1" applyFont="1" applyBorder="1" applyAlignment="1">
      <alignment horizontal="left" vertical="center"/>
    </xf>
    <xf numFmtId="49" fontId="20" fillId="0" borderId="0" xfId="0" applyNumberFormat="1" applyFont="1" applyBorder="1" applyAlignment="1">
      <alignment horizontal="left" vertical="center"/>
    </xf>
    <xf numFmtId="0" fontId="20" fillId="0" borderId="0" xfId="0" applyNumberFormat="1" applyFont="1" applyBorder="1" applyAlignment="1">
      <alignment horizontal="left" vertical="center"/>
    </xf>
    <xf numFmtId="0" fontId="23" fillId="0" borderId="36" xfId="0" applyNumberFormat="1" applyFont="1" applyBorder="1" applyAlignment="1">
      <alignment horizontal="center" vertical="center"/>
    </xf>
    <xf numFmtId="0" fontId="23" fillId="0" borderId="10" xfId="0" applyNumberFormat="1" applyFont="1" applyBorder="1" applyAlignment="1">
      <alignment horizontal="center" vertical="center"/>
    </xf>
    <xf numFmtId="0" fontId="23" fillId="0" borderId="37" xfId="0" applyNumberFormat="1" applyFont="1" applyBorder="1" applyAlignment="1">
      <alignment horizontal="center" vertical="center"/>
    </xf>
    <xf numFmtId="0" fontId="23" fillId="0" borderId="39" xfId="0" applyNumberFormat="1" applyFont="1" applyBorder="1" applyAlignment="1">
      <alignment horizontal="center" vertical="center"/>
    </xf>
    <xf numFmtId="0" fontId="23" fillId="0" borderId="0" xfId="0" applyNumberFormat="1" applyFont="1" applyBorder="1" applyAlignment="1">
      <alignment horizontal="center" vertical="center"/>
    </xf>
    <xf numFmtId="0" fontId="23" fillId="0" borderId="12" xfId="0" applyNumberFormat="1" applyFont="1" applyBorder="1" applyAlignment="1">
      <alignment horizontal="center" vertical="center"/>
    </xf>
    <xf numFmtId="0" fontId="23" fillId="0" borderId="14" xfId="0" applyNumberFormat="1" applyFont="1" applyBorder="1" applyAlignment="1">
      <alignment horizontal="center" vertical="center"/>
    </xf>
    <xf numFmtId="0" fontId="23" fillId="0" borderId="40" xfId="0" applyNumberFormat="1" applyFont="1" applyBorder="1" applyAlignment="1">
      <alignment horizontal="center" vertical="center"/>
    </xf>
    <xf numFmtId="0" fontId="23" fillId="0" borderId="15" xfId="0" applyNumberFormat="1" applyFont="1" applyBorder="1" applyAlignment="1">
      <alignment horizontal="center" vertical="center"/>
    </xf>
    <xf numFmtId="0" fontId="20" fillId="0" borderId="36" xfId="0" applyNumberFormat="1" applyFont="1" applyBorder="1" applyAlignment="1">
      <alignment horizontal="center"/>
    </xf>
    <xf numFmtId="0" fontId="20" fillId="0" borderId="37" xfId="0" applyNumberFormat="1" applyFont="1" applyBorder="1" applyAlignment="1">
      <alignment horizontal="center"/>
    </xf>
    <xf numFmtId="0" fontId="20" fillId="0" borderId="39" xfId="0" applyNumberFormat="1" applyFont="1" applyBorder="1" applyAlignment="1">
      <alignment horizontal="center"/>
    </xf>
    <xf numFmtId="0" fontId="20" fillId="0" borderId="12" xfId="0" applyNumberFormat="1" applyFont="1" applyBorder="1" applyAlignment="1">
      <alignment horizontal="center"/>
    </xf>
    <xf numFmtId="0" fontId="20" fillId="0" borderId="14" xfId="0" applyNumberFormat="1" applyFont="1" applyBorder="1" applyAlignment="1">
      <alignment horizontal="center"/>
    </xf>
    <xf numFmtId="0" fontId="20" fillId="0" borderId="15" xfId="0" applyNumberFormat="1" applyFont="1" applyBorder="1" applyAlignment="1">
      <alignment horizontal="center"/>
    </xf>
    <xf numFmtId="0" fontId="23" fillId="0" borderId="36" xfId="0" applyNumberFormat="1" applyFont="1" applyBorder="1" applyAlignment="1">
      <alignment horizontal="left" vertical="top"/>
    </xf>
    <xf numFmtId="0" fontId="23" fillId="0" borderId="10" xfId="0" applyNumberFormat="1" applyFont="1" applyBorder="1" applyAlignment="1">
      <alignment horizontal="left" vertical="top"/>
    </xf>
    <xf numFmtId="0" fontId="23" fillId="0" borderId="37" xfId="0" applyNumberFormat="1" applyFont="1" applyBorder="1" applyAlignment="1">
      <alignment horizontal="left" vertical="top"/>
    </xf>
    <xf numFmtId="0" fontId="23" fillId="0" borderId="39" xfId="0" applyNumberFormat="1" applyFont="1" applyBorder="1" applyAlignment="1">
      <alignment horizontal="left" vertical="top"/>
    </xf>
    <xf numFmtId="0" fontId="23" fillId="0" borderId="0" xfId="0" applyNumberFormat="1" applyFont="1" applyBorder="1" applyAlignment="1">
      <alignment horizontal="left" vertical="top"/>
    </xf>
    <xf numFmtId="0" fontId="23" fillId="0" borderId="12" xfId="0" applyNumberFormat="1" applyFont="1" applyBorder="1" applyAlignment="1">
      <alignment horizontal="left" vertical="top"/>
    </xf>
    <xf numFmtId="0" fontId="23" fillId="0" borderId="14" xfId="0" applyNumberFormat="1" applyFont="1" applyBorder="1" applyAlignment="1">
      <alignment horizontal="left" vertical="top"/>
    </xf>
    <xf numFmtId="0" fontId="23" fillId="0" borderId="40" xfId="0" applyNumberFormat="1" applyFont="1" applyBorder="1" applyAlignment="1">
      <alignment horizontal="left" vertical="top"/>
    </xf>
    <xf numFmtId="0" fontId="23" fillId="0" borderId="15" xfId="0" applyNumberFormat="1" applyFont="1" applyBorder="1" applyAlignment="1">
      <alignment horizontal="left" vertical="top"/>
    </xf>
    <xf numFmtId="0" fontId="20" fillId="0" borderId="36" xfId="0" applyFont="1" applyBorder="1" applyAlignment="1">
      <alignment horizontal="center" vertical="center"/>
    </xf>
    <xf numFmtId="0" fontId="20" fillId="0" borderId="37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40" xfId="0" applyNumberFormat="1" applyFont="1" applyBorder="1" applyAlignment="1">
      <alignment horizontal="left" vertical="center"/>
    </xf>
    <xf numFmtId="0" fontId="20" fillId="0" borderId="15" xfId="0" applyNumberFormat="1" applyFont="1" applyBorder="1" applyAlignment="1">
      <alignment horizontal="left" vertical="center"/>
    </xf>
    <xf numFmtId="0" fontId="20" fillId="0" borderId="13" xfId="0" applyFont="1" applyBorder="1" applyAlignment="1">
      <alignment horizontal="left" vertical="center"/>
    </xf>
    <xf numFmtId="0" fontId="20" fillId="0" borderId="39" xfId="0" applyNumberFormat="1" applyFont="1" applyBorder="1" applyAlignment="1">
      <alignment horizontal="left" vertical="center"/>
    </xf>
    <xf numFmtId="0" fontId="20" fillId="0" borderId="12" xfId="0" applyNumberFormat="1" applyFont="1" applyBorder="1" applyAlignment="1">
      <alignment horizontal="left" vertical="center"/>
    </xf>
    <xf numFmtId="0" fontId="20" fillId="0" borderId="16" xfId="0" applyFont="1" applyBorder="1" applyAlignment="1">
      <alignment horizontal="left" vertical="center"/>
    </xf>
    <xf numFmtId="0" fontId="20" fillId="0" borderId="19" xfId="0" applyFont="1" applyBorder="1" applyAlignment="1">
      <alignment horizontal="left" vertical="center"/>
    </xf>
    <xf numFmtId="0" fontId="20" fillId="0" borderId="10" xfId="0" applyNumberFormat="1" applyFont="1" applyBorder="1" applyAlignment="1">
      <alignment horizontal="left" vertical="center"/>
    </xf>
    <xf numFmtId="0" fontId="20" fillId="0" borderId="37" xfId="0" applyNumberFormat="1" applyFont="1" applyBorder="1" applyAlignment="1">
      <alignment horizontal="left" vertical="center"/>
    </xf>
    <xf numFmtId="0" fontId="20" fillId="0" borderId="10" xfId="0" applyNumberFormat="1" applyFont="1" applyBorder="1" applyAlignment="1">
      <alignment horizontal="center"/>
    </xf>
    <xf numFmtId="0" fontId="20" fillId="0" borderId="0" xfId="0" applyNumberFormat="1" applyFont="1" applyBorder="1" applyAlignment="1">
      <alignment horizontal="center"/>
    </xf>
    <xf numFmtId="0" fontId="20" fillId="0" borderId="40" xfId="0" applyNumberFormat="1" applyFont="1" applyBorder="1" applyAlignment="1">
      <alignment horizontal="center"/>
    </xf>
    <xf numFmtId="0" fontId="20" fillId="0" borderId="36" xfId="0" applyNumberFormat="1" applyFont="1" applyBorder="1" applyAlignment="1">
      <alignment horizontal="left" vertical="center"/>
    </xf>
    <xf numFmtId="186" fontId="20" fillId="0" borderId="36" xfId="0" applyNumberFormat="1" applyFont="1" applyBorder="1" applyAlignment="1">
      <alignment horizontal="left" vertical="center"/>
    </xf>
    <xf numFmtId="186" fontId="20" fillId="0" borderId="10" xfId="0" applyNumberFormat="1" applyFont="1" applyBorder="1" applyAlignment="1">
      <alignment horizontal="left" vertical="center"/>
    </xf>
    <xf numFmtId="186" fontId="20" fillId="0" borderId="37" xfId="0" applyNumberFormat="1" applyFont="1" applyBorder="1" applyAlignment="1">
      <alignment horizontal="left" vertical="center"/>
    </xf>
    <xf numFmtId="0" fontId="20" fillId="0" borderId="39" xfId="0" applyNumberFormat="1" applyFont="1" applyBorder="1" applyAlignment="1">
      <alignment horizontal="left" vertical="center" wrapText="1"/>
    </xf>
    <xf numFmtId="0" fontId="20" fillId="0" borderId="0" xfId="0" applyNumberFormat="1" applyFont="1" applyBorder="1" applyAlignment="1">
      <alignment horizontal="left" vertical="center" wrapText="1"/>
    </xf>
    <xf numFmtId="0" fontId="20" fillId="0" borderId="12" xfId="0" applyNumberFormat="1" applyFont="1" applyBorder="1" applyAlignment="1">
      <alignment horizontal="left" vertical="center" wrapText="1"/>
    </xf>
    <xf numFmtId="0" fontId="20" fillId="0" borderId="14" xfId="0" applyNumberFormat="1" applyFont="1" applyBorder="1" applyAlignment="1">
      <alignment horizontal="left" vertical="center"/>
    </xf>
    <xf numFmtId="186" fontId="20" fillId="0" borderId="39" xfId="0" applyNumberFormat="1" applyFont="1" applyBorder="1" applyAlignment="1">
      <alignment horizontal="left" vertical="center"/>
    </xf>
    <xf numFmtId="186" fontId="20" fillId="0" borderId="0" xfId="0" applyNumberFormat="1" applyFont="1" applyBorder="1" applyAlignment="1">
      <alignment horizontal="left" vertical="center"/>
    </xf>
    <xf numFmtId="186" fontId="20" fillId="0" borderId="12" xfId="0" applyNumberFormat="1" applyFont="1" applyBorder="1" applyAlignment="1">
      <alignment horizontal="left" vertical="center"/>
    </xf>
  </cellXfs>
  <cellStyles count="110">
    <cellStyle name="_ET_STYLE_NoName_00_" xfId="10"/>
    <cellStyle name="Comma 10" xfId="11"/>
    <cellStyle name="Comma 11" xfId="12"/>
    <cellStyle name="Comma 12" xfId="13"/>
    <cellStyle name="Comma 13" xfId="14"/>
    <cellStyle name="Comma 14" xfId="15"/>
    <cellStyle name="Comma 14 2" xfId="16"/>
    <cellStyle name="Comma 15" xfId="17"/>
    <cellStyle name="Comma 16" xfId="18"/>
    <cellStyle name="Comma 17" xfId="19"/>
    <cellStyle name="Comma 18" xfId="20"/>
    <cellStyle name="Comma 19" xfId="21"/>
    <cellStyle name="Comma 2" xfId="3"/>
    <cellStyle name="Comma 2 2" xfId="22"/>
    <cellStyle name="Comma 2 3" xfId="23"/>
    <cellStyle name="Comma 2 4" xfId="6"/>
    <cellStyle name="Comma 20" xfId="24"/>
    <cellStyle name="Comma 21" xfId="25"/>
    <cellStyle name="Comma 22" xfId="26"/>
    <cellStyle name="Comma 23" xfId="27"/>
    <cellStyle name="Comma 24" xfId="28"/>
    <cellStyle name="Comma 25" xfId="29"/>
    <cellStyle name="Comma 26" xfId="30"/>
    <cellStyle name="Comma 27" xfId="31"/>
    <cellStyle name="Comma 28" xfId="32"/>
    <cellStyle name="Comma 29" xfId="33"/>
    <cellStyle name="Comma 3" xfId="34"/>
    <cellStyle name="Comma 3 2" xfId="35"/>
    <cellStyle name="Comma 3 3" xfId="36"/>
    <cellStyle name="Comma 3 4" xfId="37"/>
    <cellStyle name="Comma 4" xfId="38"/>
    <cellStyle name="Comma 4 2" xfId="39"/>
    <cellStyle name="Comma 4 2 2" xfId="40"/>
    <cellStyle name="Comma 4 3" xfId="41"/>
    <cellStyle name="Comma 5" xfId="42"/>
    <cellStyle name="Comma 5 2" xfId="43"/>
    <cellStyle name="Comma 5 2 2" xfId="44"/>
    <cellStyle name="Comma 5 2 3" xfId="45"/>
    <cellStyle name="Comma 5 3" xfId="46"/>
    <cellStyle name="Comma 5 3 2" xfId="47"/>
    <cellStyle name="Comma 5 4" xfId="48"/>
    <cellStyle name="Comma 5 4 2" xfId="49"/>
    <cellStyle name="Comma 5 5" xfId="50"/>
    <cellStyle name="Comma 5 5 2" xfId="51"/>
    <cellStyle name="Comma 5 6" xfId="52"/>
    <cellStyle name="Comma 5 6 2" xfId="53"/>
    <cellStyle name="Comma 5 7" xfId="54"/>
    <cellStyle name="Comma 5 8" xfId="55"/>
    <cellStyle name="Comma 5 9" xfId="56"/>
    <cellStyle name="Comma 6" xfId="57"/>
    <cellStyle name="Comma 6 2" xfId="58"/>
    <cellStyle name="Comma 7" xfId="59"/>
    <cellStyle name="Comma 8" xfId="60"/>
    <cellStyle name="Comma 9" xfId="61"/>
    <cellStyle name="Euro" xfId="62"/>
    <cellStyle name="Excel Built-in Normal" xfId="7"/>
    <cellStyle name="Header1" xfId="63"/>
    <cellStyle name="Header2" xfId="64"/>
    <cellStyle name="Hyperlink" xfId="109" builtinId="8"/>
    <cellStyle name="Hyperlink 2" xfId="65"/>
    <cellStyle name="Hyperlink 3" xfId="66"/>
    <cellStyle name="Komma 2" xfId="5"/>
    <cellStyle name="n" xfId="67"/>
    <cellStyle name="Normal" xfId="0" builtinId="0"/>
    <cellStyle name="Normal 11" xfId="68"/>
    <cellStyle name="Normal 14" xfId="69"/>
    <cellStyle name="Normal 15" xfId="70"/>
    <cellStyle name="Normal 2" xfId="71"/>
    <cellStyle name="Normal 2 2" xfId="72"/>
    <cellStyle name="Normal 2 3" xfId="8"/>
    <cellStyle name="Normal 2 4" xfId="73"/>
    <cellStyle name="Normal 2_SAPPORO SET 01-10-09" xfId="74"/>
    <cellStyle name="Normal 3" xfId="75"/>
    <cellStyle name="Normal 3 2" xfId="76"/>
    <cellStyle name="Normal 4" xfId="77"/>
    <cellStyle name="Normal 4 2" xfId="78"/>
    <cellStyle name="Normal 4 3" xfId="79"/>
    <cellStyle name="Normal 5" xfId="80"/>
    <cellStyle name="Normal 6" xfId="81"/>
    <cellStyle name="Normal 7" xfId="82"/>
    <cellStyle name="Normal 7 2" xfId="83"/>
    <cellStyle name="Normal 8" xfId="84"/>
    <cellStyle name="Normal 9" xfId="85"/>
    <cellStyle name="Standaard 2" xfId="1"/>
    <cellStyle name="Standaard 2 2" xfId="4"/>
    <cellStyle name="Standaard 3" xfId="86"/>
    <cellStyle name="Standaard_STANDAARD LAY-OUT SAMPLES 2009" xfId="2"/>
    <cellStyle name="Stijl 1" xfId="87"/>
    <cellStyle name="Style 1" xfId="9"/>
    <cellStyle name=" [0.00]_ Att. 1- Cover" xfId="88"/>
    <cellStyle name="_ Att. 1- Cover" xfId="89"/>
    <cellStyle name="?_ Att. 1- Cover" xfId="90"/>
    <cellStyle name="똿뗦먛귟 [0.00]_PRODUCT DETAIL Q1" xfId="91"/>
    <cellStyle name="똿뗦먛귟_PRODUCT DETAIL Q1" xfId="92"/>
    <cellStyle name="믅됞 [0.00]_PRODUCT DETAIL Q1" xfId="93"/>
    <cellStyle name="믅됞_PRODUCT DETAIL Q1" xfId="94"/>
    <cellStyle name="백분율_95" xfId="95"/>
    <cellStyle name="뷭?_BOOKSHIP" xfId="96"/>
    <cellStyle name="콤마 [0]_1202" xfId="97"/>
    <cellStyle name="콤마_1202" xfId="98"/>
    <cellStyle name="통화 [0]_1202" xfId="99"/>
    <cellStyle name="통화_1202" xfId="100"/>
    <cellStyle name="표준_(정보부문)월별인원계획" xfId="101"/>
    <cellStyle name="一般_99Q3647-ALL-CAS2" xfId="102"/>
    <cellStyle name="千分位[0]_Book1" xfId="103"/>
    <cellStyle name="千分位_99Q3647-ALL-CAS2" xfId="104"/>
    <cellStyle name="常规_Sheet1" xfId="105"/>
    <cellStyle name="貨幣 [0]_Book1" xfId="106"/>
    <cellStyle name="貨幣[0]_BRE" xfId="107"/>
    <cellStyle name="貨幣_Book1" xfId="108"/>
  </cellStyles>
  <dxfs count="178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9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9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/>
        <top/>
        <bottom/>
      </border>
    </dxf>
    <dxf>
      <border>
        <top style="thin">
          <color indexed="64"/>
        </top>
        <vertical/>
        <horizontal/>
      </border>
    </dxf>
    <dxf>
      <font>
        <strike val="0"/>
        <outline val="0"/>
        <shadow val="0"/>
        <u val="none"/>
        <vertAlign val="baseline"/>
        <sz val="18"/>
        <color auto="1"/>
        <name val="Verdana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9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9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Print2DataObject.xsd'">
  <Schema ID="Schema2" Namespace="http://tempuri.org/Print2DataObject.xsd">
    <xs:schema xmlns:mstns="http://tempuri.org/Print2DataObject.xsd" xmlns="http://tempuri.org/Print2DataObject.xsd" xmlns:xs="http://www.w3.org/2001/XMLSchema" xmlns:msdata="urn:schemas-microsoft-com:xml-msdata" id="Print2DataObject" targetNamespace="http://tempuri.org/Print2DataObject.xsd" attributeFormDefault="qualified" elementFormDefault="qualified">
      <xs:element name="Print2DataObject" msdata:IsDataSet="true" msdata:UseCurrentLocale="true">
        <xs:complexType>
          <xs:sequence>
            <xs:element name="OfferMng_PrintHeader_View">
              <xs:complexType>
                <xs:sequence>
                  <xs:element name="OfferID" type="xs:int"/>
                  <xs:element name="Logo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t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obil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r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ddres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LogoImagePath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ayment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imeNM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LDS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OD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ffer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Currenc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fferVersion" type="xs:int" minOccurs="0"/>
                  <xs:element name="ValidUntil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Forward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orwarderContactPers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actPersonPhon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orwarderContactPerson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ract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ForwarderFollowupByLogistics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Packag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Label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Directly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Sign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DP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LC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In20DC" type="xs:decimal" minOccurs="0"/>
                  <xs:element name="QntIn40DC" type="xs:decimal" minOccurs="0"/>
                  <xs:element name="QntIn40HC" type="xs:decimal" minOccurs="0"/>
                  <xs:element name="PartialQnt" type="xs:decimal" minOccurs="0"/>
                  <xs:element name="Qnt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</xs:sequence>
              </xs:complexType>
            </xs:element>
            <xs:element name="OfferMng_PrintDetail_View" minOccurs="0" maxOccurs="unbounded">
              <xs:complexType>
                <xs:sequence>
                  <xs:element name="OfferID" type="xs:int" minOccurs="0"/>
                  <xs:element name="FileLoca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llecti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taloguePageNumber" type="xs:int" minOccurs="0"/>
                  <xs:element name="Range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Thickness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bricWeight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verall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NetWeight" type="xs:decimal" minOccurs="0"/>
                  <xs:element name="CartonBox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QntInBox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GrossWeight" msdata:ReadOnly="true" type="xs:decimal" minOccurs="0"/>
                  <xs:element name="PackagingMethod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nt20DC" type="xs:int" minOccurs="0"/>
                  <xs:element name="Qnt40DC" type="xs:int" minOccurs="0"/>
                  <xs:element name="Qnt40HC" type="xs:int" minOccurs="0"/>
                  <xs:element name="Set40HC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roductionLocation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OL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uantity" type="xs:int" minOccurs="0"/>
                  <xs:element name="OrderedQntIn40HC" msdata:ReadOnly="true" type="xs:decimal" minOccurs="0"/>
                  <xs:element name="FinalPrice" type="xs:decimal" minOccurs="0"/>
                  <xs:element name="TotalAmount" msdata:ReadOnly="true" type="xs:decimal" minOccurs="0"/>
                  <xs:element name="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RowIndex" type="xs:int" minOccurs="0"/>
                </xs:sequence>
              </xs:complexType>
            </xs:element>
            <xs:element name="OfferMng_PrintHeaderReport_View">
              <xs:complexType>
                <xs:sequence>
                  <xs:element name="OfferID" type="xs:int"/>
                  <xs:element name="Logo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t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obil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r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ddres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LogoImagePath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ayment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imeNM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LDS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OD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ffer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Currenc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fferVersion" type="xs:int" minOccurs="0"/>
                  <xs:element name="ValidUntil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Forward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orwarderContactPers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actPersonPhon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orwarderContactPerson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ract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ForwarderFollowupByLogistics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Packag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Label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Directly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Sign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DP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LC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In20DC" type="xs:decimal" minOccurs="0"/>
                  <xs:element name="QntIn40DC" type="xs:decimal" minOccurs="0"/>
                  <xs:element name="QntIn40HC" type="xs:decimal" minOccurs="0"/>
                  <xs:element name="PartialQnt" type="xs:decimal" minOccurs="0"/>
                  <xs:element name="Qnt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</xs:sequence>
              </xs:complexType>
            </xs:element>
            <xs:element name="OfferMng_PrintDetailReport_View" minOccurs="0" maxOccurs="unbounded">
              <xs:complexType>
                <xs:sequence>
                  <xs:element name="OfferID" type="xs:int" minOccurs="0"/>
                  <xs:element name="FileLoca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llecti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taloguePageNumber" type="xs:int" minOccurs="0"/>
                  <xs:element name="Range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Thickness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bricWeight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verall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NetWeight" type="xs:decimal" minOccurs="0"/>
                  <xs:element name="CartonBox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QntInBox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GrossWeight" msdata:ReadOnly="true" type="xs:decimal" minOccurs="0"/>
                  <xs:element name="PackagingMethod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nt20DC" type="xs:int" minOccurs="0"/>
                  <xs:element name="Qnt40DC" type="xs:int" minOccurs="0"/>
                  <xs:element name="Qnt40HC" type="xs:int" minOccurs="0"/>
                  <xs:element name="Set40HC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roductionLocation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OL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uantity" type="xs:int" minOccurs="0"/>
                  <xs:element name="OrderedQntIn40HC" msdata:ReadOnly="true" type="xs:decimal" minOccurs="0"/>
                  <xs:element name="FinalPrice" type="xs:decimal" minOccurs="0"/>
                  <xs:element name="TotalAmount" msdata:ReadOnly="true" type="xs:decimal" minOccurs="0"/>
                  <xs:element name="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RowIndex" type="xs:int" minOccurs="0"/>
                </xs:sequence>
              </xs:complexType>
            </xs:element>
          </xs:sequence>
        </xs:complexType>
      </xs:element>
    </xs:schema>
  </Schema>
  <Map ID="16" Name="Print2DataObject_Map" RootElement="Print2DataObject" SchemaID="Schema2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59532</xdr:colOff>
      <xdr:row>46</xdr:row>
      <xdr:rowOff>17860</xdr:rowOff>
    </xdr:from>
    <xdr:to>
      <xdr:col>22</xdr:col>
      <xdr:colOff>295327</xdr:colOff>
      <xdr:row>49</xdr:row>
      <xdr:rowOff>98139</xdr:rowOff>
    </xdr:to>
    <xdr:pic>
      <xdr:nvPicPr>
        <xdr:cNvPr id="2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403307" y="5713810"/>
          <a:ext cx="1578820" cy="45175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ables/table1.xml><?xml version="1.0" encoding="utf-8"?>
<table xmlns="http://schemas.openxmlformats.org/spreadsheetml/2006/main" id="59" name="Table59" displayName="Table59" ref="A12:U12" tableType="xml" headerRowCount="0" headerRowDxfId="177" dataDxfId="175" totalsRowDxfId="173" headerRowBorderDxfId="176" tableBorderDxfId="174" headerRowCellStyle="Standaard 2 2" dataCellStyle="Standaard 2">
  <tableColumns count="21">
    <tableColumn id="1" uniqueName="ns2:RowIndex" name="ns2:DisplayIndex" headerRowDxfId="172" dataDxfId="171" totalsRowDxfId="170" headerRowCellStyle="Standaard 2 2" dataCellStyle="Standaard 2">
      <xmlColumnPr mapId="16" xpath="/ns2:Print2DataObject/ns2:OfferMng_PrintDetailReport_View/ns2:RowIndex" xmlDataType="int"/>
    </tableColumn>
    <tableColumn id="2" uniqueName="ns2:Collection" name="ns2:Collection" headerRowDxfId="169" dataDxfId="168" totalsRowDxfId="167" headerRowCellStyle="Standaard 2 2" dataCellStyle="Standaard 2">
      <xmlColumnPr mapId="16" xpath="/ns2:Print2DataObject/ns2:OfferMng_PrintDetailReport_View/ns2:Collection" xmlDataType="string"/>
    </tableColumn>
    <tableColumn id="3" uniqueName="ns2:CataloguePageNumber" name="ns2:CataloguePageNo" headerRowDxfId="166" dataDxfId="165" totalsRowDxfId="164" headerRowCellStyle="Standaard 2 2" dataCellStyle="Standaard 2">
      <xmlColumnPr mapId="16" xpath="/ns2:Print2DataObject/ns2:OfferMng_PrintDetailReport_View/ns2:CataloguePageNumber" xmlDataType="int"/>
    </tableColumn>
    <tableColumn id="4" uniqueName="ns2:FileLocation" name="ns2:FullImagePath" headerRowDxfId="163" dataDxfId="162" totalsRowDxfId="161" headerRowCellStyle="Standaard 2 2" dataCellStyle="Standaard 2">
      <xmlColumnPr mapId="16" xpath="/ns2:Print2DataObject/ns2:OfferMng_PrintDetailReport_View/ns2:FileLocation" xmlDataType="string"/>
    </tableColumn>
    <tableColumn id="5" uniqueName="0" name="ns2:FullImagePath2" headerRowDxfId="160" dataDxfId="159" totalsRowDxfId="158" headerRowCellStyle="Standaard 2 2" dataCellStyle="Standaard 2"/>
    <tableColumn id="6" uniqueName="ns2:RangeName" name="ns2:RangeName" headerRowDxfId="157" dataDxfId="156" totalsRowDxfId="155" headerRowCellStyle="Standaard 2 2" dataCellStyle="Standaard 2">
      <xmlColumnPr mapId="16" xpath="/ns2:Print2DataObject/ns2:OfferMng_PrintDetailReport_View/ns2:RangeName" xmlDataType="string"/>
    </tableColumn>
    <tableColumn id="7" uniqueName="ns2:ArticleCode" name="ns2:ArticleCode" headerRowDxfId="154" dataDxfId="153" totalsRowDxfId="152" headerRowCellStyle="Standaard 2 2" dataCellStyle="Standaard 2">
      <xmlColumnPr mapId="16" xpath="/ns2:Print2DataObject/ns2:OfferMng_PrintDetailReport_View/ns2:ArticleCode" xmlDataType="string"/>
    </tableColumn>
    <tableColumn id="8" uniqueName="ns2:Description" name="ns2:Description" headerRowDxfId="151" dataDxfId="150" totalsRowDxfId="149" headerRowCellStyle="Standaard 2 2" dataCellStyle="Standaard 2">
      <xmlColumnPr mapId="16" xpath="/ns2:Print2DataObject/ns2:OfferMng_PrintDetailReport_View/ns2:Description" xmlDataType="string"/>
    </tableColumn>
    <tableColumn id="9" uniqueName="ns2:MaterialNM" name="ns2:MaterialNM" headerRowDxfId="148" dataDxfId="147" totalsRowDxfId="146" headerRowCellStyle="Standaard 2 2" dataCellStyle="Standaard 2">
      <xmlColumnPr mapId="16" xpath="/ns2:Print2DataObject/ns2:OfferMng_PrintDetailReport_View/ns2:MaterialNM" xmlDataType="string"/>
    </tableColumn>
    <tableColumn id="10" uniqueName="ns2:MaterialTypeNM" name="ns2:MaterialTypeNM" headerRowDxfId="145" dataDxfId="144" totalsRowDxfId="143" headerRowCellStyle="Standaard 2 2" dataCellStyle="Standaard 2">
      <xmlColumnPr mapId="16" xpath="/ns2:Print2DataObject/ns2:OfferMng_PrintDetailReport_View/ns2:MaterialTypeNM" xmlDataType="string"/>
    </tableColumn>
    <tableColumn id="11" uniqueName="ns2:MaterialColorNM" name="ns2:MaterialColorNM" headerRowDxfId="142" dataDxfId="141" totalsRowDxfId="140" headerRowCellStyle="Standaard 2 2" dataCellStyle="Standaard 2">
      <xmlColumnPr mapId="16" xpath="/ns2:Print2DataObject/ns2:OfferMng_PrintDetailReport_View/ns2:MaterialColorNM" xmlDataType="string"/>
    </tableColumn>
    <tableColumn id="12" uniqueName="ns2:CushionColorNM" name="ns2:CushionColorNM" headerRowDxfId="139" dataDxfId="138" totalsRowDxfId="137" headerRowCellStyle="Standaard 2 2" dataCellStyle="Standaard 2">
      <xmlColumnPr mapId="16" xpath="/ns2:Print2DataObject/ns2:OfferMng_PrintDetailReport_View/ns2:CushionColorNM" xmlDataType="string"/>
    </tableColumn>
    <tableColumn id="13" uniqueName="ns2:OverallDimL" name="ns2:OverallDimL" headerRowDxfId="136" dataDxfId="135" totalsRowDxfId="134" headerRowCellStyle="Standaard 2 2" dataCellStyle="Standaard 2">
      <xmlColumnPr mapId="16" xpath="/ns2:Print2DataObject/ns2:OfferMng_PrintDetailReport_View/ns2:OverallDimL" xmlDataType="string"/>
    </tableColumn>
    <tableColumn id="14" uniqueName="ns2:OverallDimW" name="ns2:OverallDimW" headerRowDxfId="133" dataDxfId="132" totalsRowDxfId="131" headerRowCellStyle="Standaard 2 2" dataCellStyle="Standaard 2">
      <xmlColumnPr mapId="16" xpath="/ns2:Print2DataObject/ns2:OfferMng_PrintDetailReport_View/ns2:OverallDimW" xmlDataType="string"/>
    </tableColumn>
    <tableColumn id="15" uniqueName="ns2:OverallDimH" name="ns2:OverallDimH" headerRowDxfId="130" dataDxfId="129" totalsRowDxfId="128" headerRowCellStyle="Standaard 2 2" dataCellStyle="Standaard 2">
      <xmlColumnPr mapId="16" xpath="/ns2:Print2DataObject/ns2:OfferMng_PrintDetailReport_View/ns2:OverallDimH" xmlDataType="string"/>
    </tableColumn>
    <tableColumn id="16" uniqueName="ns2:NetWeight" name="ns2:NetWeight" headerRowDxfId="127" dataDxfId="126" totalsRowDxfId="125" headerRowCellStyle="Standaard 2 2" dataCellStyle="Standaard 2">
      <xmlColumnPr mapId="16" xpath="/ns2:Print2DataObject/ns2:OfferMng_PrintDetailReport_View/ns2:NetWeight" xmlDataType="decimal"/>
    </tableColumn>
    <tableColumn id="17" uniqueName="ns2:Qnt40HC" name="ns2:Loadability40HC" headerRowDxfId="124" dataDxfId="123" totalsRowDxfId="122" headerRowCellStyle="Standaard 2 2" dataCellStyle="Standaard 2">
      <xmlColumnPr mapId="16" xpath="/ns2:Print2DataObject/ns2:OfferMng_PrintDetailReport_View/ns2:Qnt40HC" xmlDataType="int"/>
    </tableColumn>
    <tableColumn id="18" uniqueName="ns2:Quantity" name="ns2:OrderQnt" headerRowDxfId="121" dataDxfId="120" totalsRowDxfId="119" headerRowCellStyle="Standaard 2 2" dataCellStyle="Standaard 2">
      <xmlColumnPr mapId="16" xpath="/ns2:Print2DataObject/ns2:OfferMng_PrintDetailReport_View/ns2:Quantity" xmlDataType="int"/>
    </tableColumn>
    <tableColumn id="19" uniqueName="ns2:FinalPrice" name="ns2:UnitPrice" headerRowDxfId="118" dataDxfId="117" totalsRowDxfId="116" headerRowCellStyle="Standaard 2 2" dataCellStyle="Standaard 2">
      <xmlColumnPr mapId="16" xpath="/ns2:Print2DataObject/ns2:OfferMng_PrintDetailReport_View/ns2:FinalPrice" xmlDataType="decimal"/>
    </tableColumn>
    <tableColumn id="20" uniqueName="ns2:TotalAmount" name="ns2:TotalAmount" headerRowDxfId="115" dataDxfId="114" totalsRowDxfId="113" headerRowCellStyle="Standaard 2 2" dataCellStyle="Standaard 2">
      <xmlColumnPr mapId="16" xpath="/ns2:Print2DataObject/ns2:OfferMng_PrintDetailReport_View/ns2:TotalAmount" xmlDataType="decimal"/>
    </tableColumn>
    <tableColumn id="21" uniqueName="ns2:Remark" name="ns2:Remark" totalsRowFunction="count" headerRowDxfId="112" dataDxfId="111" totalsRowDxfId="110" headerRowCellStyle="Standaard 2 2" dataCellStyle="Standaard 2">
      <xmlColumnPr mapId="16" xpath="/ns2:Print2DataObject/ns2:OfferMng_PrintDetailReport_View/ns2:Remark" xmlDataType="string"/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48" name="Table48" displayName="Table48" ref="A19:AI19" tableType="xml" headerRowCount="0" headerRowDxfId="109" dataDxfId="108" totalsRowDxfId="106" tableBorderDxfId="107" totalsRowBorderDxfId="105" headerRowCellStyle="Standaard 2 2" dataCellStyle="Standaard 2 2">
  <tableColumns count="35">
    <tableColumn id="1" uniqueName="ns2:Collection" name="ns1:CollectionName" headerRowDxfId="104" dataDxfId="103" totalsRowDxfId="102" headerRowCellStyle="Standaard 2 2" dataCellStyle="Standaard 2 2">
      <xmlColumnPr mapId="16" xpath="/ns2:Print2DataObject/ns2:OfferMng_PrintDetail_View/ns2:Collection" xmlDataType="string"/>
    </tableColumn>
    <tableColumn id="2" uniqueName="ns2:CataloguePageNumber" name="ns1:CataloguePageNo" headerRowDxfId="101" dataDxfId="100" totalsRowDxfId="99" headerRowCellStyle="Standaard 2 2" dataCellStyle="Standaard 2 2">
      <xmlColumnPr mapId="16" xpath="/ns2:Print2DataObject/ns2:OfferMng_PrintDetail_View/ns2:CataloguePageNumber" xmlDataType="int"/>
    </tableColumn>
    <tableColumn id="3" uniqueName="ns2:FileLocation" name="ns1:PicturePath" headerRowDxfId="98" dataDxfId="97" totalsRowDxfId="96" headerRowCellStyle="Standaard 2 2" dataCellStyle="Standaard 2 2">
      <xmlColumnPr mapId="16" xpath="/ns2:Print2DataObject/ns2:OfferMng_PrintDetail_View/ns2:FileLocation" xmlDataType="string"/>
    </tableColumn>
    <tableColumn id="4" uniqueName="ns2:RangeName" name="ns1:RangeName" headerRowDxfId="95" dataDxfId="94" totalsRowDxfId="93" headerRowCellStyle="Standaard 2 2" dataCellStyle="Standaard 2 2">
      <xmlColumnPr mapId="16" xpath="/ns2:Print2DataObject/ns2:OfferMng_PrintDetail_View/ns2:RangeName" xmlDataType="string"/>
    </tableColumn>
    <tableColumn id="5" uniqueName="ns2:ArticleCode" name="ns1:ModelUD" headerRowDxfId="92" dataDxfId="91" totalsRowDxfId="90" headerRowCellStyle="Standaard 2 2" dataCellStyle="Standaard 2">
      <xmlColumnPr mapId="16" xpath="/ns2:Print2DataObject/ns2:OfferMng_PrintDetail_View/ns2:ArticleCode" xmlDataType="string"/>
    </tableColumn>
    <tableColumn id="6" uniqueName="ns2:Description" name="ns1:Description" headerRowDxfId="89" dataDxfId="88" totalsRowDxfId="87" headerRowCellStyle="Standaard 2 2" dataCellStyle="Standaard 2 2">
      <xmlColumnPr mapId="16" xpath="/ns2:Print2DataObject/ns2:OfferMng_PrintDetail_View/ns2:Description" xmlDataType="string"/>
    </tableColumn>
    <tableColumn id="11" uniqueName="ns2:MaterialNM" name="ns1:MaterialNM" headerRowDxfId="86" dataDxfId="85" totalsRowDxfId="84" headerRowCellStyle="Standaard 2 2" dataCellStyle="Standaard 2 2">
      <xmlColumnPr mapId="16" xpath="/ns2:Print2DataObject/ns2:OfferMng_PrintDetail_View/ns2:MaterialNM" xmlDataType="string"/>
    </tableColumn>
    <tableColumn id="12" uniqueName="ns2:FrameMaterialNM" name="ns1:FrameMaterialNM" headerRowDxfId="83" dataDxfId="82" totalsRowDxfId="81" headerRowCellStyle="Standaard 2 2" dataCellStyle="Standaard 2 2">
      <xmlColumnPr mapId="16" xpath="/ns2:Print2DataObject/ns2:OfferMng_PrintDetail_View/ns2:FrameMaterialNM" xmlDataType="string"/>
    </tableColumn>
    <tableColumn id="13" uniqueName="ns2:MaterialTypeNM" name="ns1:MaterialTypeNM" headerRowDxfId="80" dataDxfId="79" totalsRowDxfId="78" headerRowCellStyle="Standaard 2 2" dataCellStyle="Standaard 2 2">
      <xmlColumnPr mapId="16" xpath="/ns2:Print2DataObject/ns2:OfferMng_PrintDetail_View/ns2:MaterialTypeNM" xmlDataType="string"/>
    </tableColumn>
    <tableColumn id="14" uniqueName="ns2:MaterialColorNM" name="ns1:MaterialColorNM" headerRowDxfId="77" dataDxfId="76" totalsRowDxfId="75" headerRowCellStyle="Standaard 2 2" dataCellStyle="Standaard 2 2">
      <xmlColumnPr mapId="16" xpath="/ns2:Print2DataObject/ns2:OfferMng_PrintDetail_View/ns2:MaterialColorNM" xmlDataType="string"/>
    </tableColumn>
    <tableColumn id="15" uniqueName="ns2:CushionThickness" name="ns1:CushionThickness" headerRowDxfId="74" dataDxfId="73" totalsRowDxfId="72" headerRowCellStyle="Standaard 2 2" dataCellStyle="Standaard 2 2">
      <xmlColumnPr mapId="16" xpath="/ns2:Print2DataObject/ns2:OfferMng_PrintDetail_View/ns2:CushionThickness" xmlDataType="string"/>
    </tableColumn>
    <tableColumn id="16" uniqueName="ns2:FabricWeight" name="ns1:FabricWeight" headerRowDxfId="71" dataDxfId="70" totalsRowDxfId="69" headerRowCellStyle="Standaard 2 2" dataCellStyle="Standaard 2 2">
      <xmlColumnPr mapId="16" xpath="/ns2:Print2DataObject/ns2:OfferMng_PrintDetail_View/ns2:FabricWeight" xmlDataType="string"/>
    </tableColumn>
    <tableColumn id="17" uniqueName="ns2:CushionNM" name="ns1:CushionNM" headerRowDxfId="68" dataDxfId="67" totalsRowDxfId="66" headerRowCellStyle="Standaard 2 2" dataCellStyle="Standaard 2 2">
      <xmlColumnPr mapId="16" xpath="/ns2:Print2DataObject/ns2:OfferMng_PrintDetail_View/ns2:CushionNM" xmlDataType="string"/>
    </tableColumn>
    <tableColumn id="18" uniqueName="ns2:CushionColorNM" name="ns1:CushionColorNM" headerRowDxfId="65" dataDxfId="64" totalsRowDxfId="63" headerRowCellStyle="Standaard 2 2" dataCellStyle="Standaard 2 2">
      <xmlColumnPr mapId="16" xpath="/ns2:Print2DataObject/ns2:OfferMng_PrintDetail_View/ns2:CushionColorNM" xmlDataType="string"/>
    </tableColumn>
    <tableColumn id="19" uniqueName="ns2:OverallDimL" name="ns1:OverallDimL" headerRowDxfId="62" dataDxfId="61" totalsRowDxfId="60" headerRowCellStyle="Standaard 2 2" dataCellStyle="Standaard 2 2">
      <xmlColumnPr mapId="16" xpath="/ns2:Print2DataObject/ns2:OfferMng_PrintDetail_View/ns2:OverallDimL" xmlDataType="string"/>
    </tableColumn>
    <tableColumn id="20" uniqueName="ns2:OverallDimW" name="ns1:OverallDimW" headerRowDxfId="59" dataDxfId="58" totalsRowDxfId="57" headerRowCellStyle="Standaard 2 2" dataCellStyle="Standaard 2 2">
      <xmlColumnPr mapId="16" xpath="/ns2:Print2DataObject/ns2:OfferMng_PrintDetail_View/ns2:OverallDimW" xmlDataType="string"/>
    </tableColumn>
    <tableColumn id="21" uniqueName="ns2:OverallDimH" name="ns1:OverallDimH" headerRowDxfId="56" dataDxfId="55" totalsRowDxfId="54" headerRowCellStyle="Standaard 2 2" dataCellStyle="Standaard 2 2">
      <xmlColumnPr mapId="16" xpath="/ns2:Print2DataObject/ns2:OfferMng_PrintDetail_View/ns2:OverallDimH" xmlDataType="string"/>
    </tableColumn>
    <tableColumn id="22" uniqueName="ns2:NetWeight" name="ns1:NetWeight" headerRowDxfId="53" dataDxfId="52" totalsRowDxfId="51" headerRowCellStyle="Standaard 2 2" dataCellStyle="Standaard 2 2">
      <xmlColumnPr mapId="16" xpath="/ns2:Print2DataObject/ns2:OfferMng_PrintDetail_View/ns2:NetWeight" xmlDataType="decimal"/>
    </tableColumn>
    <tableColumn id="23" uniqueName="ns2:CartonBoxDimL" name="ns1:CartonBoxDimL" headerRowDxfId="50" dataDxfId="49" totalsRowDxfId="48" headerRowCellStyle="Standaard 2 2" dataCellStyle="Standaard 2 2">
      <xmlColumnPr mapId="16" xpath="/ns2:Print2DataObject/ns2:OfferMng_PrintDetail_View/ns2:CartonBoxDimL" xmlDataType="string"/>
    </tableColumn>
    <tableColumn id="24" uniqueName="ns2:CartonBoxDimW" name="ns1:CartonBoxDimW" headerRowDxfId="47" dataDxfId="46" totalsRowDxfId="45" headerRowCellStyle="Standaard 2 2" dataCellStyle="Standaard 2 2">
      <xmlColumnPr mapId="16" xpath="/ns2:Print2DataObject/ns2:OfferMng_PrintDetail_View/ns2:CartonBoxDimW" xmlDataType="string"/>
    </tableColumn>
    <tableColumn id="25" uniqueName="ns2:CartonBoxDimH" name="ns1:CartonBoxDimH" headerRowDxfId="44" dataDxfId="43" totalsRowDxfId="42" headerRowCellStyle="Standaard 2 2" dataCellStyle="Standaard 2 2">
      <xmlColumnPr mapId="16" xpath="/ns2:Print2DataObject/ns2:OfferMng_PrintDetail_View/ns2:CartonBoxDimH" xmlDataType="string"/>
    </tableColumn>
    <tableColumn id="26" uniqueName="ns2:QntInBox" name="ns1:QntInBox" headerRowDxfId="41" dataDxfId="40" totalsRowDxfId="39" headerRowCellStyle="Standaard 2 2" dataCellStyle="Standaard 2 2">
      <xmlColumnPr mapId="16" xpath="/ns2:Print2DataObject/ns2:OfferMng_PrintDetail_View/ns2:QntInBox" xmlDataType="string"/>
    </tableColumn>
    <tableColumn id="27" uniqueName="ns2:GrossWeight" name="ns1:GrossWeight" headerRowDxfId="38" dataDxfId="37" totalsRowDxfId="36" headerRowCellStyle="Standaard 2 2" dataCellStyle="Standaard 2 2">
      <xmlColumnPr mapId="16" xpath="/ns2:Print2DataObject/ns2:OfferMng_PrintDetail_View/ns2:GrossWeight" xmlDataType="decimal"/>
    </tableColumn>
    <tableColumn id="28" uniqueName="ns2:PackagingMethodNM" name="ns1:PackagingTypeText" headerRowDxfId="35" dataDxfId="34" totalsRowDxfId="33" headerRowCellStyle="Standaard 2 2" dataCellStyle="Standaard 2 2">
      <xmlColumnPr mapId="16" xpath="/ns2:Print2DataObject/ns2:OfferMng_PrintDetail_View/ns2:PackagingMethodNM" xmlDataType="string"/>
    </tableColumn>
    <tableColumn id="29" uniqueName="ns2:Qnt20DC" name="ns1:QntIn20DC" headerRowDxfId="32" dataDxfId="31" totalsRowDxfId="30" headerRowCellStyle="Standaard 2 2" dataCellStyle="Standaard 2 2">
      <xmlColumnPr mapId="16" xpath="/ns2:Print2DataObject/ns2:OfferMng_PrintDetail_View/ns2:Qnt20DC" xmlDataType="int"/>
    </tableColumn>
    <tableColumn id="30" uniqueName="ns2:Qnt40DC" name="ns1:QntIn40DC" headerRowDxfId="29" dataDxfId="28" totalsRowDxfId="27" headerRowCellStyle="Standaard 2 2" dataCellStyle="Standaard 2 2">
      <xmlColumnPr mapId="16" xpath="/ns2:Print2DataObject/ns2:OfferMng_PrintDetail_View/ns2:Qnt40DC" xmlDataType="int"/>
    </tableColumn>
    <tableColumn id="31" uniqueName="ns2:Qnt40HC" name="ns1:QntIn40HC" headerRowDxfId="26" dataDxfId="25" totalsRowDxfId="24" headerRowCellStyle="Standaard 2 2" dataCellStyle="Standaard 2 2">
      <xmlColumnPr mapId="16" xpath="/ns2:Print2DataObject/ns2:OfferMng_PrintDetail_View/ns2:Qnt40HC" xmlDataType="int"/>
    </tableColumn>
    <tableColumn id="32" uniqueName="ns2:Set40HC" name="ns1:SetQntIn40HC" headerRowDxfId="23" dataDxfId="22" totalsRowDxfId="21" headerRowCellStyle="Standaard 2 2" dataCellStyle="Standaard 2 2">
      <xmlColumnPr mapId="16" xpath="/ns2:Print2DataObject/ns2:OfferMng_PrintDetail_View/ns2:Set40HC" xmlDataType="string"/>
    </tableColumn>
    <tableColumn id="33" uniqueName="ns2:ProductionLocation" name="ns1:LocationUD" headerRowDxfId="20" dataDxfId="19" totalsRowDxfId="18" headerRowCellStyle="Standaard 2 2" dataCellStyle="Standaard 2 2">
      <xmlColumnPr mapId="16" xpath="/ns2:Print2DataObject/ns2:OfferMng_PrintDetail_View/ns2:ProductionLocation" xmlDataType="string"/>
    </tableColumn>
    <tableColumn id="34" uniqueName="ns2:POLName" name="ns1:POLUD" headerRowDxfId="17" dataDxfId="16" totalsRowDxfId="15" headerRowCellStyle="Standaard 2 2" dataCellStyle="Standaard 2 2">
      <xmlColumnPr mapId="16" xpath="/ns2:Print2DataObject/ns2:OfferMng_PrintDetail_View/ns2:POLName" xmlDataType="string"/>
    </tableColumn>
    <tableColumn id="35" uniqueName="ns2:Quantity" name="ns1:OrderQuantity" headerRowDxfId="14" dataDxfId="13" totalsRowDxfId="12" headerRowCellStyle="Standaard 2 2" dataCellStyle="Standaard 2 2">
      <xmlColumnPr mapId="16" xpath="/ns2:Print2DataObject/ns2:OfferMng_PrintDetail_View/ns2:Quantity" xmlDataType="int"/>
    </tableColumn>
    <tableColumn id="36" uniqueName="ns2:OrderedQntIn40HC" name="ns1:OrderQuantityIn40HC" headerRowDxfId="11" dataDxfId="10" totalsRowDxfId="9" headerRowCellStyle="Standaard 2 2" dataCellStyle="Standaard 2 2">
      <xmlColumnPr mapId="16" xpath="/ns2:Print2DataObject/ns2:OfferMng_PrintDetail_View/ns2:OrderedQntIn40HC" xmlDataType="decimal"/>
    </tableColumn>
    <tableColumn id="37" uniqueName="ns2:FinalPrice" name="ns1:UnitPrice" headerRowDxfId="8" dataDxfId="7" totalsRowDxfId="6" headerRowCellStyle="Standaard 2 2" dataCellStyle="Standaard 2 2">
      <xmlColumnPr mapId="16" xpath="/ns2:Print2DataObject/ns2:OfferMng_PrintDetail_View/ns2:FinalPrice" xmlDataType="decimal"/>
    </tableColumn>
    <tableColumn id="38" uniqueName="ns2:TotalAmount" name="ns1:TotalAmount" headerRowDxfId="5" dataDxfId="4" totalsRowDxfId="3" headerRowCellStyle="Standaard 2 2" dataCellStyle="Standaard 2 2">
      <xmlColumnPr mapId="16" xpath="/ns2:Print2DataObject/ns2:OfferMng_PrintDetail_View/ns2:TotalAmount" xmlDataType="decimal"/>
    </tableColumn>
    <tableColumn id="39" uniqueName="ns2:Remark" name="ns1:Remark" headerRowDxfId="2" dataDxfId="1" totalsRowDxfId="0" headerRowCellStyle="Standaard 2 2" dataCellStyle="Standaard 2 2">
      <xmlColumnPr mapId="16" xpath="/ns2:Print2DataObject/ns2:OfferMng_PrintDetail_View/ns2:Remark" xmlDataType="string"/>
    </tableColumn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id="43" name="Table43" displayName="Table43" ref="A1:AD2" insertRow="1" totalsRowShown="0">
  <autoFilter ref="A1:AD2"/>
  <tableColumns count="30">
    <tableColumn id="1" name="ns2:OfferID"/>
    <tableColumn id="2" name="ns2:OfferDetailID"/>
    <tableColumn id="3" name="ns2:LogoImage"/>
    <tableColumn id="4" name="ns2:FullImage"/>
    <tableColumn id="5" name="ns2:MaterialColorImage"/>
    <tableColumn id="6" name="ns2:CushionColorImage"/>
    <tableColumn id="7" name="ns2:LogoImagePath"/>
    <tableColumn id="8" name="ns2:BuyerNM"/>
    <tableColumn id="9" name="ns2:Address"/>
    <tableColumn id="10" name="ns2:ZipCode"/>
    <tableColumn id="11" name="ns2:CountryNM"/>
    <tableColumn id="12" name="ns2:Telephone"/>
    <tableColumn id="13" name="ns2:OfferDate"/>
    <tableColumn id="14" name="ns2:OfferUD"/>
    <tableColumn id="15" name="ns2:ValidUntil"/>
    <tableColumn id="16" name="ns2:SaleNM"/>
    <tableColumn id="17" name="ns2:ArticleCode"/>
    <tableColumn id="18" name="ns2:Description"/>
    <tableColumn id="19" name="ns2:FullImagePath"/>
    <tableColumn id="20" name="ns2:MaterialImagePath"/>
    <tableColumn id="21" name="ns2:CushionImagePath"/>
    <tableColumn id="22" name="ns2:UnitPrice"/>
    <tableColumn id="23" name="ns2:Remark"/>
    <tableColumn id="24" name="ns2:OverallDimL"/>
    <tableColumn id="25" name="ns2:OverallDimW"/>
    <tableColumn id="26" name="ns2:OverallDimH"/>
    <tableColumn id="27" name="ns2:Loadability20DC"/>
    <tableColumn id="28" name="ns2:Loadability40DC"/>
    <tableColumn id="29" name="ns2:Loadability40HC"/>
    <tableColumn id="30" name="ns2:Email"/>
  </tableColumns>
  <tableStyleInfo name="TableStyleMedium9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1" r="A2" connectionId="0">
    <xmlCellPr id="1" uniqueName="ns2:LogoImage">
      <xmlPr mapId="16" xpath="/ns2:Print2DataObject/ns2:OfferMng_PrintHeaderReport_View/ns2:LogoImage" xmlDataType="string"/>
    </xmlCellPr>
  </singleXmlCell>
  <singleXmlCell id="2" r="H1" connectionId="0">
    <xmlCellPr id="1" uniqueName="ns2:ClientNM">
      <xmlPr mapId="16" xpath="/ns2:Print2DataObject/ns2:OfferMng_PrintHeaderReport_View/ns2:ClientNM" xmlDataType="string"/>
    </xmlCellPr>
  </singleXmlCell>
  <singleXmlCell id="3" r="H2" connectionId="0">
    <xmlCellPr id="1" uniqueName="ns2:ContactPersonName">
      <xmlPr mapId="16" xpath="/ns2:Print2DataObject/ns2:OfferMng_PrintHeaderReport_View/ns2:ContactPersonName" xmlDataType="string"/>
    </xmlCellPr>
  </singleXmlCell>
  <singleXmlCell id="4" r="H3" connectionId="0">
    <xmlCellPr id="1" uniqueName="ns2:Mobile">
      <xmlPr mapId="16" xpath="/ns2:Print2DataObject/ns2:OfferMng_PrintHeaderReport_View/ns2:Mobile" xmlDataType="string"/>
    </xmlCellPr>
  </singleXmlCell>
  <singleXmlCell id="5" r="H5" connectionId="0">
    <xmlCellPr id="1" uniqueName="ns2:ContractPersonName">
      <xmlPr mapId="16" xpath="/ns2:Print2DataObject/ns2:OfferMng_PrintHeaderReport_View/ns2:ContractPersonName" xmlDataType="string"/>
    </xmlCellPr>
  </singleXmlCell>
  <singleXmlCell id="6" r="H6" connectionId="0">
    <xmlCellPr id="1" uniqueName="ns2:LDS">
      <xmlPr mapId="16" xpath="/ns2:Print2DataObject/ns2:OfferMng_PrintHeaderReport_View/ns2:LDS" xmlDataType="string"/>
    </xmlCellPr>
  </singleXmlCell>
  <singleXmlCell id="7" r="J2" connectionId="0">
    <xmlCellPr id="1" uniqueName="ns2:Address">
      <xmlPr mapId="16" xpath="/ns2:Print2DataObject/ns2:OfferMng_PrintHeaderReport_View/ns2:Address" xmlDataType="string"/>
    </xmlCellPr>
  </singleXmlCell>
  <singleXmlCell id="8" r="S1" connectionId="0">
    <xmlCellPr id="1" uniqueName="ns2:OfferDate">
      <xmlPr mapId="16" xpath="/ns2:Print2DataObject/ns2:OfferMng_PrintHeaderReport_View/ns2:OfferDate" xmlDataType="string"/>
    </xmlCellPr>
  </singleXmlCell>
  <singleXmlCell id="9" r="S2" connectionId="0">
    <xmlCellPr id="1" uniqueName="ns2:Currency">
      <xmlPr mapId="16" xpath="/ns2:Print2DataObject/ns2:OfferMng_PrintHeaderReport_View/ns2:Currency" xmlDataType="string"/>
    </xmlCellPr>
  </singleXmlCell>
  <singleXmlCell id="10" r="S3" connectionId="0">
    <xmlCellPr id="1" uniqueName="ns2:PaymentTermNM">
      <xmlPr mapId="16" xpath="/ns2:Print2DataObject/ns2:OfferMng_PrintHeaderReport_View/ns2:PaymentTermNM" xmlDataType="string"/>
    </xmlCellPr>
  </singleXmlCell>
  <singleXmlCell id="11" r="S4" connectionId="0">
    <xmlCellPr id="1" uniqueName="ns2:DeliveryTermNM">
      <xmlPr mapId="16" xpath="/ns2:Print2DataObject/ns2:OfferMng_PrintHeaderReport_View/ns2:DeliveryTermNM" xmlDataType="string"/>
    </xmlCellPr>
  </singleXmlCell>
  <singleXmlCell id="12" r="S5" connectionId="0">
    <xmlCellPr id="1" uniqueName="ns2:OfferVersion">
      <xmlPr mapId="16" xpath="/ns2:Print2DataObject/ns2:OfferMng_PrintHeaderReport_View/ns2:OfferVersion" xmlDataType="int"/>
    </xmlCellPr>
  </singleXmlCell>
  <singleXmlCell id="13" r="S6" connectionId="0">
    <xmlCellPr id="1" uniqueName="ns2:ValidUntil">
      <xmlPr mapId="16" xpath="/ns2:Print2DataObject/ns2:OfferMng_PrintHeaderReport_View/ns2:ValidUntil" xmlDataType="string"/>
    </xmlCellPr>
  </singleXmlCell>
</singleXmlCells>
</file>

<file path=xl/tables/tableSingleCells2.xml><?xml version="1.0" encoding="utf-8"?>
<singleXmlCells xmlns="http://schemas.openxmlformats.org/spreadsheetml/2006/main">
  <singleXmlCell id="14" r="A2" connectionId="0">
    <xmlCellPr id="1" uniqueName="ns2:LogoImage">
      <xmlPr mapId="16" xpath="/ns2:Print2DataObject/ns2:OfferMng_PrintHeader_View/ns2:LogoImage" xmlDataType="string"/>
    </xmlCellPr>
  </singleXmlCell>
  <singleXmlCell id="15" r="F1" connectionId="0">
    <xmlCellPr id="1" uniqueName="ns2:ClientNM">
      <xmlPr mapId="16" xpath="/ns2:Print2DataObject/ns2:OfferMng_PrintHeader_View/ns2:ClientNM" xmlDataType="string"/>
    </xmlCellPr>
  </singleXmlCell>
  <singleXmlCell id="16" r="F2" connectionId="0">
    <xmlCellPr id="1" uniqueName="ns2:ContactPersonName">
      <xmlPr mapId="16" xpath="/ns2:Print2DataObject/ns2:OfferMng_PrintHeader_View/ns2:ContactPersonName" xmlDataType="string"/>
    </xmlCellPr>
  </singleXmlCell>
  <singleXmlCell id="17" r="F3" connectionId="0">
    <xmlCellPr id="1" uniqueName="ns2:Mobile">
      <xmlPr mapId="16" xpath="/ns2:Print2DataObject/ns2:OfferMng_PrintHeader_View/ns2:Mobile" xmlDataType="string"/>
    </xmlCellPr>
  </singleXmlCell>
  <singleXmlCell id="18" r="F4" connectionId="0">
    <xmlCellPr id="1" uniqueName="ns2:Email">
      <xmlPr mapId="16" xpath="/ns2:Print2DataObject/ns2:OfferMng_PrintHeader_View/ns2:Email" xmlDataType="string"/>
    </xmlCellPr>
  </singleXmlCell>
  <singleXmlCell id="19" r="F5" connectionId="0">
    <xmlCellPr id="1" uniqueName="ns2:ContractPersonName">
      <xmlPr mapId="16" xpath="/ns2:Print2DataObject/ns2:OfferMng_PrintHeader_View/ns2:ContractPersonName" xmlDataType="string"/>
    </xmlCellPr>
  </singleXmlCell>
  <singleXmlCell id="20" r="F8" connectionId="0">
    <xmlCellPr id="1" uniqueName="ns2:ForwarderNM">
      <xmlPr mapId="16" xpath="/ns2:Print2DataObject/ns2:OfferMng_PrintHeader_View/ns2:ForwarderNM" xmlDataType="string"/>
    </xmlCellPr>
  </singleXmlCell>
  <singleXmlCell id="21" r="F9" connectionId="0">
    <xmlCellPr id="1" uniqueName="ns2:ForwarderContactPerson">
      <xmlPr mapId="16" xpath="/ns2:Print2DataObject/ns2:OfferMng_PrintHeader_View/ns2:ForwarderContactPerson" xmlDataType="string"/>
    </xmlCellPr>
  </singleXmlCell>
  <singleXmlCell id="22" r="F10" connectionId="0">
    <xmlCellPr id="1" uniqueName="ns2:ForwarderContactPersonPhone">
      <xmlPr mapId="16" xpath="/ns2:Print2DataObject/ns2:OfferMng_PrintHeader_View/ns2:ForwarderContactPersonPhone" xmlDataType="string"/>
    </xmlCellPr>
  </singleXmlCell>
  <singleXmlCell id="23" r="F11" connectionId="0">
    <xmlCellPr id="1" uniqueName="ns2:ForwarderContactPersonEmail">
      <xmlPr mapId="16" xpath="/ns2:Print2DataObject/ns2:OfferMng_PrintHeader_View/ns2:ForwarderContactPersonEmail" xmlDataType="string"/>
    </xmlCellPr>
  </singleXmlCell>
  <singleXmlCell id="24" r="F12" connectionId="0">
    <xmlCellPr id="1" uniqueName="ns2:ForwarderContractNo">
      <xmlPr mapId="16" xpath="/ns2:Print2DataObject/ns2:OfferMng_PrintHeader_View/ns2:ForwarderContractNo" xmlDataType="string"/>
    </xmlCellPr>
  </singleXmlCell>
  <singleXmlCell id="25" r="A13" connectionId="0">
    <xmlCellPr id="1" uniqueName="ns2:ForwarderFollowupBySale">
      <xmlPr mapId="16" xpath="/ns2:Print2DataObject/ns2:OfferMng_PrintHeader_View/ns2:ForwarderFollowupBySale" xmlDataType="string"/>
    </xmlCellPr>
  </singleXmlCell>
  <singleXmlCell id="26" r="A14" connectionId="0">
    <xmlCellPr id="1" uniqueName="ns2:ForwarderFollowupByLogistics">
      <xmlPr mapId="16" xpath="/ns2:Print2DataObject/ns2:OfferMng_PrintHeader_View/ns2:ForwarderFollowupByLogistics" xmlDataType="string"/>
    </xmlCellPr>
  </singleXmlCell>
  <singleXmlCell id="27" r="H2" connectionId="0">
    <xmlCellPr id="1" uniqueName="ns2:Address">
      <xmlPr mapId="16" xpath="/ns2:Print2DataObject/ns2:OfferMng_PrintHeader_View/ns2:Address" xmlDataType="string"/>
    </xmlCellPr>
  </singleXmlCell>
  <singleXmlCell id="28" r="J8" connectionId="0">
    <xmlCellPr id="1" uniqueName="ns2:PackagingStandard">
      <xmlPr mapId="16" xpath="/ns2:Print2DataObject/ns2:OfferMng_PrintHeader_View/ns2:PackagingStandard" xmlDataType="string"/>
    </xmlCellPr>
  </singleXmlCell>
  <singleXmlCell id="29" r="J9" connectionId="0">
    <xmlCellPr id="1" uniqueName="ns2:PackagingSpecial">
      <xmlPr mapId="16" xpath="/ns2:Print2DataObject/ns2:OfferMng_PrintHeader_View/ns2:PackagingSpecial" xmlDataType="string"/>
    </xmlCellPr>
  </singleXmlCell>
  <singleXmlCell id="30" r="J13" connectionId="0">
    <xmlCellPr id="1" uniqueName="ns2:PackagingFollowupBySale">
      <xmlPr mapId="16" xpath="/ns2:Print2DataObject/ns2:OfferMng_PrintHeader_View/ns2:PackagingFollowupBySale" xmlDataType="string"/>
    </xmlCellPr>
  </singleXmlCell>
  <singleXmlCell id="31" r="M9" connectionId="0">
    <xmlCellPr id="1" uniqueName="ns2:PackagingNote">
      <xmlPr mapId="16" xpath="/ns2:Print2DataObject/ns2:OfferMng_PrintHeader_View/ns2:PackagingNote" xmlDataType="string"/>
    </xmlCellPr>
  </singleXmlCell>
  <singleXmlCell id="32" r="R8" connectionId="0">
    <xmlCellPr id="1" uniqueName="ns2:LabelingStandard">
      <xmlPr mapId="16" xpath="/ns2:Print2DataObject/ns2:OfferMng_PrintHeader_View/ns2:LabelingStandard" xmlDataType="string"/>
    </xmlCellPr>
  </singleXmlCell>
  <singleXmlCell id="33" r="R9" connectionId="0">
    <xmlCellPr id="1" uniqueName="ns2:LabelingSpecial">
      <xmlPr mapId="16" xpath="/ns2:Print2DataObject/ns2:OfferMng_PrintHeader_View/ns2:LabelingSpecial" xmlDataType="string"/>
    </xmlCellPr>
  </singleXmlCell>
  <singleXmlCell id="34" r="R13" connectionId="0">
    <xmlCellPr id="1" uniqueName="ns2:LabelingFollowupBySale">
      <xmlPr mapId="16" xpath="/ns2:Print2DataObject/ns2:OfferMng_PrintHeader_View/ns2:LabelingFollowupBySale" xmlDataType="string"/>
    </xmlCellPr>
  </singleXmlCell>
  <singleXmlCell id="35" r="U9" connectionId="0">
    <xmlCellPr id="1" uniqueName="ns2:LabelingNote">
      <xmlPr mapId="16" xpath="/ns2:Print2DataObject/ns2:OfferMng_PrintHeader_View/ns2:LabelingNote" xmlDataType="string"/>
    </xmlCellPr>
  </singleXmlCell>
  <singleXmlCell id="36" r="V1" connectionId="0">
    <xmlCellPr id="1" uniqueName="ns2:PaymentTermNM">
      <xmlPr mapId="16" xpath="/ns2:Print2DataObject/ns2:OfferMng_PrintHeader_View/ns2:PaymentTermNM" xmlDataType="string"/>
    </xmlCellPr>
  </singleXmlCell>
  <singleXmlCell id="37" r="V2" connectionId="0">
    <xmlCellPr id="1" uniqueName="ns2:DeliveryTermNM">
      <xmlPr mapId="16" xpath="/ns2:Print2DataObject/ns2:OfferMng_PrintHeader_View/ns2:DeliveryTermNM" xmlDataType="string"/>
    </xmlCellPr>
  </singleXmlCell>
  <singleXmlCell id="38" r="V3" connectionId="0">
    <xmlCellPr id="1" uniqueName="ns2:DeliveryTimeNM">
      <xmlPr mapId="16" xpath="/ns2:Print2DataObject/ns2:OfferMng_PrintHeader_View/ns2:DeliveryTimeNM" xmlDataType="string"/>
    </xmlCellPr>
  </singleXmlCell>
  <singleXmlCell id="39" r="V4" connectionId="0">
    <xmlCellPr id="1" uniqueName="ns2:LDS">
      <xmlPr mapId="16" xpath="/ns2:Print2DataObject/ns2:OfferMng_PrintHeader_View/ns2:LDS" xmlDataType="string"/>
    </xmlCellPr>
  </singleXmlCell>
  <singleXmlCell id="40" r="V5" connectionId="0">
    <xmlCellPr id="1" uniqueName="ns2:PODName">
      <xmlPr mapId="16" xpath="/ns2:Print2DataObject/ns2:OfferMng_PrintHeader_View/ns2:PODName" xmlDataType="string"/>
    </xmlCellPr>
  </singleXmlCell>
  <singleXmlCell id="41" r="AB1" connectionId="0">
    <xmlCellPr id="1" uniqueName="ns2:OfferDate">
      <xmlPr mapId="16" xpath="/ns2:Print2DataObject/ns2:OfferMng_PrintHeader_View/ns2:OfferDate" xmlDataType="string"/>
    </xmlCellPr>
  </singleXmlCell>
  <singleXmlCell id="42" r="AB2" connectionId="0">
    <xmlCellPr id="1" uniqueName="ns2:Currency">
      <xmlPr mapId="16" xpath="/ns2:Print2DataObject/ns2:OfferMng_PrintHeader_View/ns2:Currency" xmlDataType="string"/>
    </xmlCellPr>
  </singleXmlCell>
  <singleXmlCell id="44" r="AB3" connectionId="0">
    <xmlCellPr id="1" uniqueName="ns2:SaleNM">
      <xmlPr mapId="16" xpath="/ns2:Print2DataObject/ns2:OfferMng_PrintHeader_View/ns2:SaleNM" xmlDataType="string"/>
    </xmlCellPr>
  </singleXmlCell>
  <singleXmlCell id="45" r="AB4" connectionId="0">
    <xmlCellPr id="1" uniqueName="ns2:OfferVersion">
      <xmlPr mapId="16" xpath="/ns2:Print2DataObject/ns2:OfferMng_PrintHeader_View/ns2:OfferVersion" xmlDataType="int"/>
    </xmlCellPr>
  </singleXmlCell>
  <singleXmlCell id="46" r="AB5" connectionId="0">
    <xmlCellPr id="1" uniqueName="ns2:ValidUntil">
      <xmlPr mapId="16" xpath="/ns2:Print2DataObject/ns2:OfferMng_PrintHeader_View/ns2:ValidUntil" xmlDataType="string"/>
    </xmlCellPr>
  </singleXmlCell>
  <singleXmlCell id="47" r="Y8" connectionId="0">
    <xmlCellPr id="1" uniqueName="ns2:PutInProductionDirectly">
      <xmlPr mapId="16" xpath="/ns2:Print2DataObject/ns2:OfferMng_PrintHeader_View/ns2:PutInProductionDirectly" xmlDataType="string"/>
    </xmlCellPr>
  </singleXmlCell>
  <singleXmlCell id="49" r="Y9" connectionId="0">
    <xmlCellPr id="1" uniqueName="ns2:PutInProductionAfterSign">
      <xmlPr mapId="16" xpath="/ns2:Print2DataObject/ns2:OfferMng_PrintHeader_View/ns2:PutInProductionAfterSign" xmlDataType="string"/>
    </xmlCellPr>
  </singleXmlCell>
  <singleXmlCell id="50" r="Y10" connectionId="0">
    <xmlCellPr id="1" uniqueName="ns2:PutInProductionAfterDP">
      <xmlPr mapId="16" xpath="/ns2:Print2DataObject/ns2:OfferMng_PrintHeader_View/ns2:PutInProductionAfterDP" xmlDataType="string"/>
    </xmlCellPr>
  </singleXmlCell>
  <singleXmlCell id="51" r="Y11" connectionId="0">
    <xmlCellPr id="1" uniqueName="ns2:PutInProductionAfterLC">
      <xmlPr mapId="16" xpath="/ns2:Print2DataObject/ns2:OfferMng_PrintHeader_View/ns2:PutInProductionAfterLC" xmlDataType="string"/>
    </xmlCellPr>
  </singleXmlCell>
  <singleXmlCell id="52" r="Z13" connectionId="0">
    <xmlCellPr id="1" uniqueName="ns2:PutInProductionRemark">
      <xmlPr mapId="16" xpath="/ns2:Print2DataObject/ns2:OfferMng_PrintHeader_View/ns2:PutInProductionRemark" xmlDataType="string"/>
    </xmlCellPr>
  </singleXmlCell>
  <singleXmlCell id="53" r="AF8" connectionId="0">
    <xmlCellPr id="1" uniqueName="ns2:QntIn20DC">
      <xmlPr mapId="16" xpath="/ns2:Print2DataObject/ns2:OfferMng_PrintHeader_View/ns2:QntIn20DC" xmlDataType="decimal"/>
    </xmlCellPr>
  </singleXmlCell>
  <singleXmlCell id="54" r="AF9" connectionId="0">
    <xmlCellPr id="1" uniqueName="ns2:QntIn40DC">
      <xmlPr mapId="16" xpath="/ns2:Print2DataObject/ns2:OfferMng_PrintHeader_View/ns2:QntIn40DC" xmlDataType="decimal"/>
    </xmlCellPr>
  </singleXmlCell>
  <singleXmlCell id="55" r="AF10" connectionId="0">
    <xmlCellPr id="1" uniqueName="ns2:QntIn40HC">
      <xmlPr mapId="16" xpath="/ns2:Print2DataObject/ns2:OfferMng_PrintHeader_View/ns2:QntIn40HC" xmlDataType="decimal"/>
    </xmlCellPr>
  </singleXmlCell>
  <singleXmlCell id="56" r="AF11" connectionId="0">
    <xmlCellPr id="1" uniqueName="ns2:PartialQnt">
      <xmlPr mapId="16" xpath="/ns2:Print2DataObject/ns2:OfferMng_PrintHeader_View/ns2:PartialQnt" xmlDataType="decimal"/>
    </xmlCellPr>
  </singleXmlCell>
  <singleXmlCell id="57" r="AE13" connectionId="0">
    <xmlCellPr id="1" uniqueName="ns2:QntRemark">
      <xmlPr mapId="16" xpath="/ns2:Print2DataObject/ns2:OfferMng_PrintHeader_View/ns2:QntRemark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SingleCells" Target="../tables/tableSingleCells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457"/>
  <sheetViews>
    <sheetView tabSelected="1" view="pageBreakPreview" zoomScale="40" zoomScaleSheetLayoutView="40" workbookViewId="0">
      <pane xSplit="9" ySplit="11" topLeftCell="J12" activePane="bottomRight" state="frozen"/>
      <selection pane="topRight" activeCell="J1" sqref="J1"/>
      <selection pane="bottomLeft" activeCell="A12" sqref="A12"/>
      <selection pane="bottomRight" activeCell="D12" sqref="D12"/>
    </sheetView>
  </sheetViews>
  <sheetFormatPr defaultColWidth="9.140625" defaultRowHeight="23.25"/>
  <cols>
    <col min="1" max="1" width="10.140625" style="54" customWidth="1"/>
    <col min="2" max="2" width="17.5703125" style="54" customWidth="1"/>
    <col min="3" max="3" width="15.85546875" style="54" customWidth="1"/>
    <col min="4" max="4" width="26.5703125" style="54" customWidth="1"/>
    <col min="5" max="5" width="32.5703125" style="54" hidden="1" customWidth="1"/>
    <col min="6" max="6" width="18" style="54" customWidth="1"/>
    <col min="7" max="7" width="15.28515625" style="54" customWidth="1"/>
    <col min="8" max="8" width="44.42578125" style="54" customWidth="1"/>
    <col min="9" max="9" width="16.85546875" style="54" customWidth="1"/>
    <col min="10" max="10" width="22.85546875" style="54" customWidth="1"/>
    <col min="11" max="11" width="22.28515625" style="54" customWidth="1"/>
    <col min="12" max="12" width="16.5703125" style="54" customWidth="1"/>
    <col min="13" max="15" width="11.7109375" style="54" customWidth="1"/>
    <col min="16" max="16" width="13.28515625" style="54" customWidth="1"/>
    <col min="17" max="17" width="12.85546875" style="59" customWidth="1"/>
    <col min="18" max="18" width="19.42578125" style="54" customWidth="1"/>
    <col min="19" max="19" width="21.140625" style="54" customWidth="1"/>
    <col min="20" max="20" width="29.140625" style="54" customWidth="1"/>
    <col min="21" max="21" width="42.42578125" style="54" customWidth="1"/>
    <col min="22" max="23" width="27.5703125" style="54" customWidth="1"/>
    <col min="24" max="24" width="27.5703125" style="58" customWidth="1"/>
    <col min="25" max="25" width="21.42578125" style="54" customWidth="1"/>
    <col min="26" max="26" width="9.140625" style="54"/>
    <col min="27" max="27" width="10" style="54" bestFit="1" customWidth="1"/>
    <col min="28" max="16384" width="9.140625" style="54"/>
  </cols>
  <sheetData>
    <row r="1" spans="1:29" s="40" customFormat="1" ht="50.1" customHeight="1">
      <c r="A1" s="142" t="s">
        <v>0</v>
      </c>
      <c r="B1" s="143"/>
      <c r="C1" s="143"/>
      <c r="D1" s="144"/>
      <c r="E1" s="37"/>
      <c r="F1" s="117" t="s">
        <v>1</v>
      </c>
      <c r="G1" s="119"/>
      <c r="H1" s="145"/>
      <c r="I1" s="146"/>
      <c r="J1" s="147" t="s">
        <v>132</v>
      </c>
      <c r="K1" s="148"/>
      <c r="L1" s="175"/>
      <c r="M1" s="177" t="s">
        <v>3</v>
      </c>
      <c r="N1" s="178"/>
      <c r="O1" s="179"/>
      <c r="P1" s="117" t="s">
        <v>5</v>
      </c>
      <c r="Q1" s="118"/>
      <c r="R1" s="119"/>
      <c r="S1" s="120"/>
      <c r="T1" s="121"/>
      <c r="U1" s="121"/>
      <c r="V1" s="38"/>
      <c r="W1" s="38"/>
      <c r="X1" s="39"/>
    </row>
    <row r="2" spans="1:29" s="40" customFormat="1" ht="30" customHeight="1">
      <c r="A2" s="122" t="s">
        <v>133</v>
      </c>
      <c r="B2" s="123"/>
      <c r="C2" s="123"/>
      <c r="D2" s="124"/>
      <c r="E2" s="131"/>
      <c r="F2" s="134" t="s">
        <v>6</v>
      </c>
      <c r="G2" s="135"/>
      <c r="H2" s="136"/>
      <c r="I2" s="137"/>
      <c r="J2" s="138"/>
      <c r="K2" s="139"/>
      <c r="L2" s="176"/>
      <c r="M2" s="180"/>
      <c r="N2" s="181"/>
      <c r="O2" s="182"/>
      <c r="P2" s="140" t="s">
        <v>8</v>
      </c>
      <c r="Q2" s="113"/>
      <c r="R2" s="114"/>
      <c r="S2" s="120"/>
      <c r="T2" s="141"/>
      <c r="U2" s="141"/>
      <c r="V2" s="38"/>
      <c r="W2" s="38"/>
      <c r="X2" s="39"/>
    </row>
    <row r="3" spans="1:29" s="40" customFormat="1" ht="30" customHeight="1">
      <c r="A3" s="125"/>
      <c r="B3" s="126"/>
      <c r="C3" s="126"/>
      <c r="D3" s="127"/>
      <c r="E3" s="132"/>
      <c r="F3" s="134" t="s">
        <v>9</v>
      </c>
      <c r="G3" s="135"/>
      <c r="H3" s="136"/>
      <c r="I3" s="137"/>
      <c r="J3" s="139"/>
      <c r="K3" s="139"/>
      <c r="L3" s="176"/>
      <c r="M3" s="180"/>
      <c r="N3" s="181"/>
      <c r="O3" s="182"/>
      <c r="P3" s="140" t="s">
        <v>4</v>
      </c>
      <c r="Q3" s="113"/>
      <c r="R3" s="114"/>
      <c r="S3" s="120"/>
      <c r="T3" s="141"/>
      <c r="U3" s="141"/>
      <c r="V3" s="38"/>
      <c r="W3" s="38"/>
      <c r="X3" s="39"/>
    </row>
    <row r="4" spans="1:29" s="40" customFormat="1" ht="30" customHeight="1">
      <c r="A4" s="125"/>
      <c r="B4" s="126"/>
      <c r="C4" s="126"/>
      <c r="D4" s="127"/>
      <c r="E4" s="132"/>
      <c r="F4" s="134"/>
      <c r="G4" s="135"/>
      <c r="H4" s="136"/>
      <c r="I4" s="137"/>
      <c r="J4" s="139"/>
      <c r="K4" s="139"/>
      <c r="L4" s="176"/>
      <c r="M4" s="180"/>
      <c r="N4" s="181"/>
      <c r="O4" s="182"/>
      <c r="P4" s="140" t="s">
        <v>7</v>
      </c>
      <c r="Q4" s="113"/>
      <c r="R4" s="114"/>
      <c r="S4" s="120"/>
      <c r="T4" s="141"/>
      <c r="U4" s="141"/>
      <c r="V4" s="38"/>
      <c r="W4" s="38"/>
      <c r="X4" s="39"/>
    </row>
    <row r="5" spans="1:29" s="40" customFormat="1" ht="30" customHeight="1">
      <c r="A5" s="125"/>
      <c r="B5" s="126"/>
      <c r="C5" s="126"/>
      <c r="D5" s="127"/>
      <c r="E5" s="132"/>
      <c r="F5" s="113" t="s">
        <v>11</v>
      </c>
      <c r="G5" s="114"/>
      <c r="H5" s="115"/>
      <c r="I5" s="116"/>
      <c r="J5" s="139"/>
      <c r="K5" s="139"/>
      <c r="L5" s="176"/>
      <c r="M5" s="180"/>
      <c r="N5" s="181"/>
      <c r="O5" s="182"/>
      <c r="P5" s="153" t="s">
        <v>14</v>
      </c>
      <c r="Q5" s="153"/>
      <c r="R5" s="153"/>
      <c r="S5" s="154"/>
      <c r="T5" s="141"/>
      <c r="U5" s="141"/>
      <c r="V5" s="38"/>
      <c r="W5" s="38"/>
      <c r="X5" s="39"/>
    </row>
    <row r="6" spans="1:29" s="40" customFormat="1" ht="30" customHeight="1" thickBot="1">
      <c r="A6" s="128"/>
      <c r="B6" s="129"/>
      <c r="C6" s="129"/>
      <c r="D6" s="130"/>
      <c r="E6" s="133"/>
      <c r="F6" s="41" t="s">
        <v>134</v>
      </c>
      <c r="G6" s="42"/>
      <c r="H6" s="155"/>
      <c r="I6" s="156"/>
      <c r="J6" s="139"/>
      <c r="K6" s="139"/>
      <c r="L6" s="176"/>
      <c r="M6" s="183"/>
      <c r="N6" s="184"/>
      <c r="O6" s="185"/>
      <c r="P6" s="157" t="s">
        <v>17</v>
      </c>
      <c r="Q6" s="157"/>
      <c r="R6" s="157"/>
      <c r="S6" s="158"/>
      <c r="T6" s="159"/>
      <c r="U6" s="160"/>
      <c r="V6" s="38"/>
      <c r="W6" s="38"/>
      <c r="X6" s="39"/>
      <c r="Y6" s="39"/>
      <c r="Z6" s="39"/>
      <c r="AA6" s="39"/>
      <c r="AB6" s="39"/>
      <c r="AC6" s="39"/>
    </row>
    <row r="7" spans="1:29" s="40" customFormat="1" ht="30" customHeight="1">
      <c r="B7" s="43"/>
      <c r="C7" s="43"/>
      <c r="D7" s="43"/>
      <c r="E7" s="43"/>
      <c r="F7" s="43"/>
      <c r="G7" s="43"/>
      <c r="H7" s="43"/>
      <c r="I7" s="43"/>
      <c r="J7" s="44"/>
      <c r="K7" s="43"/>
      <c r="L7" s="43"/>
      <c r="M7" s="43"/>
      <c r="N7" s="43"/>
      <c r="O7" s="43"/>
      <c r="P7" s="45" t="s">
        <v>139</v>
      </c>
      <c r="Q7" s="46"/>
      <c r="R7" s="45">
        <f>SUM(Table59[[#All],[ns2:OrderQnt]])</f>
        <v>0</v>
      </c>
      <c r="S7" s="45"/>
      <c r="T7" s="47">
        <f>SUM(Table59[[#All],[ns2:TotalAmount]])</f>
        <v>0</v>
      </c>
      <c r="U7" s="48"/>
      <c r="V7" s="39"/>
      <c r="W7" s="39"/>
      <c r="X7" s="39"/>
    </row>
    <row r="8" spans="1:29" s="40" customFormat="1" ht="30" customHeight="1">
      <c r="B8" s="49"/>
      <c r="C8" s="43"/>
      <c r="D8" s="50" t="s">
        <v>135</v>
      </c>
      <c r="E8" s="50"/>
      <c r="F8" s="51"/>
      <c r="G8" s="51"/>
      <c r="H8" s="51"/>
      <c r="I8" s="43"/>
      <c r="J8" s="52"/>
      <c r="K8" s="53"/>
      <c r="L8" s="53"/>
      <c r="M8" s="53"/>
      <c r="N8" s="52"/>
      <c r="O8" s="43"/>
      <c r="P8" s="102" t="s">
        <v>140</v>
      </c>
      <c r="Q8" s="46"/>
      <c r="R8" s="45">
        <f>SUBTOTAL(9,Table59[[#All],[ns2:OrderQnt]])</f>
        <v>0</v>
      </c>
      <c r="S8" s="45"/>
      <c r="T8" s="47">
        <f>SUBTOTAL(9,Table59[[#All],[ns2:TotalAmount]])</f>
        <v>0</v>
      </c>
      <c r="U8" s="52"/>
      <c r="V8" s="39"/>
      <c r="W8" s="39"/>
      <c r="X8" s="39"/>
    </row>
    <row r="9" spans="1:29" s="94" customFormat="1" ht="30" customHeight="1">
      <c r="A9" s="149" t="s">
        <v>136</v>
      </c>
      <c r="B9" s="149" t="s">
        <v>42</v>
      </c>
      <c r="C9" s="149" t="s">
        <v>43</v>
      </c>
      <c r="D9" s="149" t="s">
        <v>44</v>
      </c>
      <c r="E9" s="149" t="s">
        <v>137</v>
      </c>
      <c r="F9" s="149" t="s">
        <v>45</v>
      </c>
      <c r="G9" s="149" t="s">
        <v>46</v>
      </c>
      <c r="H9" s="149" t="s">
        <v>47</v>
      </c>
      <c r="I9" s="149" t="s">
        <v>71</v>
      </c>
      <c r="J9" s="149" t="s">
        <v>73</v>
      </c>
      <c r="K9" s="152" t="s">
        <v>48</v>
      </c>
      <c r="L9" s="149" t="s">
        <v>51</v>
      </c>
      <c r="M9" s="161" t="s">
        <v>52</v>
      </c>
      <c r="N9" s="162"/>
      <c r="O9" s="163"/>
      <c r="P9" s="167" t="s">
        <v>53</v>
      </c>
      <c r="Q9" s="170" t="s">
        <v>57</v>
      </c>
      <c r="R9" s="172" t="s">
        <v>61</v>
      </c>
      <c r="S9" s="93" t="s">
        <v>138</v>
      </c>
      <c r="T9" s="149" t="s">
        <v>75</v>
      </c>
      <c r="U9" s="149" t="s">
        <v>62</v>
      </c>
    </row>
    <row r="10" spans="1:29" s="94" customFormat="1" ht="30" customHeight="1">
      <c r="A10" s="150"/>
      <c r="B10" s="150"/>
      <c r="C10" s="150"/>
      <c r="D10" s="150"/>
      <c r="E10" s="150"/>
      <c r="F10" s="150"/>
      <c r="G10" s="150"/>
      <c r="H10" s="150"/>
      <c r="I10" s="150"/>
      <c r="J10" s="150"/>
      <c r="K10" s="152" t="s">
        <v>48</v>
      </c>
      <c r="L10" s="150"/>
      <c r="M10" s="164"/>
      <c r="N10" s="165"/>
      <c r="O10" s="166"/>
      <c r="P10" s="168"/>
      <c r="Q10" s="171"/>
      <c r="R10" s="173"/>
      <c r="S10" s="95">
        <f>S2</f>
        <v>0</v>
      </c>
      <c r="T10" s="150"/>
      <c r="U10" s="150"/>
    </row>
    <row r="11" spans="1:29" s="94" customFormat="1" ht="30" customHeight="1">
      <c r="A11" s="151"/>
      <c r="B11" s="151"/>
      <c r="C11" s="151"/>
      <c r="D11" s="151"/>
      <c r="E11" s="150"/>
      <c r="F11" s="151"/>
      <c r="G11" s="151"/>
      <c r="H11" s="151"/>
      <c r="I11" s="151"/>
      <c r="J11" s="151"/>
      <c r="K11" s="149"/>
      <c r="L11" s="151"/>
      <c r="M11" s="91" t="s">
        <v>65</v>
      </c>
      <c r="N11" s="91" t="s">
        <v>66</v>
      </c>
      <c r="O11" s="91" t="s">
        <v>67</v>
      </c>
      <c r="P11" s="169"/>
      <c r="Q11" s="92" t="s">
        <v>70</v>
      </c>
      <c r="R11" s="174"/>
      <c r="S11" s="96">
        <f>S4</f>
        <v>0</v>
      </c>
      <c r="T11" s="151"/>
      <c r="U11" s="150"/>
    </row>
    <row r="12" spans="1:29" ht="23.25" customHeight="1">
      <c r="A12" s="55"/>
      <c r="B12" s="99"/>
      <c r="C12" s="100"/>
      <c r="D12" s="56"/>
      <c r="E12" s="56"/>
      <c r="F12" s="99"/>
      <c r="G12" s="101"/>
      <c r="H12" s="99"/>
      <c r="I12" s="99"/>
      <c r="J12" s="99"/>
      <c r="K12" s="99"/>
      <c r="L12" s="99"/>
      <c r="M12" s="56"/>
      <c r="N12" s="56"/>
      <c r="O12" s="56"/>
      <c r="P12" s="57"/>
      <c r="Q12" s="104"/>
      <c r="R12" s="105"/>
      <c r="S12" s="55"/>
      <c r="T12" s="103"/>
      <c r="U12" s="56"/>
    </row>
    <row r="13" spans="1:29" ht="11.25" customHeight="1"/>
    <row r="14" spans="1:29" ht="408.95" customHeight="1"/>
    <row r="15" spans="1:29" ht="408.95" customHeight="1"/>
    <row r="16" spans="1:29" ht="408.95" customHeight="1"/>
    <row r="17" ht="408.95" customHeight="1"/>
    <row r="18" ht="408.95" customHeight="1"/>
    <row r="19" ht="408.95" customHeight="1"/>
    <row r="20" ht="408.95" customHeight="1"/>
    <row r="21" ht="408.95" customHeight="1"/>
    <row r="22" ht="408.95" customHeight="1"/>
    <row r="23" ht="408.95" customHeight="1"/>
    <row r="24" ht="408.95" customHeight="1"/>
    <row r="25" ht="408.95" customHeight="1"/>
    <row r="26" ht="408.95" customHeight="1"/>
    <row r="27" ht="408.95" customHeight="1"/>
    <row r="28" ht="408.95" customHeight="1"/>
    <row r="29" ht="408.95" customHeight="1"/>
    <row r="30" ht="408.95" customHeight="1"/>
    <row r="31" ht="408.95" customHeight="1"/>
    <row r="32" ht="408.95" customHeight="1"/>
    <row r="33" ht="408.95" customHeight="1"/>
    <row r="34" ht="408.95" customHeight="1"/>
    <row r="35" ht="408.95" customHeight="1"/>
    <row r="36" ht="408.95" customHeight="1"/>
    <row r="37" ht="408.95" customHeight="1"/>
    <row r="38" ht="408.95" customHeight="1"/>
    <row r="39" ht="408.95" customHeight="1"/>
    <row r="40" ht="408.95" customHeight="1"/>
    <row r="41" ht="408.95" customHeight="1"/>
    <row r="42" ht="408.95" customHeight="1"/>
    <row r="43" ht="408.95" customHeight="1"/>
    <row r="44" ht="408.95" customHeight="1"/>
    <row r="45" ht="408.95" customHeight="1"/>
    <row r="46" ht="408.95" customHeight="1"/>
    <row r="47" ht="408.95" customHeight="1"/>
    <row r="48" ht="408.95" customHeight="1"/>
    <row r="49" ht="408.95" customHeight="1"/>
    <row r="50" ht="408.95" customHeight="1"/>
    <row r="51" ht="408.95" customHeight="1"/>
    <row r="52" ht="408.95" customHeight="1"/>
    <row r="53" ht="408.95" customHeight="1"/>
    <row r="54" ht="408.95" customHeight="1"/>
    <row r="55" ht="408.95" customHeight="1"/>
    <row r="56" ht="408.95" customHeight="1"/>
    <row r="57" ht="408.95" customHeight="1"/>
    <row r="58" ht="408.95" customHeight="1"/>
    <row r="59" ht="408.95" customHeight="1"/>
    <row r="60" ht="408.95" customHeight="1"/>
    <row r="61" ht="408.95" customHeight="1"/>
    <row r="62" ht="408.95" customHeight="1"/>
    <row r="63" ht="408.95" customHeight="1"/>
    <row r="64" ht="408.95" customHeight="1"/>
    <row r="65" ht="408.95" customHeight="1"/>
    <row r="66" ht="408.95" customHeight="1"/>
    <row r="67" ht="408.95" customHeight="1"/>
    <row r="68" ht="408.95" customHeight="1"/>
    <row r="69" ht="408.95" customHeight="1"/>
    <row r="70" ht="408.95" customHeight="1"/>
    <row r="71" ht="408.95" customHeight="1"/>
    <row r="72" ht="408.95" customHeight="1"/>
    <row r="73" ht="408.95" customHeight="1"/>
    <row r="74" ht="408.95" customHeight="1"/>
    <row r="75" ht="408.95" customHeight="1"/>
    <row r="76" ht="408.95" customHeight="1"/>
    <row r="77" ht="408.95" customHeight="1"/>
    <row r="78" ht="408.95" customHeight="1"/>
    <row r="79" ht="408.95" customHeight="1"/>
    <row r="80" ht="408.95" customHeight="1"/>
    <row r="81" ht="408.95" customHeight="1"/>
    <row r="82" ht="408.95" customHeight="1"/>
    <row r="83" ht="408.95" customHeight="1"/>
    <row r="84" ht="408.95" customHeight="1"/>
    <row r="85" ht="408.95" customHeight="1"/>
    <row r="86" ht="408.95" customHeight="1"/>
    <row r="87" ht="408.95" customHeight="1"/>
    <row r="88" ht="408.95" customHeight="1"/>
    <row r="89" ht="408.95" customHeight="1"/>
    <row r="90" ht="408.95" customHeight="1"/>
    <row r="91" ht="408.95" customHeight="1"/>
    <row r="92" ht="408.95" customHeight="1"/>
    <row r="93" ht="408.95" customHeight="1"/>
    <row r="94" ht="408.95" customHeight="1"/>
    <row r="95" ht="408.95" customHeight="1"/>
    <row r="96" ht="408.95" customHeight="1"/>
    <row r="97" ht="408.95" customHeight="1"/>
    <row r="98" ht="408.95" customHeight="1"/>
    <row r="99" ht="408.95" customHeight="1"/>
    <row r="100" ht="408.95" customHeight="1"/>
    <row r="101" ht="408.95" customHeight="1"/>
    <row r="102" ht="408.95" customHeight="1"/>
    <row r="103" ht="408.95" customHeight="1"/>
    <row r="104" ht="408.95" customHeight="1"/>
    <row r="105" ht="408.95" customHeight="1"/>
    <row r="106" ht="408.95" customHeight="1"/>
    <row r="107" ht="408.95" customHeight="1"/>
    <row r="108" ht="408.95" customHeight="1"/>
    <row r="109" ht="408.95" customHeight="1"/>
    <row r="110" ht="408.95" customHeight="1"/>
    <row r="111" ht="408.95" customHeight="1"/>
    <row r="112" ht="408.95" customHeight="1"/>
    <row r="113" ht="408.95" customHeight="1"/>
    <row r="114" ht="408.95" customHeight="1"/>
    <row r="115" ht="408.95" customHeight="1"/>
    <row r="116" ht="408.95" customHeight="1"/>
    <row r="117" ht="408.95" customHeight="1"/>
    <row r="118" ht="408.95" customHeight="1"/>
    <row r="119" ht="408.95" customHeight="1"/>
    <row r="120" ht="408.95" customHeight="1"/>
    <row r="121" ht="408.95" customHeight="1"/>
    <row r="122" ht="408.95" customHeight="1"/>
    <row r="123" ht="408.95" customHeight="1"/>
    <row r="124" ht="408.95" customHeight="1"/>
    <row r="125" ht="408.95" customHeight="1"/>
    <row r="126" ht="408.95" customHeight="1"/>
    <row r="127" ht="408.95" customHeight="1"/>
    <row r="128" ht="408.95" customHeight="1"/>
    <row r="129" ht="408.95" customHeight="1"/>
    <row r="130" ht="408.95" customHeight="1"/>
    <row r="131" ht="408.95" customHeight="1"/>
    <row r="132" ht="408.95" customHeight="1"/>
    <row r="133" ht="408.95" customHeight="1"/>
    <row r="134" ht="408.95" customHeight="1"/>
    <row r="135" ht="408.95" customHeight="1"/>
    <row r="136" ht="408.95" customHeight="1"/>
    <row r="137" ht="408.95" customHeight="1"/>
    <row r="138" ht="408.95" customHeight="1"/>
    <row r="139" ht="408.95" customHeight="1"/>
    <row r="140" ht="408.95" customHeight="1"/>
    <row r="141" ht="408.95" customHeight="1"/>
    <row r="142" ht="408.95" customHeight="1"/>
    <row r="143" ht="408.95" customHeight="1"/>
    <row r="144" ht="408.95" customHeight="1"/>
    <row r="145" ht="408.95" customHeight="1"/>
    <row r="146" ht="408.95" customHeight="1"/>
    <row r="147" ht="408.95" customHeight="1"/>
    <row r="148" ht="408.95" customHeight="1"/>
    <row r="149" ht="408.95" customHeight="1"/>
    <row r="150" ht="408.95" customHeight="1"/>
    <row r="151" ht="408.95" customHeight="1"/>
    <row r="152" ht="408.95" customHeight="1"/>
    <row r="153" ht="408.95" customHeight="1"/>
    <row r="154" ht="408.95" customHeight="1"/>
    <row r="155" ht="408.95" customHeight="1"/>
    <row r="156" ht="408.95" customHeight="1"/>
    <row r="157" ht="408.95" customHeight="1"/>
    <row r="158" ht="408.95" customHeight="1"/>
    <row r="159" ht="408.95" customHeight="1"/>
    <row r="160" ht="408.95" customHeight="1"/>
    <row r="161" ht="408.95" customHeight="1"/>
    <row r="162" ht="408.95" customHeight="1"/>
    <row r="163" ht="408.95" customHeight="1"/>
    <row r="164" ht="408.95" customHeight="1"/>
    <row r="165" ht="408.95" customHeight="1"/>
    <row r="166" ht="408.95" customHeight="1"/>
    <row r="167" ht="408.95" customHeight="1"/>
    <row r="168" ht="408.95" customHeight="1"/>
    <row r="169" ht="408.95" customHeight="1"/>
    <row r="170" ht="408.95" customHeight="1"/>
    <row r="171" ht="408.95" customHeight="1"/>
    <row r="172" ht="408.95" customHeight="1"/>
    <row r="173" ht="408.95" customHeight="1"/>
    <row r="174" ht="408.95" customHeight="1"/>
    <row r="175" ht="408.95" customHeight="1"/>
    <row r="176" ht="408.95" customHeight="1"/>
    <row r="177" ht="408.95" customHeight="1"/>
    <row r="178" ht="408.95" customHeight="1"/>
    <row r="179" ht="408.95" customHeight="1"/>
    <row r="180" ht="408.95" customHeight="1"/>
    <row r="181" ht="408.95" customHeight="1"/>
    <row r="182" ht="408.95" customHeight="1"/>
    <row r="183" ht="408.95" customHeight="1"/>
    <row r="184" ht="408.95" customHeight="1"/>
    <row r="185" ht="408.95" customHeight="1"/>
    <row r="186" ht="408.95" customHeight="1"/>
    <row r="187" ht="408.95" customHeight="1"/>
    <row r="188" ht="408.95" customHeight="1"/>
    <row r="189" ht="408.95" customHeight="1"/>
    <row r="190" ht="408.95" customHeight="1"/>
    <row r="191" ht="408.95" customHeight="1"/>
    <row r="192" ht="408.95" customHeight="1"/>
    <row r="193" ht="408.95" customHeight="1"/>
    <row r="194" ht="408.95" customHeight="1"/>
    <row r="195" ht="408.95" customHeight="1"/>
    <row r="196" ht="408.95" customHeight="1"/>
    <row r="197" ht="408.95" customHeight="1"/>
    <row r="198" ht="408.95" customHeight="1"/>
    <row r="199" ht="408.95" customHeight="1"/>
    <row r="200" ht="408.95" customHeight="1"/>
    <row r="201" ht="408.95" customHeight="1"/>
    <row r="202" ht="408.95" customHeight="1"/>
    <row r="203" ht="408.95" customHeight="1"/>
    <row r="204" ht="408.95" customHeight="1"/>
    <row r="205" ht="408.95" customHeight="1"/>
    <row r="206" ht="408.95" customHeight="1"/>
    <row r="207" ht="408.95" customHeight="1"/>
    <row r="208" ht="408.95" customHeight="1"/>
    <row r="209" ht="408.95" customHeight="1"/>
    <row r="210" ht="408.95" customHeight="1"/>
    <row r="211" ht="408.95" customHeight="1"/>
    <row r="212" ht="408.95" customHeight="1"/>
    <row r="213" ht="408.95" customHeight="1"/>
    <row r="214" ht="408.95" customHeight="1"/>
    <row r="215" ht="408.95" customHeight="1"/>
    <row r="216" ht="408.95" customHeight="1"/>
    <row r="217" ht="408.95" customHeight="1"/>
    <row r="218" ht="408.95" customHeight="1"/>
    <row r="219" ht="408.95" customHeight="1"/>
    <row r="220" ht="408.95" customHeight="1"/>
    <row r="221" ht="408.95" customHeight="1"/>
    <row r="222" ht="408.95" customHeight="1"/>
    <row r="223" ht="408.95" customHeight="1"/>
    <row r="224" ht="408.95" customHeight="1"/>
    <row r="225" ht="408.95" customHeight="1"/>
    <row r="226" ht="408.95" customHeight="1"/>
    <row r="227" ht="408.95" customHeight="1"/>
    <row r="228" ht="408.95" customHeight="1"/>
    <row r="229" ht="408.95" customHeight="1"/>
    <row r="230" ht="408.95" customHeight="1"/>
    <row r="231" ht="408.95" customHeight="1"/>
    <row r="232" ht="408.95" customHeight="1"/>
    <row r="233" ht="408.95" customHeight="1"/>
    <row r="234" ht="408.95" customHeight="1"/>
    <row r="235" ht="408.95" customHeight="1"/>
    <row r="236" ht="408.95" customHeight="1"/>
    <row r="237" ht="408.95" customHeight="1"/>
    <row r="238" ht="408.95" customHeight="1"/>
    <row r="239" ht="408.95" customHeight="1"/>
    <row r="240" ht="408.95" customHeight="1"/>
    <row r="241" ht="408.95" customHeight="1"/>
    <row r="242" ht="408.95" customHeight="1"/>
    <row r="243" ht="408.95" customHeight="1"/>
    <row r="244" ht="408.95" customHeight="1"/>
    <row r="245" ht="408.95" customHeight="1"/>
    <row r="246" ht="408.95" customHeight="1"/>
    <row r="247" ht="408.95" customHeight="1"/>
    <row r="248" ht="408.95" customHeight="1"/>
    <row r="249" ht="408.95" customHeight="1"/>
    <row r="250" ht="408.95" customHeight="1"/>
    <row r="251" ht="408.95" customHeight="1"/>
    <row r="252" ht="408.95" customHeight="1"/>
    <row r="253" ht="408.95" customHeight="1"/>
    <row r="254" ht="408.95" customHeight="1"/>
    <row r="255" ht="408.95" customHeight="1"/>
    <row r="256" ht="408.95" customHeight="1"/>
    <row r="257" ht="408.95" customHeight="1"/>
    <row r="258" ht="408.95" customHeight="1"/>
    <row r="259" ht="408.95" customHeight="1"/>
    <row r="260" ht="408.95" customHeight="1"/>
    <row r="261" ht="408.95" customHeight="1"/>
    <row r="262" ht="408.95" customHeight="1"/>
    <row r="263" ht="408.95" customHeight="1"/>
    <row r="264" ht="408.95" customHeight="1"/>
    <row r="265" ht="408.95" customHeight="1"/>
    <row r="266" ht="408.95" customHeight="1"/>
    <row r="267" ht="408.95" customHeight="1"/>
    <row r="268" ht="408.95" customHeight="1"/>
    <row r="269" ht="408.95" customHeight="1"/>
    <row r="270" ht="408.95" customHeight="1"/>
    <row r="271" ht="408.95" customHeight="1"/>
    <row r="272" ht="408.95" customHeight="1"/>
    <row r="273" ht="408.95" customHeight="1"/>
    <row r="274" ht="408.95" customHeight="1"/>
    <row r="275" ht="408.95" customHeight="1"/>
    <row r="276" ht="408.95" customHeight="1"/>
    <row r="277" ht="408.95" customHeight="1"/>
    <row r="278" ht="408.95" customHeight="1"/>
    <row r="279" ht="408.95" customHeight="1"/>
    <row r="280" ht="408.95" customHeight="1"/>
    <row r="281" ht="408.95" customHeight="1"/>
    <row r="282" ht="408.95" customHeight="1"/>
    <row r="283" ht="408.95" customHeight="1"/>
    <row r="284" ht="408.95" customHeight="1"/>
    <row r="285" ht="408.95" customHeight="1"/>
    <row r="286" ht="408.95" customHeight="1"/>
    <row r="287" ht="408.95" customHeight="1"/>
    <row r="288" ht="408.95" customHeight="1"/>
    <row r="289" ht="408.95" customHeight="1"/>
    <row r="290" ht="408.95" customHeight="1"/>
    <row r="291" ht="408.95" customHeight="1"/>
    <row r="292" ht="408.95" customHeight="1"/>
    <row r="293" ht="408.95" customHeight="1"/>
    <row r="294" ht="408.95" customHeight="1"/>
    <row r="295" ht="408.95" customHeight="1"/>
    <row r="296" ht="408.95" customHeight="1"/>
    <row r="297" ht="408.95" customHeight="1"/>
    <row r="298" ht="408.95" customHeight="1"/>
    <row r="299" ht="408.95" customHeight="1"/>
    <row r="300" ht="408.95" customHeight="1"/>
    <row r="301" ht="408.95" customHeight="1"/>
    <row r="302" ht="408.95" customHeight="1"/>
    <row r="303" ht="408.95" customHeight="1"/>
    <row r="304" ht="408.95" customHeight="1"/>
    <row r="305" ht="408.95" customHeight="1"/>
    <row r="306" ht="408.95" customHeight="1"/>
    <row r="307" ht="408.95" customHeight="1"/>
    <row r="308" ht="408.95" customHeight="1"/>
    <row r="309" ht="408.95" customHeight="1"/>
    <row r="310" ht="408.95" customHeight="1"/>
    <row r="311" ht="408.95" customHeight="1"/>
    <row r="312" ht="408.95" customHeight="1"/>
    <row r="313" ht="408.95" customHeight="1"/>
    <row r="314" ht="408.95" customHeight="1"/>
    <row r="315" ht="408.95" customHeight="1"/>
    <row r="316" ht="408.95" customHeight="1"/>
    <row r="317" ht="408.95" customHeight="1"/>
    <row r="318" ht="408.95" customHeight="1"/>
    <row r="319" ht="408.95" customHeight="1"/>
    <row r="320" ht="408.95" customHeight="1"/>
    <row r="321" ht="408.95" customHeight="1"/>
    <row r="322" ht="408.95" customHeight="1"/>
    <row r="323" ht="408.95" customHeight="1"/>
    <row r="324" ht="408.95" customHeight="1"/>
    <row r="325" ht="408.95" customHeight="1"/>
    <row r="326" ht="408.95" customHeight="1"/>
    <row r="327" ht="408.95" customHeight="1"/>
    <row r="328" ht="408.95" customHeight="1"/>
    <row r="329" ht="408.95" customHeight="1"/>
    <row r="330" ht="408.95" customHeight="1"/>
    <row r="331" ht="408.95" customHeight="1"/>
    <row r="332" ht="408.95" customHeight="1"/>
    <row r="333" ht="408.95" customHeight="1"/>
    <row r="334" ht="408.95" customHeight="1"/>
    <row r="335" ht="408.95" customHeight="1"/>
    <row r="336" ht="408.95" customHeight="1"/>
    <row r="337" ht="408.95" customHeight="1"/>
    <row r="338" ht="408.95" customHeight="1"/>
    <row r="339" ht="408.95" customHeight="1"/>
    <row r="340" ht="408.95" customHeight="1"/>
    <row r="341" ht="408.95" customHeight="1"/>
    <row r="342" ht="408.95" customHeight="1"/>
    <row r="343" ht="408.95" customHeight="1"/>
    <row r="344" ht="408.95" customHeight="1"/>
    <row r="345" ht="408.95" customHeight="1"/>
    <row r="346" ht="408.95" customHeight="1"/>
    <row r="347" ht="408.95" customHeight="1"/>
    <row r="348" ht="408.95" customHeight="1"/>
    <row r="349" ht="408.95" customHeight="1"/>
    <row r="350" ht="408.95" customHeight="1"/>
    <row r="351" ht="408.95" customHeight="1"/>
    <row r="352" ht="408.95" customHeight="1"/>
    <row r="353" ht="408.95" customHeight="1"/>
    <row r="354" ht="408.95" customHeight="1"/>
    <row r="355" ht="408.95" customHeight="1"/>
    <row r="356" ht="408.95" customHeight="1"/>
    <row r="357" ht="408.95" customHeight="1"/>
    <row r="358" ht="408.95" customHeight="1"/>
    <row r="359" ht="408.95" customHeight="1"/>
    <row r="360" ht="408.95" customHeight="1"/>
    <row r="361" ht="408.95" customHeight="1"/>
    <row r="362" ht="408.95" customHeight="1"/>
    <row r="363" ht="408.95" customHeight="1"/>
    <row r="364" ht="408.95" customHeight="1"/>
    <row r="365" ht="408.95" customHeight="1"/>
    <row r="366" ht="408.95" customHeight="1"/>
    <row r="367" ht="408.95" customHeight="1"/>
    <row r="368" ht="408.95" customHeight="1"/>
    <row r="369" ht="408.95" customHeight="1"/>
    <row r="370" ht="408.95" customHeight="1"/>
    <row r="371" ht="408.95" customHeight="1"/>
    <row r="372" ht="408.95" customHeight="1"/>
    <row r="373" ht="408.95" customHeight="1"/>
    <row r="374" ht="408.95" customHeight="1"/>
    <row r="375" ht="408.95" customHeight="1"/>
    <row r="376" ht="408.95" customHeight="1"/>
    <row r="377" ht="408.95" customHeight="1"/>
    <row r="378" ht="408.95" customHeight="1"/>
    <row r="379" ht="408.95" customHeight="1"/>
    <row r="380" ht="408.95" customHeight="1"/>
    <row r="381" ht="408.95" customHeight="1"/>
    <row r="382" ht="408.95" customHeight="1"/>
    <row r="383" ht="408.95" customHeight="1"/>
    <row r="384" ht="408.95" customHeight="1"/>
    <row r="385" ht="408.95" customHeight="1"/>
    <row r="386" ht="408.95" customHeight="1"/>
    <row r="387" ht="408.95" customHeight="1"/>
    <row r="388" ht="408.95" customHeight="1"/>
    <row r="389" ht="408.95" customHeight="1"/>
    <row r="390" ht="408.95" customHeight="1"/>
    <row r="391" ht="408.95" customHeight="1"/>
    <row r="392" ht="408.95" customHeight="1"/>
    <row r="393" ht="408.95" customHeight="1"/>
    <row r="394" ht="408.95" customHeight="1"/>
    <row r="395" ht="408.95" customHeight="1"/>
    <row r="396" ht="408.95" customHeight="1"/>
    <row r="397" ht="408.95" customHeight="1"/>
    <row r="398" ht="408.95" customHeight="1"/>
    <row r="399" ht="408.95" customHeight="1"/>
    <row r="400" ht="408.95" customHeight="1"/>
    <row r="401" spans="17:24" ht="408.95" customHeight="1"/>
    <row r="402" spans="17:24" ht="408.95" customHeight="1"/>
    <row r="403" spans="17:24" ht="408.95" customHeight="1"/>
    <row r="404" spans="17:24" ht="408.95" customHeight="1"/>
    <row r="405" spans="17:24" ht="408.95" customHeight="1">
      <c r="Q405" s="54"/>
      <c r="X405" s="54"/>
    </row>
    <row r="406" spans="17:24" ht="408.95" customHeight="1">
      <c r="Q406" s="54"/>
      <c r="X406" s="54"/>
    </row>
    <row r="407" spans="17:24" ht="408.95" customHeight="1">
      <c r="Q407" s="54"/>
      <c r="X407" s="54"/>
    </row>
    <row r="408" spans="17:24" ht="408.95" customHeight="1">
      <c r="Q408" s="54"/>
      <c r="X408" s="54"/>
    </row>
    <row r="409" spans="17:24" ht="408.95" customHeight="1">
      <c r="Q409" s="54"/>
      <c r="X409" s="54"/>
    </row>
    <row r="410" spans="17:24" ht="408.95" customHeight="1">
      <c r="Q410" s="54"/>
      <c r="X410" s="54"/>
    </row>
    <row r="411" spans="17:24" ht="408.95" customHeight="1">
      <c r="Q411" s="54"/>
      <c r="X411" s="54"/>
    </row>
    <row r="412" spans="17:24" ht="408.95" customHeight="1">
      <c r="Q412" s="54"/>
      <c r="X412" s="54"/>
    </row>
    <row r="413" spans="17:24" ht="408.95" customHeight="1">
      <c r="Q413" s="54"/>
      <c r="X413" s="54"/>
    </row>
    <row r="414" spans="17:24" ht="408.95" customHeight="1">
      <c r="Q414" s="54"/>
      <c r="X414" s="54"/>
    </row>
    <row r="415" spans="17:24" ht="408.95" customHeight="1">
      <c r="Q415" s="54"/>
      <c r="X415" s="54"/>
    </row>
    <row r="416" spans="17:24" ht="408.95" customHeight="1">
      <c r="Q416" s="54"/>
      <c r="X416" s="54"/>
    </row>
    <row r="417" spans="17:24" ht="408.95" customHeight="1">
      <c r="Q417" s="54"/>
      <c r="X417" s="54"/>
    </row>
    <row r="418" spans="17:24" ht="408.95" customHeight="1">
      <c r="Q418" s="54"/>
      <c r="X418" s="54"/>
    </row>
    <row r="419" spans="17:24" ht="408.95" customHeight="1">
      <c r="Q419" s="54"/>
      <c r="X419" s="54"/>
    </row>
    <row r="420" spans="17:24" ht="408.95" customHeight="1">
      <c r="Q420" s="54"/>
      <c r="X420" s="54"/>
    </row>
    <row r="421" spans="17:24" ht="408.95" customHeight="1">
      <c r="Q421" s="54"/>
      <c r="X421" s="54"/>
    </row>
    <row r="422" spans="17:24" ht="408.95" customHeight="1">
      <c r="Q422" s="54"/>
      <c r="X422" s="54"/>
    </row>
    <row r="423" spans="17:24" ht="408.95" customHeight="1">
      <c r="Q423" s="54"/>
      <c r="X423" s="54"/>
    </row>
    <row r="424" spans="17:24" ht="408.95" customHeight="1">
      <c r="Q424" s="54"/>
      <c r="X424" s="54"/>
    </row>
    <row r="425" spans="17:24" ht="408.95" customHeight="1">
      <c r="Q425" s="54"/>
      <c r="X425" s="54"/>
    </row>
    <row r="426" spans="17:24">
      <c r="Q426" s="54"/>
      <c r="X426" s="54"/>
    </row>
    <row r="427" spans="17:24">
      <c r="Q427" s="54"/>
      <c r="X427" s="54"/>
    </row>
    <row r="428" spans="17:24">
      <c r="Q428" s="54"/>
      <c r="X428" s="54"/>
    </row>
    <row r="429" spans="17:24">
      <c r="Q429" s="54"/>
      <c r="X429" s="54"/>
    </row>
    <row r="430" spans="17:24">
      <c r="Q430" s="54"/>
      <c r="X430" s="54"/>
    </row>
    <row r="431" spans="17:24">
      <c r="Q431" s="54"/>
      <c r="X431" s="54"/>
    </row>
    <row r="432" spans="17:24">
      <c r="Q432" s="54"/>
      <c r="X432" s="54"/>
    </row>
    <row r="433" spans="17:24">
      <c r="Q433" s="54"/>
      <c r="X433" s="54"/>
    </row>
    <row r="434" spans="17:24">
      <c r="Q434" s="54"/>
      <c r="X434" s="54"/>
    </row>
    <row r="435" spans="17:24">
      <c r="Q435" s="54"/>
      <c r="X435" s="54"/>
    </row>
    <row r="436" spans="17:24">
      <c r="Q436" s="54"/>
      <c r="X436" s="54"/>
    </row>
    <row r="437" spans="17:24">
      <c r="Q437" s="54"/>
      <c r="X437" s="54"/>
    </row>
    <row r="438" spans="17:24">
      <c r="Q438" s="54"/>
      <c r="X438" s="54"/>
    </row>
    <row r="439" spans="17:24">
      <c r="Q439" s="54"/>
      <c r="X439" s="54"/>
    </row>
    <row r="440" spans="17:24">
      <c r="Q440" s="54"/>
      <c r="X440" s="54"/>
    </row>
    <row r="441" spans="17:24">
      <c r="Q441" s="54"/>
      <c r="X441" s="54"/>
    </row>
    <row r="442" spans="17:24">
      <c r="Q442" s="54"/>
      <c r="X442" s="54"/>
    </row>
    <row r="443" spans="17:24">
      <c r="Q443" s="54"/>
      <c r="X443" s="54"/>
    </row>
    <row r="444" spans="17:24">
      <c r="Q444" s="54"/>
      <c r="X444" s="54"/>
    </row>
    <row r="445" spans="17:24">
      <c r="Q445" s="54"/>
      <c r="X445" s="54"/>
    </row>
    <row r="446" spans="17:24">
      <c r="Q446" s="54"/>
      <c r="X446" s="54"/>
    </row>
    <row r="447" spans="17:24">
      <c r="Q447" s="54"/>
      <c r="X447" s="54"/>
    </row>
    <row r="448" spans="17:24">
      <c r="Q448" s="54"/>
      <c r="X448" s="54"/>
    </row>
    <row r="449" spans="17:24">
      <c r="Q449" s="54"/>
      <c r="X449" s="54"/>
    </row>
    <row r="450" spans="17:24">
      <c r="Q450" s="54"/>
      <c r="X450" s="54"/>
    </row>
    <row r="451" spans="17:24">
      <c r="Q451" s="54"/>
      <c r="X451" s="54"/>
    </row>
    <row r="452" spans="17:24">
      <c r="Q452" s="54"/>
      <c r="X452" s="54"/>
    </row>
    <row r="453" spans="17:24">
      <c r="Q453" s="54"/>
      <c r="X453" s="54"/>
    </row>
    <row r="454" spans="17:24">
      <c r="Q454" s="54"/>
      <c r="X454" s="54"/>
    </row>
    <row r="455" spans="17:24">
      <c r="Q455" s="54"/>
      <c r="X455" s="54"/>
    </row>
    <row r="456" spans="17:24">
      <c r="Q456" s="54"/>
      <c r="X456" s="54"/>
    </row>
    <row r="457" spans="17:24">
      <c r="Q457" s="54"/>
      <c r="X457" s="54"/>
    </row>
  </sheetData>
  <autoFilter ref="A9:U11">
    <filterColumn colId="12" showButton="0"/>
    <filterColumn colId="13" showButton="0"/>
  </autoFilter>
  <mergeCells count="48">
    <mergeCell ref="F9:F11"/>
    <mergeCell ref="G9:G11"/>
    <mergeCell ref="H9:H11"/>
    <mergeCell ref="I9:I11"/>
    <mergeCell ref="J9:J11"/>
    <mergeCell ref="K9:K11"/>
    <mergeCell ref="P5:R5"/>
    <mergeCell ref="S5:U5"/>
    <mergeCell ref="H6:I6"/>
    <mergeCell ref="P6:R6"/>
    <mergeCell ref="S6:U6"/>
    <mergeCell ref="T9:T11"/>
    <mergeCell ref="U9:U11"/>
    <mergeCell ref="L9:L11"/>
    <mergeCell ref="M9:O10"/>
    <mergeCell ref="P9:P11"/>
    <mergeCell ref="Q9:Q10"/>
    <mergeCell ref="R9:R11"/>
    <mergeCell ref="L1:L6"/>
    <mergeCell ref="M1:O6"/>
    <mergeCell ref="P3:R3"/>
    <mergeCell ref="A9:A11"/>
    <mergeCell ref="B9:B11"/>
    <mergeCell ref="C9:C11"/>
    <mergeCell ref="D9:D11"/>
    <mergeCell ref="E9:E11"/>
    <mergeCell ref="S3:U3"/>
    <mergeCell ref="F4:G4"/>
    <mergeCell ref="H4:I4"/>
    <mergeCell ref="P4:R4"/>
    <mergeCell ref="S4:U4"/>
    <mergeCell ref="H3:I3"/>
    <mergeCell ref="F5:G5"/>
    <mergeCell ref="H5:I5"/>
    <mergeCell ref="P1:R1"/>
    <mergeCell ref="S1:U1"/>
    <mergeCell ref="A2:D6"/>
    <mergeCell ref="E2:E6"/>
    <mergeCell ref="F2:G2"/>
    <mergeCell ref="H2:I2"/>
    <mergeCell ref="J2:K6"/>
    <mergeCell ref="P2:R2"/>
    <mergeCell ref="S2:U2"/>
    <mergeCell ref="F3:G3"/>
    <mergeCell ref="A1:D1"/>
    <mergeCell ref="F1:G1"/>
    <mergeCell ref="H1:I1"/>
    <mergeCell ref="J1:K1"/>
  </mergeCells>
  <pageMargins left="0" right="0" top="0.23622047244094499" bottom="0.23622047244094499" header="0" footer="0"/>
  <pageSetup paperSize="9" scale="15" fitToHeight="0" orientation="landscape" r:id="rId1"/>
  <headerFooter alignWithMargins="0">
    <oddFooter>Page &amp;P of &amp;N</oddFooter>
  </headerFooter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X21"/>
  <sheetViews>
    <sheetView zoomScale="40" zoomScaleNormal="40" zoomScaleSheetLayoutView="40" workbookViewId="0">
      <pane xSplit="7" ySplit="18" topLeftCell="H19" activePane="bottomRight" state="frozen"/>
      <selection pane="topRight" activeCell="H1" sqref="H1"/>
      <selection pane="bottomLeft" activeCell="A19" sqref="A19"/>
      <selection pane="bottomRight" activeCell="C19" sqref="C19"/>
    </sheetView>
  </sheetViews>
  <sheetFormatPr defaultColWidth="9.140625" defaultRowHeight="23.25"/>
  <cols>
    <col min="1" max="1" width="21.42578125" style="75" customWidth="1"/>
    <col min="2" max="2" width="20.42578125" style="75" customWidth="1"/>
    <col min="3" max="3" width="26.5703125" style="75" customWidth="1"/>
    <col min="4" max="4" width="21.42578125" style="75" customWidth="1"/>
    <col min="5" max="5" width="14" style="75" customWidth="1"/>
    <col min="6" max="6" width="41.85546875" style="75" customWidth="1"/>
    <col min="7" max="7" width="22.85546875" style="75" customWidth="1"/>
    <col min="8" max="8" width="19.7109375" style="75" customWidth="1"/>
    <col min="9" max="9" width="20.7109375" style="75" customWidth="1"/>
    <col min="10" max="10" width="23.28515625" style="75" customWidth="1"/>
    <col min="11" max="11" width="17" style="75" customWidth="1"/>
    <col min="12" max="12" width="14.42578125" style="75" customWidth="1"/>
    <col min="13" max="13" width="19.140625" style="75" customWidth="1"/>
    <col min="14" max="14" width="23.42578125" style="75" customWidth="1"/>
    <col min="15" max="17" width="11.7109375" style="75" customWidth="1"/>
    <col min="18" max="18" width="18.7109375" style="75" customWidth="1"/>
    <col min="19" max="21" width="11.7109375" style="75" customWidth="1"/>
    <col min="22" max="22" width="13.5703125" style="75" customWidth="1"/>
    <col min="23" max="23" width="13.7109375" style="75" customWidth="1"/>
    <col min="24" max="24" width="28.7109375" style="75" customWidth="1"/>
    <col min="25" max="27" width="11.7109375" style="89" customWidth="1"/>
    <col min="28" max="28" width="14.7109375" style="89" customWidth="1"/>
    <col min="29" max="29" width="18.7109375" style="75" customWidth="1"/>
    <col min="30" max="30" width="16.28515625" style="75" customWidth="1"/>
    <col min="31" max="31" width="14.5703125" style="75" customWidth="1"/>
    <col min="32" max="32" width="15.85546875" style="75" customWidth="1"/>
    <col min="33" max="33" width="21.42578125" style="75" customWidth="1"/>
    <col min="34" max="34" width="26" style="75" customWidth="1"/>
    <col min="35" max="35" width="35.5703125" style="75" customWidth="1"/>
    <col min="36" max="36" width="3.28515625" style="75" customWidth="1"/>
    <col min="37" max="37" width="3.140625" style="75" customWidth="1"/>
    <col min="38" max="39" width="27.5703125" style="75" customWidth="1"/>
    <col min="40" max="40" width="27.5703125" style="90" customWidth="1"/>
    <col min="41" max="41" width="21.42578125" style="75" customWidth="1"/>
    <col min="42" max="42" width="9.140625" style="75"/>
    <col min="43" max="43" width="10" style="75" bestFit="1" customWidth="1"/>
    <col min="44" max="16384" width="9.140625" style="75"/>
  </cols>
  <sheetData>
    <row r="1" spans="1:45" s="64" customFormat="1" ht="50.1" customHeight="1">
      <c r="A1" s="299" t="s">
        <v>0</v>
      </c>
      <c r="B1" s="300"/>
      <c r="C1" s="301"/>
      <c r="D1" s="314" t="s">
        <v>1</v>
      </c>
      <c r="E1" s="314"/>
      <c r="F1" s="315"/>
      <c r="G1" s="315"/>
      <c r="H1" s="117" t="s">
        <v>2</v>
      </c>
      <c r="I1" s="118"/>
      <c r="J1" s="118"/>
      <c r="K1" s="118"/>
      <c r="L1" s="118"/>
      <c r="M1" s="118"/>
      <c r="N1" s="316"/>
      <c r="O1" s="60"/>
      <c r="P1" s="177" t="s">
        <v>3</v>
      </c>
      <c r="Q1" s="317"/>
      <c r="R1" s="318"/>
      <c r="S1" s="117" t="s">
        <v>4</v>
      </c>
      <c r="T1" s="118"/>
      <c r="U1" s="119"/>
      <c r="V1" s="328"/>
      <c r="W1" s="329"/>
      <c r="X1" s="330"/>
      <c r="Y1" s="117" t="s">
        <v>5</v>
      </c>
      <c r="Z1" s="118"/>
      <c r="AA1" s="119"/>
      <c r="AB1" s="264"/>
      <c r="AC1" s="265"/>
      <c r="AD1" s="266"/>
      <c r="AE1" s="302"/>
      <c r="AF1" s="303"/>
      <c r="AG1" s="303"/>
      <c r="AH1" s="303"/>
      <c r="AI1" s="304"/>
      <c r="AJ1" s="61"/>
      <c r="AK1" s="61"/>
      <c r="AL1" s="62"/>
      <c r="AM1" s="62"/>
      <c r="AN1" s="63"/>
    </row>
    <row r="2" spans="1:45" s="64" customFormat="1" ht="30" customHeight="1">
      <c r="A2" s="293"/>
      <c r="B2" s="294"/>
      <c r="C2" s="295"/>
      <c r="D2" s="147" t="s">
        <v>6</v>
      </c>
      <c r="E2" s="310"/>
      <c r="F2" s="311"/>
      <c r="G2" s="312"/>
      <c r="H2" s="284"/>
      <c r="I2" s="285"/>
      <c r="J2" s="285"/>
      <c r="K2" s="285"/>
      <c r="L2" s="285"/>
      <c r="M2" s="285"/>
      <c r="N2" s="286"/>
      <c r="O2" s="60"/>
      <c r="P2" s="319"/>
      <c r="Q2" s="320"/>
      <c r="R2" s="321"/>
      <c r="S2" s="134" t="s">
        <v>7</v>
      </c>
      <c r="T2" s="225"/>
      <c r="U2" s="135"/>
      <c r="V2" s="267"/>
      <c r="W2" s="268"/>
      <c r="X2" s="313"/>
      <c r="Y2" s="134" t="s">
        <v>8</v>
      </c>
      <c r="Z2" s="225"/>
      <c r="AA2" s="135"/>
      <c r="AB2" s="325"/>
      <c r="AC2" s="326"/>
      <c r="AD2" s="327"/>
      <c r="AE2" s="305"/>
      <c r="AF2" s="306"/>
      <c r="AG2" s="306"/>
      <c r="AH2" s="306"/>
      <c r="AI2" s="307"/>
      <c r="AJ2" s="62"/>
      <c r="AK2" s="62"/>
      <c r="AL2" s="62"/>
      <c r="AM2" s="62"/>
      <c r="AN2" s="63"/>
    </row>
    <row r="3" spans="1:45" s="64" customFormat="1" ht="30" customHeight="1">
      <c r="A3" s="293"/>
      <c r="B3" s="294"/>
      <c r="C3" s="295"/>
      <c r="D3" s="147" t="s">
        <v>9</v>
      </c>
      <c r="E3" s="147"/>
      <c r="F3" s="311"/>
      <c r="G3" s="312"/>
      <c r="H3" s="287"/>
      <c r="I3" s="288"/>
      <c r="J3" s="288"/>
      <c r="K3" s="288"/>
      <c r="L3" s="288"/>
      <c r="M3" s="288"/>
      <c r="N3" s="289"/>
      <c r="O3" s="60"/>
      <c r="P3" s="319"/>
      <c r="Q3" s="320"/>
      <c r="R3" s="321"/>
      <c r="S3" s="134" t="s">
        <v>10</v>
      </c>
      <c r="T3" s="225"/>
      <c r="U3" s="135"/>
      <c r="V3" s="267"/>
      <c r="W3" s="268"/>
      <c r="X3" s="313"/>
      <c r="Y3" s="134" t="s">
        <v>11</v>
      </c>
      <c r="Z3" s="225"/>
      <c r="AA3" s="135"/>
      <c r="AB3" s="325"/>
      <c r="AC3" s="326"/>
      <c r="AD3" s="327"/>
      <c r="AE3" s="305"/>
      <c r="AF3" s="306"/>
      <c r="AG3" s="306"/>
      <c r="AH3" s="306"/>
      <c r="AI3" s="307"/>
      <c r="AJ3" s="62"/>
      <c r="AK3" s="62"/>
      <c r="AL3" s="62"/>
      <c r="AM3" s="62"/>
      <c r="AN3" s="63"/>
    </row>
    <row r="4" spans="1:45" s="64" customFormat="1" ht="30" customHeight="1">
      <c r="A4" s="293"/>
      <c r="B4" s="294"/>
      <c r="C4" s="295"/>
      <c r="D4" s="147" t="s">
        <v>12</v>
      </c>
      <c r="E4" s="147"/>
      <c r="F4" s="311"/>
      <c r="G4" s="312"/>
      <c r="H4" s="287"/>
      <c r="I4" s="288"/>
      <c r="J4" s="288"/>
      <c r="K4" s="288"/>
      <c r="L4" s="288"/>
      <c r="M4" s="288"/>
      <c r="N4" s="289"/>
      <c r="O4" s="60"/>
      <c r="P4" s="319"/>
      <c r="Q4" s="320"/>
      <c r="R4" s="321"/>
      <c r="S4" s="134" t="s">
        <v>13</v>
      </c>
      <c r="T4" s="225"/>
      <c r="U4" s="135"/>
      <c r="V4" s="267"/>
      <c r="W4" s="268"/>
      <c r="X4" s="268"/>
      <c r="Y4" s="269" t="s">
        <v>14</v>
      </c>
      <c r="Z4" s="269"/>
      <c r="AA4" s="269"/>
      <c r="AB4" s="270"/>
      <c r="AC4" s="271"/>
      <c r="AD4" s="272"/>
      <c r="AE4" s="306"/>
      <c r="AF4" s="306"/>
      <c r="AG4" s="306"/>
      <c r="AH4" s="306"/>
      <c r="AI4" s="307"/>
      <c r="AJ4" s="62"/>
      <c r="AK4" s="62"/>
      <c r="AL4" s="62"/>
      <c r="AM4" s="62"/>
      <c r="AN4" s="63"/>
    </row>
    <row r="5" spans="1:45" s="64" customFormat="1" ht="30" customHeight="1" thickBot="1">
      <c r="A5" s="296"/>
      <c r="B5" s="297"/>
      <c r="C5" s="298"/>
      <c r="D5" s="233" t="s">
        <v>15</v>
      </c>
      <c r="E5" s="233"/>
      <c r="F5" s="273"/>
      <c r="G5" s="274"/>
      <c r="H5" s="290"/>
      <c r="I5" s="291"/>
      <c r="J5" s="291"/>
      <c r="K5" s="291"/>
      <c r="L5" s="291"/>
      <c r="M5" s="291"/>
      <c r="N5" s="292"/>
      <c r="O5" s="60"/>
      <c r="P5" s="322"/>
      <c r="Q5" s="323"/>
      <c r="R5" s="324"/>
      <c r="S5" s="275" t="s">
        <v>16</v>
      </c>
      <c r="T5" s="276"/>
      <c r="U5" s="277"/>
      <c r="V5" s="278"/>
      <c r="W5" s="279"/>
      <c r="X5" s="279"/>
      <c r="Y5" s="280" t="s">
        <v>17</v>
      </c>
      <c r="Z5" s="280"/>
      <c r="AA5" s="280"/>
      <c r="AB5" s="281"/>
      <c r="AC5" s="282"/>
      <c r="AD5" s="283"/>
      <c r="AE5" s="308"/>
      <c r="AF5" s="308"/>
      <c r="AG5" s="308"/>
      <c r="AH5" s="308"/>
      <c r="AI5" s="309"/>
      <c r="AJ5" s="62"/>
      <c r="AK5" s="62"/>
      <c r="AL5" s="62"/>
      <c r="AM5" s="62"/>
      <c r="AN5" s="63"/>
      <c r="AO5" s="63"/>
      <c r="AP5" s="63"/>
      <c r="AQ5" s="63"/>
      <c r="AR5" s="63"/>
      <c r="AS5" s="63"/>
    </row>
    <row r="6" spans="1:45" s="64" customFormat="1" ht="16.5" customHeight="1" thickBot="1">
      <c r="A6" s="43"/>
      <c r="B6" s="43"/>
      <c r="C6" s="43"/>
      <c r="D6" s="43"/>
      <c r="E6" s="43"/>
      <c r="F6" s="43"/>
      <c r="G6" s="43"/>
      <c r="H6" s="44"/>
      <c r="I6" s="44"/>
      <c r="J6" s="65"/>
      <c r="K6" s="65"/>
      <c r="L6" s="65"/>
      <c r="M6" s="65"/>
      <c r="N6" s="43"/>
      <c r="O6" s="43"/>
      <c r="P6" s="43"/>
      <c r="Q6" s="43"/>
      <c r="R6" s="43"/>
      <c r="S6" s="43"/>
      <c r="T6" s="66"/>
      <c r="U6" s="66"/>
      <c r="V6" s="66"/>
      <c r="W6" s="66"/>
      <c r="X6" s="52"/>
      <c r="Y6" s="52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63"/>
      <c r="AK6" s="63"/>
      <c r="AL6" s="63"/>
      <c r="AM6" s="63"/>
      <c r="AN6" s="63"/>
    </row>
    <row r="7" spans="1:45" s="64" customFormat="1" ht="30" customHeight="1">
      <c r="A7" s="244" t="s">
        <v>18</v>
      </c>
      <c r="B7" s="245"/>
      <c r="C7" s="245"/>
      <c r="D7" s="245"/>
      <c r="E7" s="245"/>
      <c r="F7" s="245"/>
      <c r="G7" s="246"/>
      <c r="H7" s="52"/>
      <c r="I7" s="52"/>
      <c r="J7" s="247" t="s">
        <v>19</v>
      </c>
      <c r="K7" s="248"/>
      <c r="L7" s="248"/>
      <c r="M7" s="248"/>
      <c r="N7" s="248"/>
      <c r="O7" s="248"/>
      <c r="P7" s="249"/>
      <c r="Q7" s="52"/>
      <c r="R7" s="247" t="s">
        <v>20</v>
      </c>
      <c r="S7" s="248"/>
      <c r="T7" s="248"/>
      <c r="U7" s="248"/>
      <c r="V7" s="248"/>
      <c r="W7" s="249"/>
      <c r="X7" s="52"/>
      <c r="Y7" s="247" t="s">
        <v>21</v>
      </c>
      <c r="Z7" s="248"/>
      <c r="AA7" s="248"/>
      <c r="AB7" s="248"/>
      <c r="AC7" s="249"/>
      <c r="AD7" s="52"/>
      <c r="AE7" s="67" t="s">
        <v>22</v>
      </c>
      <c r="AF7" s="189" t="s">
        <v>23</v>
      </c>
      <c r="AG7" s="143"/>
      <c r="AH7" s="143"/>
      <c r="AI7" s="190"/>
      <c r="AL7" s="63"/>
      <c r="AM7" s="63"/>
      <c r="AN7" s="63"/>
    </row>
    <row r="8" spans="1:45" s="64" customFormat="1" ht="30" customHeight="1">
      <c r="A8" s="250"/>
      <c r="B8" s="251" t="s">
        <v>24</v>
      </c>
      <c r="C8" s="251"/>
      <c r="D8" s="134" t="s">
        <v>1</v>
      </c>
      <c r="E8" s="225"/>
      <c r="F8" s="252"/>
      <c r="G8" s="253"/>
      <c r="H8" s="52"/>
      <c r="I8" s="52"/>
      <c r="J8" s="68"/>
      <c r="K8" s="134" t="s">
        <v>25</v>
      </c>
      <c r="L8" s="225"/>
      <c r="M8" s="225"/>
      <c r="N8" s="225"/>
      <c r="O8" s="225"/>
      <c r="P8" s="254"/>
      <c r="Q8" s="52"/>
      <c r="R8" s="68"/>
      <c r="S8" s="134" t="s">
        <v>25</v>
      </c>
      <c r="T8" s="225"/>
      <c r="U8" s="225"/>
      <c r="V8" s="225"/>
      <c r="W8" s="254"/>
      <c r="X8" s="52"/>
      <c r="Y8" s="69"/>
      <c r="Z8" s="147" t="s">
        <v>26</v>
      </c>
      <c r="AA8" s="147"/>
      <c r="AB8" s="147"/>
      <c r="AC8" s="224"/>
      <c r="AD8" s="52"/>
      <c r="AE8" s="70" t="s">
        <v>27</v>
      </c>
      <c r="AF8" s="186"/>
      <c r="AG8" s="187"/>
      <c r="AH8" s="187"/>
      <c r="AI8" s="188"/>
      <c r="AL8" s="63"/>
      <c r="AM8" s="63"/>
      <c r="AN8" s="63"/>
    </row>
    <row r="9" spans="1:45" s="64" customFormat="1" ht="30" customHeight="1">
      <c r="A9" s="250"/>
      <c r="B9" s="251"/>
      <c r="C9" s="251"/>
      <c r="D9" s="134" t="s">
        <v>6</v>
      </c>
      <c r="E9" s="255"/>
      <c r="F9" s="120"/>
      <c r="G9" s="226"/>
      <c r="H9" s="52"/>
      <c r="I9" s="52"/>
      <c r="J9" s="213"/>
      <c r="K9" s="256" t="s">
        <v>28</v>
      </c>
      <c r="L9" s="257"/>
      <c r="M9" s="235"/>
      <c r="N9" s="236"/>
      <c r="O9" s="236"/>
      <c r="P9" s="237"/>
      <c r="Q9" s="52"/>
      <c r="R9" s="213"/>
      <c r="S9" s="256" t="s">
        <v>28</v>
      </c>
      <c r="T9" s="257"/>
      <c r="U9" s="215"/>
      <c r="V9" s="216"/>
      <c r="W9" s="217"/>
      <c r="X9" s="52"/>
      <c r="Y9" s="69"/>
      <c r="Z9" s="147" t="s">
        <v>29</v>
      </c>
      <c r="AA9" s="147"/>
      <c r="AB9" s="147"/>
      <c r="AC9" s="224"/>
      <c r="AD9" s="52"/>
      <c r="AE9" s="71" t="s">
        <v>30</v>
      </c>
      <c r="AF9" s="186"/>
      <c r="AG9" s="187"/>
      <c r="AH9" s="187"/>
      <c r="AI9" s="188"/>
      <c r="AL9" s="63"/>
      <c r="AM9" s="63"/>
      <c r="AN9" s="63"/>
    </row>
    <row r="10" spans="1:45" s="64" customFormat="1" ht="30" customHeight="1">
      <c r="A10" s="250"/>
      <c r="B10" s="251"/>
      <c r="C10" s="251"/>
      <c r="D10" s="134" t="s">
        <v>9</v>
      </c>
      <c r="E10" s="225"/>
      <c r="F10" s="120"/>
      <c r="G10" s="226"/>
      <c r="H10" s="52"/>
      <c r="I10" s="52"/>
      <c r="J10" s="213"/>
      <c r="K10" s="258"/>
      <c r="L10" s="259"/>
      <c r="M10" s="238"/>
      <c r="N10" s="239"/>
      <c r="O10" s="239"/>
      <c r="P10" s="240"/>
      <c r="Q10" s="52"/>
      <c r="R10" s="213"/>
      <c r="S10" s="258"/>
      <c r="T10" s="259"/>
      <c r="U10" s="218"/>
      <c r="V10" s="219"/>
      <c r="W10" s="220"/>
      <c r="X10" s="52"/>
      <c r="Y10" s="69"/>
      <c r="Z10" s="147" t="s">
        <v>31</v>
      </c>
      <c r="AA10" s="147"/>
      <c r="AB10" s="147"/>
      <c r="AC10" s="224"/>
      <c r="AD10" s="52"/>
      <c r="AE10" s="71" t="s">
        <v>32</v>
      </c>
      <c r="AF10" s="186"/>
      <c r="AG10" s="187"/>
      <c r="AH10" s="187"/>
      <c r="AI10" s="188"/>
      <c r="AL10" s="63"/>
      <c r="AM10" s="63"/>
      <c r="AN10" s="63"/>
    </row>
    <row r="11" spans="1:45" s="64" customFormat="1" ht="30" customHeight="1">
      <c r="A11" s="250"/>
      <c r="B11" s="251"/>
      <c r="C11" s="251"/>
      <c r="D11" s="134" t="s">
        <v>12</v>
      </c>
      <c r="E11" s="225"/>
      <c r="F11" s="120"/>
      <c r="G11" s="226"/>
      <c r="H11" s="52"/>
      <c r="I11" s="52"/>
      <c r="J11" s="213"/>
      <c r="K11" s="258"/>
      <c r="L11" s="259"/>
      <c r="M11" s="238"/>
      <c r="N11" s="239"/>
      <c r="O11" s="239"/>
      <c r="P11" s="240"/>
      <c r="Q11" s="52"/>
      <c r="R11" s="213"/>
      <c r="S11" s="258"/>
      <c r="T11" s="259"/>
      <c r="U11" s="218"/>
      <c r="V11" s="219"/>
      <c r="W11" s="220"/>
      <c r="X11" s="52"/>
      <c r="Y11" s="69"/>
      <c r="Z11" s="147" t="s">
        <v>33</v>
      </c>
      <c r="AA11" s="147"/>
      <c r="AB11" s="147"/>
      <c r="AC11" s="224"/>
      <c r="AD11" s="52"/>
      <c r="AE11" s="71" t="s">
        <v>34</v>
      </c>
      <c r="AF11" s="186"/>
      <c r="AG11" s="187"/>
      <c r="AH11" s="187"/>
      <c r="AI11" s="188"/>
      <c r="AK11" s="63"/>
      <c r="AL11" s="63"/>
      <c r="AM11" s="63"/>
      <c r="AN11" s="63"/>
    </row>
    <row r="12" spans="1:45" s="64" customFormat="1" ht="30" customHeight="1">
      <c r="A12" s="250"/>
      <c r="B12" s="251"/>
      <c r="C12" s="251"/>
      <c r="D12" s="134" t="s">
        <v>35</v>
      </c>
      <c r="E12" s="225"/>
      <c r="F12" s="120"/>
      <c r="G12" s="226"/>
      <c r="H12" s="52"/>
      <c r="I12" s="52"/>
      <c r="J12" s="213"/>
      <c r="K12" s="260"/>
      <c r="L12" s="261"/>
      <c r="M12" s="241"/>
      <c r="N12" s="242"/>
      <c r="O12" s="242"/>
      <c r="P12" s="243"/>
      <c r="Q12" s="52"/>
      <c r="R12" s="213"/>
      <c r="S12" s="260"/>
      <c r="T12" s="261"/>
      <c r="U12" s="221"/>
      <c r="V12" s="222"/>
      <c r="W12" s="223"/>
      <c r="X12" s="52"/>
      <c r="Y12" s="213"/>
      <c r="Z12" s="147" t="s">
        <v>36</v>
      </c>
      <c r="AA12" s="147"/>
      <c r="AB12" s="147"/>
      <c r="AC12" s="224"/>
      <c r="AD12" s="52"/>
      <c r="AE12" s="202" t="s">
        <v>37</v>
      </c>
      <c r="AF12" s="203"/>
      <c r="AG12" s="204"/>
      <c r="AH12" s="205"/>
      <c r="AI12" s="206"/>
      <c r="AJ12" s="72"/>
      <c r="AK12" s="72"/>
      <c r="AL12" s="72"/>
      <c r="AM12" s="72"/>
      <c r="AN12" s="72"/>
    </row>
    <row r="13" spans="1:45" s="64" customFormat="1" ht="30" customHeight="1">
      <c r="A13" s="68"/>
      <c r="B13" s="147" t="s">
        <v>38</v>
      </c>
      <c r="C13" s="147"/>
      <c r="D13" s="147"/>
      <c r="E13" s="147"/>
      <c r="F13" s="147"/>
      <c r="G13" s="224"/>
      <c r="H13" s="52"/>
      <c r="I13" s="52"/>
      <c r="J13" s="213"/>
      <c r="K13" s="262" t="s">
        <v>39</v>
      </c>
      <c r="L13" s="227"/>
      <c r="M13" s="227"/>
      <c r="N13" s="227"/>
      <c r="O13" s="227"/>
      <c r="P13" s="228"/>
      <c r="Q13" s="52"/>
      <c r="R13" s="213"/>
      <c r="S13" s="227" t="s">
        <v>40</v>
      </c>
      <c r="T13" s="227"/>
      <c r="U13" s="227"/>
      <c r="V13" s="227"/>
      <c r="W13" s="228"/>
      <c r="X13" s="52"/>
      <c r="Y13" s="213"/>
      <c r="Z13" s="231"/>
      <c r="AA13" s="208"/>
      <c r="AB13" s="208"/>
      <c r="AC13" s="209"/>
      <c r="AD13" s="52"/>
      <c r="AE13" s="207"/>
      <c r="AF13" s="208"/>
      <c r="AG13" s="208"/>
      <c r="AH13" s="208"/>
      <c r="AI13" s="209"/>
      <c r="AJ13" s="63"/>
      <c r="AK13" s="63"/>
      <c r="AL13" s="63"/>
      <c r="AM13" s="63"/>
      <c r="AN13" s="63"/>
    </row>
    <row r="14" spans="1:45" s="64" customFormat="1" ht="30" customHeight="1" thickBot="1">
      <c r="A14" s="73"/>
      <c r="B14" s="233" t="s">
        <v>41</v>
      </c>
      <c r="C14" s="233"/>
      <c r="D14" s="233"/>
      <c r="E14" s="233"/>
      <c r="F14" s="233"/>
      <c r="G14" s="234"/>
      <c r="H14" s="52"/>
      <c r="I14" s="52"/>
      <c r="J14" s="214"/>
      <c r="K14" s="263"/>
      <c r="L14" s="229"/>
      <c r="M14" s="229"/>
      <c r="N14" s="229"/>
      <c r="O14" s="229"/>
      <c r="P14" s="230"/>
      <c r="Q14" s="43"/>
      <c r="R14" s="214"/>
      <c r="S14" s="229"/>
      <c r="T14" s="229"/>
      <c r="U14" s="229"/>
      <c r="V14" s="229"/>
      <c r="W14" s="230"/>
      <c r="X14" s="52"/>
      <c r="Y14" s="214"/>
      <c r="Z14" s="232"/>
      <c r="AA14" s="211"/>
      <c r="AB14" s="211"/>
      <c r="AC14" s="212"/>
      <c r="AD14" s="52"/>
      <c r="AE14" s="210"/>
      <c r="AF14" s="211"/>
      <c r="AG14" s="211"/>
      <c r="AH14" s="211"/>
      <c r="AI14" s="212"/>
      <c r="AJ14" s="63"/>
      <c r="AK14" s="63"/>
      <c r="AL14" s="63"/>
      <c r="AM14" s="63"/>
      <c r="AN14" s="63"/>
    </row>
    <row r="15" spans="1:45" s="64" customFormat="1" ht="20.25" customHeight="1">
      <c r="A15" s="49"/>
      <c r="B15" s="43"/>
      <c r="C15" s="43"/>
      <c r="D15" s="43"/>
      <c r="E15" s="43"/>
      <c r="F15" s="43"/>
      <c r="G15" s="43"/>
      <c r="H15" s="52"/>
      <c r="I15" s="52"/>
      <c r="J15" s="74"/>
      <c r="K15" s="53"/>
      <c r="L15" s="43"/>
      <c r="M15" s="43"/>
      <c r="N15" s="53"/>
      <c r="O15" s="53"/>
      <c r="P15" s="52"/>
      <c r="Q15" s="43"/>
      <c r="R15" s="43"/>
      <c r="S15" s="43"/>
      <c r="T15" s="53"/>
      <c r="U15" s="53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63"/>
      <c r="AK15" s="63"/>
      <c r="AL15" s="63"/>
      <c r="AM15" s="63"/>
      <c r="AN15" s="63"/>
    </row>
    <row r="16" spans="1:45" ht="35.1" customHeight="1">
      <c r="A16" s="152" t="s">
        <v>42</v>
      </c>
      <c r="B16" s="152" t="s">
        <v>43</v>
      </c>
      <c r="C16" s="152" t="s">
        <v>44</v>
      </c>
      <c r="D16" s="152" t="s">
        <v>45</v>
      </c>
      <c r="E16" s="152" t="s">
        <v>46</v>
      </c>
      <c r="F16" s="152" t="s">
        <v>47</v>
      </c>
      <c r="G16" s="152" t="s">
        <v>71</v>
      </c>
      <c r="H16" s="152" t="s">
        <v>72</v>
      </c>
      <c r="I16" s="152" t="s">
        <v>73</v>
      </c>
      <c r="J16" s="152" t="s">
        <v>48</v>
      </c>
      <c r="K16" s="152" t="s">
        <v>49</v>
      </c>
      <c r="L16" s="152" t="s">
        <v>50</v>
      </c>
      <c r="M16" s="152" t="s">
        <v>74</v>
      </c>
      <c r="N16" s="152" t="s">
        <v>51</v>
      </c>
      <c r="O16" s="194" t="s">
        <v>52</v>
      </c>
      <c r="P16" s="195"/>
      <c r="Q16" s="195"/>
      <c r="R16" s="196" t="s">
        <v>53</v>
      </c>
      <c r="S16" s="152" t="s">
        <v>54</v>
      </c>
      <c r="T16" s="198"/>
      <c r="U16" s="198"/>
      <c r="V16" s="198"/>
      <c r="W16" s="196" t="s">
        <v>55</v>
      </c>
      <c r="X16" s="196" t="s">
        <v>56</v>
      </c>
      <c r="Y16" s="199" t="s">
        <v>57</v>
      </c>
      <c r="Z16" s="199"/>
      <c r="AA16" s="200"/>
      <c r="AB16" s="200" t="s">
        <v>58</v>
      </c>
      <c r="AC16" s="152" t="s">
        <v>59</v>
      </c>
      <c r="AD16" s="152" t="s">
        <v>60</v>
      </c>
      <c r="AE16" s="191" t="s">
        <v>61</v>
      </c>
      <c r="AF16" s="152" t="s">
        <v>76</v>
      </c>
      <c r="AG16" s="152" t="s">
        <v>77</v>
      </c>
      <c r="AH16" s="152" t="s">
        <v>75</v>
      </c>
      <c r="AI16" s="152" t="s">
        <v>62</v>
      </c>
      <c r="AN16" s="75"/>
    </row>
    <row r="17" spans="1:206" ht="30" customHeight="1">
      <c r="A17" s="152"/>
      <c r="B17" s="152" t="s">
        <v>43</v>
      </c>
      <c r="C17" s="152"/>
      <c r="D17" s="152"/>
      <c r="E17" s="152"/>
      <c r="F17" s="152"/>
      <c r="G17" s="152"/>
      <c r="H17" s="152"/>
      <c r="I17" s="152"/>
      <c r="J17" s="152" t="s">
        <v>48</v>
      </c>
      <c r="K17" s="152"/>
      <c r="L17" s="152"/>
      <c r="M17" s="152"/>
      <c r="N17" s="152"/>
      <c r="O17" s="195"/>
      <c r="P17" s="195"/>
      <c r="Q17" s="195"/>
      <c r="R17" s="197"/>
      <c r="S17" s="201" t="s">
        <v>63</v>
      </c>
      <c r="T17" s="198"/>
      <c r="U17" s="198"/>
      <c r="V17" s="152" t="s">
        <v>64</v>
      </c>
      <c r="W17" s="197"/>
      <c r="X17" s="196"/>
      <c r="Y17" s="200"/>
      <c r="Z17" s="200"/>
      <c r="AA17" s="200"/>
      <c r="AB17" s="200"/>
      <c r="AC17" s="198"/>
      <c r="AD17" s="198"/>
      <c r="AE17" s="192"/>
      <c r="AF17" s="193"/>
      <c r="AG17" s="193"/>
      <c r="AH17" s="193"/>
      <c r="AI17" s="193"/>
      <c r="AN17" s="75"/>
    </row>
    <row r="18" spans="1:206" ht="35.1" customHeight="1">
      <c r="A18" s="152"/>
      <c r="B18" s="152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97" t="s">
        <v>65</v>
      </c>
      <c r="P18" s="97" t="s">
        <v>66</v>
      </c>
      <c r="Q18" s="97" t="s">
        <v>67</v>
      </c>
      <c r="R18" s="197"/>
      <c r="S18" s="98" t="s">
        <v>65</v>
      </c>
      <c r="T18" s="98" t="s">
        <v>66</v>
      </c>
      <c r="U18" s="98" t="s">
        <v>67</v>
      </c>
      <c r="V18" s="198"/>
      <c r="W18" s="197"/>
      <c r="X18" s="196"/>
      <c r="Y18" s="106" t="s">
        <v>68</v>
      </c>
      <c r="Z18" s="106" t="s">
        <v>69</v>
      </c>
      <c r="AA18" s="106" t="s">
        <v>70</v>
      </c>
      <c r="AB18" s="200"/>
      <c r="AC18" s="198"/>
      <c r="AD18" s="198"/>
      <c r="AE18" s="192"/>
      <c r="AF18" s="193"/>
      <c r="AG18" s="193"/>
      <c r="AH18" s="193"/>
      <c r="AI18" s="193"/>
      <c r="AN18" s="75"/>
    </row>
    <row r="19" spans="1:206" ht="24" customHeight="1">
      <c r="A19" s="107"/>
      <c r="B19" s="108"/>
      <c r="C19" s="109"/>
      <c r="D19" s="107"/>
      <c r="E19" s="101"/>
      <c r="F19" s="107"/>
      <c r="G19" s="107"/>
      <c r="H19" s="107"/>
      <c r="I19" s="107"/>
      <c r="J19" s="107"/>
      <c r="K19" s="107"/>
      <c r="L19" s="107"/>
      <c r="M19" s="107"/>
      <c r="N19" s="107"/>
      <c r="O19" s="109"/>
      <c r="P19" s="109"/>
      <c r="Q19" s="109"/>
      <c r="R19" s="110"/>
      <c r="S19" s="109"/>
      <c r="T19" s="109"/>
      <c r="U19" s="109"/>
      <c r="V19" s="109"/>
      <c r="W19" s="110"/>
      <c r="X19" s="109"/>
      <c r="Y19" s="110"/>
      <c r="Z19" s="110"/>
      <c r="AA19" s="110"/>
      <c r="AB19" s="109"/>
      <c r="AC19" s="109"/>
      <c r="AD19" s="109"/>
      <c r="AE19" s="110"/>
      <c r="AF19" s="111"/>
      <c r="AG19" s="112"/>
      <c r="AH19" s="112"/>
      <c r="AI19" s="109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  <c r="BG19" s="76"/>
      <c r="BH19" s="76"/>
      <c r="BI19" s="76"/>
      <c r="BJ19" s="76"/>
      <c r="BK19" s="76"/>
      <c r="BL19" s="76"/>
      <c r="BM19" s="76"/>
      <c r="BN19" s="76"/>
      <c r="BO19" s="76"/>
      <c r="BP19" s="76"/>
      <c r="BQ19" s="76"/>
      <c r="BR19" s="76"/>
      <c r="BS19" s="76"/>
      <c r="BT19" s="76"/>
      <c r="BU19" s="76"/>
      <c r="BV19" s="76"/>
      <c r="BW19" s="76"/>
      <c r="BX19" s="76"/>
      <c r="BY19" s="76"/>
      <c r="BZ19" s="76"/>
      <c r="CA19" s="76"/>
      <c r="CB19" s="76"/>
      <c r="CC19" s="76"/>
      <c r="CD19" s="76"/>
      <c r="CE19" s="76"/>
      <c r="CF19" s="76"/>
      <c r="CG19" s="76"/>
      <c r="CH19" s="76"/>
      <c r="CI19" s="76"/>
      <c r="CJ19" s="76"/>
      <c r="CK19" s="76"/>
      <c r="CL19" s="76"/>
      <c r="CM19" s="76"/>
      <c r="CN19" s="76"/>
      <c r="CO19" s="76"/>
      <c r="CP19" s="76"/>
      <c r="CQ19" s="76"/>
      <c r="CR19" s="76"/>
      <c r="CS19" s="76"/>
      <c r="CT19" s="76"/>
      <c r="CU19" s="76"/>
      <c r="CV19" s="76"/>
      <c r="CW19" s="76"/>
      <c r="CX19" s="76"/>
      <c r="CY19" s="76"/>
      <c r="CZ19" s="76"/>
      <c r="DA19" s="76"/>
      <c r="DB19" s="76"/>
      <c r="DC19" s="76"/>
      <c r="DD19" s="76"/>
      <c r="DE19" s="76"/>
      <c r="DF19" s="76"/>
      <c r="DG19" s="76"/>
      <c r="DH19" s="76"/>
      <c r="DI19" s="76"/>
      <c r="DJ19" s="76"/>
      <c r="DK19" s="76"/>
      <c r="DL19" s="76"/>
      <c r="DM19" s="76"/>
      <c r="DN19" s="76"/>
      <c r="DO19" s="76"/>
      <c r="DP19" s="76"/>
      <c r="DQ19" s="76"/>
      <c r="DR19" s="76"/>
      <c r="DS19" s="76"/>
      <c r="DT19" s="76"/>
      <c r="DU19" s="76"/>
      <c r="DV19" s="76"/>
      <c r="DW19" s="76"/>
      <c r="DX19" s="76"/>
      <c r="DY19" s="76"/>
      <c r="DZ19" s="76"/>
      <c r="EA19" s="76"/>
      <c r="EB19" s="76"/>
      <c r="EC19" s="76"/>
      <c r="ED19" s="76"/>
      <c r="EE19" s="76"/>
      <c r="EF19" s="76"/>
      <c r="EG19" s="76"/>
      <c r="EH19" s="76"/>
      <c r="EI19" s="76"/>
      <c r="EJ19" s="76"/>
      <c r="EK19" s="76"/>
      <c r="EL19" s="76"/>
      <c r="EM19" s="76"/>
      <c r="EN19" s="76"/>
      <c r="EO19" s="76"/>
      <c r="EP19" s="76"/>
      <c r="EQ19" s="76"/>
      <c r="ER19" s="76"/>
      <c r="ES19" s="76"/>
      <c r="ET19" s="76"/>
      <c r="EU19" s="76"/>
      <c r="EV19" s="76"/>
      <c r="EW19" s="76"/>
      <c r="EX19" s="76"/>
      <c r="EY19" s="76"/>
      <c r="EZ19" s="76"/>
      <c r="FA19" s="76"/>
      <c r="FB19" s="76"/>
      <c r="FC19" s="76"/>
      <c r="FD19" s="76"/>
      <c r="FE19" s="76"/>
      <c r="FF19" s="76"/>
      <c r="FG19" s="76"/>
      <c r="FH19" s="76"/>
      <c r="FI19" s="76"/>
      <c r="FJ19" s="76"/>
      <c r="FK19" s="76"/>
      <c r="FL19" s="76"/>
      <c r="FM19" s="76"/>
      <c r="FN19" s="76"/>
      <c r="FO19" s="76"/>
      <c r="FP19" s="76"/>
      <c r="FQ19" s="76"/>
      <c r="FR19" s="76"/>
      <c r="FS19" s="76"/>
      <c r="FT19" s="76"/>
      <c r="FU19" s="76"/>
      <c r="FV19" s="76"/>
      <c r="FW19" s="76"/>
      <c r="FX19" s="76"/>
      <c r="FY19" s="76"/>
      <c r="FZ19" s="76"/>
      <c r="GA19" s="76"/>
      <c r="GB19" s="76"/>
      <c r="GC19" s="76"/>
      <c r="GD19" s="76"/>
      <c r="GE19" s="76"/>
      <c r="GF19" s="76"/>
      <c r="GG19" s="76"/>
      <c r="GH19" s="76"/>
      <c r="GI19" s="76"/>
      <c r="GJ19" s="76"/>
      <c r="GK19" s="76"/>
      <c r="GL19" s="76"/>
      <c r="GM19" s="76"/>
      <c r="GN19" s="76"/>
      <c r="GO19" s="76"/>
      <c r="GP19" s="76"/>
      <c r="GQ19" s="76"/>
      <c r="GR19" s="76"/>
      <c r="GS19" s="76"/>
      <c r="GT19" s="76"/>
      <c r="GU19" s="76"/>
      <c r="GV19" s="76"/>
      <c r="GW19" s="76"/>
      <c r="GX19" s="76"/>
    </row>
    <row r="20" spans="1:206" ht="15" customHeight="1">
      <c r="Y20" s="75"/>
      <c r="Z20" s="75"/>
      <c r="AA20" s="75"/>
      <c r="AB20" s="75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76"/>
      <c r="BE20" s="76"/>
      <c r="BF20" s="76"/>
      <c r="BG20" s="76"/>
      <c r="BH20" s="76"/>
      <c r="BI20" s="76"/>
      <c r="BJ20" s="76"/>
      <c r="BK20" s="76"/>
      <c r="BL20" s="76"/>
      <c r="BM20" s="76"/>
      <c r="BN20" s="76"/>
      <c r="BO20" s="76"/>
      <c r="BP20" s="76"/>
      <c r="BQ20" s="76"/>
      <c r="BR20" s="76"/>
      <c r="BS20" s="76"/>
      <c r="BT20" s="76"/>
      <c r="BU20" s="76"/>
      <c r="BV20" s="76"/>
      <c r="BW20" s="76"/>
      <c r="BX20" s="76"/>
      <c r="BY20" s="76"/>
      <c r="BZ20" s="76"/>
      <c r="CA20" s="76"/>
      <c r="CB20" s="76"/>
      <c r="CC20" s="76"/>
      <c r="CD20" s="76"/>
      <c r="CE20" s="76"/>
      <c r="CF20" s="76"/>
      <c r="CG20" s="76"/>
      <c r="CH20" s="76"/>
      <c r="CI20" s="76"/>
      <c r="CJ20" s="76"/>
      <c r="CK20" s="76"/>
      <c r="CL20" s="76"/>
      <c r="CM20" s="76"/>
      <c r="CN20" s="76"/>
      <c r="CO20" s="76"/>
      <c r="CP20" s="76"/>
      <c r="CQ20" s="76"/>
      <c r="CR20" s="76"/>
      <c r="CS20" s="76"/>
      <c r="CT20" s="76"/>
      <c r="CU20" s="76"/>
      <c r="CV20" s="76"/>
      <c r="CW20" s="76"/>
      <c r="CX20" s="76"/>
      <c r="CY20" s="76"/>
      <c r="CZ20" s="76"/>
      <c r="DA20" s="76"/>
      <c r="DB20" s="76"/>
      <c r="DC20" s="76"/>
      <c r="DD20" s="76"/>
      <c r="DE20" s="76"/>
      <c r="DF20" s="76"/>
      <c r="DG20" s="76"/>
      <c r="DH20" s="76"/>
      <c r="DI20" s="76"/>
      <c r="DJ20" s="76"/>
      <c r="DK20" s="76"/>
      <c r="DL20" s="76"/>
      <c r="DM20" s="76"/>
      <c r="DN20" s="76"/>
      <c r="DO20" s="76"/>
      <c r="DP20" s="76"/>
      <c r="DQ20" s="76"/>
      <c r="DR20" s="76"/>
      <c r="DS20" s="76"/>
      <c r="DT20" s="76"/>
      <c r="DU20" s="76"/>
      <c r="DV20" s="76"/>
      <c r="DW20" s="76"/>
      <c r="DX20" s="76"/>
      <c r="DY20" s="76"/>
      <c r="DZ20" s="76"/>
      <c r="EA20" s="76"/>
      <c r="EB20" s="76"/>
      <c r="EC20" s="76"/>
      <c r="ED20" s="76"/>
      <c r="EE20" s="76"/>
      <c r="EF20" s="76"/>
      <c r="EG20" s="76"/>
      <c r="EH20" s="76"/>
      <c r="EI20" s="76"/>
      <c r="EJ20" s="76"/>
      <c r="EK20" s="76"/>
      <c r="EL20" s="76"/>
      <c r="EM20" s="76"/>
      <c r="EN20" s="76"/>
      <c r="EO20" s="76"/>
      <c r="EP20" s="76"/>
      <c r="EQ20" s="76"/>
      <c r="ER20" s="76"/>
      <c r="ES20" s="76"/>
      <c r="ET20" s="76"/>
      <c r="EU20" s="76"/>
      <c r="EV20" s="76"/>
      <c r="EW20" s="76"/>
      <c r="EX20" s="76"/>
      <c r="EY20" s="76"/>
      <c r="EZ20" s="76"/>
      <c r="FA20" s="76"/>
      <c r="FB20" s="76"/>
      <c r="FC20" s="76"/>
      <c r="FD20" s="76"/>
      <c r="FE20" s="76"/>
      <c r="FF20" s="76"/>
      <c r="FG20" s="76"/>
      <c r="FH20" s="76"/>
      <c r="FI20" s="76"/>
      <c r="FJ20" s="76"/>
      <c r="FK20" s="76"/>
      <c r="FL20" s="76"/>
      <c r="FM20" s="76"/>
      <c r="FN20" s="76"/>
      <c r="FO20" s="76"/>
      <c r="FP20" s="76"/>
      <c r="FQ20" s="76"/>
      <c r="FR20" s="76"/>
      <c r="FS20" s="76"/>
      <c r="FT20" s="76"/>
      <c r="FU20" s="76"/>
      <c r="FV20" s="76"/>
      <c r="FW20" s="76"/>
      <c r="FX20" s="76"/>
      <c r="FY20" s="76"/>
      <c r="FZ20" s="76"/>
      <c r="GA20" s="76"/>
      <c r="GB20" s="76"/>
      <c r="GC20" s="76"/>
      <c r="GD20" s="76"/>
      <c r="GE20" s="76"/>
      <c r="GF20" s="76"/>
      <c r="GG20" s="76"/>
      <c r="GH20" s="76"/>
      <c r="GI20" s="76"/>
      <c r="GJ20" s="76"/>
      <c r="GK20" s="76"/>
      <c r="GL20" s="76"/>
      <c r="GM20" s="76"/>
      <c r="GN20" s="76"/>
      <c r="GO20" s="76"/>
      <c r="GP20" s="76"/>
      <c r="GQ20" s="76"/>
      <c r="GR20" s="76"/>
      <c r="GS20" s="76"/>
      <c r="GT20" s="76"/>
      <c r="GU20" s="76"/>
      <c r="GV20" s="76"/>
      <c r="GW20" s="76"/>
      <c r="GX20" s="76"/>
    </row>
    <row r="21" spans="1:206" ht="27.75" customHeight="1">
      <c r="A21" s="77"/>
      <c r="B21" s="78"/>
      <c r="C21" s="79"/>
      <c r="D21" s="79"/>
      <c r="E21" s="80"/>
      <c r="F21" s="81"/>
      <c r="G21" s="79"/>
      <c r="H21" s="79"/>
      <c r="I21" s="79"/>
      <c r="J21" s="79"/>
      <c r="K21" s="79"/>
      <c r="L21" s="79"/>
      <c r="M21" s="79"/>
      <c r="N21" s="79"/>
      <c r="O21" s="82"/>
      <c r="P21" s="82"/>
      <c r="Q21" s="82"/>
      <c r="R21" s="83"/>
      <c r="S21" s="79"/>
      <c r="T21" s="79"/>
      <c r="U21" s="79"/>
      <c r="V21" s="79"/>
      <c r="W21" s="79"/>
      <c r="X21" s="79"/>
      <c r="Y21" s="79"/>
      <c r="Z21" s="79"/>
      <c r="AA21" s="84"/>
      <c r="AB21" s="79"/>
      <c r="AC21" s="85"/>
      <c r="AD21" s="85"/>
      <c r="AE21" s="86"/>
      <c r="AF21" s="86"/>
      <c r="AG21" s="87"/>
      <c r="AH21" s="87"/>
      <c r="AI21" s="88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6"/>
      <c r="BE21" s="76"/>
      <c r="BF21" s="76"/>
      <c r="BG21" s="76"/>
      <c r="BH21" s="76"/>
      <c r="BI21" s="76"/>
      <c r="BJ21" s="76"/>
      <c r="BK21" s="76"/>
      <c r="BL21" s="76"/>
      <c r="BM21" s="76"/>
      <c r="BN21" s="76"/>
      <c r="BO21" s="76"/>
      <c r="BP21" s="76"/>
      <c r="BQ21" s="76"/>
      <c r="BR21" s="76"/>
      <c r="BS21" s="76"/>
      <c r="BT21" s="76"/>
      <c r="BU21" s="76"/>
      <c r="BV21" s="76"/>
      <c r="BW21" s="76"/>
      <c r="BX21" s="76"/>
      <c r="BY21" s="76"/>
      <c r="BZ21" s="76"/>
      <c r="CA21" s="76"/>
      <c r="CB21" s="76"/>
      <c r="CC21" s="76"/>
      <c r="CD21" s="76"/>
      <c r="CE21" s="76"/>
      <c r="CF21" s="76"/>
      <c r="CG21" s="76"/>
      <c r="CH21" s="76"/>
      <c r="CI21" s="76"/>
      <c r="CJ21" s="76"/>
      <c r="CK21" s="76"/>
      <c r="CL21" s="76"/>
      <c r="CM21" s="76"/>
      <c r="CN21" s="76"/>
      <c r="CO21" s="76"/>
      <c r="CP21" s="76"/>
      <c r="CQ21" s="76"/>
      <c r="CR21" s="76"/>
      <c r="CS21" s="76"/>
      <c r="CT21" s="76"/>
      <c r="CU21" s="76"/>
      <c r="CV21" s="76"/>
      <c r="CW21" s="76"/>
      <c r="CX21" s="76"/>
      <c r="CY21" s="76"/>
      <c r="CZ21" s="76"/>
      <c r="DA21" s="76"/>
      <c r="DB21" s="76"/>
      <c r="DC21" s="76"/>
      <c r="DD21" s="76"/>
      <c r="DE21" s="76"/>
      <c r="DF21" s="76"/>
      <c r="DG21" s="76"/>
      <c r="DH21" s="76"/>
      <c r="DI21" s="76"/>
      <c r="DJ21" s="76"/>
      <c r="DK21" s="76"/>
      <c r="DL21" s="76"/>
      <c r="DM21" s="76"/>
      <c r="DN21" s="76"/>
      <c r="DO21" s="76"/>
      <c r="DP21" s="76"/>
      <c r="DQ21" s="76"/>
      <c r="DR21" s="76"/>
      <c r="DS21" s="76"/>
      <c r="DT21" s="76"/>
      <c r="DU21" s="76"/>
      <c r="DV21" s="76"/>
      <c r="DW21" s="76"/>
      <c r="DX21" s="76"/>
      <c r="DY21" s="76"/>
      <c r="DZ21" s="76"/>
      <c r="EA21" s="76"/>
      <c r="EB21" s="76"/>
      <c r="EC21" s="76"/>
      <c r="ED21" s="76"/>
      <c r="EE21" s="76"/>
      <c r="EF21" s="76"/>
      <c r="EG21" s="76"/>
      <c r="EH21" s="76"/>
      <c r="EI21" s="76"/>
      <c r="EJ21" s="76"/>
      <c r="EK21" s="76"/>
      <c r="EL21" s="76"/>
      <c r="EM21" s="76"/>
      <c r="EN21" s="76"/>
      <c r="EO21" s="76"/>
      <c r="EP21" s="76"/>
      <c r="EQ21" s="76"/>
      <c r="ER21" s="76"/>
      <c r="ES21" s="76"/>
      <c r="ET21" s="76"/>
      <c r="EU21" s="76"/>
      <c r="EV21" s="76"/>
      <c r="EW21" s="76"/>
      <c r="EX21" s="76"/>
      <c r="EY21" s="76"/>
      <c r="EZ21" s="76"/>
      <c r="FA21" s="76"/>
      <c r="FB21" s="76"/>
      <c r="FC21" s="76"/>
      <c r="FD21" s="76"/>
      <c r="FE21" s="76"/>
      <c r="FF21" s="76"/>
      <c r="FG21" s="76"/>
      <c r="FH21" s="76"/>
      <c r="FI21" s="76"/>
      <c r="FJ21" s="76"/>
      <c r="FK21" s="76"/>
      <c r="FL21" s="76"/>
      <c r="FM21" s="76"/>
      <c r="FN21" s="76"/>
      <c r="FO21" s="76"/>
      <c r="FP21" s="76"/>
      <c r="FQ21" s="76"/>
      <c r="FR21" s="76"/>
      <c r="FS21" s="76"/>
      <c r="FT21" s="76"/>
      <c r="FU21" s="76"/>
      <c r="FV21" s="76"/>
      <c r="FW21" s="76"/>
      <c r="FX21" s="76"/>
      <c r="FY21" s="76"/>
      <c r="FZ21" s="76"/>
      <c r="GA21" s="76"/>
      <c r="GB21" s="76"/>
      <c r="GC21" s="76"/>
      <c r="GD21" s="76"/>
      <c r="GE21" s="76"/>
      <c r="GF21" s="76"/>
      <c r="GG21" s="76"/>
      <c r="GH21" s="76"/>
      <c r="GI21" s="76"/>
      <c r="GJ21" s="76"/>
      <c r="GK21" s="76"/>
      <c r="GL21" s="76"/>
      <c r="GM21" s="76"/>
      <c r="GN21" s="76"/>
      <c r="GO21" s="76"/>
      <c r="GP21" s="76"/>
      <c r="GQ21" s="76"/>
      <c r="GR21" s="76"/>
      <c r="GS21" s="76"/>
      <c r="GT21" s="76"/>
      <c r="GU21" s="76"/>
      <c r="GV21" s="76"/>
      <c r="GW21" s="76"/>
      <c r="GX21" s="76"/>
    </row>
  </sheetData>
  <mergeCells count="110">
    <mergeCell ref="A2:C5"/>
    <mergeCell ref="A1:C1"/>
    <mergeCell ref="AE1:AI5"/>
    <mergeCell ref="D2:E2"/>
    <mergeCell ref="F2:G2"/>
    <mergeCell ref="S2:U2"/>
    <mergeCell ref="V2:X2"/>
    <mergeCell ref="Y2:AA2"/>
    <mergeCell ref="D1:E1"/>
    <mergeCell ref="F1:G1"/>
    <mergeCell ref="H1:N1"/>
    <mergeCell ref="P1:R5"/>
    <mergeCell ref="S1:U1"/>
    <mergeCell ref="D4:E4"/>
    <mergeCell ref="F4:G4"/>
    <mergeCell ref="S4:U4"/>
    <mergeCell ref="AB2:AD2"/>
    <mergeCell ref="D3:E3"/>
    <mergeCell ref="F3:G3"/>
    <mergeCell ref="S3:U3"/>
    <mergeCell ref="V3:X3"/>
    <mergeCell ref="Y3:AA3"/>
    <mergeCell ref="AB3:AD3"/>
    <mergeCell ref="V1:X1"/>
    <mergeCell ref="Y1:AA1"/>
    <mergeCell ref="AB1:AD1"/>
    <mergeCell ref="V4:X4"/>
    <mergeCell ref="Y4:AA4"/>
    <mergeCell ref="AB4:AD4"/>
    <mergeCell ref="D5:E5"/>
    <mergeCell ref="F5:G5"/>
    <mergeCell ref="S5:U5"/>
    <mergeCell ref="V5:X5"/>
    <mergeCell ref="Y5:AA5"/>
    <mergeCell ref="AB5:AD5"/>
    <mergeCell ref="H2:N5"/>
    <mergeCell ref="A7:G7"/>
    <mergeCell ref="J7:P7"/>
    <mergeCell ref="R7:W7"/>
    <mergeCell ref="Y7:AC7"/>
    <mergeCell ref="A8:A12"/>
    <mergeCell ref="B8:C12"/>
    <mergeCell ref="D8:E8"/>
    <mergeCell ref="F8:G8"/>
    <mergeCell ref="K8:P8"/>
    <mergeCell ref="S8:W8"/>
    <mergeCell ref="Z8:AC8"/>
    <mergeCell ref="D9:E9"/>
    <mergeCell ref="F9:G9"/>
    <mergeCell ref="J9:J12"/>
    <mergeCell ref="K9:L12"/>
    <mergeCell ref="R9:R12"/>
    <mergeCell ref="S9:T12"/>
    <mergeCell ref="D12:E12"/>
    <mergeCell ref="F12:G12"/>
    <mergeCell ref="Y12:Y14"/>
    <mergeCell ref="Z12:AC12"/>
    <mergeCell ref="B13:G13"/>
    <mergeCell ref="J13:J14"/>
    <mergeCell ref="K13:P14"/>
    <mergeCell ref="D10:E10"/>
    <mergeCell ref="F10:G10"/>
    <mergeCell ref="Z10:AC10"/>
    <mergeCell ref="D11:E11"/>
    <mergeCell ref="F11:G11"/>
    <mergeCell ref="Z11:AC11"/>
    <mergeCell ref="S13:W14"/>
    <mergeCell ref="Z13:AC14"/>
    <mergeCell ref="B14:G14"/>
    <mergeCell ref="M9:P12"/>
    <mergeCell ref="A16:A18"/>
    <mergeCell ref="B16:B18"/>
    <mergeCell ref="C16:C18"/>
    <mergeCell ref="D16:D18"/>
    <mergeCell ref="E16:E18"/>
    <mergeCell ref="F16:F18"/>
    <mergeCell ref="I16:I18"/>
    <mergeCell ref="AB16:AB18"/>
    <mergeCell ref="AC16:AC18"/>
    <mergeCell ref="G16:G18"/>
    <mergeCell ref="H16:H18"/>
    <mergeCell ref="J16:J18"/>
    <mergeCell ref="K16:K18"/>
    <mergeCell ref="L16:L18"/>
    <mergeCell ref="N16:N18"/>
    <mergeCell ref="M16:M18"/>
    <mergeCell ref="AF8:AI8"/>
    <mergeCell ref="AF9:AI9"/>
    <mergeCell ref="AF10:AI10"/>
    <mergeCell ref="AF11:AI11"/>
    <mergeCell ref="AF7:AI7"/>
    <mergeCell ref="AE16:AE18"/>
    <mergeCell ref="AG16:AG18"/>
    <mergeCell ref="AI16:AI18"/>
    <mergeCell ref="O16:Q17"/>
    <mergeCell ref="R16:R18"/>
    <mergeCell ref="S16:V16"/>
    <mergeCell ref="W16:W18"/>
    <mergeCell ref="X16:X18"/>
    <mergeCell ref="Y16:AA17"/>
    <mergeCell ref="S17:U17"/>
    <mergeCell ref="V17:V18"/>
    <mergeCell ref="AH16:AH18"/>
    <mergeCell ref="AF16:AF18"/>
    <mergeCell ref="AE12:AI12"/>
    <mergeCell ref="AE13:AI14"/>
    <mergeCell ref="R13:R14"/>
    <mergeCell ref="U9:W12"/>
    <mergeCell ref="Z9:AC9"/>
    <mergeCell ref="AD16:AD18"/>
  </mergeCells>
  <pageMargins left="0" right="0" top="0.23622047244094491" bottom="0.23622047244094491" header="0" footer="0"/>
  <pageSetup paperSize="9" scale="14" orientation="landscape" r:id="rId1"/>
  <headerFooter alignWithMargins="0">
    <oddFooter>Page &amp;P of &amp;N</oddFooter>
  </headerFooter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4"/>
  <sheetViews>
    <sheetView workbookViewId="0">
      <selection activeCell="A2" sqref="A2:AD2"/>
    </sheetView>
  </sheetViews>
  <sheetFormatPr defaultRowHeight="15"/>
  <cols>
    <col min="1" max="9" width="11" customWidth="1"/>
    <col min="10" max="48" width="12" customWidth="1"/>
  </cols>
  <sheetData>
    <row r="1" spans="1:30">
      <c r="A1" t="s">
        <v>102</v>
      </c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  <c r="H1" t="s">
        <v>131</v>
      </c>
      <c r="I1" t="s">
        <v>109</v>
      </c>
      <c r="J1" t="s">
        <v>110</v>
      </c>
      <c r="K1" t="s">
        <v>111</v>
      </c>
      <c r="L1" t="s">
        <v>112</v>
      </c>
      <c r="M1" t="s">
        <v>113</v>
      </c>
      <c r="N1" t="s">
        <v>114</v>
      </c>
      <c r="O1" t="s">
        <v>115</v>
      </c>
      <c r="P1" t="s">
        <v>116</v>
      </c>
      <c r="Q1" t="s">
        <v>117</v>
      </c>
      <c r="R1" t="s">
        <v>118</v>
      </c>
      <c r="S1" t="s">
        <v>119</v>
      </c>
      <c r="T1" t="s">
        <v>120</v>
      </c>
      <c r="U1" t="s">
        <v>121</v>
      </c>
      <c r="V1" t="s">
        <v>122</v>
      </c>
      <c r="W1" t="s">
        <v>123</v>
      </c>
      <c r="X1" t="s">
        <v>124</v>
      </c>
      <c r="Y1" t="s">
        <v>125</v>
      </c>
      <c r="Z1" t="s">
        <v>126</v>
      </c>
      <c r="AA1" t="s">
        <v>127</v>
      </c>
      <c r="AB1" t="s">
        <v>128</v>
      </c>
      <c r="AC1" t="s">
        <v>129</v>
      </c>
      <c r="AD1" t="s">
        <v>130</v>
      </c>
    </row>
    <row r="2" spans="1:30">
      <c r="C2" s="1"/>
      <c r="D2" s="1"/>
      <c r="E2" s="1"/>
      <c r="F2" s="1"/>
      <c r="G2" s="1"/>
      <c r="H2" s="1"/>
      <c r="I2" s="1"/>
      <c r="J2" s="1"/>
      <c r="K2" s="1"/>
      <c r="L2" s="1"/>
      <c r="M2" s="2"/>
      <c r="N2" s="1"/>
      <c r="O2" s="2"/>
      <c r="P2" s="1"/>
      <c r="Q2" s="1"/>
      <c r="R2" s="1"/>
      <c r="S2" s="1"/>
      <c r="T2" s="1"/>
      <c r="U2" s="1"/>
      <c r="W2" s="1"/>
      <c r="X2" s="1"/>
      <c r="Y2" s="1"/>
      <c r="Z2" s="1"/>
      <c r="AD2" s="1"/>
    </row>
    <row r="4" spans="1:30"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>
        <v>13</v>
      </c>
      <c r="O4">
        <v>14</v>
      </c>
      <c r="P4">
        <v>15</v>
      </c>
      <c r="Q4">
        <v>16</v>
      </c>
      <c r="R4">
        <v>17</v>
      </c>
      <c r="S4">
        <v>18</v>
      </c>
      <c r="T4">
        <v>19</v>
      </c>
      <c r="U4">
        <v>20</v>
      </c>
      <c r="V4">
        <v>21</v>
      </c>
      <c r="W4">
        <v>22</v>
      </c>
      <c r="X4">
        <v>23</v>
      </c>
      <c r="Y4">
        <v>24</v>
      </c>
      <c r="Z4">
        <v>25</v>
      </c>
      <c r="AA4">
        <v>26</v>
      </c>
      <c r="AB4">
        <v>27</v>
      </c>
      <c r="AC4">
        <v>28</v>
      </c>
      <c r="AD4">
        <v>29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100"/>
  <sheetViews>
    <sheetView showGridLines="0" showZeros="0" view="pageBreakPreview" zoomScale="85" zoomScaleSheetLayoutView="85" workbookViewId="0">
      <selection activeCell="T21" sqref="T21:Y41"/>
    </sheetView>
  </sheetViews>
  <sheetFormatPr defaultRowHeight="15"/>
  <cols>
    <col min="1" max="2" width="5.7109375" customWidth="1"/>
    <col min="3" max="3" width="7.28515625" customWidth="1"/>
    <col min="4" max="19" width="5.7109375" customWidth="1"/>
    <col min="20" max="21" width="7.7109375" customWidth="1"/>
    <col min="22" max="23" width="4.7109375" customWidth="1"/>
    <col min="24" max="25" width="7.7109375" customWidth="1"/>
    <col min="26" max="37" width="5.7109375" customWidth="1"/>
  </cols>
  <sheetData>
    <row r="1" spans="1:25" ht="9.9499999999999993" customHeight="1">
      <c r="A1" s="3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4"/>
    </row>
    <row r="2" spans="1:25" ht="9.9499999999999993" customHeight="1">
      <c r="A2" s="3"/>
      <c r="B2" s="355" t="str">
        <f>IFERROR(VLOOKUP(A1, REFItems!$B$2:$AD$200, 6, FALSE), "[NONE]")</f>
        <v>[NONE]</v>
      </c>
      <c r="C2" s="383"/>
      <c r="D2" s="383"/>
      <c r="E2" s="383"/>
      <c r="F2" s="383"/>
      <c r="G2" s="356"/>
      <c r="H2" s="376" t="s">
        <v>78</v>
      </c>
      <c r="I2" s="376"/>
      <c r="J2" s="376"/>
      <c r="K2" s="386" t="str">
        <f>IFERROR(VLOOKUP(A1, REFItems!$B$2:$AD$200, 7, FALSE), "")</f>
        <v/>
      </c>
      <c r="L2" s="381"/>
      <c r="M2" s="381"/>
      <c r="N2" s="381"/>
      <c r="O2" s="381"/>
      <c r="P2" s="381"/>
      <c r="Q2" s="381"/>
      <c r="R2" s="382"/>
      <c r="S2" s="379" t="s">
        <v>79</v>
      </c>
      <c r="T2" s="380"/>
      <c r="U2" s="387" t="str">
        <f>IFERROR(VLOOKUP(A1, REFItems!$B$2:$AD$200, 12, FALSE), "")</f>
        <v/>
      </c>
      <c r="V2" s="388"/>
      <c r="W2" s="388"/>
      <c r="X2" s="388"/>
      <c r="Y2" s="389"/>
    </row>
    <row r="3" spans="1:25" ht="9.9499999999999993" customHeight="1">
      <c r="A3" s="3"/>
      <c r="B3" s="357"/>
      <c r="C3" s="384"/>
      <c r="D3" s="384"/>
      <c r="E3" s="384"/>
      <c r="F3" s="384"/>
      <c r="G3" s="358"/>
      <c r="H3" s="376" t="s">
        <v>80</v>
      </c>
      <c r="I3" s="376"/>
      <c r="J3" s="376"/>
      <c r="K3" s="390" t="str">
        <f>IFERROR(VLOOKUP(A1, REFItems!$B$2:$AD$200, 8, FALSE), "")</f>
        <v/>
      </c>
      <c r="L3" s="391"/>
      <c r="M3" s="391"/>
      <c r="N3" s="391"/>
      <c r="O3" s="391"/>
      <c r="P3" s="391"/>
      <c r="Q3" s="391"/>
      <c r="R3" s="392"/>
      <c r="S3" s="379" t="s">
        <v>81</v>
      </c>
      <c r="T3" s="380"/>
      <c r="U3" s="377" t="str">
        <f>IFERROR(VLOOKUP(A1, REFItems!$B$2:$AD$200, 13, FALSE), "")</f>
        <v/>
      </c>
      <c r="V3" s="345"/>
      <c r="W3" s="345"/>
      <c r="X3" s="345"/>
      <c r="Y3" s="378"/>
    </row>
    <row r="4" spans="1:25" ht="9.9499999999999993" customHeight="1">
      <c r="A4" s="3"/>
      <c r="B4" s="357"/>
      <c r="C4" s="384"/>
      <c r="D4" s="384"/>
      <c r="E4" s="384"/>
      <c r="F4" s="384"/>
      <c r="G4" s="358"/>
      <c r="H4" s="376" t="s">
        <v>82</v>
      </c>
      <c r="I4" s="376" t="s">
        <v>83</v>
      </c>
      <c r="J4" s="376"/>
      <c r="K4" s="377" t="str">
        <f>IFERROR(VLOOKUP(A1, REFItems!$B$2:$AD$200, 9, FALSE), "")</f>
        <v/>
      </c>
      <c r="L4" s="345"/>
      <c r="M4" s="345"/>
      <c r="N4" s="345"/>
      <c r="O4" s="345"/>
      <c r="P4" s="345"/>
      <c r="Q4" s="345"/>
      <c r="R4" s="378"/>
      <c r="S4" s="379" t="s">
        <v>84</v>
      </c>
      <c r="T4" s="380"/>
      <c r="U4" s="394" t="str">
        <f>IFERROR(VLOOKUP(A1, REFItems!$B$2:$AD$200, 14, FALSE), "")</f>
        <v/>
      </c>
      <c r="V4" s="395"/>
      <c r="W4" s="395"/>
      <c r="X4" s="395"/>
      <c r="Y4" s="396"/>
    </row>
    <row r="5" spans="1:25" ht="9.9499999999999993" customHeight="1">
      <c r="A5" s="3"/>
      <c r="B5" s="357"/>
      <c r="C5" s="384"/>
      <c r="D5" s="384"/>
      <c r="E5" s="384"/>
      <c r="F5" s="384"/>
      <c r="G5" s="358"/>
      <c r="H5" s="376" t="s">
        <v>85</v>
      </c>
      <c r="I5" s="376"/>
      <c r="J5" s="376"/>
      <c r="K5" s="377" t="str">
        <f>IFERROR(VLOOKUP(A1, REFItems!$B$2:$AD$200, 10, FALSE), "")</f>
        <v/>
      </c>
      <c r="L5" s="345"/>
      <c r="M5" s="345"/>
      <c r="N5" s="345"/>
      <c r="O5" s="345"/>
      <c r="P5" s="345"/>
      <c r="Q5" s="345"/>
      <c r="R5" s="378"/>
      <c r="S5" s="379" t="s">
        <v>86</v>
      </c>
      <c r="T5" s="380"/>
      <c r="U5" s="377" t="str">
        <f>IFERROR(VLOOKUP(A1, REFItems!$B$2:$AD$200, 15, FALSE), "")</f>
        <v/>
      </c>
      <c r="V5" s="345"/>
      <c r="W5" s="345"/>
      <c r="X5" s="345"/>
      <c r="Y5" s="378"/>
    </row>
    <row r="6" spans="1:25" ht="9.9499999999999993" customHeight="1">
      <c r="A6" s="3"/>
      <c r="B6" s="359"/>
      <c r="C6" s="385"/>
      <c r="D6" s="385"/>
      <c r="E6" s="385"/>
      <c r="F6" s="385"/>
      <c r="G6" s="360"/>
      <c r="H6" s="376" t="s">
        <v>87</v>
      </c>
      <c r="I6" s="376"/>
      <c r="J6" s="376"/>
      <c r="K6" s="393" t="str">
        <f>IFERROR(VLOOKUP(A1, REFItems!$B$2:$AD$200, 11, FALSE), "")</f>
        <v/>
      </c>
      <c r="L6" s="374"/>
      <c r="M6" s="374"/>
      <c r="N6" s="374"/>
      <c r="O6" s="374"/>
      <c r="P6" s="374"/>
      <c r="Q6" s="374"/>
      <c r="R6" s="375"/>
      <c r="S6" s="379"/>
      <c r="T6" s="380"/>
      <c r="U6" s="32"/>
      <c r="V6" s="32"/>
      <c r="W6" s="32"/>
      <c r="X6" s="32"/>
      <c r="Y6" s="33"/>
    </row>
    <row r="7" spans="1:25" ht="9.9499999999999993" customHeigh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5" ht="9.9499999999999993" customHeight="1">
      <c r="A8" s="3"/>
      <c r="B8" s="5" t="s">
        <v>88</v>
      </c>
      <c r="C8" s="6"/>
      <c r="D8" s="381" t="str">
        <f>IFERROR(VLOOKUP(A1, REFItems!$B$2:$AD$200, 16, FALSE), "")</f>
        <v/>
      </c>
      <c r="E8" s="381"/>
      <c r="F8" s="381"/>
      <c r="G8" s="381"/>
      <c r="H8" s="381"/>
      <c r="I8" s="381"/>
      <c r="J8" s="381"/>
      <c r="K8" s="381"/>
      <c r="L8" s="381"/>
      <c r="M8" s="381"/>
      <c r="N8" s="381"/>
      <c r="O8" s="381"/>
      <c r="P8" s="381"/>
      <c r="Q8" s="381"/>
      <c r="R8" s="382"/>
      <c r="S8" s="3"/>
      <c r="T8" s="370" t="s">
        <v>89</v>
      </c>
      <c r="U8" s="371"/>
      <c r="V8" s="3"/>
      <c r="W8" s="7"/>
      <c r="X8" s="370" t="s">
        <v>90</v>
      </c>
      <c r="Y8" s="371"/>
    </row>
    <row r="9" spans="1:25" ht="9.9499999999999993" customHeight="1">
      <c r="A9" s="3"/>
      <c r="B9" s="8" t="s">
        <v>91</v>
      </c>
      <c r="C9" s="9"/>
      <c r="D9" s="374" t="str">
        <f>IFERROR(VLOOKUP(A1, REFItems!$B$2:$AD$200, 17, FALSE), "")</f>
        <v/>
      </c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5"/>
      <c r="S9" s="3"/>
      <c r="T9" s="372"/>
      <c r="U9" s="373"/>
      <c r="V9" s="3"/>
      <c r="W9" s="7"/>
      <c r="X9" s="372"/>
      <c r="Y9" s="373"/>
    </row>
    <row r="10" spans="1:25" ht="9.9499999999999993" customHeight="1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7"/>
      <c r="X10" s="3"/>
      <c r="Y10" s="3"/>
    </row>
    <row r="11" spans="1:25" ht="9.9499999999999993" customHeight="1">
      <c r="A11" s="3"/>
      <c r="B11" s="346" t="str">
        <f>IFERROR(VLOOKUP(A1, REFItems!$B$2:$AD$200, 18, FALSE), "[NONE]")</f>
        <v>[NONE]</v>
      </c>
      <c r="C11" s="347"/>
      <c r="D11" s="347"/>
      <c r="E11" s="347"/>
      <c r="F11" s="347"/>
      <c r="G11" s="347"/>
      <c r="H11" s="347"/>
      <c r="I11" s="347"/>
      <c r="J11" s="347"/>
      <c r="K11" s="347"/>
      <c r="L11" s="347"/>
      <c r="M11" s="347"/>
      <c r="N11" s="347"/>
      <c r="O11" s="347"/>
      <c r="P11" s="347"/>
      <c r="Q11" s="347"/>
      <c r="R11" s="348"/>
      <c r="S11" s="3"/>
      <c r="T11" s="355" t="str">
        <f>IFERROR(VLOOKUP(A1, REFItems!$B$2:$AD$200, 19, FALSE), "[NONE]")</f>
        <v>[NONE]</v>
      </c>
      <c r="U11" s="356"/>
      <c r="V11" s="3"/>
      <c r="W11" s="7"/>
      <c r="X11" s="355" t="str">
        <f>IFERROR(VLOOKUP(A1, REFItems!$B$2:$AD$200, 20, FALSE), "[NONE]")</f>
        <v>[NONE]</v>
      </c>
      <c r="Y11" s="356"/>
    </row>
    <row r="12" spans="1:25" ht="9.9499999999999993" customHeight="1">
      <c r="A12" s="3"/>
      <c r="B12" s="349"/>
      <c r="C12" s="350"/>
      <c r="D12" s="350"/>
      <c r="E12" s="350"/>
      <c r="F12" s="350"/>
      <c r="G12" s="350"/>
      <c r="H12" s="350"/>
      <c r="I12" s="350"/>
      <c r="J12" s="350"/>
      <c r="K12" s="350"/>
      <c r="L12" s="350"/>
      <c r="M12" s="350"/>
      <c r="N12" s="350"/>
      <c r="O12" s="350"/>
      <c r="P12" s="350"/>
      <c r="Q12" s="350"/>
      <c r="R12" s="351"/>
      <c r="S12" s="3"/>
      <c r="T12" s="357"/>
      <c r="U12" s="358"/>
      <c r="V12" s="3"/>
      <c r="W12" s="7"/>
      <c r="X12" s="357"/>
      <c r="Y12" s="358"/>
    </row>
    <row r="13" spans="1:25" ht="9.9499999999999993" customHeight="1">
      <c r="A13" s="3"/>
      <c r="B13" s="349"/>
      <c r="C13" s="350"/>
      <c r="D13" s="350"/>
      <c r="E13" s="350"/>
      <c r="F13" s="350"/>
      <c r="G13" s="350"/>
      <c r="H13" s="350"/>
      <c r="I13" s="350"/>
      <c r="J13" s="350"/>
      <c r="K13" s="350"/>
      <c r="L13" s="350"/>
      <c r="M13" s="350"/>
      <c r="N13" s="350"/>
      <c r="O13" s="350"/>
      <c r="P13" s="350"/>
      <c r="Q13" s="350"/>
      <c r="R13" s="351"/>
      <c r="S13" s="3"/>
      <c r="T13" s="357"/>
      <c r="U13" s="358"/>
      <c r="V13" s="3"/>
      <c r="W13" s="7"/>
      <c r="X13" s="357"/>
      <c r="Y13" s="358"/>
    </row>
    <row r="14" spans="1:25" ht="9.9499999999999993" customHeight="1">
      <c r="A14" s="3"/>
      <c r="B14" s="349"/>
      <c r="C14" s="350"/>
      <c r="D14" s="350"/>
      <c r="E14" s="350"/>
      <c r="F14" s="350"/>
      <c r="G14" s="350"/>
      <c r="H14" s="350"/>
      <c r="I14" s="350"/>
      <c r="J14" s="350"/>
      <c r="K14" s="350"/>
      <c r="L14" s="350"/>
      <c r="M14" s="350"/>
      <c r="N14" s="350"/>
      <c r="O14" s="350"/>
      <c r="P14" s="350"/>
      <c r="Q14" s="350"/>
      <c r="R14" s="351"/>
      <c r="S14" s="3"/>
      <c r="T14" s="357"/>
      <c r="U14" s="358"/>
      <c r="V14" s="3"/>
      <c r="W14" s="7"/>
      <c r="X14" s="357"/>
      <c r="Y14" s="358"/>
    </row>
    <row r="15" spans="1:25" ht="9.9499999999999993" customHeight="1">
      <c r="A15" s="3"/>
      <c r="B15" s="349"/>
      <c r="C15" s="350"/>
      <c r="D15" s="350"/>
      <c r="E15" s="350"/>
      <c r="F15" s="350"/>
      <c r="G15" s="350"/>
      <c r="H15" s="350"/>
      <c r="I15" s="350"/>
      <c r="J15" s="350"/>
      <c r="K15" s="350"/>
      <c r="L15" s="350"/>
      <c r="M15" s="350"/>
      <c r="N15" s="350"/>
      <c r="O15" s="350"/>
      <c r="P15" s="350"/>
      <c r="Q15" s="350"/>
      <c r="R15" s="351"/>
      <c r="S15" s="3"/>
      <c r="T15" s="357"/>
      <c r="U15" s="358"/>
      <c r="V15" s="3"/>
      <c r="W15" s="7"/>
      <c r="X15" s="357"/>
      <c r="Y15" s="358"/>
    </row>
    <row r="16" spans="1:25" ht="9.9499999999999993" customHeight="1">
      <c r="A16" s="3"/>
      <c r="B16" s="349"/>
      <c r="C16" s="350"/>
      <c r="D16" s="350"/>
      <c r="E16" s="350"/>
      <c r="F16" s="350"/>
      <c r="G16" s="350"/>
      <c r="H16" s="350"/>
      <c r="I16" s="350"/>
      <c r="J16" s="350"/>
      <c r="K16" s="350"/>
      <c r="L16" s="350"/>
      <c r="M16" s="350"/>
      <c r="N16" s="350"/>
      <c r="O16" s="350"/>
      <c r="P16" s="350"/>
      <c r="Q16" s="350"/>
      <c r="R16" s="351"/>
      <c r="S16" s="3"/>
      <c r="T16" s="357"/>
      <c r="U16" s="358"/>
      <c r="V16" s="3"/>
      <c r="W16" s="7"/>
      <c r="X16" s="357"/>
      <c r="Y16" s="358"/>
    </row>
    <row r="17" spans="1:25" ht="9.9499999999999993" customHeight="1">
      <c r="A17" s="3"/>
      <c r="B17" s="349"/>
      <c r="C17" s="350"/>
      <c r="D17" s="350"/>
      <c r="E17" s="350"/>
      <c r="F17" s="350"/>
      <c r="G17" s="350"/>
      <c r="H17" s="350"/>
      <c r="I17" s="350"/>
      <c r="J17" s="350"/>
      <c r="K17" s="350"/>
      <c r="L17" s="350"/>
      <c r="M17" s="350"/>
      <c r="N17" s="350"/>
      <c r="O17" s="350"/>
      <c r="P17" s="350"/>
      <c r="Q17" s="350"/>
      <c r="R17" s="351"/>
      <c r="S17" s="3"/>
      <c r="T17" s="359"/>
      <c r="U17" s="360"/>
      <c r="V17" s="3"/>
      <c r="W17" s="7"/>
      <c r="X17" s="359"/>
      <c r="Y17" s="360"/>
    </row>
    <row r="18" spans="1:25" ht="9.9499999999999993" customHeight="1">
      <c r="A18" s="3"/>
      <c r="B18" s="349"/>
      <c r="C18" s="350"/>
      <c r="D18" s="350"/>
      <c r="E18" s="350"/>
      <c r="F18" s="350"/>
      <c r="G18" s="350"/>
      <c r="H18" s="350"/>
      <c r="I18" s="350"/>
      <c r="J18" s="350"/>
      <c r="K18" s="350"/>
      <c r="L18" s="350"/>
      <c r="M18" s="350"/>
      <c r="N18" s="350"/>
      <c r="O18" s="350"/>
      <c r="P18" s="350"/>
      <c r="Q18" s="350"/>
      <c r="R18" s="351"/>
      <c r="S18" s="3"/>
      <c r="T18" s="3"/>
      <c r="U18" s="3"/>
      <c r="V18" s="3"/>
      <c r="W18" s="3"/>
      <c r="X18" s="3"/>
      <c r="Y18" s="3"/>
    </row>
    <row r="19" spans="1:25" ht="9.9499999999999993" customHeight="1">
      <c r="A19" s="3"/>
      <c r="B19" s="349"/>
      <c r="C19" s="350"/>
      <c r="D19" s="350"/>
      <c r="E19" s="350"/>
      <c r="F19" s="350"/>
      <c r="G19" s="350"/>
      <c r="H19" s="350"/>
      <c r="I19" s="350"/>
      <c r="J19" s="350"/>
      <c r="K19" s="350"/>
      <c r="L19" s="350"/>
      <c r="M19" s="350"/>
      <c r="N19" s="350"/>
      <c r="O19" s="350"/>
      <c r="P19" s="350"/>
      <c r="Q19" s="350"/>
      <c r="R19" s="351"/>
      <c r="S19" s="3"/>
      <c r="T19" s="3"/>
      <c r="U19" s="3"/>
      <c r="V19" s="3"/>
      <c r="W19" s="3"/>
      <c r="X19" s="3"/>
      <c r="Y19" s="3"/>
    </row>
    <row r="20" spans="1:25" ht="9.9499999999999993" customHeight="1">
      <c r="A20" s="3"/>
      <c r="B20" s="349"/>
      <c r="C20" s="350"/>
      <c r="D20" s="350"/>
      <c r="E20" s="350"/>
      <c r="F20" s="350"/>
      <c r="G20" s="350"/>
      <c r="H20" s="350"/>
      <c r="I20" s="350"/>
      <c r="J20" s="350"/>
      <c r="K20" s="350"/>
      <c r="L20" s="350"/>
      <c r="M20" s="350"/>
      <c r="N20" s="350"/>
      <c r="O20" s="350"/>
      <c r="P20" s="350"/>
      <c r="Q20" s="350"/>
      <c r="R20" s="351"/>
      <c r="S20" s="3"/>
      <c r="T20" s="3"/>
      <c r="U20" s="3"/>
      <c r="V20" s="3"/>
      <c r="W20" s="3"/>
      <c r="X20" s="3"/>
      <c r="Y20" s="3"/>
    </row>
    <row r="21" spans="1:25" ht="9.9499999999999993" customHeight="1">
      <c r="A21" s="3"/>
      <c r="B21" s="349"/>
      <c r="C21" s="350"/>
      <c r="D21" s="350"/>
      <c r="E21" s="350"/>
      <c r="F21" s="350"/>
      <c r="G21" s="350"/>
      <c r="H21" s="350"/>
      <c r="I21" s="350"/>
      <c r="J21" s="350"/>
      <c r="K21" s="350"/>
      <c r="L21" s="350"/>
      <c r="M21" s="350"/>
      <c r="N21" s="350"/>
      <c r="O21" s="350"/>
      <c r="P21" s="350"/>
      <c r="Q21" s="350"/>
      <c r="R21" s="351"/>
      <c r="S21" s="3"/>
      <c r="T21" s="361" t="str">
        <f>IFERROR(VLOOKUP(A1, REFItems!$B$2:$AD$200, 22, FALSE), "")</f>
        <v/>
      </c>
      <c r="U21" s="362"/>
      <c r="V21" s="362"/>
      <c r="W21" s="362"/>
      <c r="X21" s="362"/>
      <c r="Y21" s="363"/>
    </row>
    <row r="22" spans="1:25" ht="9.9499999999999993" customHeight="1">
      <c r="A22" s="3"/>
      <c r="B22" s="349"/>
      <c r="C22" s="350"/>
      <c r="D22" s="350"/>
      <c r="E22" s="350"/>
      <c r="F22" s="350"/>
      <c r="G22" s="350"/>
      <c r="H22" s="350"/>
      <c r="I22" s="350"/>
      <c r="J22" s="350"/>
      <c r="K22" s="350"/>
      <c r="L22" s="350"/>
      <c r="M22" s="350"/>
      <c r="N22" s="350"/>
      <c r="O22" s="350"/>
      <c r="P22" s="350"/>
      <c r="Q22" s="350"/>
      <c r="R22" s="351"/>
      <c r="S22" s="3"/>
      <c r="T22" s="364"/>
      <c r="U22" s="365"/>
      <c r="V22" s="365"/>
      <c r="W22" s="365"/>
      <c r="X22" s="365"/>
      <c r="Y22" s="366"/>
    </row>
    <row r="23" spans="1:25" ht="9.9499999999999993" customHeight="1">
      <c r="A23" s="3"/>
      <c r="B23" s="349"/>
      <c r="C23" s="350"/>
      <c r="D23" s="350"/>
      <c r="E23" s="350"/>
      <c r="F23" s="350"/>
      <c r="G23" s="350"/>
      <c r="H23" s="350"/>
      <c r="I23" s="350"/>
      <c r="J23" s="350"/>
      <c r="K23" s="350"/>
      <c r="L23" s="350"/>
      <c r="M23" s="350"/>
      <c r="N23" s="350"/>
      <c r="O23" s="350"/>
      <c r="P23" s="350"/>
      <c r="Q23" s="350"/>
      <c r="R23" s="351"/>
      <c r="S23" s="3"/>
      <c r="T23" s="364"/>
      <c r="U23" s="365"/>
      <c r="V23" s="365"/>
      <c r="W23" s="365"/>
      <c r="X23" s="365"/>
      <c r="Y23" s="366"/>
    </row>
    <row r="24" spans="1:25" ht="9.9499999999999993" customHeight="1">
      <c r="A24" s="3"/>
      <c r="B24" s="349"/>
      <c r="C24" s="350"/>
      <c r="D24" s="350"/>
      <c r="E24" s="350"/>
      <c r="F24" s="350"/>
      <c r="G24" s="350"/>
      <c r="H24" s="350"/>
      <c r="I24" s="350"/>
      <c r="J24" s="350"/>
      <c r="K24" s="350"/>
      <c r="L24" s="350"/>
      <c r="M24" s="350"/>
      <c r="N24" s="350"/>
      <c r="O24" s="350"/>
      <c r="P24" s="350"/>
      <c r="Q24" s="350"/>
      <c r="R24" s="351"/>
      <c r="S24" s="3"/>
      <c r="T24" s="364"/>
      <c r="U24" s="365"/>
      <c r="V24" s="365"/>
      <c r="W24" s="365"/>
      <c r="X24" s="365"/>
      <c r="Y24" s="366"/>
    </row>
    <row r="25" spans="1:25" ht="9.9499999999999993" customHeight="1">
      <c r="A25" s="3"/>
      <c r="B25" s="349"/>
      <c r="C25" s="350"/>
      <c r="D25" s="350"/>
      <c r="E25" s="350"/>
      <c r="F25" s="350"/>
      <c r="G25" s="350"/>
      <c r="H25" s="350"/>
      <c r="I25" s="350"/>
      <c r="J25" s="350"/>
      <c r="K25" s="350"/>
      <c r="L25" s="350"/>
      <c r="M25" s="350"/>
      <c r="N25" s="350"/>
      <c r="O25" s="350"/>
      <c r="P25" s="350"/>
      <c r="Q25" s="350"/>
      <c r="R25" s="351"/>
      <c r="S25" s="3"/>
      <c r="T25" s="364"/>
      <c r="U25" s="365"/>
      <c r="V25" s="365"/>
      <c r="W25" s="365"/>
      <c r="X25" s="365"/>
      <c r="Y25" s="366"/>
    </row>
    <row r="26" spans="1:25" ht="9.9499999999999993" customHeight="1">
      <c r="A26" s="3"/>
      <c r="B26" s="349"/>
      <c r="C26" s="350"/>
      <c r="D26" s="350"/>
      <c r="E26" s="350"/>
      <c r="F26" s="350"/>
      <c r="G26" s="350"/>
      <c r="H26" s="350"/>
      <c r="I26" s="350"/>
      <c r="J26" s="350"/>
      <c r="K26" s="350"/>
      <c r="L26" s="350"/>
      <c r="M26" s="350"/>
      <c r="N26" s="350"/>
      <c r="O26" s="350"/>
      <c r="P26" s="350"/>
      <c r="Q26" s="350"/>
      <c r="R26" s="351"/>
      <c r="S26" s="3"/>
      <c r="T26" s="364"/>
      <c r="U26" s="365"/>
      <c r="V26" s="365"/>
      <c r="W26" s="365"/>
      <c r="X26" s="365"/>
      <c r="Y26" s="366"/>
    </row>
    <row r="27" spans="1:25" ht="9.9499999999999993" customHeight="1">
      <c r="A27" s="3"/>
      <c r="B27" s="349"/>
      <c r="C27" s="350"/>
      <c r="D27" s="350"/>
      <c r="E27" s="350"/>
      <c r="F27" s="350"/>
      <c r="G27" s="350"/>
      <c r="H27" s="350"/>
      <c r="I27" s="350"/>
      <c r="J27" s="350"/>
      <c r="K27" s="350"/>
      <c r="L27" s="350"/>
      <c r="M27" s="350"/>
      <c r="N27" s="350"/>
      <c r="O27" s="350"/>
      <c r="P27" s="350"/>
      <c r="Q27" s="350"/>
      <c r="R27" s="351"/>
      <c r="S27" s="3"/>
      <c r="T27" s="364"/>
      <c r="U27" s="365"/>
      <c r="V27" s="365"/>
      <c r="W27" s="365"/>
      <c r="X27" s="365"/>
      <c r="Y27" s="366"/>
    </row>
    <row r="28" spans="1:25" ht="9.9499999999999993" customHeight="1">
      <c r="A28" s="3"/>
      <c r="B28" s="349"/>
      <c r="C28" s="350"/>
      <c r="D28" s="350"/>
      <c r="E28" s="350"/>
      <c r="F28" s="350"/>
      <c r="G28" s="350"/>
      <c r="H28" s="350"/>
      <c r="I28" s="350"/>
      <c r="J28" s="350"/>
      <c r="K28" s="350"/>
      <c r="L28" s="350"/>
      <c r="M28" s="350"/>
      <c r="N28" s="350"/>
      <c r="O28" s="350"/>
      <c r="P28" s="350"/>
      <c r="Q28" s="350"/>
      <c r="R28" s="351"/>
      <c r="S28" s="3"/>
      <c r="T28" s="364"/>
      <c r="U28" s="365"/>
      <c r="V28" s="365"/>
      <c r="W28" s="365"/>
      <c r="X28" s="365"/>
      <c r="Y28" s="366"/>
    </row>
    <row r="29" spans="1:25" ht="9.9499999999999993" customHeight="1">
      <c r="A29" s="3"/>
      <c r="B29" s="349"/>
      <c r="C29" s="350"/>
      <c r="D29" s="350"/>
      <c r="E29" s="350"/>
      <c r="F29" s="350"/>
      <c r="G29" s="350"/>
      <c r="H29" s="350"/>
      <c r="I29" s="350"/>
      <c r="J29" s="350"/>
      <c r="K29" s="350"/>
      <c r="L29" s="350"/>
      <c r="M29" s="350"/>
      <c r="N29" s="350"/>
      <c r="O29" s="350"/>
      <c r="P29" s="350"/>
      <c r="Q29" s="350"/>
      <c r="R29" s="351"/>
      <c r="S29" s="3"/>
      <c r="T29" s="364"/>
      <c r="U29" s="365"/>
      <c r="V29" s="365"/>
      <c r="W29" s="365"/>
      <c r="X29" s="365"/>
      <c r="Y29" s="366"/>
    </row>
    <row r="30" spans="1:25" ht="9.9499999999999993" customHeight="1">
      <c r="A30" s="3"/>
      <c r="B30" s="349"/>
      <c r="C30" s="350"/>
      <c r="D30" s="350"/>
      <c r="E30" s="350"/>
      <c r="F30" s="350"/>
      <c r="G30" s="350"/>
      <c r="H30" s="350"/>
      <c r="I30" s="350"/>
      <c r="J30" s="350"/>
      <c r="K30" s="350"/>
      <c r="L30" s="350"/>
      <c r="M30" s="350"/>
      <c r="N30" s="350"/>
      <c r="O30" s="350"/>
      <c r="P30" s="350"/>
      <c r="Q30" s="350"/>
      <c r="R30" s="351"/>
      <c r="S30" s="3"/>
      <c r="T30" s="364"/>
      <c r="U30" s="365"/>
      <c r="V30" s="365"/>
      <c r="W30" s="365"/>
      <c r="X30" s="365"/>
      <c r="Y30" s="366"/>
    </row>
    <row r="31" spans="1:25" ht="9.9499999999999993" customHeight="1">
      <c r="A31" s="3"/>
      <c r="B31" s="349"/>
      <c r="C31" s="350"/>
      <c r="D31" s="350"/>
      <c r="E31" s="350"/>
      <c r="F31" s="350"/>
      <c r="G31" s="350"/>
      <c r="H31" s="350"/>
      <c r="I31" s="350"/>
      <c r="J31" s="350"/>
      <c r="K31" s="350"/>
      <c r="L31" s="350"/>
      <c r="M31" s="350"/>
      <c r="N31" s="350"/>
      <c r="O31" s="350"/>
      <c r="P31" s="350"/>
      <c r="Q31" s="350"/>
      <c r="R31" s="351"/>
      <c r="S31" s="3"/>
      <c r="T31" s="364"/>
      <c r="U31" s="365"/>
      <c r="V31" s="365"/>
      <c r="W31" s="365"/>
      <c r="X31" s="365"/>
      <c r="Y31" s="366"/>
    </row>
    <row r="32" spans="1:25" ht="9.9499999999999993" customHeight="1">
      <c r="A32" s="3"/>
      <c r="B32" s="349"/>
      <c r="C32" s="350"/>
      <c r="D32" s="350"/>
      <c r="E32" s="350"/>
      <c r="F32" s="350"/>
      <c r="G32" s="350"/>
      <c r="H32" s="350"/>
      <c r="I32" s="350"/>
      <c r="J32" s="350"/>
      <c r="K32" s="350"/>
      <c r="L32" s="350"/>
      <c r="M32" s="350"/>
      <c r="N32" s="350"/>
      <c r="O32" s="350"/>
      <c r="P32" s="350"/>
      <c r="Q32" s="350"/>
      <c r="R32" s="351"/>
      <c r="S32" s="3"/>
      <c r="T32" s="364"/>
      <c r="U32" s="365"/>
      <c r="V32" s="365"/>
      <c r="W32" s="365"/>
      <c r="X32" s="365"/>
      <c r="Y32" s="366"/>
    </row>
    <row r="33" spans="1:25" ht="9.9499999999999993" customHeight="1">
      <c r="A33" s="3"/>
      <c r="B33" s="349"/>
      <c r="C33" s="350"/>
      <c r="D33" s="350"/>
      <c r="E33" s="350"/>
      <c r="F33" s="350"/>
      <c r="G33" s="350"/>
      <c r="H33" s="350"/>
      <c r="I33" s="350"/>
      <c r="J33" s="350"/>
      <c r="K33" s="350"/>
      <c r="L33" s="350"/>
      <c r="M33" s="350"/>
      <c r="N33" s="350"/>
      <c r="O33" s="350"/>
      <c r="P33" s="350"/>
      <c r="Q33" s="350"/>
      <c r="R33" s="351"/>
      <c r="S33" s="3"/>
      <c r="T33" s="364"/>
      <c r="U33" s="365"/>
      <c r="V33" s="365"/>
      <c r="W33" s="365"/>
      <c r="X33" s="365"/>
      <c r="Y33" s="366"/>
    </row>
    <row r="34" spans="1:25" ht="9.9499999999999993" customHeight="1">
      <c r="A34" s="3"/>
      <c r="B34" s="349"/>
      <c r="C34" s="350"/>
      <c r="D34" s="350"/>
      <c r="E34" s="350"/>
      <c r="F34" s="350"/>
      <c r="G34" s="350"/>
      <c r="H34" s="350"/>
      <c r="I34" s="350"/>
      <c r="J34" s="350"/>
      <c r="K34" s="350"/>
      <c r="L34" s="350"/>
      <c r="M34" s="350"/>
      <c r="N34" s="350"/>
      <c r="O34" s="350"/>
      <c r="P34" s="350"/>
      <c r="Q34" s="350"/>
      <c r="R34" s="351"/>
      <c r="S34" s="3"/>
      <c r="T34" s="364"/>
      <c r="U34" s="365"/>
      <c r="V34" s="365"/>
      <c r="W34" s="365"/>
      <c r="X34" s="365"/>
      <c r="Y34" s="366"/>
    </row>
    <row r="35" spans="1:25" ht="9.9499999999999993" customHeight="1">
      <c r="A35" s="3"/>
      <c r="B35" s="349"/>
      <c r="C35" s="350"/>
      <c r="D35" s="350"/>
      <c r="E35" s="350"/>
      <c r="F35" s="350"/>
      <c r="G35" s="350"/>
      <c r="H35" s="350"/>
      <c r="I35" s="350"/>
      <c r="J35" s="350"/>
      <c r="K35" s="350"/>
      <c r="L35" s="350"/>
      <c r="M35" s="350"/>
      <c r="N35" s="350"/>
      <c r="O35" s="350"/>
      <c r="P35" s="350"/>
      <c r="Q35" s="350"/>
      <c r="R35" s="351"/>
      <c r="S35" s="3"/>
      <c r="T35" s="364"/>
      <c r="U35" s="365"/>
      <c r="V35" s="365"/>
      <c r="W35" s="365"/>
      <c r="X35" s="365"/>
      <c r="Y35" s="366"/>
    </row>
    <row r="36" spans="1:25" ht="9.9499999999999993" customHeight="1">
      <c r="A36" s="3"/>
      <c r="B36" s="349"/>
      <c r="C36" s="350"/>
      <c r="D36" s="350"/>
      <c r="E36" s="350"/>
      <c r="F36" s="350"/>
      <c r="G36" s="350"/>
      <c r="H36" s="350"/>
      <c r="I36" s="350"/>
      <c r="J36" s="350"/>
      <c r="K36" s="350"/>
      <c r="L36" s="350"/>
      <c r="M36" s="350"/>
      <c r="N36" s="350"/>
      <c r="O36" s="350"/>
      <c r="P36" s="350"/>
      <c r="Q36" s="350"/>
      <c r="R36" s="351"/>
      <c r="S36" s="3"/>
      <c r="T36" s="364"/>
      <c r="U36" s="365"/>
      <c r="V36" s="365"/>
      <c r="W36" s="365"/>
      <c r="X36" s="365"/>
      <c r="Y36" s="366"/>
    </row>
    <row r="37" spans="1:25" ht="9.9499999999999993" customHeight="1">
      <c r="A37" s="3"/>
      <c r="B37" s="349"/>
      <c r="C37" s="350"/>
      <c r="D37" s="350"/>
      <c r="E37" s="350"/>
      <c r="F37" s="350"/>
      <c r="G37" s="350"/>
      <c r="H37" s="350"/>
      <c r="I37" s="350"/>
      <c r="J37" s="350"/>
      <c r="K37" s="350"/>
      <c r="L37" s="350"/>
      <c r="M37" s="350"/>
      <c r="N37" s="350"/>
      <c r="O37" s="350"/>
      <c r="P37" s="350"/>
      <c r="Q37" s="350"/>
      <c r="R37" s="351"/>
      <c r="S37" s="3"/>
      <c r="T37" s="364"/>
      <c r="U37" s="365"/>
      <c r="V37" s="365"/>
      <c r="W37" s="365"/>
      <c r="X37" s="365"/>
      <c r="Y37" s="366"/>
    </row>
    <row r="38" spans="1:25" ht="9.9499999999999993" customHeight="1">
      <c r="A38" s="3"/>
      <c r="B38" s="349"/>
      <c r="C38" s="350"/>
      <c r="D38" s="350"/>
      <c r="E38" s="350"/>
      <c r="F38" s="350"/>
      <c r="G38" s="350"/>
      <c r="H38" s="350"/>
      <c r="I38" s="350"/>
      <c r="J38" s="350"/>
      <c r="K38" s="350"/>
      <c r="L38" s="350"/>
      <c r="M38" s="350"/>
      <c r="N38" s="350"/>
      <c r="O38" s="350"/>
      <c r="P38" s="350"/>
      <c r="Q38" s="350"/>
      <c r="R38" s="351"/>
      <c r="S38" s="3"/>
      <c r="T38" s="364"/>
      <c r="U38" s="365"/>
      <c r="V38" s="365"/>
      <c r="W38" s="365"/>
      <c r="X38" s="365"/>
      <c r="Y38" s="366"/>
    </row>
    <row r="39" spans="1:25" ht="9.9499999999999993" customHeight="1">
      <c r="A39" s="3"/>
      <c r="B39" s="349"/>
      <c r="C39" s="350"/>
      <c r="D39" s="350"/>
      <c r="E39" s="350"/>
      <c r="F39" s="350"/>
      <c r="G39" s="350"/>
      <c r="H39" s="350"/>
      <c r="I39" s="350"/>
      <c r="J39" s="350"/>
      <c r="K39" s="350"/>
      <c r="L39" s="350"/>
      <c r="M39" s="350"/>
      <c r="N39" s="350"/>
      <c r="O39" s="350"/>
      <c r="P39" s="350"/>
      <c r="Q39" s="350"/>
      <c r="R39" s="351"/>
      <c r="S39" s="3"/>
      <c r="T39" s="364"/>
      <c r="U39" s="365"/>
      <c r="V39" s="365"/>
      <c r="W39" s="365"/>
      <c r="X39" s="365"/>
      <c r="Y39" s="366"/>
    </row>
    <row r="40" spans="1:25" ht="9.9499999999999993" customHeight="1">
      <c r="A40" s="3"/>
      <c r="B40" s="349"/>
      <c r="C40" s="350"/>
      <c r="D40" s="350"/>
      <c r="E40" s="350"/>
      <c r="F40" s="350"/>
      <c r="G40" s="350"/>
      <c r="H40" s="350"/>
      <c r="I40" s="350"/>
      <c r="J40" s="350"/>
      <c r="K40" s="350"/>
      <c r="L40" s="350"/>
      <c r="M40" s="350"/>
      <c r="N40" s="350"/>
      <c r="O40" s="350"/>
      <c r="P40" s="350"/>
      <c r="Q40" s="350"/>
      <c r="R40" s="351"/>
      <c r="S40" s="3"/>
      <c r="T40" s="364"/>
      <c r="U40" s="365"/>
      <c r="V40" s="365"/>
      <c r="W40" s="365"/>
      <c r="X40" s="365"/>
      <c r="Y40" s="366"/>
    </row>
    <row r="41" spans="1:25" ht="9.9499999999999993" customHeight="1">
      <c r="A41" s="3"/>
      <c r="B41" s="352"/>
      <c r="C41" s="353"/>
      <c r="D41" s="353"/>
      <c r="E41" s="353"/>
      <c r="F41" s="353"/>
      <c r="G41" s="353"/>
      <c r="H41" s="353"/>
      <c r="I41" s="353"/>
      <c r="J41" s="353"/>
      <c r="K41" s="353"/>
      <c r="L41" s="353"/>
      <c r="M41" s="353"/>
      <c r="N41" s="353"/>
      <c r="O41" s="353"/>
      <c r="P41" s="353"/>
      <c r="Q41" s="353"/>
      <c r="R41" s="354"/>
      <c r="S41" s="3"/>
      <c r="T41" s="367"/>
      <c r="U41" s="368"/>
      <c r="V41" s="368"/>
      <c r="W41" s="368"/>
      <c r="X41" s="368"/>
      <c r="Y41" s="369"/>
    </row>
    <row r="42" spans="1:25" ht="9.9499999999999993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9.9499999999999993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10"/>
      <c r="S43" s="3"/>
      <c r="T43" s="331" t="str">
        <f>IF(Report!$S$2="USD", "FOB PRICE", "DDP PRICE")</f>
        <v>DDP PRICE</v>
      </c>
      <c r="U43" s="332"/>
      <c r="V43" s="332"/>
      <c r="W43" s="337" t="str">
        <f>IFERROR(VLOOKUP(A1, REFItems!$B$2:$AD$200, 21, FALSE), "")</f>
        <v/>
      </c>
      <c r="X43" s="337"/>
      <c r="Y43" s="338"/>
    </row>
    <row r="44" spans="1:25" ht="9.9499999999999993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10"/>
      <c r="S44" s="3"/>
      <c r="T44" s="333"/>
      <c r="U44" s="334"/>
      <c r="V44" s="334"/>
      <c r="W44" s="339"/>
      <c r="X44" s="339"/>
      <c r="Y44" s="340"/>
    </row>
    <row r="45" spans="1:25" ht="9.9499999999999993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35"/>
      <c r="U45" s="336"/>
      <c r="V45" s="336"/>
      <c r="W45" s="341"/>
      <c r="X45" s="341"/>
      <c r="Y45" s="342"/>
    </row>
    <row r="46" spans="1:25" ht="9.9499999999999993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9.9499999999999993" customHeight="1">
      <c r="A47" s="3"/>
      <c r="B47" s="5" t="s">
        <v>92</v>
      </c>
      <c r="C47" s="6"/>
      <c r="D47" s="6"/>
      <c r="E47" s="11" t="s">
        <v>93</v>
      </c>
      <c r="F47" s="11"/>
      <c r="G47" s="11" t="s">
        <v>94</v>
      </c>
      <c r="H47" s="11"/>
      <c r="I47" s="11" t="s">
        <v>95</v>
      </c>
      <c r="J47" s="6"/>
      <c r="K47" s="6"/>
      <c r="L47" s="6"/>
      <c r="M47" s="6" t="s">
        <v>96</v>
      </c>
      <c r="N47" s="6"/>
      <c r="O47" s="11" t="s">
        <v>97</v>
      </c>
      <c r="P47" s="11" t="s">
        <v>98</v>
      </c>
      <c r="Q47" s="11" t="s">
        <v>70</v>
      </c>
      <c r="R47" s="12"/>
      <c r="S47" s="3"/>
      <c r="T47" s="13"/>
      <c r="U47" s="14"/>
      <c r="V47" s="14"/>
      <c r="W47" s="14"/>
      <c r="X47" s="6" t="s">
        <v>99</v>
      </c>
      <c r="Y47" s="15"/>
    </row>
    <row r="48" spans="1:25" ht="9.9499999999999993" customHeight="1">
      <c r="A48" s="3"/>
      <c r="B48" s="16"/>
      <c r="C48" s="7"/>
      <c r="D48" s="7"/>
      <c r="E48" s="17"/>
      <c r="F48" s="17"/>
      <c r="G48" s="17"/>
      <c r="H48" s="17"/>
      <c r="I48" s="17"/>
      <c r="J48" s="7"/>
      <c r="K48" s="7"/>
      <c r="L48" s="7"/>
      <c r="M48" s="7"/>
      <c r="N48" s="7"/>
      <c r="O48" s="17"/>
      <c r="P48" s="17"/>
      <c r="Q48" s="17"/>
      <c r="R48" s="18"/>
      <c r="S48" s="3"/>
      <c r="T48" s="19"/>
      <c r="U48" s="20"/>
      <c r="V48" s="20"/>
      <c r="W48" s="20"/>
      <c r="X48" s="21" t="s">
        <v>100</v>
      </c>
      <c r="Y48" s="22"/>
    </row>
    <row r="49" spans="1:25" ht="9.9499999999999993" customHeight="1">
      <c r="A49" s="3"/>
      <c r="B49" s="343"/>
      <c r="C49" s="344"/>
      <c r="D49" s="344"/>
      <c r="E49" s="345" t="str">
        <f>IFERROR(VLOOKUP(A1, REFItems!$B$2:$AD$200, 23, FALSE), "")</f>
        <v/>
      </c>
      <c r="F49" s="345"/>
      <c r="G49" s="345" t="str">
        <f>IFERROR(VLOOKUP(A1, REFItems!$B$2:$AD$200, 24, FALSE), "")</f>
        <v/>
      </c>
      <c r="H49" s="345"/>
      <c r="I49" s="345" t="str">
        <f>IFERROR(VLOOKUP(A1, REFItems!$B$2:$AD$200, 25, FALSE), "")</f>
        <v/>
      </c>
      <c r="J49" s="345"/>
      <c r="K49" s="34"/>
      <c r="L49" s="34"/>
      <c r="M49" s="345"/>
      <c r="N49" s="345"/>
      <c r="O49" s="34" t="str">
        <f>IFERROR(VLOOKUP(A1, REFItems!$B$2:$AD$200, 26, FALSE), "")</f>
        <v/>
      </c>
      <c r="P49" s="34" t="str">
        <f>IFERROR(VLOOKUP(A1, REFItems!$B$2:$AD$200, 27, FALSE), "")</f>
        <v/>
      </c>
      <c r="Q49" s="34" t="str">
        <f>IFERROR(VLOOKUP(A1, REFItems!$B$2:$AD$200, 28, FALSE), "")</f>
        <v/>
      </c>
      <c r="R49" s="23"/>
      <c r="S49" s="3"/>
      <c r="T49" s="19"/>
      <c r="U49" s="20"/>
      <c r="V49" s="20"/>
      <c r="W49" s="20"/>
      <c r="X49" s="35" t="str">
        <f>IFERROR(VLOOKUP(A1, REFItems!$B$2:$AD$200, 29, FALSE), "")</f>
        <v/>
      </c>
      <c r="Y49" s="22"/>
    </row>
    <row r="50" spans="1:25" ht="9.9499999999999993" customHeight="1">
      <c r="A50" s="3"/>
      <c r="B50" s="24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6"/>
      <c r="P50" s="26"/>
      <c r="Q50" s="26"/>
      <c r="R50" s="27"/>
      <c r="S50" s="3"/>
      <c r="T50" s="28"/>
      <c r="U50" s="29"/>
      <c r="V50" s="29"/>
      <c r="W50" s="29"/>
      <c r="X50" s="9" t="s">
        <v>101</v>
      </c>
      <c r="Y50" s="30"/>
    </row>
    <row r="51" spans="1:25" ht="9.9499999999999993" customHeight="1">
      <c r="X51" s="31"/>
    </row>
    <row r="52" spans="1:25" ht="9.9499999999999993" customHeight="1"/>
    <row r="53" spans="1:25" ht="9.9499999999999993" customHeight="1"/>
    <row r="54" spans="1:25" ht="9.9499999999999993" customHeight="1"/>
    <row r="55" spans="1:25" ht="9.9499999999999993" customHeight="1"/>
    <row r="56" spans="1:25" ht="9.9499999999999993" customHeight="1"/>
    <row r="57" spans="1:25" ht="9.9499999999999993" customHeight="1"/>
    <row r="58" spans="1:25" ht="9.9499999999999993" customHeight="1"/>
    <row r="59" spans="1:25" ht="9.9499999999999993" customHeight="1"/>
    <row r="60" spans="1:25" ht="9.9499999999999993" customHeight="1"/>
    <row r="61" spans="1:25" ht="9.9499999999999993" customHeight="1"/>
    <row r="62" spans="1:25" ht="9.9499999999999993" customHeight="1"/>
    <row r="63" spans="1:25" ht="9.9499999999999993" customHeight="1"/>
    <row r="64" spans="1:25" ht="9.9499999999999993" customHeight="1"/>
    <row r="65" ht="9.9499999999999993" customHeight="1"/>
    <row r="66" ht="9.9499999999999993" customHeight="1"/>
    <row r="67" ht="9.9499999999999993" customHeight="1"/>
    <row r="68" ht="9.9499999999999993" customHeight="1"/>
    <row r="69" ht="9.9499999999999993" customHeight="1"/>
    <row r="70" ht="9.9499999999999993" customHeight="1"/>
    <row r="71" ht="9.9499999999999993" customHeight="1"/>
    <row r="72" ht="9.9499999999999993" customHeight="1"/>
    <row r="73" ht="9.9499999999999993" customHeight="1"/>
    <row r="74" ht="9.9499999999999993" customHeight="1"/>
    <row r="75" ht="9.9499999999999993" customHeight="1"/>
    <row r="76" ht="9.9499999999999993" customHeight="1"/>
    <row r="77" ht="9.9499999999999993" customHeight="1"/>
    <row r="78" ht="9.9499999999999993" customHeight="1"/>
    <row r="79" ht="9.9499999999999993" customHeight="1"/>
    <row r="80" ht="9.9499999999999993" customHeight="1"/>
    <row r="81" ht="9.9499999999999993" customHeight="1"/>
    <row r="82" ht="9.9499999999999993" customHeight="1"/>
    <row r="83" ht="9.9499999999999993" customHeight="1"/>
    <row r="84" ht="9.9499999999999993" customHeight="1"/>
    <row r="85" ht="9.9499999999999993" customHeight="1"/>
    <row r="86" ht="9.9499999999999993" customHeight="1"/>
    <row r="87" ht="9.9499999999999993" customHeight="1"/>
    <row r="88" ht="9.9499999999999993" customHeight="1"/>
    <row r="89" ht="9.9499999999999993" customHeight="1"/>
    <row r="90" ht="9.9499999999999993" customHeight="1"/>
    <row r="91" ht="9.9499999999999993" customHeight="1"/>
    <row r="92" ht="9.9499999999999993" customHeight="1"/>
    <row r="93" ht="9.9499999999999993" customHeight="1"/>
    <row r="94" ht="9.9499999999999993" customHeight="1"/>
    <row r="95" ht="9.9499999999999993" customHeight="1"/>
    <row r="96" ht="9.9499999999999993" customHeight="1"/>
    <row r="97" ht="9.9499999999999993" customHeight="1"/>
    <row r="98" ht="9.9499999999999993" customHeight="1"/>
    <row r="99" ht="9.9499999999999993" customHeight="1"/>
    <row r="100" ht="9.9499999999999993" customHeight="1"/>
  </sheetData>
  <mergeCells count="35">
    <mergeCell ref="S3:T3"/>
    <mergeCell ref="U3:Y3"/>
    <mergeCell ref="H4:J4"/>
    <mergeCell ref="K4:R4"/>
    <mergeCell ref="S4:T4"/>
    <mergeCell ref="U4:Y4"/>
    <mergeCell ref="H5:J5"/>
    <mergeCell ref="K5:R5"/>
    <mergeCell ref="S5:T5"/>
    <mergeCell ref="U5:Y5"/>
    <mergeCell ref="D8:R8"/>
    <mergeCell ref="T8:U9"/>
    <mergeCell ref="B2:G6"/>
    <mergeCell ref="H2:J2"/>
    <mergeCell ref="K2:R2"/>
    <mergeCell ref="S2:T2"/>
    <mergeCell ref="U2:Y2"/>
    <mergeCell ref="H3:J3"/>
    <mergeCell ref="K3:R3"/>
    <mergeCell ref="H6:J6"/>
    <mergeCell ref="K6:R6"/>
    <mergeCell ref="S6:T6"/>
    <mergeCell ref="B11:R41"/>
    <mergeCell ref="T11:U17"/>
    <mergeCell ref="X11:Y17"/>
    <mergeCell ref="T21:Y41"/>
    <mergeCell ref="X8:Y9"/>
    <mergeCell ref="D9:R9"/>
    <mergeCell ref="T43:V45"/>
    <mergeCell ref="W43:Y45"/>
    <mergeCell ref="B49:D49"/>
    <mergeCell ref="E49:F49"/>
    <mergeCell ref="G49:H49"/>
    <mergeCell ref="I49:J49"/>
    <mergeCell ref="M49:N49"/>
  </mergeCells>
  <pageMargins left="0.25" right="0.25" top="0.75" bottom="0.75" header="0.3" footer="0.3"/>
  <pageSetup paperSize="9" scale="91" orientation="landscape" r:id="rId1"/>
  <headerFooter>
    <oddHeader>&amp;LEUROFAR INTERNATIONAL BV&amp;CPagina &amp;P&amp;R&amp;D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6" sqref="B6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Report</vt:lpstr>
      <vt:lpstr>Overall</vt:lpstr>
      <vt:lpstr>REFItems</vt:lpstr>
      <vt:lpstr>TEMPLATE_PS</vt:lpstr>
      <vt:lpstr>IncludeTabs</vt:lpstr>
      <vt:lpstr>Overall!Print_Area</vt:lpstr>
      <vt:lpstr>TEMPLATE_PS!Print_Area</vt:lpstr>
      <vt:lpstr>Report!Print_Titles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mynt</dc:creator>
  <cp:lastModifiedBy>Quang</cp:lastModifiedBy>
  <cp:lastPrinted>2015-09-28T17:44:06Z</cp:lastPrinted>
  <dcterms:created xsi:type="dcterms:W3CDTF">2011-06-02T03:49:45Z</dcterms:created>
  <dcterms:modified xsi:type="dcterms:W3CDTF">2016-12-12T03:01:48Z</dcterms:modified>
</cp:coreProperties>
</file>