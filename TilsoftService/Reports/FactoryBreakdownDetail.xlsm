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0" yWindow="1800" windowWidth="20490" windowHeight="7755"/>
  </bookViews>
  <sheets>
    <sheet name="FactoryBreakdownSample" sheetId="1" r:id="rId1"/>
    <sheet name="FactoryBreakdown" sheetId="2" r:id="rId2"/>
    <sheet name="FactoryBreakdownDetail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2" i="1"/>
  <c r="D3" i="1"/>
  <c r="D2" i="1"/>
  <c r="E25" i="1" l="1"/>
  <c r="E24" i="1"/>
  <c r="D25" i="1"/>
  <c r="D24" i="1"/>
  <c r="C25" i="1"/>
  <c r="C24" i="1"/>
  <c r="C2" i="1" l="1"/>
  <c r="E6" i="1" l="1"/>
  <c r="E5" i="1"/>
  <c r="E4" i="1"/>
  <c r="C26" i="1" l="1"/>
  <c r="C3" i="1"/>
  <c r="C10" i="1"/>
  <c r="E9" i="1"/>
  <c r="E8" i="1"/>
  <c r="E7" i="1"/>
</calcChain>
</file>

<file path=xl/sharedStrings.xml><?xml version="1.0" encoding="utf-8"?>
<sst xmlns="http://schemas.openxmlformats.org/spreadsheetml/2006/main" count="76" uniqueCount="74">
  <si>
    <t>Sample Order</t>
  </si>
  <si>
    <t>Client Code</t>
  </si>
  <si>
    <t>FACTORY BREAKDOWN</t>
  </si>
  <si>
    <t>Material 1:</t>
  </si>
  <si>
    <t>Material 2:</t>
  </si>
  <si>
    <t>Material 3:</t>
  </si>
  <si>
    <t>Back Cushion:</t>
  </si>
  <si>
    <t>Seat Cushion:</t>
  </si>
  <si>
    <t>Cushion Color:</t>
  </si>
  <si>
    <t>Indicated Price:</t>
  </si>
  <si>
    <t>USD</t>
  </si>
  <si>
    <t>UNIT</t>
  </si>
  <si>
    <t>NO</t>
  </si>
  <si>
    <t>NAME</t>
  </si>
  <si>
    <t>QUANTITY</t>
  </si>
  <si>
    <t>REMARK</t>
  </si>
  <si>
    <t>QNT/40HC</t>
  </si>
  <si>
    <t>Foam</t>
  </si>
  <si>
    <t>Fabric</t>
  </si>
  <si>
    <t>Alu frame</t>
  </si>
  <si>
    <t>Wood</t>
  </si>
  <si>
    <t>Rope/ wicker rope</t>
  </si>
  <si>
    <t>Glass</t>
  </si>
  <si>
    <t>Steel frame</t>
  </si>
  <si>
    <t>Polystone</t>
  </si>
  <si>
    <t>Wicker</t>
  </si>
  <si>
    <t>Duranite</t>
  </si>
  <si>
    <t>Packing Dimension</t>
  </si>
  <si>
    <t>Cushion Dimension</t>
  </si>
  <si>
    <t>Remark:</t>
  </si>
  <si>
    <t>FactoryBreakdownID</t>
  </si>
  <si>
    <t>SampleProductID</t>
  </si>
  <si>
    <t>ClientID</t>
  </si>
  <si>
    <t>UpdatedBy</t>
  </si>
  <si>
    <t>UpdatedDate</t>
  </si>
  <si>
    <t>IsConfirmed</t>
  </si>
  <si>
    <t>ConfirmedBy</t>
  </si>
  <si>
    <t>ConfirmedDate</t>
  </si>
  <si>
    <t>PackingDimensionL</t>
  </si>
  <si>
    <t>PackingDimensionW</t>
  </si>
  <si>
    <t>PackingDimensionH</t>
  </si>
  <si>
    <t>CushionDimensionL</t>
  </si>
  <si>
    <t>CushionDimensionW</t>
  </si>
  <si>
    <t>CushionDimensionH</t>
  </si>
  <si>
    <t>Remark</t>
  </si>
  <si>
    <t>IndicatedPrice</t>
  </si>
  <si>
    <t>SampleProductUD</t>
  </si>
  <si>
    <t>ArticleDescription</t>
  </si>
  <si>
    <t>MaterialDescription</t>
  </si>
  <si>
    <t>MaterialTypeDescription</t>
  </si>
  <si>
    <t>MaterialColorDescription</t>
  </si>
  <si>
    <t>Material2Description</t>
  </si>
  <si>
    <t>Material2TypeDescription</t>
  </si>
  <si>
    <t>Material2ColorDescription</t>
  </si>
  <si>
    <t>Material3Description</t>
  </si>
  <si>
    <t>Material3TypeDescription</t>
  </si>
  <si>
    <t>Material3ColorDescription</t>
  </si>
  <si>
    <t>BackCushionDescription</t>
  </si>
  <si>
    <t>SeatCushionDescription</t>
  </si>
  <si>
    <t>CushionColorDescription</t>
  </si>
  <si>
    <t>ClientUD</t>
  </si>
  <si>
    <t>UpdatorName</t>
  </si>
  <si>
    <t>ConfirmerName</t>
  </si>
  <si>
    <t>ThumbnailLocation</t>
  </si>
  <si>
    <t>FileLocation</t>
  </si>
  <si>
    <t>SampleOrderUD</t>
  </si>
  <si>
    <t>ModelID</t>
  </si>
  <si>
    <t>ModelUD</t>
  </si>
  <si>
    <t>ModelNM</t>
  </si>
  <si>
    <t>FactoryBreakdownDetailID</t>
  </si>
  <si>
    <t>FactoryBreakdownCategoryID</t>
  </si>
  <si>
    <t>UnitNM</t>
  </si>
  <si>
    <t>Quantity</t>
  </si>
  <si>
    <t>BreakdownCategoryNM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</si>
</sst>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_₫_-;\-* #,##0.00\ _₫_-;_-* &quot;-&quot;??\ _₫_-;_-@_-"/>
    <numFmt numFmtId="165" formatCode="_-* #,##0\ _₫_-;\-* #,##0\ _₫_-;_-* &quot;-&quot;??\ _₫_-;_-@_-"/>
  </numFmts>
  <fonts count="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sz val="9"/>
      <name val="Tahoma"/>
      <family val="2"/>
    </font>
    <font>
      <b/>
      <sz val="9"/>
      <color rgb="FFFF0000"/>
      <name val="Tahoma"/>
      <family val="2"/>
    </font>
    <font>
      <b/>
      <sz val="12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NumberFormat="1" applyFont="1" applyFill="1" applyBorder="1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quotePrefix="1" applyFont="1"/>
    <xf numFmtId="0" fontId="3" fillId="0" borderId="0" xfId="0" applyFont="1"/>
    <xf numFmtId="0" fontId="4" fillId="0" borderId="0" xfId="0" applyFont="1"/>
    <xf numFmtId="0" fontId="2" fillId="0" borderId="0" xfId="0" quotePrefix="1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3" fillId="3" borderId="1" xfId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4" fillId="2" borderId="1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/>
    </xf>
    <xf numFmtId="0" fontId="2" fillId="0" borderId="0" xfId="0" applyFont="1" applyBorder="1"/>
    <xf numFmtId="0" fontId="4" fillId="0" borderId="0" xfId="0" applyFont="1" applyBorder="1"/>
    <xf numFmtId="165" fontId="2" fillId="0" borderId="0" xfId="1" applyNumberFormat="1" applyFont="1"/>
    <xf numFmtId="0" fontId="3" fillId="0" borderId="0" xfId="0" applyFont="1" applyAlignment="1">
      <alignment horizontal="center"/>
    </xf>
    <xf numFmtId="165" fontId="6" fillId="0" borderId="0" xfId="1" applyNumberFormat="1" applyFont="1" applyAlignment="1">
      <alignment horizontal="center" vertical="center"/>
    </xf>
    <xf numFmtId="165" fontId="2" fillId="0" borderId="0" xfId="1" applyNumberFormat="1" applyFont="1" applyAlignment="1">
      <alignment horizontal="center" vertical="center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165" fontId="5" fillId="0" borderId="0" xfId="1" applyNumberFormat="1" applyFont="1" applyAlignment="1">
      <alignment horizontal="center"/>
    </xf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7"/>
  <sheetViews>
    <sheetView showZeros="0" tabSelected="1" workbookViewId="0">
      <selection activeCell="J5" sqref="J5"/>
    </sheetView>
  </sheetViews>
  <sheetFormatPr defaultRowHeight="11.25" x14ac:dyDescent="0.15"/>
  <cols>
    <col min="1" max="1" width="4.5703125" style="2" customWidth="1"/>
    <col min="2" max="2" width="19.28515625" style="17" customWidth="1"/>
    <col min="3" max="3" width="16.28515625" style="2" customWidth="1"/>
    <col min="4" max="4" width="16.42578125" style="2" customWidth="1"/>
    <col min="5" max="5" width="44.7109375" style="2" customWidth="1"/>
    <col min="6" max="16384" width="9.140625" style="2"/>
  </cols>
  <sheetData>
    <row r="1" spans="1:5" s="3" customFormat="1" ht="26.25" customHeight="1" x14ac:dyDescent="0.25">
      <c r="B1" s="19" t="s">
        <v>2</v>
      </c>
      <c r="C1" s="19"/>
      <c r="D1" s="19"/>
      <c r="E1" s="19"/>
    </row>
    <row r="2" spans="1:5" ht="18" customHeight="1" x14ac:dyDescent="0.15">
      <c r="A2" s="21" t="s">
        <v>0</v>
      </c>
      <c r="B2" s="21"/>
      <c r="C2" s="4" t="str">
        <f>FactoryBreakdown!AJ2&amp;""</f>
        <v/>
      </c>
      <c r="D2" s="5" t="str">
        <f>IF(FactoryBreakdown!AK2 = 0, "Sample Product", "Model Code")</f>
        <v>Sample Product</v>
      </c>
      <c r="E2" s="6">
        <f>IF(FactoryBreakdown!AK2 = 0, FactoryBreakdown!Q2, FactoryBreakdown!AL2)</f>
        <v>0</v>
      </c>
    </row>
    <row r="3" spans="1:5" ht="36" customHeight="1" x14ac:dyDescent="0.15">
      <c r="A3" s="22" t="s">
        <v>1</v>
      </c>
      <c r="B3" s="22"/>
      <c r="C3" s="7" t="str">
        <f>FactoryBreakdown!AE2&amp;""</f>
        <v/>
      </c>
      <c r="D3" s="8" t="str">
        <f>IF(FactoryBreakdown!AK2 = 0, "Sample Name", "Model Name")</f>
        <v>Sample Name</v>
      </c>
      <c r="E3" s="9">
        <f xml:space="preserve"> IF(FactoryBreakdown!AK2 = 0, FactoryBreakdown!R2, FactoryBreakdown!AM2)</f>
        <v>0</v>
      </c>
    </row>
    <row r="4" spans="1:5" ht="18" customHeight="1" x14ac:dyDescent="0.15">
      <c r="B4" s="20"/>
      <c r="C4" s="20"/>
      <c r="D4" s="5" t="s">
        <v>3</v>
      </c>
      <c r="E4" s="2" t="str">
        <f>FactoryBreakdown!S2&amp;" "&amp;FactoryBreakdown!T2&amp;" "&amp;FactoryBreakdown!U2</f>
        <v xml:space="preserve">  </v>
      </c>
    </row>
    <row r="5" spans="1:5" ht="18" customHeight="1" x14ac:dyDescent="0.15">
      <c r="B5" s="20"/>
      <c r="C5" s="20"/>
      <c r="D5" s="5" t="s">
        <v>4</v>
      </c>
      <c r="E5" s="2" t="str">
        <f>FactoryBreakdown!V2&amp;" "&amp;FactoryBreakdown!W2&amp;" "&amp;FactoryBreakdown!X2</f>
        <v xml:space="preserve">  </v>
      </c>
    </row>
    <row r="6" spans="1:5" ht="18" customHeight="1" x14ac:dyDescent="0.15">
      <c r="B6" s="20"/>
      <c r="C6" s="20"/>
      <c r="D6" s="5" t="s">
        <v>5</v>
      </c>
      <c r="E6" s="2" t="str">
        <f>FactoryBreakdown!Y2&amp;" "&amp;FactoryBreakdown!Z2&amp;" "&amp;FactoryBreakdown!AA2</f>
        <v xml:space="preserve">  </v>
      </c>
    </row>
    <row r="7" spans="1:5" ht="18" customHeight="1" x14ac:dyDescent="0.15">
      <c r="B7" s="20"/>
      <c r="C7" s="20"/>
      <c r="D7" s="5" t="s">
        <v>6</v>
      </c>
      <c r="E7" s="2" t="str">
        <f>FactoryBreakdown!AB2&amp;""</f>
        <v/>
      </c>
    </row>
    <row r="8" spans="1:5" ht="18" customHeight="1" x14ac:dyDescent="0.15">
      <c r="B8" s="20"/>
      <c r="C8" s="20"/>
      <c r="D8" s="5" t="s">
        <v>7</v>
      </c>
      <c r="E8" s="2" t="str">
        <f>FactoryBreakdown!AC2&amp;""</f>
        <v/>
      </c>
    </row>
    <row r="9" spans="1:5" ht="18" customHeight="1" x14ac:dyDescent="0.15">
      <c r="B9" s="20"/>
      <c r="C9" s="20"/>
      <c r="D9" s="5" t="s">
        <v>8</v>
      </c>
      <c r="E9" s="2" t="str">
        <f>FactoryBreakdown!AD2&amp;""</f>
        <v/>
      </c>
    </row>
    <row r="10" spans="1:5" ht="18" customHeight="1" x14ac:dyDescent="0.15">
      <c r="A10" s="23" t="s">
        <v>9</v>
      </c>
      <c r="B10" s="23"/>
      <c r="C10" s="2" t="str">
        <f>FactoryBreakdown!P2&amp;""</f>
        <v/>
      </c>
      <c r="D10" s="5" t="s">
        <v>10</v>
      </c>
    </row>
    <row r="11" spans="1:5" ht="18" customHeight="1" x14ac:dyDescent="0.15">
      <c r="A11" s="10" t="s">
        <v>12</v>
      </c>
      <c r="B11" s="10" t="s">
        <v>13</v>
      </c>
      <c r="C11" s="11" t="s">
        <v>11</v>
      </c>
      <c r="D11" s="11" t="s">
        <v>14</v>
      </c>
      <c r="E11" s="11" t="s">
        <v>15</v>
      </c>
    </row>
    <row r="12" spans="1:5" ht="18" customHeight="1" x14ac:dyDescent="0.15">
      <c r="A12" s="12">
        <v>1</v>
      </c>
      <c r="B12" s="13" t="s">
        <v>16</v>
      </c>
      <c r="C12" s="12"/>
      <c r="D12" s="12"/>
      <c r="E12" s="12"/>
    </row>
    <row r="13" spans="1:5" ht="18" customHeight="1" x14ac:dyDescent="0.15">
      <c r="A13" s="12">
        <v>2</v>
      </c>
      <c r="B13" s="13" t="s">
        <v>17</v>
      </c>
      <c r="C13" s="12"/>
      <c r="D13" s="12"/>
      <c r="E13" s="12"/>
    </row>
    <row r="14" spans="1:5" ht="18" customHeight="1" x14ac:dyDescent="0.15">
      <c r="A14" s="12">
        <v>3</v>
      </c>
      <c r="B14" s="14" t="s">
        <v>18</v>
      </c>
      <c r="C14" s="12"/>
      <c r="D14" s="12"/>
      <c r="E14" s="12"/>
    </row>
    <row r="15" spans="1:5" ht="18" customHeight="1" x14ac:dyDescent="0.15">
      <c r="A15" s="12">
        <v>4</v>
      </c>
      <c r="B15" s="13" t="s">
        <v>19</v>
      </c>
      <c r="C15" s="12"/>
      <c r="D15" s="12"/>
      <c r="E15" s="12"/>
    </row>
    <row r="16" spans="1:5" ht="18" customHeight="1" x14ac:dyDescent="0.15">
      <c r="A16" s="12">
        <v>5</v>
      </c>
      <c r="B16" s="14" t="s">
        <v>20</v>
      </c>
      <c r="C16" s="12"/>
      <c r="D16" s="12"/>
      <c r="E16" s="12"/>
    </row>
    <row r="17" spans="1:5" ht="18" customHeight="1" x14ac:dyDescent="0.15">
      <c r="A17" s="12">
        <v>6</v>
      </c>
      <c r="B17" s="13" t="s">
        <v>21</v>
      </c>
      <c r="C17" s="12"/>
      <c r="D17" s="12"/>
      <c r="E17" s="12"/>
    </row>
    <row r="18" spans="1:5" ht="18" customHeight="1" x14ac:dyDescent="0.15">
      <c r="A18" s="12">
        <v>7</v>
      </c>
      <c r="B18" s="14" t="s">
        <v>22</v>
      </c>
      <c r="C18" s="12"/>
      <c r="D18" s="12"/>
      <c r="E18" s="12"/>
    </row>
    <row r="19" spans="1:5" ht="18" customHeight="1" x14ac:dyDescent="0.15">
      <c r="A19" s="12">
        <v>8</v>
      </c>
      <c r="B19" s="12" t="s">
        <v>23</v>
      </c>
      <c r="C19" s="12"/>
      <c r="D19" s="12"/>
      <c r="E19" s="12"/>
    </row>
    <row r="20" spans="1:5" ht="18" customHeight="1" x14ac:dyDescent="0.15">
      <c r="A20" s="12">
        <v>9</v>
      </c>
      <c r="B20" s="13" t="s">
        <v>24</v>
      </c>
      <c r="C20" s="12"/>
      <c r="D20" s="12"/>
      <c r="E20" s="12"/>
    </row>
    <row r="21" spans="1:5" ht="18" customHeight="1" x14ac:dyDescent="0.15">
      <c r="A21" s="12">
        <v>10</v>
      </c>
      <c r="B21" s="13" t="s">
        <v>25</v>
      </c>
      <c r="C21" s="12"/>
      <c r="D21" s="12"/>
      <c r="E21" s="12"/>
    </row>
    <row r="22" spans="1:5" ht="18" customHeight="1" x14ac:dyDescent="0.15">
      <c r="A22" s="12">
        <v>11</v>
      </c>
      <c r="B22" s="14" t="s">
        <v>26</v>
      </c>
      <c r="C22" s="12"/>
      <c r="D22" s="12"/>
      <c r="E22" s="12"/>
    </row>
    <row r="23" spans="1:5" ht="18" customHeight="1" x14ac:dyDescent="0.15">
      <c r="A23" s="15"/>
      <c r="B23" s="16"/>
      <c r="C23" s="15"/>
      <c r="D23" s="15"/>
      <c r="E23" s="15"/>
    </row>
    <row r="24" spans="1:5" ht="18" customHeight="1" x14ac:dyDescent="0.15">
      <c r="A24" s="18" t="s">
        <v>27</v>
      </c>
      <c r="B24" s="18"/>
      <c r="C24" s="2" t="str">
        <f xml:space="preserve"> "L: "&amp;FactoryBreakdown!I2&amp;""</f>
        <v xml:space="preserve">L: </v>
      </c>
      <c r="D24" s="2" t="str">
        <f xml:space="preserve"> "W: "&amp;FactoryBreakdown!J2&amp;""</f>
        <v xml:space="preserve">W: </v>
      </c>
      <c r="E24" s="2" t="str">
        <f xml:space="preserve"> "H: "&amp;FactoryBreakdown!K2&amp;""</f>
        <v xml:space="preserve">H: </v>
      </c>
    </row>
    <row r="25" spans="1:5" ht="18" customHeight="1" x14ac:dyDescent="0.15">
      <c r="A25" s="18" t="s">
        <v>28</v>
      </c>
      <c r="B25" s="18"/>
      <c r="C25" s="2" t="str">
        <f xml:space="preserve"> "L: "&amp;FactoryBreakdown!L2&amp;""</f>
        <v xml:space="preserve">L: </v>
      </c>
      <c r="D25" s="2" t="str">
        <f xml:space="preserve"> "W: "&amp;FactoryBreakdown!M2&amp;""</f>
        <v xml:space="preserve">W: </v>
      </c>
      <c r="E25" s="2" t="str">
        <f xml:space="preserve"> "H: "&amp;FactoryBreakdown!N2&amp;""</f>
        <v xml:space="preserve">H: </v>
      </c>
    </row>
    <row r="26" spans="1:5" ht="18" customHeight="1" x14ac:dyDescent="0.15">
      <c r="A26" s="18" t="s">
        <v>29</v>
      </c>
      <c r="B26" s="18"/>
      <c r="C26" s="24" t="str">
        <f xml:space="preserve"> FactoryBreakdown!O2&amp;""</f>
        <v/>
      </c>
      <c r="D26" s="24"/>
      <c r="E26" s="24"/>
    </row>
    <row r="27" spans="1:5" ht="18" customHeight="1" x14ac:dyDescent="0.15"/>
  </sheetData>
  <mergeCells count="9">
    <mergeCell ref="A25:B25"/>
    <mergeCell ref="A26:B26"/>
    <mergeCell ref="B1:E1"/>
    <mergeCell ref="B4:C9"/>
    <mergeCell ref="A2:B2"/>
    <mergeCell ref="A3:B3"/>
    <mergeCell ref="A10:B10"/>
    <mergeCell ref="A24:B24"/>
    <mergeCell ref="C26:E2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"/>
  <sheetViews>
    <sheetView topLeftCell="W1" workbookViewId="0">
      <selection activeCell="N13" sqref="N13"/>
    </sheetView>
  </sheetViews>
  <sheetFormatPr defaultRowHeight="11.25" x14ac:dyDescent="0.15"/>
  <cols>
    <col min="1" max="1" width="17.42578125" style="2" bestFit="1" customWidth="1"/>
    <col min="2" max="2" width="14.5703125" style="2" bestFit="1" customWidth="1"/>
    <col min="3" max="3" width="7" style="2" bestFit="1" customWidth="1"/>
    <col min="4" max="4" width="9.5703125" style="2" bestFit="1" customWidth="1"/>
    <col min="5" max="5" width="11.42578125" style="2" bestFit="1" customWidth="1"/>
    <col min="6" max="6" width="10.140625" style="2" bestFit="1" customWidth="1"/>
    <col min="7" max="7" width="10.7109375" style="2" bestFit="1" customWidth="1"/>
    <col min="8" max="8" width="12.5703125" style="2" bestFit="1" customWidth="1"/>
    <col min="9" max="9" width="15.7109375" style="2" bestFit="1" customWidth="1"/>
    <col min="10" max="10" width="16.5703125" style="2" bestFit="1" customWidth="1"/>
    <col min="11" max="11" width="16" style="2" bestFit="1" customWidth="1"/>
    <col min="12" max="12" width="15.85546875" style="2" bestFit="1" customWidth="1"/>
    <col min="13" max="13" width="16.7109375" style="2" bestFit="1" customWidth="1"/>
    <col min="14" max="14" width="16.140625" style="2" bestFit="1" customWidth="1"/>
    <col min="15" max="15" width="6.7109375" style="2" bestFit="1" customWidth="1"/>
    <col min="16" max="16" width="12" style="2" bestFit="1" customWidth="1"/>
    <col min="17" max="17" width="15.140625" style="2" bestFit="1" customWidth="1"/>
    <col min="18" max="18" width="14.5703125" style="2" bestFit="1" customWidth="1"/>
    <col min="19" max="19" width="15.5703125" style="2" bestFit="1" customWidth="1"/>
    <col min="20" max="20" width="19.7109375" style="2" bestFit="1" customWidth="1"/>
    <col min="21" max="21" width="19.5703125" style="2" bestFit="1" customWidth="1"/>
    <col min="22" max="22" width="16.5703125" style="2" bestFit="1" customWidth="1"/>
    <col min="23" max="23" width="20.7109375" style="2" bestFit="1" customWidth="1"/>
    <col min="24" max="24" width="20.5703125" style="2" bestFit="1" customWidth="1"/>
    <col min="25" max="25" width="16.5703125" style="2" bestFit="1" customWidth="1"/>
    <col min="26" max="26" width="20.7109375" style="2" bestFit="1" customWidth="1"/>
    <col min="27" max="27" width="20.5703125" style="2" bestFit="1" customWidth="1"/>
    <col min="28" max="29" width="19.42578125" style="2" bestFit="1" customWidth="1"/>
    <col min="30" max="30" width="19.7109375" style="2" bestFit="1" customWidth="1"/>
    <col min="31" max="31" width="7.5703125" style="2" bestFit="1" customWidth="1"/>
    <col min="32" max="32" width="11.7109375" style="2" bestFit="1" customWidth="1"/>
    <col min="33" max="33" width="12.85546875" style="2" bestFit="1" customWidth="1"/>
    <col min="34" max="34" width="15.7109375" style="2" bestFit="1" customWidth="1"/>
    <col min="35" max="35" width="10" style="2" bestFit="1" customWidth="1"/>
    <col min="36" max="36" width="13.42578125" style="2" bestFit="1" customWidth="1"/>
    <col min="37" max="37" width="7.28515625" style="2" bestFit="1" customWidth="1"/>
    <col min="38" max="38" width="7.85546875" style="2" bestFit="1" customWidth="1"/>
    <col min="39" max="39" width="8" style="2" bestFit="1" customWidth="1"/>
    <col min="40" max="16384" width="9.140625" style="2"/>
  </cols>
  <sheetData>
    <row r="1" spans="1:39" s="1" customFormat="1" x14ac:dyDescent="0.15">
      <c r="A1" s="1" t="s">
        <v>30</v>
      </c>
      <c r="B1" s="1" t="s">
        <v>31</v>
      </c>
      <c r="C1" s="1" t="s">
        <v>32</v>
      </c>
      <c r="D1" s="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39</v>
      </c>
      <c r="K1" s="1" t="s">
        <v>40</v>
      </c>
      <c r="L1" s="1" t="s">
        <v>41</v>
      </c>
      <c r="M1" s="1" t="s">
        <v>42</v>
      </c>
      <c r="N1" s="1" t="s">
        <v>43</v>
      </c>
      <c r="O1" s="1" t="s">
        <v>44</v>
      </c>
      <c r="P1" s="1" t="s">
        <v>45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56</v>
      </c>
      <c r="AB1" s="1" t="s">
        <v>57</v>
      </c>
      <c r="AC1" s="1" t="s">
        <v>58</v>
      </c>
      <c r="AD1" s="1" t="s">
        <v>59</v>
      </c>
      <c r="AE1" s="1" t="s">
        <v>60</v>
      </c>
      <c r="AF1" s="1" t="s">
        <v>61</v>
      </c>
      <c r="AG1" s="1" t="s">
        <v>62</v>
      </c>
      <c r="AH1" s="1" t="s">
        <v>63</v>
      </c>
      <c r="AI1" s="1" t="s">
        <v>64</v>
      </c>
      <c r="AJ1" s="1" t="s">
        <v>65</v>
      </c>
      <c r="AK1" s="1" t="s">
        <v>66</v>
      </c>
      <c r="AL1" s="1" t="s">
        <v>67</v>
      </c>
      <c r="AM1" s="1" t="s">
        <v>68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"/>
  <sheetViews>
    <sheetView workbookViewId="0">
      <selection activeCell="F11" sqref="F11"/>
    </sheetView>
  </sheetViews>
  <sheetFormatPr defaultRowHeight="11.25" x14ac:dyDescent="0.15"/>
  <cols>
    <col min="1" max="1" width="21.85546875" style="2" bestFit="1" customWidth="1"/>
    <col min="2" max="2" width="17.42578125" style="2" bestFit="1" customWidth="1"/>
    <col min="3" max="3" width="24.5703125" style="2" bestFit="1" customWidth="1"/>
    <col min="4" max="4" width="6.5703125" style="2" bestFit="1" customWidth="1"/>
    <col min="5" max="5" width="7.7109375" style="2" bestFit="1" customWidth="1"/>
    <col min="6" max="6" width="6.7109375" style="2" bestFit="1" customWidth="1"/>
    <col min="7" max="7" width="19.42578125" style="2" bestFit="1" customWidth="1"/>
    <col min="8" max="16384" width="9.140625" style="2"/>
  </cols>
  <sheetData>
    <row r="1" spans="1:7" s="1" customFormat="1" x14ac:dyDescent="0.15">
      <c r="A1" s="1" t="s">
        <v>69</v>
      </c>
      <c r="B1" s="1" t="s">
        <v>30</v>
      </c>
      <c r="C1" s="1" t="s">
        <v>70</v>
      </c>
      <c r="D1" s="1" t="s">
        <v>71</v>
      </c>
      <c r="E1" s="1" t="s">
        <v>72</v>
      </c>
      <c r="F1" s="1" t="s">
        <v>44</v>
      </c>
      <c r="G1" s="1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FactoryBreakdownSample</vt:lpstr>
      <vt:lpstr>FactoryBreakdown</vt:lpstr>
      <vt:lpstr>FactoryBreakdownDetail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Hanh</dc:creator>
  <cp:lastModifiedBy>Windows User</cp:lastModifiedBy>
  <dcterms:created xsi:type="dcterms:W3CDTF">2018-12-21T03:42:33Z</dcterms:created>
  <dcterms:modified xsi:type="dcterms:W3CDTF">2019-07-09T05:38:16Z</dcterms:modified>
</cp:coreProperties>
</file>