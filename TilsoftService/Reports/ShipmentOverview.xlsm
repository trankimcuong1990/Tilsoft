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ipmentOverview" sheetId="1" r:id="rId1"/>
    <sheet name="ShipmentPerClient" sheetId="5" r:id="rId2"/>
    <sheet name="ShipmentPerFactory" sheetId="6" r:id="rId3"/>
    <sheet name="Data1" sheetId="2" r:id="rId4"/>
    <sheet name="Data2" sheetId="3" r:id="rId5"/>
    <sheet name="Tmp" sheetId="7" r:id="rId6"/>
  </sheets>
  <functionGroups builtInGroupCount="18"/>
  <definedNames>
    <definedName name="_xlnm._FilterDatabase" localSheetId="3" hidden="1">Data1!$O$2:$O$8130</definedName>
    <definedName name="_xlnm._FilterDatabase" localSheetId="0" hidden="1">ShipmentOverview!$A$6:$AY$7</definedName>
    <definedName name="_xlnm._FilterDatabase" localSheetId="5" hidden="1">Tmp!$A$2:$C$2</definedName>
    <definedName name="_xlnm.Extract" localSheetId="5">Tmp!$A$1</definedName>
  </definedNames>
  <calcPr calcId="152511"/>
</workbook>
</file>

<file path=xl/calcChain.xml><?xml version="1.0" encoding="utf-8"?>
<calcChain xmlns="http://schemas.openxmlformats.org/spreadsheetml/2006/main">
  <c r="AT2" i="1" l="1"/>
  <c r="AS2" i="1"/>
  <c r="C2" i="6" l="1"/>
  <c r="D2" i="6"/>
  <c r="C3" i="6"/>
  <c r="D3" i="6"/>
  <c r="O2" i="5"/>
  <c r="G2" i="5"/>
  <c r="G3" i="5"/>
  <c r="H3" i="5"/>
  <c r="H2" i="5"/>
  <c r="I3" i="5"/>
  <c r="I2" i="5"/>
  <c r="J3" i="5"/>
  <c r="J2" i="5"/>
  <c r="K3" i="5"/>
  <c r="K2" i="5"/>
  <c r="L2" i="5"/>
  <c r="L3" i="5"/>
  <c r="N2" i="5"/>
  <c r="N3" i="5"/>
  <c r="O3" i="5"/>
  <c r="P2" i="5"/>
  <c r="P3" i="5"/>
  <c r="E2" i="6" l="1"/>
  <c r="F3" i="6"/>
  <c r="G3" i="6" s="1"/>
  <c r="F2" i="6"/>
  <c r="G2" i="6" s="1"/>
  <c r="E3" i="6"/>
  <c r="Q3" i="5"/>
  <c r="Q2" i="5"/>
  <c r="M3" i="5"/>
  <c r="M2" i="5"/>
  <c r="X7" i="1"/>
  <c r="Y7" i="1" s="1"/>
  <c r="H7" i="1"/>
  <c r="G7" i="1"/>
  <c r="F7" i="1"/>
  <c r="R3" i="5" l="1"/>
  <c r="S3" i="5" s="1"/>
  <c r="R2" i="5"/>
  <c r="S2" i="5" s="1"/>
  <c r="AU7" i="1"/>
  <c r="AK7" i="1"/>
  <c r="AE7" i="1"/>
  <c r="AH7" i="1" s="1"/>
  <c r="AD7" i="1"/>
  <c r="AC7" i="1"/>
  <c r="AB7" i="1"/>
  <c r="AA7" i="1"/>
  <c r="W7" i="1"/>
  <c r="V7" i="1"/>
  <c r="U7" i="1"/>
  <c r="Q7" i="1"/>
  <c r="O7" i="1"/>
  <c r="M7" i="1"/>
  <c r="L7" i="1"/>
  <c r="K7" i="1"/>
  <c r="J7" i="1"/>
  <c r="I7" i="1"/>
  <c r="E7" i="1"/>
  <c r="D7" i="1"/>
  <c r="C7" i="1"/>
  <c r="B7" i="1"/>
  <c r="A7" i="1"/>
  <c r="K2" i="1"/>
  <c r="E2" i="1"/>
  <c r="O5" i="1" l="1"/>
  <c r="O4" i="1"/>
  <c r="M5" i="1"/>
  <c r="M4" i="1"/>
  <c r="Q4" i="1"/>
  <c r="AR7" i="1"/>
  <c r="AR4" i="1" s="1"/>
  <c r="S7" i="1"/>
  <c r="Q5" i="1"/>
  <c r="S5" i="1"/>
  <c r="P7" i="1"/>
  <c r="P4" i="1" s="1"/>
  <c r="N7" i="1"/>
  <c r="N4" i="1" s="1"/>
  <c r="R7" i="1"/>
  <c r="R4" i="1" s="1"/>
  <c r="AI7" i="1"/>
  <c r="AI4" i="1" s="1"/>
  <c r="AV7" i="1"/>
  <c r="T7" i="1"/>
  <c r="T4" i="1" s="1"/>
  <c r="AL7" i="1"/>
  <c r="AM7" i="1" s="1"/>
  <c r="AM4" i="1" s="1"/>
  <c r="AF7" i="1"/>
  <c r="AQ7" i="1" s="1"/>
  <c r="AQ4" i="1" s="1"/>
  <c r="AW7" i="1" l="1"/>
  <c r="AX7" i="1"/>
  <c r="AY7" i="1" s="1"/>
  <c r="AY4" i="1" s="1"/>
  <c r="S4" i="1"/>
  <c r="AT7" i="1"/>
  <c r="AT4" i="1" s="1"/>
  <c r="AS7" i="1"/>
  <c r="AS4" i="1" s="1"/>
  <c r="P5" i="1"/>
  <c r="R5" i="1"/>
  <c r="N5" i="1"/>
  <c r="R1" i="1"/>
  <c r="T1" i="1"/>
  <c r="T5" i="1"/>
  <c r="T2" i="1" s="1"/>
  <c r="AM5" i="1"/>
  <c r="AG7" i="1"/>
  <c r="AG4" i="1" s="1"/>
  <c r="AN7" i="1"/>
  <c r="AO7" i="1" s="1"/>
  <c r="AP7" i="1" s="1"/>
  <c r="AP4" i="1" s="1"/>
  <c r="AY1" i="1"/>
  <c r="AY5" i="1"/>
  <c r="AY2" i="1" s="1"/>
  <c r="AI5" i="1"/>
  <c r="AJ7" i="1"/>
  <c r="AJ4" i="1" s="1"/>
  <c r="AP5" i="1" l="1"/>
  <c r="R2" i="1"/>
  <c r="AG5" i="1"/>
  <c r="AJ5" i="1"/>
</calcChain>
</file>

<file path=xl/sharedStrings.xml><?xml version="1.0" encoding="utf-8"?>
<sst xmlns="http://schemas.openxmlformats.org/spreadsheetml/2006/main" count="85" uniqueCount="70">
  <si>
    <t>LDS</t>
  </si>
  <si>
    <t>Currency</t>
  </si>
  <si>
    <t>#</t>
  </si>
  <si>
    <t>Name Customer</t>
  </si>
  <si>
    <t>Sale Manager</t>
  </si>
  <si>
    <t xml:space="preserve"> Order in Cont.</t>
  </si>
  <si>
    <t>SALES Amount Euro</t>
  </si>
  <si>
    <t>SALES Amount US$</t>
  </si>
  <si>
    <t>Sale amount converted to Euro</t>
  </si>
  <si>
    <t>Totale Transport in Euro</t>
  </si>
  <si>
    <t>Fob Sales amount in USD</t>
  </si>
  <si>
    <t xml:space="preserve">Commission in % </t>
  </si>
  <si>
    <t>Commission in USD</t>
  </si>
  <si>
    <t>Order in Cont.</t>
  </si>
  <si>
    <t>Shipped in Cont</t>
  </si>
  <si>
    <t>Shipped in Cont  %</t>
  </si>
  <si>
    <t>To be shipped in Cont</t>
  </si>
  <si>
    <t>To be shipped in Cont %</t>
  </si>
  <si>
    <t>Total</t>
  </si>
  <si>
    <t>Subtotal</t>
  </si>
  <si>
    <t>Supplier</t>
  </si>
  <si>
    <t>TOTAL IN EUR</t>
  </si>
  <si>
    <t>PROFORMA INVOICES</t>
  </si>
  <si>
    <t>EUR/USD =</t>
  </si>
  <si>
    <t>SUB-TOTAL IN EUR</t>
  </si>
  <si>
    <t>No.</t>
  </si>
  <si>
    <t>P/O. No.</t>
  </si>
  <si>
    <t>Date</t>
  </si>
  <si>
    <t>Customer Code</t>
  </si>
  <si>
    <t>Sale</t>
  </si>
  <si>
    <t>Art. Code</t>
  </si>
  <si>
    <t>Art. Description</t>
  </si>
  <si>
    <t>Qnt/40ft</t>
  </si>
  <si>
    <t>Order qnt</t>
  </si>
  <si>
    <t>Loaded qnt</t>
  </si>
  <si>
    <t>Loaded in Cont.</t>
  </si>
  <si>
    <t>Shipped qnt</t>
  </si>
  <si>
    <t>Shipped in Cont.</t>
  </si>
  <si>
    <t>To Be Shipped qnt</t>
  </si>
  <si>
    <t>To Be Shipped in Cont.</t>
  </si>
  <si>
    <t>Main material</t>
  </si>
  <si>
    <t>Status</t>
  </si>
  <si>
    <t>S/C</t>
  </si>
  <si>
    <t>PRICE QUOTE</t>
  </si>
  <si>
    <t>CO</t>
  </si>
  <si>
    <t>PLACE</t>
  </si>
  <si>
    <t>QUALITY</t>
  </si>
  <si>
    <t>SALES Unitpr EURO</t>
  </si>
  <si>
    <t>SALES Amount EURO</t>
  </si>
  <si>
    <t>SALES Unitpr US$</t>
  </si>
  <si>
    <t>TOTAL SALES Amount USD convert into EURO</t>
  </si>
  <si>
    <t>TRANPSORT PER 40FT HC IN EURO  FOR EURO SALES (STANDARD = 2200 EURO)</t>
  </si>
  <si>
    <t>Transport per unit</t>
  </si>
  <si>
    <t>FOB SALES PRICES FOR EURO ORDERS ( ELIMINATE TRANSPORT</t>
  </si>
  <si>
    <t xml:space="preserve"> SALES FOB UNIT PRICE  in USD</t>
  </si>
  <si>
    <t>TOTAL SALES AMOUNT IN USD</t>
  </si>
  <si>
    <t xml:space="preserve">Commission % </t>
  </si>
  <si>
    <t>Commission Unit price in USD (of USD order)</t>
  </si>
  <si>
    <t>Commission Unit price in Euro (of Euro order</t>
  </si>
  <si>
    <t>Commission Unitprice in USD</t>
  </si>
  <si>
    <t>COMMISSION AMOUNT IN USD</t>
  </si>
  <si>
    <t>VN-monitored by</t>
  </si>
  <si>
    <t>NL-monitored by</t>
  </si>
  <si>
    <t>Agented By</t>
  </si>
  <si>
    <t>LDS FACTORIES (LATEST)</t>
  </si>
  <si>
    <t>SHIPPED AMOUNT IN USD</t>
  </si>
  <si>
    <t>SHIPPED AMOUNT IN EUR</t>
  </si>
  <si>
    <t>TO BE SHIPPED AMOUNT IN EUR</t>
  </si>
  <si>
    <t>TO BE SHIPPED AMOUNT IN USD</t>
  </si>
  <si>
    <t>CHECK=0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</si>
</sst>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44" formatCode="_-* #,##0.00\ &quot;₫&quot;_-;\-* #,##0.00\ &quot;₫&quot;_-;_-* &quot;-&quot;??\ &quot;₫&quot;_-;_-@_-"/>
    <numFmt numFmtId="43" formatCode="_-* #,##0.00\ _₫_-;\-* #,##0.00\ _₫_-;_-* &quot;-&quot;??\ _₫_-;_-@_-"/>
    <numFmt numFmtId="164" formatCode="_-* #,##0\ _B_F_-;\-* #,##0\ _B_F_-;_-* &quot;-&quot;\ _B_F_-;_-@_-"/>
    <numFmt numFmtId="165" formatCode="_([$€-2]\ * #,##0.00_);_([$€-2]\ * \(#,##0.00\);_([$€-2]\ * &quot;-&quot;??_);_(@_)"/>
    <numFmt numFmtId="166" formatCode="_(* #,##0.00_);_(* \(#,##0.00\);_(* &quot;-&quot;??_);_(@_)"/>
    <numFmt numFmtId="167" formatCode="_-[$€-2]\ * #,##0_-;\-[$€-2]\ * #,##0_-;_-[$€-2]\ * &quot;-&quot;??_-;_-@_-"/>
    <numFmt numFmtId="168" formatCode="_-* #,##0.00_-;_-* #,##0.00\-;_-* &quot;-&quot;??_-;_-@_-"/>
    <numFmt numFmtId="169" formatCode="_-[$$-C09]* #,##0.00_-;\-[$$-C09]* #,##0.00_-;_-[$$-C09]* &quot;-&quot;??_-;_-@_-"/>
    <numFmt numFmtId="170" formatCode="_ [$€-2]\ * #,##0_ ;_ [$€-2]\ * \-#,##0_ ;_ [$€-2]\ * &quot;-&quot;??_ ;_ @_ "/>
    <numFmt numFmtId="171" formatCode="_-[$$-1009]* #,##0.00_-;\-[$$-1009]* #,##0.00_-;_-[$$-1009]* &quot;-&quot;??_-;_-@_-"/>
    <numFmt numFmtId="172" formatCode="[$$-C09]#,##0.00"/>
    <numFmt numFmtId="173" formatCode="_ [$€-413]\ * #,##0.00_ ;_ [$€-413]\ * \-#,##0.00_ ;_ [$€-413]\ * &quot;-&quot;??_ ;_ @_ "/>
    <numFmt numFmtId="174" formatCode="_-[$€-2]\ * #,##0.00_-;\-[$€-2]\ * #,##0.00_-;_-[$€-2]\ * &quot;-&quot;??_-;_-@_-"/>
    <numFmt numFmtId="175" formatCode="_-* #,##0_-;\-* #,##0_-;_-* &quot;-&quot;??_-;_-@_-"/>
    <numFmt numFmtId="176" formatCode="&quot;$&quot;#,##0.00"/>
    <numFmt numFmtId="177" formatCode="_-[$$-409]* #,##0.00_ ;_-[$$-409]* \-#,##0.00\ ;_-[$$-409]* &quot;-&quot;??_ ;_-@_ "/>
    <numFmt numFmtId="178" formatCode="[$€-413]\ #,##0.00"/>
    <numFmt numFmtId="179" formatCode="_(&quot;$&quot;* #,##0_);_(&quot;$&quot;* \(#,##0\);_(&quot;$&quot;* &quot;-&quot;??_);_(@_)"/>
    <numFmt numFmtId="180" formatCode="_-[$$-409]* #,##0_ ;_-[$$-409]* \-#,##0\ ;_-[$$-409]* &quot;-&quot;??_ ;_-@_ 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9"/>
      <color theme="1"/>
      <name val="Arial"/>
      <family val="2"/>
    </font>
    <font>
      <b/>
      <sz val="14"/>
      <color indexed="10"/>
      <name val="Arial"/>
      <family val="2"/>
    </font>
    <font>
      <b/>
      <sz val="14"/>
      <color indexed="10"/>
      <name val="Arial Narrow"/>
      <family val="2"/>
    </font>
    <font>
      <b/>
      <sz val="14"/>
      <name val="Arial Narrow"/>
      <family val="2"/>
    </font>
    <font>
      <sz val="10"/>
      <color indexed="10"/>
      <name val="Arial"/>
      <family val="2"/>
    </font>
    <font>
      <sz val="14"/>
      <name val="Arial Narrow"/>
      <family val="2"/>
    </font>
    <font>
      <b/>
      <sz val="9"/>
      <name val="Arial"/>
      <family val="2"/>
    </font>
    <font>
      <b/>
      <sz val="9"/>
      <name val="Arial Narrow"/>
      <family val="2"/>
    </font>
    <font>
      <sz val="10"/>
      <name val="Arial Narrow"/>
      <family val="2"/>
    </font>
    <font>
      <sz val="10"/>
      <color indexed="48"/>
      <name val="Arial Narrow"/>
      <family val="2"/>
    </font>
    <font>
      <sz val="11"/>
      <name val="Arial Narrow"/>
      <family val="2"/>
    </font>
    <font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51170384838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43" fontId="1" fillId="0" borderId="0"/>
    <xf numFmtId="166" fontId="2" fillId="0" borderId="0"/>
    <xf numFmtId="43" fontId="2" fillId="0" borderId="0"/>
    <xf numFmtId="44" fontId="1" fillId="0" borderId="0"/>
    <xf numFmtId="166" fontId="2" fillId="0" borderId="0"/>
    <xf numFmtId="166" fontId="2" fillId="0" borderId="0"/>
    <xf numFmtId="164" fontId="2" fillId="0" borderId="0"/>
    <xf numFmtId="9" fontId="1" fillId="0" borderId="0"/>
    <xf numFmtId="9" fontId="2" fillId="0" borderId="0"/>
  </cellStyleXfs>
  <cellXfs count="97">
    <xf numFmtId="0" fontId="0" fillId="0" borderId="0" xfId="0" applyNumberFormat="1" applyFont="1" applyFill="1" applyBorder="1"/>
    <xf numFmtId="0" fontId="0" fillId="0" borderId="1" xfId="0" applyNumberFormat="1" applyFont="1" applyFill="1" applyBorder="1"/>
    <xf numFmtId="0" fontId="0" fillId="0" borderId="0" xfId="0" applyNumberFormat="1" applyFont="1" applyFill="1" applyBorder="1"/>
    <xf numFmtId="43" fontId="0" fillId="0" borderId="0" xfId="1" applyNumberFormat="1" applyFont="1" applyFill="1" applyBorder="1"/>
    <xf numFmtId="165" fontId="4" fillId="2" borderId="2" xfId="0" applyNumberFormat="1" applyFont="1" applyFill="1" applyBorder="1" applyAlignment="1">
      <alignment horizontal="right"/>
    </xf>
    <xf numFmtId="49" fontId="5" fillId="0" borderId="1" xfId="7" applyNumberFormat="1" applyFont="1" applyFill="1" applyBorder="1" applyAlignment="1">
      <alignment horizontal="left" vertical="center"/>
    </xf>
    <xf numFmtId="49" fontId="6" fillId="0" borderId="0" xfId="7" applyNumberFormat="1" applyFont="1" applyFill="1" applyBorder="1" applyAlignment="1">
      <alignment horizontal="left" vertical="center"/>
    </xf>
    <xf numFmtId="167" fontId="7" fillId="0" borderId="0" xfId="2" applyNumberFormat="1" applyFont="1" applyFill="1" applyBorder="1" applyAlignment="1">
      <alignment horizontal="center" vertical="center"/>
    </xf>
    <xf numFmtId="49" fontId="8" fillId="0" borderId="0" xfId="2" applyNumberFormat="1" applyFont="1" applyFill="1" applyBorder="1" applyAlignment="1">
      <alignment horizontal="center" vertical="center"/>
    </xf>
    <xf numFmtId="166" fontId="8" fillId="0" borderId="0" xfId="2" applyNumberFormat="1" applyFont="1" applyFill="1" applyBorder="1" applyAlignment="1">
      <alignment horizontal="left" vertical="center"/>
    </xf>
    <xf numFmtId="39" fontId="8" fillId="0" borderId="0" xfId="2" applyNumberFormat="1" applyFont="1" applyFill="1" applyBorder="1" applyAlignment="1">
      <alignment horizontal="center" vertical="center"/>
    </xf>
    <xf numFmtId="165" fontId="7" fillId="0" borderId="0" xfId="2" applyNumberFormat="1" applyFont="1" applyFill="1" applyBorder="1" applyAlignment="1">
      <alignment horizontal="center" vertical="center"/>
    </xf>
    <xf numFmtId="43" fontId="7" fillId="0" borderId="0" xfId="1" applyNumberFormat="1" applyFont="1" applyFill="1" applyBorder="1" applyAlignment="1">
      <alignment horizontal="center" vertical="center"/>
    </xf>
    <xf numFmtId="49" fontId="7" fillId="0" borderId="0" xfId="2" applyNumberFormat="1" applyFont="1" applyFill="1" applyBorder="1" applyAlignment="1">
      <alignment horizontal="center" vertical="center"/>
    </xf>
    <xf numFmtId="166" fontId="7" fillId="0" borderId="0" xfId="2" applyNumberFormat="1" applyFont="1" applyFill="1" applyBorder="1" applyAlignment="1">
      <alignment horizontal="left" vertical="center"/>
    </xf>
    <xf numFmtId="166" fontId="9" fillId="0" borderId="0" xfId="2" applyNumberFormat="1" applyFont="1" applyFill="1" applyBorder="1" applyAlignment="1">
      <alignment vertical="center"/>
    </xf>
    <xf numFmtId="166" fontId="9" fillId="0" borderId="0" xfId="2" applyNumberFormat="1" applyFont="1" applyFill="1" applyBorder="1" applyAlignment="1">
      <alignment horizontal="left" vertical="center"/>
    </xf>
    <xf numFmtId="166" fontId="9" fillId="0" borderId="0" xfId="2" applyNumberFormat="1" applyFont="1" applyFill="1" applyBorder="1" applyAlignment="1">
      <alignment horizontal="center" vertical="center"/>
    </xf>
    <xf numFmtId="0" fontId="9" fillId="0" borderId="0" xfId="7" applyNumberFormat="1" applyFont="1" applyFill="1" applyBorder="1" applyAlignment="1">
      <alignment horizontal="center" vertical="center"/>
    </xf>
    <xf numFmtId="166" fontId="10" fillId="0" borderId="0" xfId="2" applyNumberFormat="1" applyFont="1" applyFill="1" applyBorder="1"/>
    <xf numFmtId="168" fontId="11" fillId="0" borderId="0" xfId="6" applyNumberFormat="1" applyFont="1" applyFill="1" applyBorder="1" applyAlignment="1">
      <alignment horizontal="center" vertical="center" wrapText="1"/>
    </xf>
    <xf numFmtId="169" fontId="11" fillId="0" borderId="0" xfId="6" applyNumberFormat="1" applyFont="1" applyFill="1" applyBorder="1" applyAlignment="1">
      <alignment horizontal="center" vertical="center" wrapText="1"/>
    </xf>
    <xf numFmtId="170" fontId="11" fillId="0" borderId="0" xfId="6" applyNumberFormat="1" applyFont="1" applyFill="1" applyBorder="1" applyAlignment="1">
      <alignment horizontal="center" vertical="center" wrapText="1"/>
    </xf>
    <xf numFmtId="0" fontId="9" fillId="0" borderId="0" xfId="7" applyNumberFormat="1" applyFont="1" applyFill="1" applyBorder="1" applyAlignment="1">
      <alignment vertical="center"/>
    </xf>
    <xf numFmtId="171" fontId="12" fillId="0" borderId="0" xfId="2" applyNumberFormat="1" applyFont="1" applyFill="1" applyBorder="1" applyAlignment="1">
      <alignment vertical="center"/>
    </xf>
    <xf numFmtId="172" fontId="13" fillId="0" borderId="0" xfId="5" applyNumberFormat="1" applyFont="1" applyFill="1" applyBorder="1" applyAlignment="1">
      <alignment vertical="center"/>
    </xf>
    <xf numFmtId="173" fontId="14" fillId="0" borderId="0" xfId="9" applyNumberFormat="1" applyFont="1" applyFill="1" applyBorder="1" applyAlignment="1">
      <alignment vertical="center"/>
    </xf>
    <xf numFmtId="166" fontId="14" fillId="0" borderId="0" xfId="2" applyNumberFormat="1" applyFont="1" applyFill="1" applyBorder="1" applyAlignment="1">
      <alignment vertical="center"/>
    </xf>
    <xf numFmtId="3" fontId="10" fillId="3" borderId="2" xfId="7" applyNumberFormat="1" applyFont="1" applyFill="1" applyBorder="1" applyAlignment="1">
      <alignment horizontal="center" vertical="center" wrapText="1"/>
    </xf>
    <xf numFmtId="49" fontId="10" fillId="3" borderId="2" xfId="7" applyNumberFormat="1" applyFont="1" applyFill="1" applyBorder="1" applyAlignment="1">
      <alignment horizontal="center" vertical="center" wrapText="1"/>
    </xf>
    <xf numFmtId="174" fontId="10" fillId="3" borderId="2" xfId="7" applyNumberFormat="1" applyFont="1" applyFill="1" applyBorder="1" applyAlignment="1">
      <alignment horizontal="center" vertical="center" wrapText="1"/>
    </xf>
    <xf numFmtId="166" fontId="10" fillId="3" borderId="2" xfId="2" applyNumberFormat="1" applyFont="1" applyFill="1" applyBorder="1" applyAlignment="1">
      <alignment horizontal="center" vertical="center" wrapText="1"/>
    </xf>
    <xf numFmtId="164" fontId="10" fillId="3" borderId="2" xfId="7" applyNumberFormat="1" applyFont="1" applyFill="1" applyBorder="1" applyAlignment="1">
      <alignment horizontal="center" vertical="center" wrapText="1"/>
    </xf>
    <xf numFmtId="175" fontId="10" fillId="3" borderId="2" xfId="2" applyNumberFormat="1" applyFont="1" applyFill="1" applyBorder="1" applyAlignment="1">
      <alignment horizontal="center" vertical="center" wrapText="1"/>
    </xf>
    <xf numFmtId="43" fontId="10" fillId="3" borderId="2" xfId="1" applyNumberFormat="1" applyFont="1" applyFill="1" applyBorder="1" applyAlignment="1">
      <alignment horizontal="center" vertical="center" wrapText="1"/>
    </xf>
    <xf numFmtId="0" fontId="4" fillId="4" borderId="2" xfId="0" applyNumberFormat="1" applyFont="1" applyFill="1" applyBorder="1"/>
    <xf numFmtId="3" fontId="4" fillId="4" borderId="2" xfId="0" applyNumberFormat="1" applyFont="1" applyFill="1" applyBorder="1"/>
    <xf numFmtId="4" fontId="4" fillId="4" borderId="2" xfId="0" applyNumberFormat="1" applyFont="1" applyFill="1" applyBorder="1"/>
    <xf numFmtId="176" fontId="4" fillId="4" borderId="2" xfId="0" applyNumberFormat="1" applyFont="1" applyFill="1" applyBorder="1"/>
    <xf numFmtId="177" fontId="4" fillId="4" borderId="2" xfId="0" applyNumberFormat="1" applyFont="1" applyFill="1" applyBorder="1"/>
    <xf numFmtId="178" fontId="4" fillId="4" borderId="2" xfId="0" applyNumberFormat="1" applyFont="1" applyFill="1" applyBorder="1"/>
    <xf numFmtId="174" fontId="4" fillId="4" borderId="2" xfId="0" applyNumberFormat="1" applyFont="1" applyFill="1" applyBorder="1"/>
    <xf numFmtId="44" fontId="4" fillId="4" borderId="2" xfId="4" applyNumberFormat="1" applyFont="1" applyFill="1" applyBorder="1"/>
    <xf numFmtId="10" fontId="4" fillId="4" borderId="2" xfId="0" applyNumberFormat="1" applyFont="1" applyFill="1" applyBorder="1"/>
    <xf numFmtId="0" fontId="4" fillId="5" borderId="2" xfId="0" applyNumberFormat="1" applyFont="1" applyFill="1" applyBorder="1"/>
    <xf numFmtId="3" fontId="4" fillId="5" borderId="2" xfId="0" applyNumberFormat="1" applyFont="1" applyFill="1" applyBorder="1"/>
    <xf numFmtId="4" fontId="4" fillId="5" borderId="2" xfId="0" applyNumberFormat="1" applyFont="1" applyFill="1" applyBorder="1"/>
    <xf numFmtId="176" fontId="4" fillId="5" borderId="2" xfId="0" applyNumberFormat="1" applyFont="1" applyFill="1" applyBorder="1"/>
    <xf numFmtId="177" fontId="4" fillId="5" borderId="2" xfId="0" applyNumberFormat="1" applyFont="1" applyFill="1" applyBorder="1"/>
    <xf numFmtId="178" fontId="4" fillId="5" borderId="2" xfId="0" applyNumberFormat="1" applyFont="1" applyFill="1" applyBorder="1"/>
    <xf numFmtId="174" fontId="4" fillId="5" borderId="2" xfId="0" applyNumberFormat="1" applyFont="1" applyFill="1" applyBorder="1"/>
    <xf numFmtId="44" fontId="4" fillId="5" borderId="2" xfId="4" applyNumberFormat="1" applyFont="1" applyFill="1" applyBorder="1"/>
    <xf numFmtId="10" fontId="4" fillId="5" borderId="2" xfId="0" applyNumberFormat="1" applyFont="1" applyFill="1" applyBorder="1"/>
    <xf numFmtId="0" fontId="0" fillId="0" borderId="2" xfId="0" applyNumberFormat="1" applyFont="1" applyFill="1" applyBorder="1"/>
    <xf numFmtId="0" fontId="8" fillId="0" borderId="0" xfId="2" applyNumberFormat="1" applyFont="1" applyFill="1" applyBorder="1" applyAlignment="1">
      <alignment horizontal="left" vertical="center"/>
    </xf>
    <xf numFmtId="0" fontId="0" fillId="0" borderId="2" xfId="0" applyNumberFormat="1" applyFont="1" applyFill="1" applyBorder="1" applyAlignment="1">
      <alignment horizontal="center"/>
    </xf>
    <xf numFmtId="0" fontId="0" fillId="0" borderId="2" xfId="0" applyNumberFormat="1" applyFont="1" applyFill="1" applyBorder="1" applyAlignment="1">
      <alignment horizontal="right"/>
    </xf>
    <xf numFmtId="0" fontId="0" fillId="0" borderId="2" xfId="0" applyNumberFormat="1" applyFont="1" applyFill="1" applyBorder="1" applyAlignment="1">
      <alignment horizontal="left"/>
    </xf>
    <xf numFmtId="0" fontId="0" fillId="0" borderId="0" xfId="0" applyNumberFormat="1" applyFont="1" applyFill="1" applyBorder="1"/>
    <xf numFmtId="43" fontId="0" fillId="0" borderId="0" xfId="1" applyNumberFormat="1" applyFont="1" applyFill="1" applyBorder="1"/>
    <xf numFmtId="9" fontId="7" fillId="0" borderId="0" xfId="8" applyNumberFormat="1" applyFont="1" applyFill="1" applyBorder="1" applyAlignment="1">
      <alignment horizontal="center" vertical="center"/>
    </xf>
    <xf numFmtId="2" fontId="0" fillId="0" borderId="2" xfId="0" applyNumberFormat="1" applyFont="1" applyFill="1" applyBorder="1" applyAlignment="1">
      <alignment horizontal="right"/>
    </xf>
    <xf numFmtId="3" fontId="0" fillId="0" borderId="2" xfId="0" applyNumberFormat="1" applyFont="1" applyFill="1" applyBorder="1" applyAlignment="1">
      <alignment horizontal="right"/>
    </xf>
    <xf numFmtId="177" fontId="0" fillId="0" borderId="2" xfId="0" applyNumberFormat="1" applyFont="1" applyFill="1" applyBorder="1" applyAlignment="1">
      <alignment horizontal="right"/>
    </xf>
    <xf numFmtId="174" fontId="0" fillId="0" borderId="2" xfId="0" applyNumberFormat="1" applyFont="1" applyFill="1" applyBorder="1" applyAlignment="1">
      <alignment horizontal="right"/>
    </xf>
    <xf numFmtId="10" fontId="0" fillId="0" borderId="2" xfId="8" applyNumberFormat="1" applyFont="1" applyFill="1" applyBorder="1" applyAlignment="1">
      <alignment horizontal="right"/>
    </xf>
    <xf numFmtId="177" fontId="4" fillId="4" borderId="2" xfId="4" applyNumberFormat="1" applyFont="1" applyFill="1" applyBorder="1"/>
    <xf numFmtId="177" fontId="4" fillId="5" borderId="2" xfId="4" applyNumberFormat="1" applyFont="1" applyFill="1" applyBorder="1"/>
    <xf numFmtId="166" fontId="10" fillId="2" borderId="2" xfId="2" applyNumberFormat="1" applyFont="1" applyFill="1" applyBorder="1" applyAlignment="1">
      <alignment horizontal="center" vertical="center" wrapText="1"/>
    </xf>
    <xf numFmtId="43" fontId="10" fillId="2" borderId="2" xfId="1" applyNumberFormat="1" applyFont="1" applyFill="1" applyBorder="1" applyAlignment="1">
      <alignment horizontal="center" vertical="center" wrapText="1"/>
    </xf>
    <xf numFmtId="0" fontId="4" fillId="6" borderId="2" xfId="0" applyNumberFormat="1" applyFont="1" applyFill="1" applyBorder="1" applyAlignment="1">
      <alignment horizontal="center" vertical="center"/>
    </xf>
    <xf numFmtId="43" fontId="10" fillId="3" borderId="2" xfId="3" applyNumberFormat="1" applyFont="1" applyFill="1" applyBorder="1" applyAlignment="1">
      <alignment horizontal="center" vertical="center" wrapText="1"/>
    </xf>
    <xf numFmtId="0" fontId="15" fillId="7" borderId="3" xfId="0" applyNumberFormat="1" applyFont="1" applyFill="1" applyBorder="1"/>
    <xf numFmtId="0" fontId="4" fillId="5" borderId="3" xfId="0" applyNumberFormat="1" applyFont="1" applyFill="1" applyBorder="1"/>
    <xf numFmtId="4" fontId="4" fillId="5" borderId="3" xfId="0" applyNumberFormat="1" applyFont="1" applyFill="1" applyBorder="1"/>
    <xf numFmtId="180" fontId="4" fillId="5" borderId="3" xfId="0" applyNumberFormat="1" applyFont="1" applyFill="1" applyBorder="1"/>
    <xf numFmtId="10" fontId="4" fillId="5" borderId="3" xfId="8" applyNumberFormat="1" applyFont="1" applyFill="1" applyBorder="1"/>
    <xf numFmtId="0" fontId="15" fillId="6" borderId="4" xfId="0" applyNumberFormat="1" applyFont="1" applyFill="1" applyBorder="1" applyAlignment="1">
      <alignment horizontal="center" vertical="center"/>
    </xf>
    <xf numFmtId="166" fontId="10" fillId="3" borderId="4" xfId="2" applyNumberFormat="1" applyFont="1" applyFill="1" applyBorder="1" applyAlignment="1">
      <alignment horizontal="center" vertical="center" wrapText="1"/>
    </xf>
    <xf numFmtId="179" fontId="10" fillId="3" borderId="4" xfId="4" applyNumberFormat="1" applyFont="1" applyFill="1" applyBorder="1" applyAlignment="1">
      <alignment horizontal="center" vertical="center" wrapText="1"/>
    </xf>
    <xf numFmtId="166" fontId="10" fillId="2" borderId="4" xfId="2" applyNumberFormat="1" applyFont="1" applyFill="1" applyBorder="1" applyAlignment="1">
      <alignment horizontal="center" vertical="center" wrapText="1"/>
    </xf>
    <xf numFmtId="43" fontId="10" fillId="2" borderId="4" xfId="1" applyNumberFormat="1" applyFont="1" applyFill="1" applyBorder="1" applyAlignment="1">
      <alignment horizontal="center" vertical="center" wrapText="1"/>
    </xf>
    <xf numFmtId="0" fontId="4" fillId="4" borderId="2" xfId="0" applyNumberFormat="1" applyFont="1" applyFill="1" applyBorder="1" applyAlignment="1">
      <alignment horizontal="right"/>
    </xf>
    <xf numFmtId="4" fontId="4" fillId="4" borderId="2" xfId="0" applyNumberFormat="1" applyFont="1" applyFill="1" applyBorder="1" applyAlignment="1">
      <alignment horizontal="right"/>
    </xf>
    <xf numFmtId="10" fontId="4" fillId="4" borderId="2" xfId="8" applyNumberFormat="1" applyFont="1" applyFill="1" applyBorder="1" applyAlignment="1">
      <alignment horizontal="right"/>
    </xf>
    <xf numFmtId="0" fontId="4" fillId="7" borderId="3" xfId="0" applyNumberFormat="1" applyFont="1" applyFill="1" applyBorder="1" applyAlignment="1">
      <alignment horizontal="right"/>
    </xf>
    <xf numFmtId="0" fontId="4" fillId="5" borderId="3" xfId="0" applyNumberFormat="1" applyFont="1" applyFill="1" applyBorder="1" applyAlignment="1">
      <alignment horizontal="right"/>
    </xf>
    <xf numFmtId="4" fontId="4" fillId="5" borderId="3" xfId="0" applyNumberFormat="1" applyFont="1" applyFill="1" applyBorder="1" applyAlignment="1">
      <alignment horizontal="right"/>
    </xf>
    <xf numFmtId="10" fontId="4" fillId="5" borderId="3" xfId="8" applyNumberFormat="1" applyFont="1" applyFill="1" applyBorder="1" applyAlignment="1">
      <alignment horizontal="right"/>
    </xf>
    <xf numFmtId="167" fontId="4" fillId="5" borderId="3" xfId="0" applyNumberFormat="1" applyFont="1" applyFill="1" applyBorder="1"/>
    <xf numFmtId="0" fontId="15" fillId="4" borderId="2" xfId="0" applyNumberFormat="1" applyFont="1" applyFill="1" applyBorder="1"/>
    <xf numFmtId="167" fontId="4" fillId="4" borderId="2" xfId="0" applyNumberFormat="1" applyFont="1" applyFill="1" applyBorder="1"/>
    <xf numFmtId="180" fontId="4" fillId="4" borderId="2" xfId="0" applyNumberFormat="1" applyFont="1" applyFill="1" applyBorder="1"/>
    <xf numFmtId="10" fontId="4" fillId="4" borderId="2" xfId="8" applyNumberFormat="1" applyFont="1" applyFill="1" applyBorder="1"/>
    <xf numFmtId="14" fontId="0" fillId="0" borderId="2" xfId="0" applyNumberFormat="1" applyFont="1" applyFill="1" applyBorder="1" applyAlignment="1">
      <alignment horizontal="center"/>
    </xf>
    <xf numFmtId="174" fontId="0" fillId="0" borderId="0" xfId="0" applyNumberFormat="1" applyFont="1" applyFill="1" applyBorder="1" applyAlignment="1">
      <alignment horizontal="right"/>
    </xf>
    <xf numFmtId="49" fontId="3" fillId="2" borderId="2" xfId="7" applyNumberFormat="1" applyFont="1" applyFill="1" applyBorder="1" applyAlignment="1">
      <alignment horizontal="right" vertical="center"/>
    </xf>
  </cellXfs>
  <cellStyles count="10">
    <cellStyle name="Comma" xfId="1" builtinId="3"/>
    <cellStyle name="Comma 2" xfId="2"/>
    <cellStyle name="Comma 2 2" xfId="3"/>
    <cellStyle name="Currency" xfId="4" builtinId="4"/>
    <cellStyle name="Komma 3" xfId="5"/>
    <cellStyle name="Komma_Kopie van 01  IN PRODUCTION PROFORMA INVOICES AVM 26-09-08 (INGEVULD)" xfId="6"/>
    <cellStyle name="Normal" xfId="0" builtinId="0"/>
    <cellStyle name="Normal 2" xfId="7"/>
    <cellStyle name="Percent" xfId="8" builtinId="5"/>
    <cellStyle name="Percent 2" xfId="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7"/>
  <sheetViews>
    <sheetView tabSelected="1" zoomScale="80" zoomScaleNormal="80" workbookViewId="0">
      <pane xSplit="14" ySplit="6" topLeftCell="O7" activePane="bottomRight" state="frozen"/>
      <selection pane="topRight" activeCell="O1" sqref="O1"/>
      <selection pane="bottomLeft" activeCell="A7" sqref="A7"/>
      <selection pane="bottomRight"/>
    </sheetView>
  </sheetViews>
  <sheetFormatPr defaultRowHeight="15" x14ac:dyDescent="0.25"/>
  <cols>
    <col min="1" max="1" width="5.85546875" customWidth="1"/>
    <col min="3" max="3" width="10.7109375" bestFit="1" customWidth="1"/>
    <col min="5" max="5" width="34.42578125" customWidth="1"/>
    <col min="6" max="6" width="12.7109375" style="58" customWidth="1"/>
    <col min="7" max="7" width="12.42578125" style="58" customWidth="1"/>
    <col min="8" max="8" width="8.85546875" style="58" customWidth="1"/>
    <col min="9" max="9" width="14.28515625" customWidth="1"/>
    <col min="10" max="10" width="17.140625" customWidth="1"/>
    <col min="11" max="11" width="43.5703125" customWidth="1"/>
    <col min="15" max="15" width="11.42578125" bestFit="1" customWidth="1"/>
    <col min="16" max="16" width="10.28515625" bestFit="1" customWidth="1"/>
    <col min="17" max="17" width="10.85546875" bestFit="1" customWidth="1"/>
    <col min="18" max="18" width="11" bestFit="1" customWidth="1"/>
    <col min="20" max="20" width="11.28515625" bestFit="1" customWidth="1"/>
    <col min="21" max="21" width="11.42578125" bestFit="1" customWidth="1"/>
    <col min="22" max="22" width="6.7109375" bestFit="1" customWidth="1"/>
    <col min="23" max="23" width="12.42578125" bestFit="1" customWidth="1"/>
    <col min="24" max="24" width="11.5703125" bestFit="1" customWidth="1"/>
    <col min="25" max="25" width="17.28515625" style="58" customWidth="1"/>
    <col min="26" max="26" width="6.42578125" customWidth="1"/>
    <col min="27" max="27" width="18.85546875" bestFit="1" customWidth="1"/>
    <col min="28" max="28" width="9.5703125" bestFit="1" customWidth="1"/>
    <col min="29" max="29" width="9.42578125" bestFit="1" customWidth="1"/>
    <col min="30" max="30" width="8.42578125" bestFit="1" customWidth="1"/>
    <col min="31" max="31" width="8.85546875" bestFit="1" customWidth="1"/>
    <col min="32" max="32" width="10.140625" bestFit="1" customWidth="1"/>
    <col min="33" max="33" width="15.28515625" bestFit="1" customWidth="1"/>
    <col min="34" max="34" width="9.85546875" bestFit="1" customWidth="1"/>
    <col min="35" max="35" width="15.85546875" bestFit="1" customWidth="1"/>
    <col min="36" max="36" width="16.42578125" bestFit="1" customWidth="1"/>
    <col min="37" max="37" width="12" customWidth="1"/>
    <col min="38" max="38" width="12.28515625" bestFit="1" customWidth="1"/>
    <col min="39" max="39" width="13.5703125" bestFit="1" customWidth="1"/>
    <col min="40" max="40" width="15.140625" customWidth="1"/>
    <col min="41" max="41" width="12.28515625" bestFit="1" customWidth="1"/>
    <col min="42" max="42" width="15.85546875" bestFit="1" customWidth="1"/>
    <col min="43" max="46" width="15.85546875" style="58" customWidth="1"/>
    <col min="51" max="51" width="13.85546875" bestFit="1" customWidth="1"/>
  </cols>
  <sheetData>
    <row r="1" spans="1:51" ht="18" x14ac:dyDescent="0.25">
      <c r="A1" s="1"/>
      <c r="B1" s="2"/>
      <c r="C1" s="2"/>
      <c r="D1" s="2"/>
      <c r="E1" s="2"/>
      <c r="I1" s="2"/>
      <c r="J1" s="2"/>
      <c r="K1" s="2"/>
      <c r="L1" s="96" t="s">
        <v>21</v>
      </c>
      <c r="M1" s="96"/>
      <c r="N1" s="2"/>
      <c r="O1" s="2"/>
      <c r="P1" s="3"/>
      <c r="Q1" s="58"/>
      <c r="R1" s="60" t="e">
        <f>R4/N4</f>
        <v>#DIV/0!</v>
      </c>
      <c r="S1" s="59"/>
      <c r="T1" s="60" t="e">
        <f>T4/N4</f>
        <v>#DIV/0!</v>
      </c>
      <c r="U1" s="58"/>
      <c r="V1" s="2"/>
      <c r="W1" s="2"/>
      <c r="X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S1" s="53" t="s">
        <v>69</v>
      </c>
      <c r="AT1" s="53" t="s">
        <v>69</v>
      </c>
      <c r="AU1" s="2"/>
      <c r="AV1" s="2"/>
      <c r="AW1" s="2"/>
      <c r="AX1" s="2"/>
      <c r="AY1" s="4" t="e">
        <f>AY4/K2</f>
        <v>#DIV/0!</v>
      </c>
    </row>
    <row r="2" spans="1:51" ht="18" x14ac:dyDescent="0.25">
      <c r="A2" s="5" t="s">
        <v>22</v>
      </c>
      <c r="B2" s="6"/>
      <c r="C2" s="7"/>
      <c r="D2" s="8"/>
      <c r="E2" s="54">
        <f>Data2!A2</f>
        <v>0</v>
      </c>
      <c r="F2" s="54"/>
      <c r="G2" s="54"/>
      <c r="H2" s="54"/>
      <c r="I2" s="9"/>
      <c r="J2" s="9" t="s">
        <v>23</v>
      </c>
      <c r="K2" s="10">
        <f>Data2!B2</f>
        <v>0</v>
      </c>
      <c r="L2" s="96" t="s">
        <v>24</v>
      </c>
      <c r="M2" s="96"/>
      <c r="N2" s="11"/>
      <c r="O2" s="11"/>
      <c r="P2" s="12"/>
      <c r="Q2" s="11"/>
      <c r="R2" s="60" t="e">
        <f>R5/N5</f>
        <v>#DIV/0!</v>
      </c>
      <c r="S2" s="12"/>
      <c r="T2" s="60" t="e">
        <f>+T5/N5</f>
        <v>#DIV/0!</v>
      </c>
      <c r="U2" s="11"/>
      <c r="V2" s="13"/>
      <c r="W2" s="14"/>
      <c r="X2" s="15"/>
      <c r="Y2" s="15"/>
      <c r="Z2" s="15"/>
      <c r="AA2" s="16"/>
      <c r="AB2" s="17"/>
      <c r="AC2" s="17"/>
      <c r="AD2" s="15"/>
      <c r="AE2" s="18"/>
      <c r="AF2" s="19"/>
      <c r="AG2" s="20"/>
      <c r="AH2" s="19"/>
      <c r="AI2" s="21"/>
      <c r="AJ2" s="22"/>
      <c r="AK2" s="22"/>
      <c r="AL2" s="23"/>
      <c r="AM2" s="23"/>
      <c r="AN2" s="24"/>
      <c r="AO2" s="25"/>
      <c r="AP2" s="25"/>
      <c r="AQ2" s="95"/>
      <c r="AR2" s="25"/>
      <c r="AS2" s="64">
        <f>AG4-AQ4-AS4</f>
        <v>0</v>
      </c>
      <c r="AT2" s="63">
        <f>AI4-AR4-AT4</f>
        <v>0</v>
      </c>
      <c r="AU2" s="26"/>
      <c r="AV2" s="26"/>
      <c r="AW2" s="26"/>
      <c r="AX2" s="27"/>
      <c r="AY2" s="4" t="e">
        <f>AY5/K2</f>
        <v>#DIV/0!</v>
      </c>
    </row>
    <row r="3" spans="1:51" ht="60" customHeight="1" x14ac:dyDescent="0.25">
      <c r="A3" s="28" t="s">
        <v>25</v>
      </c>
      <c r="B3" s="29" t="s">
        <v>26</v>
      </c>
      <c r="C3" s="30" t="s">
        <v>27</v>
      </c>
      <c r="D3" s="29" t="s">
        <v>28</v>
      </c>
      <c r="E3" s="31" t="s">
        <v>3</v>
      </c>
      <c r="F3" s="31" t="s">
        <v>61</v>
      </c>
      <c r="G3" s="31" t="s">
        <v>62</v>
      </c>
      <c r="H3" s="31" t="s">
        <v>63</v>
      </c>
      <c r="I3" s="31" t="s">
        <v>29</v>
      </c>
      <c r="J3" s="31" t="s">
        <v>30</v>
      </c>
      <c r="K3" s="32" t="s">
        <v>31</v>
      </c>
      <c r="L3" s="32" t="s">
        <v>32</v>
      </c>
      <c r="M3" s="33" t="s">
        <v>33</v>
      </c>
      <c r="N3" s="31" t="s">
        <v>5</v>
      </c>
      <c r="O3" s="31" t="s">
        <v>34</v>
      </c>
      <c r="P3" s="34" t="s">
        <v>35</v>
      </c>
      <c r="Q3" s="31" t="s">
        <v>36</v>
      </c>
      <c r="R3" s="34" t="s">
        <v>37</v>
      </c>
      <c r="S3" s="31" t="s">
        <v>38</v>
      </c>
      <c r="T3" s="34" t="s">
        <v>39</v>
      </c>
      <c r="U3" s="31" t="s">
        <v>40</v>
      </c>
      <c r="V3" s="31" t="s">
        <v>41</v>
      </c>
      <c r="W3" s="31" t="s">
        <v>20</v>
      </c>
      <c r="X3" s="31" t="s">
        <v>0</v>
      </c>
      <c r="Y3" s="31" t="s">
        <v>64</v>
      </c>
      <c r="Z3" s="31" t="s">
        <v>42</v>
      </c>
      <c r="AA3" s="31" t="s">
        <v>43</v>
      </c>
      <c r="AB3" s="31" t="s">
        <v>44</v>
      </c>
      <c r="AC3" s="31" t="s">
        <v>45</v>
      </c>
      <c r="AD3" s="31" t="s">
        <v>46</v>
      </c>
      <c r="AE3" s="31" t="s">
        <v>1</v>
      </c>
      <c r="AF3" s="31" t="s">
        <v>47</v>
      </c>
      <c r="AG3" s="31" t="s">
        <v>48</v>
      </c>
      <c r="AH3" s="31" t="s">
        <v>49</v>
      </c>
      <c r="AI3" s="31" t="s">
        <v>7</v>
      </c>
      <c r="AJ3" s="31" t="s">
        <v>50</v>
      </c>
      <c r="AK3" s="31" t="s">
        <v>51</v>
      </c>
      <c r="AL3" s="31" t="s">
        <v>52</v>
      </c>
      <c r="AM3" s="31" t="s">
        <v>9</v>
      </c>
      <c r="AN3" s="31" t="s">
        <v>53</v>
      </c>
      <c r="AO3" s="31" t="s">
        <v>54</v>
      </c>
      <c r="AP3" s="31" t="s">
        <v>55</v>
      </c>
      <c r="AQ3" s="31" t="s">
        <v>66</v>
      </c>
      <c r="AR3" s="31" t="s">
        <v>65</v>
      </c>
      <c r="AS3" s="31" t="s">
        <v>67</v>
      </c>
      <c r="AT3" s="31" t="s">
        <v>68</v>
      </c>
      <c r="AU3" s="31" t="s">
        <v>56</v>
      </c>
      <c r="AV3" s="31" t="s">
        <v>57</v>
      </c>
      <c r="AW3" s="31" t="s">
        <v>58</v>
      </c>
      <c r="AX3" s="31" t="s">
        <v>59</v>
      </c>
      <c r="AY3" s="31" t="s">
        <v>60</v>
      </c>
    </row>
    <row r="4" spans="1:5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6">
        <f t="shared" ref="M4:T4" si="0">SUM(M7:M7)</f>
        <v>0</v>
      </c>
      <c r="N4" s="37">
        <f t="shared" si="0"/>
        <v>0</v>
      </c>
      <c r="O4" s="36">
        <f t="shared" si="0"/>
        <v>0</v>
      </c>
      <c r="P4" s="37">
        <f t="shared" si="0"/>
        <v>0</v>
      </c>
      <c r="Q4" s="36">
        <f t="shared" si="0"/>
        <v>0</v>
      </c>
      <c r="R4" s="37">
        <f t="shared" si="0"/>
        <v>0</v>
      </c>
      <c r="S4" s="36">
        <f t="shared" si="0"/>
        <v>0</v>
      </c>
      <c r="T4" s="37">
        <f t="shared" si="0"/>
        <v>0</v>
      </c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40"/>
      <c r="AG4" s="41">
        <f>SUM(AG7:AG7)</f>
        <v>0</v>
      </c>
      <c r="AH4" s="38"/>
      <c r="AI4" s="39">
        <f>SUM(AI7:AI7)</f>
        <v>0</v>
      </c>
      <c r="AJ4" s="41" t="e">
        <f>SUM(AJ7:AJ7)</f>
        <v>#DIV/0!</v>
      </c>
      <c r="AK4" s="40"/>
      <c r="AL4" s="40"/>
      <c r="AM4" s="41">
        <f>SUM(AM7:AM7)</f>
        <v>0</v>
      </c>
      <c r="AN4" s="40"/>
      <c r="AO4" s="42"/>
      <c r="AP4" s="66">
        <f>SUM(AP7:AP7)</f>
        <v>0</v>
      </c>
      <c r="AQ4" s="41">
        <f>SUM(AQ7:AQ7)</f>
        <v>0</v>
      </c>
      <c r="AR4" s="66">
        <f>SUM(AR7:AR7)</f>
        <v>0</v>
      </c>
      <c r="AS4" s="41">
        <f>SUM(AS7:AS7)</f>
        <v>0</v>
      </c>
      <c r="AT4" s="66">
        <f>SUM(AT7:AT7)</f>
        <v>0</v>
      </c>
      <c r="AU4" s="43"/>
      <c r="AV4" s="38"/>
      <c r="AW4" s="40"/>
      <c r="AX4" s="38"/>
      <c r="AY4" s="39">
        <f>SUM(AY7:AY7)</f>
        <v>0</v>
      </c>
    </row>
    <row r="5" spans="1:51" x14ac:dyDescent="0.25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5">
        <f t="shared" ref="M5:T5" si="1">SUBTOTAL(9,M7:M7)</f>
        <v>0</v>
      </c>
      <c r="N5" s="46">
        <f t="shared" si="1"/>
        <v>0</v>
      </c>
      <c r="O5" s="45">
        <f t="shared" si="1"/>
        <v>0</v>
      </c>
      <c r="P5" s="46">
        <f t="shared" si="1"/>
        <v>0</v>
      </c>
      <c r="Q5" s="45">
        <f t="shared" si="1"/>
        <v>0</v>
      </c>
      <c r="R5" s="46">
        <f t="shared" si="1"/>
        <v>0</v>
      </c>
      <c r="S5" s="45">
        <f t="shared" si="1"/>
        <v>0</v>
      </c>
      <c r="T5" s="46">
        <f t="shared" si="1"/>
        <v>0</v>
      </c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9"/>
      <c r="AG5" s="50">
        <f>SUBTOTAL(9,AG7:AG7)</f>
        <v>0</v>
      </c>
      <c r="AH5" s="47"/>
      <c r="AI5" s="48">
        <f>SUBTOTAL(9,AI7:AI7)</f>
        <v>0</v>
      </c>
      <c r="AJ5" s="50" t="e">
        <f>SUBTOTAL(9,AJ7:AJ7)</f>
        <v>#DIV/0!</v>
      </c>
      <c r="AK5" s="49"/>
      <c r="AL5" s="49"/>
      <c r="AM5" s="50">
        <f>SUBTOTAL(9,AM7:AM7)</f>
        <v>0</v>
      </c>
      <c r="AN5" s="49"/>
      <c r="AO5" s="51"/>
      <c r="AP5" s="67">
        <f>SUBTOTAL(9,AP7:AP7)</f>
        <v>0</v>
      </c>
      <c r="AQ5" s="50"/>
      <c r="AR5" s="67"/>
      <c r="AS5" s="50"/>
      <c r="AT5" s="67"/>
      <c r="AU5" s="52"/>
      <c r="AV5" s="47"/>
      <c r="AW5" s="49"/>
      <c r="AX5" s="47"/>
      <c r="AY5" s="48">
        <f>SUBTOTAL(9,AY7:AY7)</f>
        <v>0</v>
      </c>
    </row>
    <row r="6" spans="1:51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</row>
    <row r="7" spans="1:51" x14ac:dyDescent="0.25">
      <c r="A7" s="53">
        <f>ROW()-6</f>
        <v>1</v>
      </c>
      <c r="B7" s="55">
        <f>Data1!B2</f>
        <v>0</v>
      </c>
      <c r="C7" s="55">
        <f>Data1!C2</f>
        <v>0</v>
      </c>
      <c r="D7" s="55">
        <f>Data1!D2</f>
        <v>0</v>
      </c>
      <c r="E7" s="53">
        <f>Data1!E2</f>
        <v>0</v>
      </c>
      <c r="F7" s="53" t="str">
        <f>Data1!Z2&amp;""</f>
        <v/>
      </c>
      <c r="G7" s="53" t="str">
        <f>Data1!Y2&amp;""</f>
        <v/>
      </c>
      <c r="H7" s="53" t="str">
        <f>Data1!AA2&amp;""</f>
        <v/>
      </c>
      <c r="I7" s="53">
        <f>Data1!F2</f>
        <v>0</v>
      </c>
      <c r="J7" s="57">
        <f>Data1!G2</f>
        <v>0</v>
      </c>
      <c r="K7" s="53">
        <f>Data1!H2</f>
        <v>0</v>
      </c>
      <c r="L7" s="62">
        <f>Data1!I2</f>
        <v>0</v>
      </c>
      <c r="M7" s="62">
        <f>Data1!J2</f>
        <v>0</v>
      </c>
      <c r="N7" s="61" t="str">
        <f>IF(OR(L7="",L7=0,ISBLANK(L7)),"",M7/L7)</f>
        <v/>
      </c>
      <c r="O7" s="62">
        <f>Data1!L2</f>
        <v>0</v>
      </c>
      <c r="P7" s="61" t="str">
        <f>IF(OR(L7="",L7=0,ISBLANK(L7)),"",O7/L7)</f>
        <v/>
      </c>
      <c r="Q7" s="62">
        <f>Data1!K2</f>
        <v>0</v>
      </c>
      <c r="R7" s="61" t="str">
        <f>IF(OR(L7="",L7=0,ISBLANK(L7)),"",Q7/L7)</f>
        <v/>
      </c>
      <c r="S7" s="62">
        <f>M7-Q7</f>
        <v>0</v>
      </c>
      <c r="T7" s="61" t="str">
        <f>IF(OR(L7="",L7=0,ISBLANK(L7)),"",S7/L7)</f>
        <v/>
      </c>
      <c r="U7" s="55">
        <f>Data1!M2</f>
        <v>0</v>
      </c>
      <c r="V7" s="55">
        <f>Data1!N2</f>
        <v>0</v>
      </c>
      <c r="W7" s="55">
        <f>Data1!O2</f>
        <v>0</v>
      </c>
      <c r="X7" s="94" t="e">
        <f>DATEVALUE(Data1!P2)</f>
        <v>#VALUE!</v>
      </c>
      <c r="Y7" s="55" t="e">
        <f ca="1">IF(NOW()&gt;X7,"UPDATE DLS FAC","")</f>
        <v>#VALUE!</v>
      </c>
      <c r="Z7" s="53"/>
      <c r="AA7" s="53">
        <f>Data1!Q2</f>
        <v>0</v>
      </c>
      <c r="AB7" s="55">
        <f>Data1!R2</f>
        <v>0</v>
      </c>
      <c r="AC7" s="55">
        <f>Data1!S2</f>
        <v>0</v>
      </c>
      <c r="AD7" s="55">
        <f>Data1!T2</f>
        <v>0</v>
      </c>
      <c r="AE7" s="55">
        <f>Data1!U2</f>
        <v>0</v>
      </c>
      <c r="AF7" s="64">
        <f>IF(AE7="EUR",Data1!V2,0)</f>
        <v>0</v>
      </c>
      <c r="AG7" s="64">
        <f>AF7*M7</f>
        <v>0</v>
      </c>
      <c r="AH7" s="63">
        <f>IF(AE7="USD",Data1!V2,0)</f>
        <v>0</v>
      </c>
      <c r="AI7" s="63">
        <f>AH7*M7</f>
        <v>0</v>
      </c>
      <c r="AJ7" s="64" t="e">
        <f>AI7/$K$2</f>
        <v>#DIV/0!</v>
      </c>
      <c r="AK7" s="56" t="str">
        <f>IF(ISBLANK(Data1!W2)=FALSE,Data1!W2,"")</f>
        <v/>
      </c>
      <c r="AL7" s="64">
        <f>IF(OR(ISBLANK(L7),L7=0,AK7=""),0,AK7/L7)</f>
        <v>0</v>
      </c>
      <c r="AM7" s="64">
        <f>AL7*M7</f>
        <v>0</v>
      </c>
      <c r="AN7" s="63">
        <f>(AF7-AL7)*$K$2</f>
        <v>0</v>
      </c>
      <c r="AO7" s="63">
        <f>IF(AE7="USD",AH7,AN7)</f>
        <v>0</v>
      </c>
      <c r="AP7" s="63">
        <f>AO7*M7</f>
        <v>0</v>
      </c>
      <c r="AQ7" s="64">
        <f>Q7*AF7</f>
        <v>0</v>
      </c>
      <c r="AR7" s="63">
        <f>Q7*AH7</f>
        <v>0</v>
      </c>
      <c r="AS7" s="64">
        <f>S7*AF7</f>
        <v>0</v>
      </c>
      <c r="AT7" s="63">
        <f>S7*AH7</f>
        <v>0</v>
      </c>
      <c r="AU7" s="65">
        <f>Data1!X2</f>
        <v>0</v>
      </c>
      <c r="AV7" s="63">
        <f>IF(AE7="USD",AU7*AH7,0)</f>
        <v>0</v>
      </c>
      <c r="AW7" s="64">
        <f>IF(AE7="USD",0,AU7*AF7)</f>
        <v>0</v>
      </c>
      <c r="AX7" s="63">
        <f>IF(AE7="USD",AU7*AH7,AU7*AF7*$K$2)</f>
        <v>0</v>
      </c>
      <c r="AY7" s="63">
        <f>AX7*M7</f>
        <v>0</v>
      </c>
    </row>
  </sheetData>
  <autoFilter ref="A6:AY7"/>
  <mergeCells count="2">
    <mergeCell ref="L1:M1"/>
    <mergeCell ref="L2:M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"/>
  <sheetViews>
    <sheetView zoomScale="80" zoomScaleNormal="80" workbookViewId="0"/>
  </sheetViews>
  <sheetFormatPr defaultRowHeight="15" x14ac:dyDescent="0.25"/>
  <cols>
    <col min="1" max="1" width="5.85546875" customWidth="1"/>
    <col min="2" max="2" width="31.85546875" bestFit="1" customWidth="1"/>
    <col min="3" max="3" width="16.28515625" style="58" bestFit="1" customWidth="1"/>
    <col min="4" max="4" width="16" style="58" bestFit="1" customWidth="1"/>
    <col min="5" max="5" width="11.5703125" style="58" bestFit="1" customWidth="1"/>
    <col min="6" max="6" width="19.28515625" bestFit="1" customWidth="1"/>
    <col min="7" max="7" width="11.42578125" bestFit="1" customWidth="1"/>
    <col min="8" max="8" width="15.28515625" bestFit="1" customWidth="1"/>
    <col min="9" max="9" width="15.140625" bestFit="1" customWidth="1"/>
    <col min="10" max="10" width="17.140625" bestFit="1" customWidth="1"/>
    <col min="11" max="11" width="15.85546875" bestFit="1" customWidth="1"/>
    <col min="12" max="12" width="15" bestFit="1" customWidth="1"/>
    <col min="14" max="14" width="11.7109375" bestFit="1" customWidth="1"/>
    <col min="15" max="15" width="8.85546875" bestFit="1" customWidth="1"/>
    <col min="16" max="16" width="13" bestFit="1" customWidth="1"/>
    <col min="17" max="17" width="10.85546875" bestFit="1" customWidth="1"/>
    <col min="18" max="18" width="8.7109375" bestFit="1" customWidth="1"/>
  </cols>
  <sheetData>
    <row r="1" spans="1:19" ht="36" x14ac:dyDescent="0.25">
      <c r="A1" s="77" t="s">
        <v>2</v>
      </c>
      <c r="B1" s="78" t="s">
        <v>3</v>
      </c>
      <c r="C1" s="78" t="s">
        <v>61</v>
      </c>
      <c r="D1" s="78" t="s">
        <v>62</v>
      </c>
      <c r="E1" s="78" t="s">
        <v>63</v>
      </c>
      <c r="F1" s="78" t="s">
        <v>4</v>
      </c>
      <c r="G1" s="78" t="s">
        <v>5</v>
      </c>
      <c r="H1" s="78" t="s">
        <v>6</v>
      </c>
      <c r="I1" s="78" t="s">
        <v>7</v>
      </c>
      <c r="J1" s="78" t="s">
        <v>8</v>
      </c>
      <c r="K1" s="78" t="s">
        <v>9</v>
      </c>
      <c r="L1" s="79" t="s">
        <v>10</v>
      </c>
      <c r="M1" s="78" t="s">
        <v>11</v>
      </c>
      <c r="N1" s="78" t="s">
        <v>12</v>
      </c>
      <c r="O1" s="80" t="s">
        <v>13</v>
      </c>
      <c r="P1" s="81" t="s">
        <v>14</v>
      </c>
      <c r="Q1" s="80" t="s">
        <v>15</v>
      </c>
      <c r="R1" s="80" t="s">
        <v>16</v>
      </c>
      <c r="S1" s="80" t="s">
        <v>17</v>
      </c>
    </row>
    <row r="2" spans="1:19" x14ac:dyDescent="0.25">
      <c r="A2" s="90"/>
      <c r="B2" s="35"/>
      <c r="C2" s="35"/>
      <c r="D2" s="35"/>
      <c r="E2" s="35"/>
      <c r="F2" s="35" t="s">
        <v>18</v>
      </c>
      <c r="G2" s="37" t="e">
        <f>SUM(#REF!)</f>
        <v>#REF!</v>
      </c>
      <c r="H2" s="91" t="e">
        <f>SUM(#REF!)</f>
        <v>#REF!</v>
      </c>
      <c r="I2" s="92" t="e">
        <f>SUM(#REF!)</f>
        <v>#REF!</v>
      </c>
      <c r="J2" s="91" t="e">
        <f>SUM(#REF!)</f>
        <v>#REF!</v>
      </c>
      <c r="K2" s="91" t="e">
        <f>SUM(#REF!)</f>
        <v>#REF!</v>
      </c>
      <c r="L2" s="92" t="e">
        <f>SUM(#REF!)</f>
        <v>#REF!</v>
      </c>
      <c r="M2" s="93" t="e">
        <f>N2/L2</f>
        <v>#REF!</v>
      </c>
      <c r="N2" s="92" t="e">
        <f>SUM(#REF!)</f>
        <v>#REF!</v>
      </c>
      <c r="O2" s="37" t="e">
        <f>SUM(#REF!)</f>
        <v>#REF!</v>
      </c>
      <c r="P2" s="37" t="e">
        <f>SUM(#REF!)</f>
        <v>#REF!</v>
      </c>
      <c r="Q2" s="93" t="e">
        <f>P2/O2</f>
        <v>#REF!</v>
      </c>
      <c r="R2" s="37" t="e">
        <f>SUM(#REF!)</f>
        <v>#REF!</v>
      </c>
      <c r="S2" s="93" t="e">
        <f>R2/O2</f>
        <v>#REF!</v>
      </c>
    </row>
    <row r="3" spans="1:19" x14ac:dyDescent="0.25">
      <c r="A3" s="72"/>
      <c r="B3" s="73"/>
      <c r="C3" s="73"/>
      <c r="D3" s="73"/>
      <c r="E3" s="73"/>
      <c r="F3" s="73" t="s">
        <v>19</v>
      </c>
      <c r="G3" s="74" t="e">
        <f>SUBTOTAL(9,#REF!)</f>
        <v>#REF!</v>
      </c>
      <c r="H3" s="89" t="e">
        <f>SUBTOTAL(9,#REF!)</f>
        <v>#REF!</v>
      </c>
      <c r="I3" s="75" t="e">
        <f>SUBTOTAL(9,#REF!)</f>
        <v>#REF!</v>
      </c>
      <c r="J3" s="89" t="e">
        <f>SUBTOTAL(9,#REF!)</f>
        <v>#REF!</v>
      </c>
      <c r="K3" s="89" t="e">
        <f>SUBTOTAL(9,#REF!)</f>
        <v>#REF!</v>
      </c>
      <c r="L3" s="75" t="e">
        <f>SUBTOTAL(9,#REF!)</f>
        <v>#REF!</v>
      </c>
      <c r="M3" s="76" t="e">
        <f>N3/L3</f>
        <v>#REF!</v>
      </c>
      <c r="N3" s="75" t="e">
        <f>SUBTOTAL(9,#REF!)</f>
        <v>#REF!</v>
      </c>
      <c r="O3" s="74" t="e">
        <f>SUBTOTAL(9,#REF!)</f>
        <v>#REF!</v>
      </c>
      <c r="P3" s="74" t="e">
        <f>SUBTOTAL(9,#REF!)</f>
        <v>#REF!</v>
      </c>
      <c r="Q3" s="76" t="e">
        <f>P3/O3</f>
        <v>#REF!</v>
      </c>
      <c r="R3" s="74" t="e">
        <f>SUBTOTAL(9,#REF!)</f>
        <v>#REF!</v>
      </c>
      <c r="S3" s="76" t="e">
        <f>R3/O3</f>
        <v>#REF!</v>
      </c>
    </row>
  </sheetData>
  <sortState ref="F1:S7">
    <sortCondition descending="1" ref="L1:L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zoomScale="80" zoomScaleNormal="80" workbookViewId="0"/>
  </sheetViews>
  <sheetFormatPr defaultRowHeight="15" x14ac:dyDescent="0.25"/>
  <cols>
    <col min="1" max="1" width="3" bestFit="1" customWidth="1"/>
    <col min="2" max="2" width="13" bestFit="1" customWidth="1"/>
    <col min="3" max="3" width="9.42578125" bestFit="1" customWidth="1"/>
    <col min="4" max="4" width="11" bestFit="1" customWidth="1"/>
    <col min="5" max="5" width="10" bestFit="1" customWidth="1"/>
    <col min="6" max="6" width="10.28515625" bestFit="1" customWidth="1"/>
  </cols>
  <sheetData>
    <row r="1" spans="1:7" ht="36" x14ac:dyDescent="0.25">
      <c r="A1" s="70" t="s">
        <v>2</v>
      </c>
      <c r="B1" s="71" t="s">
        <v>20</v>
      </c>
      <c r="C1" s="71" t="s">
        <v>5</v>
      </c>
      <c r="D1" s="69" t="s">
        <v>14</v>
      </c>
      <c r="E1" s="68" t="s">
        <v>15</v>
      </c>
      <c r="F1" s="68" t="s">
        <v>16</v>
      </c>
      <c r="G1" s="68" t="s">
        <v>17</v>
      </c>
    </row>
    <row r="2" spans="1:7" x14ac:dyDescent="0.25">
      <c r="A2" s="82"/>
      <c r="B2" s="82"/>
      <c r="C2" s="83" t="e">
        <f>SUM(#REF!)</f>
        <v>#REF!</v>
      </c>
      <c r="D2" s="83" t="e">
        <f>SUM(#REF!)</f>
        <v>#REF!</v>
      </c>
      <c r="E2" s="84" t="e">
        <f>D2/C2</f>
        <v>#REF!</v>
      </c>
      <c r="F2" s="83" t="e">
        <f>SUM(#REF!)</f>
        <v>#REF!</v>
      </c>
      <c r="G2" s="84" t="e">
        <f>F2/C2</f>
        <v>#REF!</v>
      </c>
    </row>
    <row r="3" spans="1:7" x14ac:dyDescent="0.25">
      <c r="A3" s="85"/>
      <c r="B3" s="86"/>
      <c r="C3" s="87" t="e">
        <f>SUBTOTAL(9,#REF!)</f>
        <v>#REF!</v>
      </c>
      <c r="D3" s="87" t="e">
        <f>SUBTOTAL(9,#REF!)</f>
        <v>#REF!</v>
      </c>
      <c r="E3" s="88" t="e">
        <f>D3/C3</f>
        <v>#REF!</v>
      </c>
      <c r="F3" s="87" t="e">
        <f>SUBTOTAL(9,#REF!)</f>
        <v>#REF!</v>
      </c>
      <c r="G3" s="88" t="e">
        <f>F3/C3</f>
        <v>#REF!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8" sqref="D8"/>
    </sheetView>
  </sheetViews>
  <sheetFormatPr defaultRowHeight="15" x14ac:dyDescent="0.25"/>
  <cols>
    <col min="5" max="5" width="58.28515625" bestFit="1" customWidth="1"/>
    <col min="15" max="15" width="16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61"/>
  <sheetViews>
    <sheetView workbookViewId="0">
      <selection activeCell="A3" sqref="A3"/>
    </sheetView>
  </sheetViews>
  <sheetFormatPr defaultRowHeight="15" x14ac:dyDescent="0.25"/>
  <cols>
    <col min="1" max="1" width="58.28515625" bestFit="1" customWidth="1"/>
  </cols>
  <sheetData>
    <row r="1" spans="1:3" s="58" customFormat="1" x14ac:dyDescent="0.25"/>
    <row r="2" spans="1:3" s="58" customFormat="1" x14ac:dyDescent="0.25"/>
    <row r="3" spans="1:3" x14ac:dyDescent="0.25">
      <c r="A3" s="58"/>
      <c r="C3" s="58"/>
    </row>
    <row r="4" spans="1:3" x14ac:dyDescent="0.25">
      <c r="A4" s="58"/>
    </row>
    <row r="5" spans="1:3" x14ac:dyDescent="0.25">
      <c r="A5" s="58"/>
      <c r="C5" s="58"/>
    </row>
    <row r="6" spans="1:3" x14ac:dyDescent="0.25">
      <c r="A6" s="58"/>
      <c r="C6" s="58"/>
    </row>
    <row r="7" spans="1:3" x14ac:dyDescent="0.25">
      <c r="A7" s="58"/>
      <c r="C7" s="58"/>
    </row>
    <row r="8" spans="1:3" x14ac:dyDescent="0.25">
      <c r="A8" s="58"/>
      <c r="C8" s="58"/>
    </row>
    <row r="9" spans="1:3" x14ac:dyDescent="0.25">
      <c r="A9" s="58"/>
      <c r="C9" s="58"/>
    </row>
    <row r="10" spans="1:3" x14ac:dyDescent="0.25">
      <c r="A10" s="58"/>
      <c r="C10" s="58"/>
    </row>
    <row r="11" spans="1:3" x14ac:dyDescent="0.25">
      <c r="A11" s="58"/>
      <c r="C11" s="58"/>
    </row>
    <row r="12" spans="1:3" x14ac:dyDescent="0.25">
      <c r="A12" s="58"/>
      <c r="C12" s="58"/>
    </row>
    <row r="13" spans="1:3" x14ac:dyDescent="0.25">
      <c r="A13" s="58"/>
      <c r="C13" s="58"/>
    </row>
    <row r="14" spans="1:3" x14ac:dyDescent="0.25">
      <c r="A14" s="58"/>
      <c r="C14" s="58"/>
    </row>
    <row r="15" spans="1:3" x14ac:dyDescent="0.25">
      <c r="A15" s="58"/>
      <c r="C15" s="58"/>
    </row>
    <row r="16" spans="1:3" x14ac:dyDescent="0.25">
      <c r="A16" s="58"/>
      <c r="C16" s="58"/>
    </row>
    <row r="17" spans="1:3" x14ac:dyDescent="0.25">
      <c r="A17" s="58"/>
      <c r="C17" s="58"/>
    </row>
    <row r="18" spans="1:3" x14ac:dyDescent="0.25">
      <c r="A18" s="58"/>
      <c r="C18" s="58"/>
    </row>
    <row r="19" spans="1:3" x14ac:dyDescent="0.25">
      <c r="A19" s="58"/>
      <c r="C19" s="58"/>
    </row>
    <row r="20" spans="1:3" x14ac:dyDescent="0.25">
      <c r="A20" s="58"/>
      <c r="C20" s="58"/>
    </row>
    <row r="21" spans="1:3" x14ac:dyDescent="0.25">
      <c r="A21" s="58"/>
      <c r="C21" s="58"/>
    </row>
    <row r="22" spans="1:3" x14ac:dyDescent="0.25">
      <c r="A22" s="58"/>
      <c r="C22" s="58"/>
    </row>
    <row r="23" spans="1:3" x14ac:dyDescent="0.25">
      <c r="A23" s="58"/>
      <c r="C23" s="58"/>
    </row>
    <row r="24" spans="1:3" x14ac:dyDescent="0.25">
      <c r="A24" s="58"/>
      <c r="C24" s="58"/>
    </row>
    <row r="25" spans="1:3" x14ac:dyDescent="0.25">
      <c r="A25" s="58"/>
      <c r="C25" s="58"/>
    </row>
    <row r="26" spans="1:3" x14ac:dyDescent="0.25">
      <c r="A26" s="58"/>
      <c r="C26" s="58"/>
    </row>
    <row r="27" spans="1:3" x14ac:dyDescent="0.25">
      <c r="A27" s="58"/>
      <c r="C27" s="58"/>
    </row>
    <row r="28" spans="1:3" x14ac:dyDescent="0.25">
      <c r="A28" s="58"/>
      <c r="C28" s="58"/>
    </row>
    <row r="29" spans="1:3" x14ac:dyDescent="0.25">
      <c r="A29" s="58"/>
      <c r="C29" s="58"/>
    </row>
    <row r="30" spans="1:3" x14ac:dyDescent="0.25">
      <c r="A30" s="58"/>
      <c r="C30" s="58"/>
    </row>
    <row r="31" spans="1:3" x14ac:dyDescent="0.25">
      <c r="A31" s="58"/>
      <c r="C31" s="58"/>
    </row>
    <row r="32" spans="1:3" x14ac:dyDescent="0.25">
      <c r="A32" s="58"/>
      <c r="C32" s="58"/>
    </row>
    <row r="33" spans="1:3" x14ac:dyDescent="0.25">
      <c r="A33" s="58"/>
      <c r="C33" s="58"/>
    </row>
    <row r="34" spans="1:3" x14ac:dyDescent="0.25">
      <c r="A34" s="58"/>
      <c r="C34" s="58"/>
    </row>
    <row r="35" spans="1:3" x14ac:dyDescent="0.25">
      <c r="A35" s="58"/>
      <c r="C35" s="58"/>
    </row>
    <row r="36" spans="1:3" x14ac:dyDescent="0.25">
      <c r="A36" s="58"/>
      <c r="C36" s="58"/>
    </row>
    <row r="37" spans="1:3" x14ac:dyDescent="0.25">
      <c r="A37" s="58"/>
      <c r="C37" s="58"/>
    </row>
    <row r="38" spans="1:3" x14ac:dyDescent="0.25">
      <c r="A38" s="58"/>
      <c r="C38" s="58"/>
    </row>
    <row r="39" spans="1:3" x14ac:dyDescent="0.25">
      <c r="A39" s="58"/>
      <c r="C39" s="58"/>
    </row>
    <row r="40" spans="1:3" x14ac:dyDescent="0.25">
      <c r="A40" s="58"/>
      <c r="C40" s="58"/>
    </row>
    <row r="41" spans="1:3" x14ac:dyDescent="0.25">
      <c r="A41" s="58"/>
      <c r="C41" s="58"/>
    </row>
    <row r="42" spans="1:3" x14ac:dyDescent="0.25">
      <c r="A42" s="58"/>
      <c r="C42" s="58"/>
    </row>
    <row r="43" spans="1:3" x14ac:dyDescent="0.25">
      <c r="A43" s="58"/>
      <c r="C43" s="58"/>
    </row>
    <row r="44" spans="1:3" x14ac:dyDescent="0.25">
      <c r="A44" s="58"/>
      <c r="C44" s="58"/>
    </row>
    <row r="45" spans="1:3" x14ac:dyDescent="0.25">
      <c r="A45" s="58"/>
      <c r="C45" s="58"/>
    </row>
    <row r="46" spans="1:3" x14ac:dyDescent="0.25">
      <c r="A46" s="58"/>
      <c r="C46" s="58"/>
    </row>
    <row r="47" spans="1:3" x14ac:dyDescent="0.25">
      <c r="A47" s="58"/>
      <c r="C47" s="58"/>
    </row>
    <row r="48" spans="1:3" x14ac:dyDescent="0.25">
      <c r="A48" s="58"/>
      <c r="C48" s="58"/>
    </row>
    <row r="49" spans="1:3" x14ac:dyDescent="0.25">
      <c r="A49" s="58"/>
      <c r="C49" s="58"/>
    </row>
    <row r="50" spans="1:3" x14ac:dyDescent="0.25">
      <c r="A50" s="58"/>
      <c r="C50" s="58"/>
    </row>
    <row r="51" spans="1:3" x14ac:dyDescent="0.25">
      <c r="A51" s="58"/>
      <c r="C51" s="58"/>
    </row>
    <row r="52" spans="1:3" x14ac:dyDescent="0.25">
      <c r="A52" s="58"/>
      <c r="C52" s="58"/>
    </row>
    <row r="53" spans="1:3" x14ac:dyDescent="0.25">
      <c r="A53" s="58"/>
      <c r="C53" s="58"/>
    </row>
    <row r="54" spans="1:3" x14ac:dyDescent="0.25">
      <c r="A54" s="58"/>
      <c r="C54" s="58"/>
    </row>
    <row r="55" spans="1:3" x14ac:dyDescent="0.25">
      <c r="A55" s="58"/>
      <c r="C55" s="58"/>
    </row>
    <row r="56" spans="1:3" x14ac:dyDescent="0.25">
      <c r="A56" s="58"/>
      <c r="C56" s="58"/>
    </row>
    <row r="57" spans="1:3" x14ac:dyDescent="0.25">
      <c r="A57" s="58"/>
      <c r="C57" s="58"/>
    </row>
    <row r="58" spans="1:3" x14ac:dyDescent="0.25">
      <c r="A58" s="58"/>
      <c r="C58" s="58"/>
    </row>
    <row r="59" spans="1:3" x14ac:dyDescent="0.25">
      <c r="A59" s="58"/>
      <c r="C59" s="58"/>
    </row>
    <row r="60" spans="1:3" x14ac:dyDescent="0.25">
      <c r="A60" s="58"/>
      <c r="C60" s="58"/>
    </row>
    <row r="61" spans="1:3" x14ac:dyDescent="0.25">
      <c r="A61" s="58"/>
      <c r="C61" s="58"/>
    </row>
    <row r="62" spans="1:3" x14ac:dyDescent="0.25">
      <c r="A62" s="58"/>
      <c r="C62" s="58"/>
    </row>
    <row r="63" spans="1:3" x14ac:dyDescent="0.25">
      <c r="A63" s="58"/>
      <c r="C63" s="58"/>
    </row>
    <row r="64" spans="1:3" x14ac:dyDescent="0.25">
      <c r="A64" s="58"/>
      <c r="C64" s="58"/>
    </row>
    <row r="65" spans="1:3" x14ac:dyDescent="0.25">
      <c r="A65" s="58"/>
      <c r="C65" s="58"/>
    </row>
    <row r="66" spans="1:3" x14ac:dyDescent="0.25">
      <c r="A66" s="58"/>
      <c r="C66" s="58"/>
    </row>
    <row r="67" spans="1:3" x14ac:dyDescent="0.25">
      <c r="A67" s="58"/>
      <c r="C67" s="58"/>
    </row>
    <row r="68" spans="1:3" x14ac:dyDescent="0.25">
      <c r="A68" s="58"/>
      <c r="C68" s="58"/>
    </row>
    <row r="69" spans="1:3" x14ac:dyDescent="0.25">
      <c r="A69" s="58"/>
      <c r="C69" s="58"/>
    </row>
    <row r="70" spans="1:3" x14ac:dyDescent="0.25">
      <c r="A70" s="58"/>
      <c r="C70" s="58"/>
    </row>
    <row r="71" spans="1:3" x14ac:dyDescent="0.25">
      <c r="A71" s="58"/>
      <c r="C71" s="58"/>
    </row>
    <row r="72" spans="1:3" x14ac:dyDescent="0.25">
      <c r="A72" s="58"/>
      <c r="C72" s="58"/>
    </row>
    <row r="73" spans="1:3" x14ac:dyDescent="0.25">
      <c r="A73" s="58"/>
      <c r="C73" s="58"/>
    </row>
    <row r="74" spans="1:3" x14ac:dyDescent="0.25">
      <c r="A74" s="58"/>
      <c r="C74" s="58"/>
    </row>
    <row r="75" spans="1:3" x14ac:dyDescent="0.25">
      <c r="A75" s="58"/>
      <c r="C75" s="58"/>
    </row>
    <row r="76" spans="1:3" x14ac:dyDescent="0.25">
      <c r="A76" s="58"/>
      <c r="C76" s="58"/>
    </row>
    <row r="77" spans="1:3" x14ac:dyDescent="0.25">
      <c r="A77" s="58"/>
      <c r="C77" s="58"/>
    </row>
    <row r="78" spans="1:3" x14ac:dyDescent="0.25">
      <c r="A78" s="58"/>
      <c r="C78" s="58"/>
    </row>
    <row r="79" spans="1:3" x14ac:dyDescent="0.25">
      <c r="A79" s="58"/>
      <c r="C79" s="58"/>
    </row>
    <row r="80" spans="1:3" x14ac:dyDescent="0.25">
      <c r="A80" s="58"/>
      <c r="C80" s="58"/>
    </row>
    <row r="81" spans="1:3" x14ac:dyDescent="0.25">
      <c r="A81" s="58"/>
      <c r="C81" s="58"/>
    </row>
    <row r="82" spans="1:3" x14ac:dyDescent="0.25">
      <c r="A82" s="58"/>
      <c r="C82" s="58"/>
    </row>
    <row r="83" spans="1:3" x14ac:dyDescent="0.25">
      <c r="A83" s="58"/>
      <c r="C83" s="58"/>
    </row>
    <row r="84" spans="1:3" x14ac:dyDescent="0.25">
      <c r="A84" s="58"/>
      <c r="C84" s="58"/>
    </row>
    <row r="85" spans="1:3" x14ac:dyDescent="0.25">
      <c r="A85" s="58"/>
      <c r="C85" s="58"/>
    </row>
    <row r="86" spans="1:3" x14ac:dyDescent="0.25">
      <c r="A86" s="58"/>
      <c r="C86" s="58"/>
    </row>
    <row r="87" spans="1:3" x14ac:dyDescent="0.25">
      <c r="A87" s="58"/>
      <c r="C87" s="58"/>
    </row>
    <row r="88" spans="1:3" x14ac:dyDescent="0.25">
      <c r="A88" s="58"/>
      <c r="C88" s="58"/>
    </row>
    <row r="89" spans="1:3" x14ac:dyDescent="0.25">
      <c r="A89" s="58"/>
      <c r="C89" s="58"/>
    </row>
    <row r="90" spans="1:3" x14ac:dyDescent="0.25">
      <c r="A90" s="58"/>
      <c r="C90" s="58"/>
    </row>
    <row r="91" spans="1:3" x14ac:dyDescent="0.25">
      <c r="A91" s="58"/>
      <c r="C91" s="58"/>
    </row>
    <row r="92" spans="1:3" x14ac:dyDescent="0.25">
      <c r="A92" s="58"/>
      <c r="C92" s="58"/>
    </row>
    <row r="93" spans="1:3" x14ac:dyDescent="0.25">
      <c r="A93" s="58"/>
      <c r="C93" s="58"/>
    </row>
    <row r="94" spans="1:3" x14ac:dyDescent="0.25">
      <c r="A94" s="58"/>
      <c r="C94" s="58"/>
    </row>
    <row r="95" spans="1:3" x14ac:dyDescent="0.25">
      <c r="A95" s="58"/>
      <c r="C95" s="58"/>
    </row>
    <row r="96" spans="1:3" x14ac:dyDescent="0.25">
      <c r="A96" s="58"/>
      <c r="C96" s="58"/>
    </row>
    <row r="97" spans="1:3" x14ac:dyDescent="0.25">
      <c r="A97" s="58"/>
      <c r="C97" s="58"/>
    </row>
    <row r="98" spans="1:3" x14ac:dyDescent="0.25">
      <c r="A98" s="58"/>
      <c r="C98" s="58"/>
    </row>
    <row r="99" spans="1:3" x14ac:dyDescent="0.25">
      <c r="A99" s="58"/>
      <c r="C99" s="58"/>
    </row>
    <row r="100" spans="1:3" x14ac:dyDescent="0.25">
      <c r="A100" s="58"/>
      <c r="C100" s="58"/>
    </row>
    <row r="101" spans="1:3" x14ac:dyDescent="0.25">
      <c r="A101" s="58"/>
      <c r="C101" s="58"/>
    </row>
    <row r="102" spans="1:3" x14ac:dyDescent="0.25">
      <c r="A102" s="58"/>
      <c r="C102" s="58"/>
    </row>
    <row r="103" spans="1:3" x14ac:dyDescent="0.25">
      <c r="A103" s="58"/>
      <c r="C103" s="58"/>
    </row>
    <row r="104" spans="1:3" x14ac:dyDescent="0.25">
      <c r="A104" s="58"/>
      <c r="C104" s="58"/>
    </row>
    <row r="105" spans="1:3" x14ac:dyDescent="0.25">
      <c r="A105" s="58"/>
      <c r="C105" s="58"/>
    </row>
    <row r="106" spans="1:3" x14ac:dyDescent="0.25">
      <c r="A106" s="58"/>
      <c r="C106" s="58"/>
    </row>
    <row r="107" spans="1:3" x14ac:dyDescent="0.25">
      <c r="A107" s="58"/>
      <c r="C107" s="58"/>
    </row>
    <row r="108" spans="1:3" x14ac:dyDescent="0.25">
      <c r="A108" s="58"/>
      <c r="C108" s="58"/>
    </row>
    <row r="109" spans="1:3" x14ac:dyDescent="0.25">
      <c r="A109" s="58"/>
      <c r="C109" s="58"/>
    </row>
    <row r="110" spans="1:3" x14ac:dyDescent="0.25">
      <c r="A110" s="58"/>
      <c r="C110" s="58"/>
    </row>
    <row r="111" spans="1:3" x14ac:dyDescent="0.25">
      <c r="A111" s="58"/>
      <c r="C111" s="58"/>
    </row>
    <row r="112" spans="1:3" x14ac:dyDescent="0.25">
      <c r="A112" s="58"/>
      <c r="C112" s="58"/>
    </row>
    <row r="113" spans="1:3" x14ac:dyDescent="0.25">
      <c r="A113" s="58"/>
      <c r="C113" s="58"/>
    </row>
    <row r="114" spans="1:3" x14ac:dyDescent="0.25">
      <c r="A114" s="58"/>
      <c r="C114" s="58"/>
    </row>
    <row r="115" spans="1:3" x14ac:dyDescent="0.25">
      <c r="A115" s="58"/>
      <c r="C115" s="58"/>
    </row>
    <row r="116" spans="1:3" x14ac:dyDescent="0.25">
      <c r="A116" s="58"/>
      <c r="C116" s="58"/>
    </row>
    <row r="117" spans="1:3" x14ac:dyDescent="0.25">
      <c r="A117" s="58"/>
      <c r="C117" s="58"/>
    </row>
    <row r="118" spans="1:3" x14ac:dyDescent="0.25">
      <c r="A118" s="58"/>
      <c r="C118" s="58"/>
    </row>
    <row r="119" spans="1:3" x14ac:dyDescent="0.25">
      <c r="A119" s="58"/>
      <c r="C119" s="58"/>
    </row>
    <row r="120" spans="1:3" x14ac:dyDescent="0.25">
      <c r="A120" s="58"/>
      <c r="C120" s="58"/>
    </row>
    <row r="121" spans="1:3" x14ac:dyDescent="0.25">
      <c r="A121" s="58"/>
      <c r="C121" s="58"/>
    </row>
    <row r="122" spans="1:3" x14ac:dyDescent="0.25">
      <c r="A122" s="58"/>
      <c r="C122" s="58"/>
    </row>
    <row r="123" spans="1:3" x14ac:dyDescent="0.25">
      <c r="A123" s="58"/>
      <c r="C123" s="58"/>
    </row>
    <row r="124" spans="1:3" x14ac:dyDescent="0.25">
      <c r="A124" s="58"/>
      <c r="C124" s="58"/>
    </row>
    <row r="125" spans="1:3" x14ac:dyDescent="0.25">
      <c r="A125" s="58"/>
      <c r="C125" s="58"/>
    </row>
    <row r="126" spans="1:3" x14ac:dyDescent="0.25">
      <c r="A126" s="58"/>
      <c r="C126" s="58"/>
    </row>
    <row r="127" spans="1:3" x14ac:dyDescent="0.25">
      <c r="A127" s="58"/>
      <c r="C127" s="58"/>
    </row>
    <row r="128" spans="1:3" x14ac:dyDescent="0.25">
      <c r="A128" s="58"/>
      <c r="C128" s="58"/>
    </row>
    <row r="129" spans="1:3" x14ac:dyDescent="0.25">
      <c r="A129" s="58"/>
      <c r="C129" s="58"/>
    </row>
    <row r="130" spans="1:3" x14ac:dyDescent="0.25">
      <c r="A130" s="58"/>
      <c r="C130" s="58"/>
    </row>
    <row r="131" spans="1:3" x14ac:dyDescent="0.25">
      <c r="A131" s="58"/>
      <c r="C131" s="58"/>
    </row>
    <row r="132" spans="1:3" x14ac:dyDescent="0.25">
      <c r="A132" s="58"/>
      <c r="C132" s="58"/>
    </row>
    <row r="133" spans="1:3" x14ac:dyDescent="0.25">
      <c r="A133" s="58"/>
      <c r="C133" s="58"/>
    </row>
    <row r="134" spans="1:3" x14ac:dyDescent="0.25">
      <c r="A134" s="58"/>
      <c r="C134" s="58"/>
    </row>
    <row r="135" spans="1:3" x14ac:dyDescent="0.25">
      <c r="A135" s="58"/>
      <c r="C135" s="58"/>
    </row>
    <row r="136" spans="1:3" x14ac:dyDescent="0.25">
      <c r="A136" s="58"/>
      <c r="C136" s="58"/>
    </row>
    <row r="137" spans="1:3" x14ac:dyDescent="0.25">
      <c r="A137" s="58"/>
      <c r="C137" s="58"/>
    </row>
    <row r="138" spans="1:3" x14ac:dyDescent="0.25">
      <c r="A138" s="58"/>
      <c r="C138" s="58"/>
    </row>
    <row r="139" spans="1:3" x14ac:dyDescent="0.25">
      <c r="A139" s="58"/>
      <c r="C139" s="58"/>
    </row>
    <row r="140" spans="1:3" x14ac:dyDescent="0.25">
      <c r="A140" s="58"/>
      <c r="C140" s="58"/>
    </row>
    <row r="141" spans="1:3" x14ac:dyDescent="0.25">
      <c r="A141" s="58"/>
      <c r="C141" s="58"/>
    </row>
    <row r="142" spans="1:3" x14ac:dyDescent="0.25">
      <c r="A142" s="58"/>
      <c r="C142" s="58"/>
    </row>
    <row r="143" spans="1:3" x14ac:dyDescent="0.25">
      <c r="A143" s="58"/>
      <c r="C143" s="58"/>
    </row>
    <row r="144" spans="1:3" x14ac:dyDescent="0.25">
      <c r="A144" s="58"/>
      <c r="C144" s="58"/>
    </row>
    <row r="145" spans="1:3" x14ac:dyDescent="0.25">
      <c r="A145" s="58"/>
      <c r="C145" s="58"/>
    </row>
    <row r="146" spans="1:3" x14ac:dyDescent="0.25">
      <c r="A146" s="58"/>
      <c r="C146" s="58"/>
    </row>
    <row r="147" spans="1:3" x14ac:dyDescent="0.25">
      <c r="A147" s="58"/>
      <c r="C147" s="58"/>
    </row>
    <row r="148" spans="1:3" x14ac:dyDescent="0.25">
      <c r="A148" s="58"/>
      <c r="C148" s="58"/>
    </row>
    <row r="149" spans="1:3" x14ac:dyDescent="0.25">
      <c r="A149" s="58"/>
      <c r="C149" s="58"/>
    </row>
    <row r="150" spans="1:3" x14ac:dyDescent="0.25">
      <c r="A150" s="58"/>
      <c r="C150" s="58"/>
    </row>
    <row r="151" spans="1:3" x14ac:dyDescent="0.25">
      <c r="A151" s="58"/>
      <c r="C151" s="58"/>
    </row>
    <row r="152" spans="1:3" x14ac:dyDescent="0.25">
      <c r="A152" s="58"/>
      <c r="C152" s="58"/>
    </row>
    <row r="153" spans="1:3" x14ac:dyDescent="0.25">
      <c r="A153" s="58"/>
      <c r="C153" s="58"/>
    </row>
    <row r="154" spans="1:3" x14ac:dyDescent="0.25">
      <c r="A154" s="58"/>
      <c r="C154" s="58"/>
    </row>
    <row r="155" spans="1:3" x14ac:dyDescent="0.25">
      <c r="A155" s="58"/>
      <c r="C155" s="58"/>
    </row>
    <row r="156" spans="1:3" x14ac:dyDescent="0.25">
      <c r="A156" s="58"/>
      <c r="C156" s="58"/>
    </row>
    <row r="157" spans="1:3" x14ac:dyDescent="0.25">
      <c r="A157" s="58"/>
      <c r="C157" s="58"/>
    </row>
    <row r="158" spans="1:3" x14ac:dyDescent="0.25">
      <c r="A158" s="58"/>
      <c r="C158" s="58"/>
    </row>
    <row r="159" spans="1:3" x14ac:dyDescent="0.25">
      <c r="A159" s="58"/>
      <c r="C159" s="58"/>
    </row>
    <row r="160" spans="1:3" x14ac:dyDescent="0.25">
      <c r="A160" s="58"/>
      <c r="C160" s="58"/>
    </row>
    <row r="161" spans="1:3" x14ac:dyDescent="0.25">
      <c r="A161" s="58"/>
      <c r="C161" s="58"/>
    </row>
    <row r="162" spans="1:3" x14ac:dyDescent="0.25">
      <c r="A162" s="58"/>
      <c r="C162" s="58"/>
    </row>
    <row r="163" spans="1:3" x14ac:dyDescent="0.25">
      <c r="A163" s="58"/>
      <c r="C163" s="58"/>
    </row>
    <row r="164" spans="1:3" x14ac:dyDescent="0.25">
      <c r="A164" s="58"/>
      <c r="C164" s="58"/>
    </row>
    <row r="165" spans="1:3" x14ac:dyDescent="0.25">
      <c r="A165" s="58"/>
      <c r="C165" s="58"/>
    </row>
    <row r="166" spans="1:3" x14ac:dyDescent="0.25">
      <c r="A166" s="58"/>
      <c r="C166" s="58"/>
    </row>
    <row r="167" spans="1:3" x14ac:dyDescent="0.25">
      <c r="A167" s="58"/>
      <c r="C167" s="58"/>
    </row>
    <row r="168" spans="1:3" x14ac:dyDescent="0.25">
      <c r="A168" s="58"/>
      <c r="C168" s="58"/>
    </row>
    <row r="169" spans="1:3" x14ac:dyDescent="0.25">
      <c r="A169" s="58"/>
      <c r="C169" s="58"/>
    </row>
    <row r="170" spans="1:3" x14ac:dyDescent="0.25">
      <c r="A170" s="58"/>
      <c r="C170" s="58"/>
    </row>
    <row r="171" spans="1:3" x14ac:dyDescent="0.25">
      <c r="A171" s="58"/>
      <c r="C171" s="58"/>
    </row>
    <row r="172" spans="1:3" x14ac:dyDescent="0.25">
      <c r="A172" s="58"/>
      <c r="C172" s="58"/>
    </row>
    <row r="173" spans="1:3" x14ac:dyDescent="0.25">
      <c r="A173" s="58"/>
      <c r="C173" s="58"/>
    </row>
    <row r="174" spans="1:3" x14ac:dyDescent="0.25">
      <c r="A174" s="58"/>
      <c r="C174" s="58"/>
    </row>
    <row r="175" spans="1:3" x14ac:dyDescent="0.25">
      <c r="A175" s="58"/>
      <c r="C175" s="58"/>
    </row>
    <row r="176" spans="1:3" x14ac:dyDescent="0.25">
      <c r="A176" s="58"/>
      <c r="C176" s="58"/>
    </row>
    <row r="177" spans="1:3" x14ac:dyDescent="0.25">
      <c r="A177" s="58"/>
      <c r="C177" s="58"/>
    </row>
    <row r="178" spans="1:3" x14ac:dyDescent="0.25">
      <c r="A178" s="58"/>
      <c r="C178" s="58"/>
    </row>
    <row r="179" spans="1:3" x14ac:dyDescent="0.25">
      <c r="A179" s="58"/>
      <c r="C179" s="58"/>
    </row>
    <row r="180" spans="1:3" x14ac:dyDescent="0.25">
      <c r="A180" s="58"/>
      <c r="C180" s="58"/>
    </row>
    <row r="181" spans="1:3" x14ac:dyDescent="0.25">
      <c r="A181" s="58"/>
      <c r="C181" s="58"/>
    </row>
    <row r="182" spans="1:3" x14ac:dyDescent="0.25">
      <c r="A182" s="58"/>
      <c r="C182" s="58"/>
    </row>
    <row r="183" spans="1:3" x14ac:dyDescent="0.25">
      <c r="A183" s="58"/>
      <c r="C183" s="58"/>
    </row>
    <row r="184" spans="1:3" x14ac:dyDescent="0.25">
      <c r="A184" s="58"/>
      <c r="C184" s="58"/>
    </row>
    <row r="185" spans="1:3" x14ac:dyDescent="0.25">
      <c r="A185" s="58"/>
      <c r="C185" s="58"/>
    </row>
    <row r="186" spans="1:3" x14ac:dyDescent="0.25">
      <c r="A186" s="58"/>
      <c r="C186" s="58"/>
    </row>
    <row r="187" spans="1:3" x14ac:dyDescent="0.25">
      <c r="A187" s="58"/>
      <c r="C187" s="58"/>
    </row>
    <row r="188" spans="1:3" x14ac:dyDescent="0.25">
      <c r="A188" s="58"/>
      <c r="C188" s="58"/>
    </row>
    <row r="189" spans="1:3" x14ac:dyDescent="0.25">
      <c r="A189" s="58"/>
      <c r="C189" s="58"/>
    </row>
    <row r="190" spans="1:3" x14ac:dyDescent="0.25">
      <c r="A190" s="58"/>
      <c r="C190" s="58"/>
    </row>
    <row r="191" spans="1:3" x14ac:dyDescent="0.25">
      <c r="A191" s="58"/>
      <c r="C191" s="58"/>
    </row>
    <row r="192" spans="1:3" x14ac:dyDescent="0.25">
      <c r="A192" s="58"/>
      <c r="C192" s="58"/>
    </row>
    <row r="193" spans="1:3" x14ac:dyDescent="0.25">
      <c r="A193" s="58"/>
      <c r="C193" s="58"/>
    </row>
    <row r="194" spans="1:3" x14ac:dyDescent="0.25">
      <c r="A194" s="58"/>
      <c r="C194" s="58"/>
    </row>
    <row r="195" spans="1:3" x14ac:dyDescent="0.25">
      <c r="A195" s="58"/>
      <c r="C195" s="58"/>
    </row>
    <row r="196" spans="1:3" x14ac:dyDescent="0.25">
      <c r="A196" s="58"/>
      <c r="C196" s="58"/>
    </row>
    <row r="197" spans="1:3" x14ac:dyDescent="0.25">
      <c r="A197" s="58"/>
      <c r="C197" s="58"/>
    </row>
    <row r="198" spans="1:3" x14ac:dyDescent="0.25">
      <c r="A198" s="58"/>
      <c r="C198" s="58"/>
    </row>
    <row r="199" spans="1:3" x14ac:dyDescent="0.25">
      <c r="A199" s="58"/>
      <c r="C199" s="58"/>
    </row>
    <row r="200" spans="1:3" x14ac:dyDescent="0.25">
      <c r="A200" s="58"/>
      <c r="C200" s="58"/>
    </row>
    <row r="201" spans="1:3" x14ac:dyDescent="0.25">
      <c r="A201" s="58"/>
      <c r="C201" s="58"/>
    </row>
    <row r="202" spans="1:3" x14ac:dyDescent="0.25">
      <c r="A202" s="58"/>
      <c r="C202" s="58"/>
    </row>
    <row r="203" spans="1:3" x14ac:dyDescent="0.25">
      <c r="A203" s="58"/>
      <c r="C203" s="58"/>
    </row>
    <row r="204" spans="1:3" x14ac:dyDescent="0.25">
      <c r="A204" s="58"/>
      <c r="C204" s="58"/>
    </row>
    <row r="205" spans="1:3" x14ac:dyDescent="0.25">
      <c r="A205" s="58"/>
      <c r="C205" s="58"/>
    </row>
    <row r="206" spans="1:3" x14ac:dyDescent="0.25">
      <c r="A206" s="58"/>
      <c r="C206" s="58"/>
    </row>
    <row r="207" spans="1:3" x14ac:dyDescent="0.25">
      <c r="A207" s="58"/>
      <c r="C207" s="58"/>
    </row>
    <row r="208" spans="1:3" x14ac:dyDescent="0.25">
      <c r="A208" s="58"/>
      <c r="C208" s="58"/>
    </row>
    <row r="209" spans="1:3" x14ac:dyDescent="0.25">
      <c r="A209" s="58"/>
      <c r="C209" s="58"/>
    </row>
    <row r="210" spans="1:3" x14ac:dyDescent="0.25">
      <c r="A210" s="58"/>
      <c r="C210" s="58"/>
    </row>
    <row r="211" spans="1:3" x14ac:dyDescent="0.25">
      <c r="A211" s="58"/>
      <c r="C211" s="58"/>
    </row>
    <row r="212" spans="1:3" x14ac:dyDescent="0.25">
      <c r="A212" s="58"/>
      <c r="C212" s="58"/>
    </row>
    <row r="213" spans="1:3" x14ac:dyDescent="0.25">
      <c r="A213" s="58"/>
      <c r="C213" s="58"/>
    </row>
    <row r="214" spans="1:3" x14ac:dyDescent="0.25">
      <c r="A214" s="58"/>
      <c r="C214" s="58"/>
    </row>
    <row r="215" spans="1:3" x14ac:dyDescent="0.25">
      <c r="A215" s="58"/>
      <c r="C215" s="58"/>
    </row>
    <row r="216" spans="1:3" x14ac:dyDescent="0.25">
      <c r="A216" s="58"/>
      <c r="C216" s="58"/>
    </row>
    <row r="217" spans="1:3" x14ac:dyDescent="0.25">
      <c r="A217" s="58"/>
      <c r="C217" s="58"/>
    </row>
    <row r="218" spans="1:3" x14ac:dyDescent="0.25">
      <c r="A218" s="58"/>
      <c r="C218" s="58"/>
    </row>
    <row r="219" spans="1:3" x14ac:dyDescent="0.25">
      <c r="A219" s="58"/>
      <c r="C219" s="58"/>
    </row>
    <row r="220" spans="1:3" x14ac:dyDescent="0.25">
      <c r="A220" s="58"/>
      <c r="C220" s="58"/>
    </row>
    <row r="221" spans="1:3" x14ac:dyDescent="0.25">
      <c r="A221" s="58"/>
      <c r="C221" s="58"/>
    </row>
    <row r="222" spans="1:3" x14ac:dyDescent="0.25">
      <c r="A222" s="58"/>
      <c r="C222" s="58"/>
    </row>
    <row r="223" spans="1:3" x14ac:dyDescent="0.25">
      <c r="A223" s="58"/>
      <c r="C223" s="58"/>
    </row>
    <row r="224" spans="1:3" x14ac:dyDescent="0.25">
      <c r="A224" s="58"/>
      <c r="C224" s="58"/>
    </row>
    <row r="225" spans="1:3" x14ac:dyDescent="0.25">
      <c r="A225" s="58"/>
      <c r="C225" s="58"/>
    </row>
    <row r="226" spans="1:3" x14ac:dyDescent="0.25">
      <c r="A226" s="58"/>
      <c r="C226" s="58"/>
    </row>
    <row r="227" spans="1:3" x14ac:dyDescent="0.25">
      <c r="A227" s="58"/>
      <c r="C227" s="58"/>
    </row>
    <row r="228" spans="1:3" x14ac:dyDescent="0.25">
      <c r="A228" s="58"/>
      <c r="C228" s="58"/>
    </row>
    <row r="229" spans="1:3" x14ac:dyDescent="0.25">
      <c r="A229" s="58"/>
      <c r="C229" s="58"/>
    </row>
    <row r="230" spans="1:3" x14ac:dyDescent="0.25">
      <c r="A230" s="58"/>
      <c r="C230" s="58"/>
    </row>
    <row r="231" spans="1:3" x14ac:dyDescent="0.25">
      <c r="A231" s="58"/>
      <c r="C231" s="58"/>
    </row>
    <row r="232" spans="1:3" x14ac:dyDescent="0.25">
      <c r="A232" s="58"/>
      <c r="C232" s="58"/>
    </row>
    <row r="233" spans="1:3" x14ac:dyDescent="0.25">
      <c r="A233" s="58"/>
      <c r="C233" s="58"/>
    </row>
    <row r="234" spans="1:3" x14ac:dyDescent="0.25">
      <c r="A234" s="58"/>
      <c r="C234" s="58"/>
    </row>
    <row r="235" spans="1:3" x14ac:dyDescent="0.25">
      <c r="A235" s="58"/>
      <c r="C235" s="58"/>
    </row>
    <row r="236" spans="1:3" x14ac:dyDescent="0.25">
      <c r="A236" s="58"/>
      <c r="C236" s="58"/>
    </row>
    <row r="237" spans="1:3" x14ac:dyDescent="0.25">
      <c r="A237" s="58"/>
      <c r="C237" s="58"/>
    </row>
    <row r="238" spans="1:3" x14ac:dyDescent="0.25">
      <c r="A238" s="58"/>
      <c r="C238" s="58"/>
    </row>
    <row r="239" spans="1:3" x14ac:dyDescent="0.25">
      <c r="A239" s="58"/>
      <c r="C239" s="58"/>
    </row>
    <row r="240" spans="1:3" x14ac:dyDescent="0.25">
      <c r="A240" s="58"/>
      <c r="C240" s="58"/>
    </row>
    <row r="241" spans="1:3" x14ac:dyDescent="0.25">
      <c r="A241" s="58"/>
      <c r="C241" s="58"/>
    </row>
    <row r="242" spans="1:3" x14ac:dyDescent="0.25">
      <c r="A242" s="58"/>
      <c r="C242" s="58"/>
    </row>
    <row r="243" spans="1:3" x14ac:dyDescent="0.25">
      <c r="A243" s="58"/>
      <c r="C243" s="58"/>
    </row>
    <row r="244" spans="1:3" x14ac:dyDescent="0.25">
      <c r="A244" s="58"/>
      <c r="C244" s="58"/>
    </row>
    <row r="245" spans="1:3" x14ac:dyDescent="0.25">
      <c r="A245" s="58"/>
      <c r="C245" s="58"/>
    </row>
    <row r="246" spans="1:3" x14ac:dyDescent="0.25">
      <c r="A246" s="58"/>
      <c r="C246" s="58"/>
    </row>
    <row r="247" spans="1:3" x14ac:dyDescent="0.25">
      <c r="A247" s="58"/>
      <c r="C247" s="58"/>
    </row>
    <row r="248" spans="1:3" x14ac:dyDescent="0.25">
      <c r="A248" s="58"/>
      <c r="C248" s="58"/>
    </row>
    <row r="249" spans="1:3" x14ac:dyDescent="0.25">
      <c r="A249" s="58"/>
      <c r="C249" s="58"/>
    </row>
    <row r="250" spans="1:3" x14ac:dyDescent="0.25">
      <c r="A250" s="58"/>
      <c r="C250" s="58"/>
    </row>
    <row r="251" spans="1:3" x14ac:dyDescent="0.25">
      <c r="A251" s="58"/>
      <c r="C251" s="58"/>
    </row>
    <row r="252" spans="1:3" x14ac:dyDescent="0.25">
      <c r="A252" s="58"/>
      <c r="C252" s="58"/>
    </row>
    <row r="253" spans="1:3" x14ac:dyDescent="0.25">
      <c r="A253" s="58"/>
      <c r="C253" s="58"/>
    </row>
    <row r="254" spans="1:3" x14ac:dyDescent="0.25">
      <c r="A254" s="58"/>
      <c r="C254" s="58"/>
    </row>
    <row r="255" spans="1:3" x14ac:dyDescent="0.25">
      <c r="A255" s="58"/>
      <c r="C255" s="58"/>
    </row>
    <row r="256" spans="1:3" x14ac:dyDescent="0.25">
      <c r="A256" s="58"/>
      <c r="C256" s="58"/>
    </row>
    <row r="257" spans="1:3" x14ac:dyDescent="0.25">
      <c r="A257" s="58"/>
      <c r="C257" s="58"/>
    </row>
    <row r="258" spans="1:3" x14ac:dyDescent="0.25">
      <c r="A258" s="58"/>
      <c r="C258" s="58"/>
    </row>
    <row r="259" spans="1:3" x14ac:dyDescent="0.25">
      <c r="A259" s="58"/>
      <c r="C259" s="58"/>
    </row>
    <row r="260" spans="1:3" x14ac:dyDescent="0.25">
      <c r="A260" s="58"/>
      <c r="C260" s="58"/>
    </row>
    <row r="261" spans="1:3" x14ac:dyDescent="0.25">
      <c r="A261" s="58"/>
      <c r="C261" s="5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ShipmentOverview</vt:lpstr>
      <vt:lpstr>ShipmentPerClient</vt:lpstr>
      <vt:lpstr>ShipmentPerFactory</vt:lpstr>
      <vt:lpstr>Data1</vt:lpstr>
      <vt:lpstr>Data2</vt:lpstr>
      <vt:lpstr>Tmp</vt:lpstr>
      <vt:lpstr>Tmp!Extract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2017-02-16T07:38:55Z</dcterms:modified>
</cp:coreProperties>
</file>