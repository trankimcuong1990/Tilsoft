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15090" windowHeight="5355" tabRatio="801"/>
  </bookViews>
  <sheets>
    <sheet name="StockOverview" sheetId="2" r:id="rId1"/>
    <sheet name="Physical Stock By Location" sheetId="7" state="hidden" r:id="rId2"/>
    <sheet name="Reservation" sheetId="3" r:id="rId3"/>
    <sheet name="Client" sheetId="4" r:id="rId4"/>
    <sheet name="ReservationData" sheetId="5" r:id="rId5"/>
    <sheet name="Sales Daily Report" sheetId="9" r:id="rId6"/>
    <sheet name="DailyInMonth" sheetId="10" state="hidden" r:id="rId7"/>
    <sheet name="Imported" sheetId="11" state="hidden" r:id="rId8"/>
    <sheet name="Picked" sheetId="12" state="hidden" r:id="rId9"/>
    <sheet name="ParamTable" sheetId="8" state="hidden" r:id="rId10"/>
  </sheets>
  <functionGroups builtInGroupCount="18"/>
  <definedNames>
    <definedName name="_xlnm._FilterDatabase" localSheetId="5" hidden="1">'Sales Daily Report'!$B$10:$P$10</definedName>
    <definedName name="_xlnm.Print_Area" localSheetId="5">'Sales Daily Report'!$A$1:$AR$12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AR11" i="9" l="1"/>
  <c r="AK11" i="9"/>
  <c r="AD11" i="9"/>
  <c r="W11" i="9"/>
  <c r="P11" i="9"/>
  <c r="AN7" i="9" l="1"/>
  <c r="AO7" i="9"/>
  <c r="AP7" i="9"/>
  <c r="AQ7" i="9"/>
  <c r="AM7" i="9"/>
  <c r="AG7" i="9"/>
  <c r="AH7" i="9"/>
  <c r="AI7" i="9"/>
  <c r="AJ7" i="9"/>
  <c r="AF7" i="9"/>
  <c r="Z7" i="9"/>
  <c r="AA7" i="9"/>
  <c r="AB7" i="9"/>
  <c r="AC7" i="9"/>
  <c r="Y7" i="9"/>
  <c r="S7" i="9"/>
  <c r="T7" i="9"/>
  <c r="U7" i="9"/>
  <c r="V7" i="9"/>
  <c r="R7" i="9"/>
  <c r="L7" i="9"/>
  <c r="M7" i="9"/>
  <c r="N7" i="9"/>
  <c r="O7" i="9"/>
  <c r="K7" i="9"/>
  <c r="Q9" i="9" l="1"/>
  <c r="X9" i="9"/>
  <c r="AE9" i="9"/>
  <c r="AL9" i="9"/>
  <c r="Q8" i="9"/>
  <c r="X8" i="9"/>
  <c r="AE8" i="9"/>
  <c r="AL8" i="9"/>
  <c r="W8" i="9" l="1"/>
  <c r="W9" i="9"/>
  <c r="AD8" i="9"/>
  <c r="AD9" i="9"/>
  <c r="P9" i="9"/>
  <c r="P8" i="9"/>
  <c r="AK9" i="9"/>
  <c r="AK8" i="9"/>
  <c r="AR9" i="9"/>
  <c r="AR8" i="9"/>
  <c r="Q11" i="9"/>
  <c r="X11" i="9"/>
  <c r="AE11" i="9"/>
  <c r="AL11" i="9"/>
  <c r="AN11" i="9" l="1"/>
  <c r="AO11" i="9"/>
  <c r="AP11" i="9"/>
  <c r="AQ11" i="9"/>
  <c r="AM11" i="9"/>
  <c r="AG11" i="9"/>
  <c r="AH11" i="9"/>
  <c r="AI11" i="9"/>
  <c r="AJ11" i="9"/>
  <c r="AF11" i="9"/>
  <c r="Z11" i="9"/>
  <c r="AA11" i="9"/>
  <c r="AB11" i="9"/>
  <c r="AC11" i="9"/>
  <c r="Y11" i="9"/>
  <c r="S11" i="9"/>
  <c r="T11" i="9"/>
  <c r="U11" i="9"/>
  <c r="V11" i="9"/>
  <c r="R11" i="9"/>
  <c r="L11" i="9"/>
  <c r="M11" i="9"/>
  <c r="N11" i="9"/>
  <c r="O11" i="9"/>
  <c r="K11" i="9"/>
  <c r="AP9" i="9" l="1"/>
  <c r="AP8" i="9"/>
  <c r="AQ8" i="9"/>
  <c r="AQ9" i="9"/>
  <c r="AO9" i="9"/>
  <c r="AO8" i="9"/>
  <c r="AN9" i="9"/>
  <c r="AN8" i="9"/>
  <c r="AM9" i="9"/>
  <c r="AM8" i="9"/>
  <c r="AI9" i="9"/>
  <c r="AI8" i="9"/>
  <c r="AG9" i="9"/>
  <c r="AG8" i="9"/>
  <c r="AH8" i="9"/>
  <c r="AH9" i="9"/>
  <c r="AJ9" i="9"/>
  <c r="AJ8" i="9"/>
  <c r="AF9" i="9"/>
  <c r="AF8" i="9"/>
  <c r="AB9" i="9"/>
  <c r="AB8" i="9"/>
  <c r="Z9" i="9"/>
  <c r="Z8" i="9"/>
  <c r="AC8" i="9"/>
  <c r="AC9" i="9"/>
  <c r="AA9" i="9"/>
  <c r="AA8" i="9"/>
  <c r="Y8" i="9"/>
  <c r="Y9" i="9"/>
  <c r="S9" i="9"/>
  <c r="S8" i="9"/>
  <c r="V9" i="9"/>
  <c r="V8" i="9"/>
  <c r="U8" i="9"/>
  <c r="U9" i="9"/>
  <c r="T8" i="9"/>
  <c r="T9" i="9"/>
  <c r="R9" i="9"/>
  <c r="R8" i="9"/>
  <c r="O9" i="9"/>
  <c r="O8" i="9"/>
  <c r="N9" i="9"/>
  <c r="N8" i="9"/>
  <c r="M9" i="9"/>
  <c r="M8" i="9"/>
  <c r="L8" i="9"/>
  <c r="L9" i="9"/>
  <c r="H11" i="9"/>
  <c r="K9" i="9"/>
  <c r="K8" i="9"/>
  <c r="L5" i="2"/>
  <c r="L4" i="2"/>
  <c r="H9" i="9" l="1"/>
  <c r="H8" i="9"/>
  <c r="I11" i="9"/>
  <c r="H7" i="2"/>
  <c r="I8" i="9" l="1"/>
  <c r="I9" i="9"/>
  <c r="K9" i="3"/>
  <c r="Y7" i="2" l="1"/>
  <c r="Z7" i="2" s="1"/>
  <c r="W7" i="2"/>
  <c r="Z5" i="2" l="1"/>
  <c r="Y2" i="2" s="1"/>
  <c r="Z4" i="2"/>
  <c r="Y1" i="2" s="1"/>
  <c r="W4" i="2"/>
  <c r="W5" i="2"/>
  <c r="Y4" i="2"/>
  <c r="Y5" i="2"/>
  <c r="X7" i="2"/>
  <c r="V7" i="2"/>
  <c r="T7" i="2"/>
  <c r="T4" i="2" s="1"/>
  <c r="S1" i="2" s="1"/>
  <c r="R7" i="2"/>
  <c r="R5" i="2" s="1"/>
  <c r="Q2" i="2" s="1"/>
  <c r="P7" i="2"/>
  <c r="P4" i="2" s="1"/>
  <c r="O1" i="2" s="1"/>
  <c r="X5" i="2" l="1"/>
  <c r="W2" i="2" s="1"/>
  <c r="X4" i="2"/>
  <c r="W1" i="2" s="1"/>
  <c r="V5" i="2"/>
  <c r="U2" i="2" s="1"/>
  <c r="V4" i="2"/>
  <c r="U1" i="2" s="1"/>
  <c r="T5" i="2"/>
  <c r="S2" i="2" s="1"/>
  <c r="R4" i="2"/>
  <c r="Q1" i="2" s="1"/>
  <c r="P5" i="2"/>
  <c r="O2" i="2" s="1"/>
  <c r="K7" i="3"/>
  <c r="J7" i="3"/>
  <c r="K6" i="3"/>
  <c r="J6" i="3"/>
  <c r="G1" i="3" l="1"/>
  <c r="G5" i="2" l="1"/>
  <c r="H5" i="2"/>
  <c r="O5" i="2"/>
  <c r="Q5" i="2"/>
  <c r="S5" i="2"/>
  <c r="U5" i="2"/>
  <c r="G4" i="2"/>
  <c r="H4" i="2"/>
  <c r="O4" i="2"/>
  <c r="Q4" i="2"/>
  <c r="S4" i="2"/>
  <c r="U4" i="2"/>
  <c r="D1" i="2"/>
</calcChain>
</file>

<file path=xl/sharedStrings.xml><?xml version="1.0" encoding="utf-8"?>
<sst xmlns="http://schemas.openxmlformats.org/spreadsheetml/2006/main" count="235" uniqueCount="130">
  <si>
    <t>Barcode</t>
  </si>
  <si>
    <t>Picture</t>
  </si>
  <si>
    <t>Art.Code</t>
  </si>
  <si>
    <t>Description</t>
  </si>
  <si>
    <t>Load 40HC</t>
  </si>
  <si>
    <t>Report date</t>
  </si>
  <si>
    <t>Pro Status</t>
  </si>
  <si>
    <t>ns1:ProductStatusNM</t>
  </si>
  <si>
    <t>ns1:BarCode</t>
  </si>
  <si>
    <t>ns1:ImageFile</t>
  </si>
  <si>
    <t>ns1:ArticleCode</t>
  </si>
  <si>
    <t>ns1:Description</t>
  </si>
  <si>
    <t>ns1:Qnt40HC</t>
  </si>
  <si>
    <t>ns1:PhysicalQnt</t>
  </si>
  <si>
    <t>ns1:PhysicalQntIn40HC</t>
  </si>
  <si>
    <t>ns1:OnSeaQnt</t>
  </si>
  <si>
    <t>ns1:TobeShippedQnt</t>
  </si>
  <si>
    <t>ns1:ReservationQnt</t>
  </si>
  <si>
    <t>ns1:FTSQnt</t>
  </si>
  <si>
    <t>Physical Qnt</t>
  </si>
  <si>
    <t>Physical Qnt In 40HC</t>
  </si>
  <si>
    <t>On Sea Qnt</t>
  </si>
  <si>
    <t>To Be Shipped Qnt</t>
  </si>
  <si>
    <t>Reservation Qnt</t>
  </si>
  <si>
    <t>ns1:ClientID</t>
  </si>
  <si>
    <t>ns1:ClientUD</t>
  </si>
  <si>
    <t>ns1:ClientNM</t>
  </si>
  <si>
    <t>ns1:KeyID</t>
  </si>
  <si>
    <t>ns1:ReservationQntIn40HC</t>
  </si>
  <si>
    <t xml:space="preserve">Qnt Reservation </t>
  </si>
  <si>
    <t>Reservation  40HC</t>
  </si>
  <si>
    <t>RESERVATION</t>
  </si>
  <si>
    <t>ProductStatusID</t>
  </si>
  <si>
    <t>ns1:ProductStatusID</t>
  </si>
  <si>
    <t>ns1:ProductID</t>
  </si>
  <si>
    <t>Total</t>
  </si>
  <si>
    <t>Sub Total</t>
  </si>
  <si>
    <t>Column1</t>
  </si>
  <si>
    <t>Column2</t>
  </si>
  <si>
    <t>Client Code</t>
  </si>
  <si>
    <t>Column3</t>
  </si>
  <si>
    <t>Column5</t>
  </si>
  <si>
    <t>Total Cont</t>
  </si>
  <si>
    <t>Sub Total Cont</t>
  </si>
  <si>
    <t>FTS Qnt Physical Stock</t>
  </si>
  <si>
    <t>Column6</t>
  </si>
  <si>
    <t>Column7</t>
  </si>
  <si>
    <t>Column62</t>
  </si>
  <si>
    <t>Column8</t>
  </si>
  <si>
    <t>FTS Qnt Physical Stock + OnSea + TBS</t>
  </si>
  <si>
    <t>FTS Qnt Physical Stock + OnSea</t>
  </si>
  <si>
    <t>GoodsID</t>
  </si>
  <si>
    <t>STOCK OVERVIEW</t>
  </si>
  <si>
    <t>Column4</t>
  </si>
  <si>
    <t>Column9</t>
  </si>
  <si>
    <t>Column10</t>
  </si>
  <si>
    <t>Column11</t>
  </si>
  <si>
    <t>STOCK</t>
  </si>
  <si>
    <t>USD RATE:</t>
  </si>
  <si>
    <t>Total Stock Value In EURO</t>
  </si>
  <si>
    <t>Stock Value In EURO</t>
  </si>
  <si>
    <t>Purchase FOB Price</t>
  </si>
  <si>
    <t>Transport 2500 EURO</t>
  </si>
  <si>
    <t>Column82</t>
  </si>
  <si>
    <t>Sale Price In Euro ( Ex -Warehouse Tilburg)</t>
  </si>
  <si>
    <t>Column823</t>
  </si>
  <si>
    <t>Column14</t>
  </si>
  <si>
    <t>Column15</t>
  </si>
  <si>
    <t>Storage Location</t>
  </si>
  <si>
    <t>Location</t>
  </si>
  <si>
    <t>Qnt</t>
  </si>
  <si>
    <t>ns1:WarehouseAreaUD</t>
  </si>
  <si>
    <t>ArticleCode</t>
  </si>
  <si>
    <t>Product Status</t>
  </si>
  <si>
    <t>KeyID</t>
  </si>
  <si>
    <t>Physical 
Qnt</t>
  </si>
  <si>
    <t>ns1:Season</t>
  </si>
  <si>
    <t>ns1:IsIncludeImage</t>
  </si>
  <si>
    <t>Sales (=Out)</t>
  </si>
  <si>
    <t>Out Qnt</t>
  </si>
  <si>
    <t>In Qnt</t>
  </si>
  <si>
    <t>Week</t>
  </si>
  <si>
    <t>Week 1</t>
  </si>
  <si>
    <t>Week 2</t>
  </si>
  <si>
    <t>Week 3</t>
  </si>
  <si>
    <t>Week 4</t>
  </si>
  <si>
    <t>Week 5</t>
  </si>
  <si>
    <t>Wed</t>
  </si>
  <si>
    <t>Mon</t>
  </si>
  <si>
    <t>Tue</t>
  </si>
  <si>
    <t>Thu</t>
  </si>
  <si>
    <t>Fri</t>
  </si>
  <si>
    <t>ns1:DateInMonth</t>
  </si>
  <si>
    <t>ns1:DateNameInWeekByNumber</t>
  </si>
  <si>
    <t>ns1:DateNameInWeekByText</t>
  </si>
  <si>
    <t>ns1:WeekOfMonth</t>
  </si>
  <si>
    <t>ns1:WeekOfYear</t>
  </si>
  <si>
    <t>ns1:FullKeyID</t>
  </si>
  <si>
    <t>ns1:GoodsID</t>
  </si>
  <si>
    <t>ns1:ProductType</t>
  </si>
  <si>
    <t>ns1:ImportedQnt</t>
  </si>
  <si>
    <t>ns1:CMRDate</t>
  </si>
  <si>
    <t>ns1:PickedQnt</t>
  </si>
  <si>
    <t>Column12</t>
  </si>
  <si>
    <t>Column13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</si>
  <si>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</si>
  <si>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</si>
  <si>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</si>
  <si>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</si>
  <si>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</si>
  <si>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</si>
  <si>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</si>
  <si>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</si>
  <si>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</si>
  <si>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</si>
  <si>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</si>
  <si>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</si>
  <si>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</si>
  <si>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</si>
  <si>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</si>
  <si>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</si>
  <si>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</si>
  <si>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</si>
  <si>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</si>
  <si>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</si>
  <si>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ns1:ImportedMonth</t>
  </si>
  <si>
    <t>ns1:Out</t>
  </si>
  <si>
    <t>ns1:OutIn40HC</t>
  </si>
  <si>
    <t>ns1:Month</t>
  </si>
  <si>
    <t>ns1:IsIncludeDailyImageProduct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</si>
</sst>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₫_-;\-* #,##0.00\ _₫_-;_-* &quot;-&quot;??\ _₫_-;_-@_-"/>
    <numFmt numFmtId="164" formatCode="_-* #,##0\ _₫_-;\-* #,##0\ _₫_-;_-* &quot;-&quot;??\ _₫_-;_-@_-"/>
    <numFmt numFmtId="165" formatCode="_ [$€-413]\ * #,##0_ ;_ [$€-413]\ * \-#,##0_ ;_ [$€-413]\ * &quot;-&quot;_ ;_ @_ "/>
    <numFmt numFmtId="166" formatCode="_ [$€-413]\ * #,##0.00_ ;_ [$€-413]\ * \-#,##0.00_ ;_ [$€-413]\ * &quot;-&quot;??_ ;_ @_ "/>
    <numFmt numFmtId="167" formatCode="_-[$$-409]* #,##0.00_ ;_-[$$-409]* \-#,##0.00\ ;_-[$$-409]* &quot;-&quot;??_ ;_-@_ "/>
    <numFmt numFmtId="168" formatCode="[$-1010000]d/m/yy;@"/>
    <numFmt numFmtId="169" formatCode="dd/mm/yy"/>
  </numFmts>
  <fonts count="13"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i/>
      <sz val="9"/>
      <color theme="1"/>
      <name val="Calibri"/>
      <family val="2"/>
      <charset val="163"/>
      <scheme val="minor"/>
    </font>
    <font>
      <i/>
      <sz val="9"/>
      <color theme="1"/>
      <name val="Calibri"/>
      <family val="2"/>
      <scheme val="minor"/>
    </font>
    <font>
      <b/>
      <sz val="10"/>
      <color theme="1"/>
      <name val="Calibri"/>
      <family val="2"/>
      <charset val="163"/>
      <scheme val="minor"/>
    </font>
    <font>
      <b/>
      <sz val="15"/>
      <color rgb="FFFF0000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charset val="163"/>
      <scheme val="minor"/>
    </font>
    <font>
      <sz val="24"/>
      <color theme="1"/>
      <name val="Code 128"/>
    </font>
    <font>
      <b/>
      <sz val="11"/>
      <color theme="1"/>
      <name val="Calibri"/>
      <family val="2"/>
      <charset val="163"/>
      <scheme val="minor"/>
    </font>
    <font>
      <sz val="11"/>
      <color theme="0"/>
      <name val="Calibri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55">
    <xf numFmtId="0" fontId="0" fillId="0" borderId="0" xfId="0"/>
    <xf numFmtId="14" fontId="3" fillId="0" borderId="0" xfId="0" applyNumberFormat="1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5" fillId="0" borderId="0" xfId="0" applyFont="1"/>
    <xf numFmtId="0" fontId="2" fillId="0" borderId="0" xfId="0" applyFont="1" applyAlignment="1">
      <alignment vertical="center"/>
    </xf>
    <xf numFmtId="49" fontId="0" fillId="0" borderId="0" xfId="0" applyNumberFormat="1"/>
    <xf numFmtId="0" fontId="6" fillId="0" borderId="0" xfId="0" applyFont="1" applyAlignment="1">
      <alignment horizontal="center" vertical="center"/>
    </xf>
    <xf numFmtId="0" fontId="0" fillId="0" borderId="1" xfId="0" applyBorder="1"/>
    <xf numFmtId="49" fontId="0" fillId="0" borderId="1" xfId="0" applyNumberFormat="1" applyBorder="1"/>
    <xf numFmtId="0" fontId="4" fillId="4" borderId="1" xfId="0" applyFont="1" applyFill="1" applyBorder="1" applyAlignment="1">
      <alignment horizontal="center" vertical="center" wrapText="1"/>
    </xf>
    <xf numFmtId="0" fontId="1" fillId="0" borderId="1" xfId="0" applyFont="1" applyBorder="1"/>
    <xf numFmtId="0" fontId="4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4" fontId="4" fillId="6" borderId="1" xfId="0" applyNumberFormat="1" applyFont="1" applyFill="1" applyBorder="1" applyAlignment="1">
      <alignment horizontal="right" vertical="center" wrapText="1"/>
    </xf>
    <xf numFmtId="3" fontId="4" fillId="6" borderId="1" xfId="0" applyNumberFormat="1" applyFont="1" applyFill="1" applyBorder="1" applyAlignment="1">
      <alignment horizontal="right" vertical="center" wrapText="1"/>
    </xf>
    <xf numFmtId="0" fontId="1" fillId="0" borderId="1" xfId="0" applyFont="1" applyBorder="1" applyAlignment="1">
      <alignment horizontal="right"/>
    </xf>
    <xf numFmtId="43" fontId="0" fillId="0" borderId="0" xfId="1" applyFont="1"/>
    <xf numFmtId="43" fontId="4" fillId="2" borderId="1" xfId="1" applyFont="1" applyFill="1" applyBorder="1" applyAlignment="1">
      <alignment horizontal="center" vertical="center" wrapText="1"/>
    </xf>
    <xf numFmtId="164" fontId="0" fillId="0" borderId="0" xfId="1" applyNumberFormat="1" applyFont="1"/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43" fontId="4" fillId="3" borderId="1" xfId="1" applyFont="1" applyFill="1" applyBorder="1" applyAlignment="1">
      <alignment horizontal="right" vertical="center" wrapText="1"/>
    </xf>
    <xf numFmtId="164" fontId="4" fillId="7" borderId="1" xfId="1" applyNumberFormat="1" applyFont="1" applyFill="1" applyBorder="1"/>
    <xf numFmtId="43" fontId="4" fillId="7" borderId="1" xfId="1" applyFont="1" applyFill="1" applyBorder="1"/>
    <xf numFmtId="0" fontId="4" fillId="7" borderId="1" xfId="0" applyFont="1" applyFill="1" applyBorder="1"/>
    <xf numFmtId="4" fontId="4" fillId="7" borderId="1" xfId="0" applyNumberFormat="1" applyFont="1" applyFill="1" applyBorder="1"/>
    <xf numFmtId="0" fontId="4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center" vertical="center"/>
    </xf>
    <xf numFmtId="3" fontId="4" fillId="2" borderId="1" xfId="1" applyNumberFormat="1" applyFont="1" applyFill="1" applyBorder="1" applyAlignment="1">
      <alignment horizontal="center" vertical="center" wrapText="1"/>
    </xf>
    <xf numFmtId="3" fontId="4" fillId="3" borderId="1" xfId="1" applyNumberFormat="1" applyFont="1" applyFill="1" applyBorder="1" applyAlignment="1">
      <alignment horizontal="right" vertical="center" wrapText="1"/>
    </xf>
    <xf numFmtId="4" fontId="4" fillId="7" borderId="1" xfId="1" applyNumberFormat="1" applyFont="1" applyFill="1" applyBorder="1"/>
    <xf numFmtId="4" fontId="4" fillId="2" borderId="1" xfId="1" applyNumberFormat="1" applyFont="1" applyFill="1" applyBorder="1" applyAlignment="1">
      <alignment horizontal="center" vertical="center" wrapText="1"/>
    </xf>
    <xf numFmtId="4" fontId="4" fillId="3" borderId="1" xfId="1" applyNumberFormat="1" applyFont="1" applyFill="1" applyBorder="1" applyAlignment="1">
      <alignment horizontal="right" vertical="center" wrapText="1"/>
    </xf>
    <xf numFmtId="4" fontId="0" fillId="0" borderId="0" xfId="1" applyNumberFormat="1" applyFont="1"/>
    <xf numFmtId="4" fontId="4" fillId="7" borderId="3" xfId="1" applyNumberFormat="1" applyFont="1" applyFill="1" applyBorder="1"/>
    <xf numFmtId="43" fontId="4" fillId="7" borderId="3" xfId="1" applyFont="1" applyFill="1" applyBorder="1"/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 wrapText="1"/>
    </xf>
    <xf numFmtId="4" fontId="4" fillId="7" borderId="3" xfId="1" applyNumberFormat="1" applyFont="1" applyFill="1" applyBorder="1" applyAlignment="1">
      <alignment horizontal="center" vertical="center"/>
    </xf>
    <xf numFmtId="164" fontId="4" fillId="7" borderId="3" xfId="1" applyNumberFormat="1" applyFont="1" applyFill="1" applyBorder="1" applyAlignment="1">
      <alignment horizontal="left" vertical="center"/>
    </xf>
    <xf numFmtId="165" fontId="4" fillId="7" borderId="3" xfId="1" applyNumberFormat="1" applyFont="1" applyFill="1" applyBorder="1" applyAlignment="1">
      <alignment horizontal="left" vertical="center"/>
    </xf>
    <xf numFmtId="0" fontId="1" fillId="0" borderId="10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center" vertical="center"/>
    </xf>
    <xf numFmtId="3" fontId="1" fillId="0" borderId="10" xfId="1" applyNumberFormat="1" applyFont="1" applyBorder="1"/>
    <xf numFmtId="4" fontId="1" fillId="0" borderId="10" xfId="1" applyNumberFormat="1" applyFont="1" applyBorder="1"/>
    <xf numFmtId="43" fontId="1" fillId="0" borderId="10" xfId="1" applyFont="1" applyBorder="1"/>
    <xf numFmtId="0" fontId="9" fillId="0" borderId="10" xfId="0" applyFont="1" applyBorder="1"/>
    <xf numFmtId="0" fontId="1" fillId="0" borderId="8" xfId="0" applyFont="1" applyBorder="1"/>
    <xf numFmtId="166" fontId="4" fillId="3" borderId="1" xfId="1" applyNumberFormat="1" applyFont="1" applyFill="1" applyBorder="1" applyAlignment="1">
      <alignment horizontal="right" vertical="center" wrapText="1"/>
    </xf>
    <xf numFmtId="0" fontId="4" fillId="6" borderId="1" xfId="0" applyFont="1" applyFill="1" applyBorder="1" applyAlignment="1">
      <alignment horizontal="right" vertical="center" wrapText="1"/>
    </xf>
    <xf numFmtId="0" fontId="4" fillId="9" borderId="1" xfId="0" applyFont="1" applyFill="1" applyBorder="1" applyAlignment="1">
      <alignment horizontal="left" vertical="center"/>
    </xf>
    <xf numFmtId="49" fontId="10" fillId="0" borderId="1" xfId="0" applyNumberFormat="1" applyFont="1" applyBorder="1" applyAlignment="1">
      <alignment horizontal="center" vertical="center"/>
    </xf>
    <xf numFmtId="3" fontId="0" fillId="0" borderId="1" xfId="1" applyNumberFormat="1" applyFont="1" applyBorder="1" applyAlignment="1">
      <alignment horizontal="right" vertical="center"/>
    </xf>
    <xf numFmtId="4" fontId="0" fillId="0" borderId="1" xfId="1" applyNumberFormat="1" applyFont="1" applyBorder="1" applyAlignment="1">
      <alignment horizontal="right" vertical="center"/>
    </xf>
    <xf numFmtId="166" fontId="0" fillId="0" borderId="1" xfId="1" applyNumberFormat="1" applyFont="1" applyBorder="1" applyAlignment="1">
      <alignment horizontal="right" vertical="center"/>
    </xf>
    <xf numFmtId="167" fontId="0" fillId="0" borderId="1" xfId="1" applyNumberFormat="1" applyFont="1" applyBorder="1" applyAlignment="1">
      <alignment horizontal="right" vertical="center"/>
    </xf>
    <xf numFmtId="43" fontId="0" fillId="0" borderId="1" xfId="1" applyFont="1" applyBorder="1" applyAlignment="1">
      <alignment horizontal="right" vertical="center"/>
    </xf>
    <xf numFmtId="43" fontId="0" fillId="0" borderId="1" xfId="1" applyFont="1" applyBorder="1"/>
    <xf numFmtId="166" fontId="0" fillId="0" borderId="1" xfId="0" applyNumberFormat="1" applyBorder="1" applyAlignment="1">
      <alignment horizontal="right" vertical="center"/>
    </xf>
    <xf numFmtId="0" fontId="11" fillId="2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11" fillId="2" borderId="1" xfId="0" applyFont="1" applyFill="1" applyBorder="1" applyAlignment="1">
      <alignment horizontal="center" vertical="center" wrapText="1"/>
    </xf>
    <xf numFmtId="49" fontId="0" fillId="0" borderId="1" xfId="1" applyNumberFormat="1" applyFont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 applyAlignment="1">
      <alignment horizontal="left" vertical="top" wrapText="1"/>
    </xf>
    <xf numFmtId="0" fontId="4" fillId="10" borderId="1" xfId="0" applyFont="1" applyFill="1" applyBorder="1"/>
    <xf numFmtId="0" fontId="4" fillId="10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4" fontId="4" fillId="10" borderId="1" xfId="0" applyNumberFormat="1" applyFont="1" applyFill="1" applyBorder="1" applyAlignment="1">
      <alignment horizontal="right" vertical="center" wrapText="1"/>
    </xf>
    <xf numFmtId="0" fontId="0" fillId="10" borderId="0" xfId="0" applyFill="1"/>
    <xf numFmtId="14" fontId="0" fillId="0" borderId="0" xfId="0" applyNumberFormat="1"/>
    <xf numFmtId="0" fontId="4" fillId="8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49" fontId="4" fillId="8" borderId="1" xfId="0" applyNumberFormat="1" applyFont="1" applyFill="1" applyBorder="1" applyAlignment="1">
      <alignment horizontal="right" vertical="center" wrapText="1"/>
    </xf>
    <xf numFmtId="0" fontId="4" fillId="14" borderId="1" xfId="0" applyFont="1" applyFill="1" applyBorder="1" applyAlignment="1">
      <alignment horizontal="center" vertical="center"/>
    </xf>
    <xf numFmtId="49" fontId="4" fillId="14" borderId="1" xfId="0" applyNumberFormat="1" applyFont="1" applyFill="1" applyBorder="1" applyAlignment="1">
      <alignment horizontal="right" vertical="center" wrapText="1"/>
    </xf>
    <xf numFmtId="49" fontId="4" fillId="11" borderId="1" xfId="0" applyNumberFormat="1" applyFont="1" applyFill="1" applyBorder="1" applyAlignment="1">
      <alignment horizontal="right" vertical="center" wrapText="1"/>
    </xf>
    <xf numFmtId="0" fontId="4" fillId="15" borderId="1" xfId="0" applyFont="1" applyFill="1" applyBorder="1" applyAlignment="1">
      <alignment horizontal="center" vertical="center"/>
    </xf>
    <xf numFmtId="3" fontId="4" fillId="15" borderId="1" xfId="0" applyNumberFormat="1" applyFont="1" applyFill="1" applyBorder="1" applyAlignment="1">
      <alignment horizontal="right" vertical="center" wrapText="1"/>
    </xf>
    <xf numFmtId="3" fontId="4" fillId="13" borderId="1" xfId="0" applyNumberFormat="1" applyFont="1" applyFill="1" applyBorder="1" applyAlignment="1">
      <alignment horizontal="righ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>
      <alignment horizontal="right" vertical="center" wrapText="1"/>
    </xf>
    <xf numFmtId="3" fontId="4" fillId="16" borderId="1" xfId="0" applyNumberFormat="1" applyFont="1" applyFill="1" applyBorder="1" applyAlignment="1">
      <alignment horizontal="right" vertical="center" wrapText="1"/>
    </xf>
    <xf numFmtId="4" fontId="4" fillId="16" borderId="1" xfId="0" applyNumberFormat="1" applyFont="1" applyFill="1" applyBorder="1" applyAlignment="1">
      <alignment horizontal="right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16" borderId="6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0" fillId="0" borderId="9" xfId="0" applyBorder="1"/>
    <xf numFmtId="49" fontId="0" fillId="0" borderId="3" xfId="0" applyNumberFormat="1" applyBorder="1" applyAlignment="1">
      <alignment horizontal="center" vertical="center" wrapText="1"/>
    </xf>
    <xf numFmtId="49" fontId="0" fillId="0" borderId="3" xfId="0" applyNumberFormat="1" applyBorder="1" applyAlignment="1">
      <alignment horizontal="left" vertical="center" wrapText="1"/>
    </xf>
    <xf numFmtId="49" fontId="0" fillId="0" borderId="13" xfId="0" applyNumberFormat="1" applyBorder="1"/>
    <xf numFmtId="0" fontId="12" fillId="0" borderId="10" xfId="0" applyFont="1" applyBorder="1"/>
    <xf numFmtId="0" fontId="12" fillId="10" borderId="10" xfId="0" applyFont="1" applyFill="1" applyBorder="1"/>
    <xf numFmtId="0" fontId="12" fillId="0" borderId="10" xfId="0" applyFont="1" applyBorder="1" applyAlignment="1">
      <alignment horizontal="right"/>
    </xf>
    <xf numFmtId="0" fontId="12" fillId="0" borderId="8" xfId="0" applyFont="1" applyBorder="1" applyAlignment="1">
      <alignment horizontal="right"/>
    </xf>
    <xf numFmtId="0" fontId="0" fillId="0" borderId="3" xfId="0" applyBorder="1" applyAlignment="1">
      <alignment horizontal="right" vertical="center"/>
    </xf>
    <xf numFmtId="4" fontId="0" fillId="0" borderId="3" xfId="0" applyNumberFormat="1" applyBorder="1" applyAlignment="1">
      <alignment horizontal="right" vertical="center"/>
    </xf>
    <xf numFmtId="4" fontId="0" fillId="10" borderId="3" xfId="0" applyNumberFormat="1" applyFill="1" applyBorder="1" applyAlignment="1">
      <alignment horizontal="right" vertical="center"/>
    </xf>
    <xf numFmtId="168" fontId="4" fillId="8" borderId="1" xfId="0" applyNumberFormat="1" applyFont="1" applyFill="1" applyBorder="1" applyAlignment="1">
      <alignment horizontal="center" vertical="center" wrapText="1"/>
    </xf>
    <xf numFmtId="169" fontId="4" fillId="14" borderId="1" xfId="0" applyNumberFormat="1" applyFont="1" applyFill="1" applyBorder="1" applyAlignment="1">
      <alignment horizontal="center" vertical="center" wrapText="1"/>
    </xf>
    <xf numFmtId="14" fontId="4" fillId="11" borderId="1" xfId="0" applyNumberFormat="1" applyFont="1" applyFill="1" applyBorder="1" applyAlignment="1">
      <alignment horizontal="center" vertical="center" wrapText="1"/>
    </xf>
    <xf numFmtId="14" fontId="4" fillId="15" borderId="1" xfId="0" applyNumberFormat="1" applyFont="1" applyFill="1" applyBorder="1" applyAlignment="1">
      <alignment horizontal="center" vertical="center" wrapText="1"/>
    </xf>
    <xf numFmtId="14" fontId="4" fillId="13" borderId="1" xfId="0" applyNumberFormat="1" applyFont="1" applyFill="1" applyBorder="1" applyAlignment="1">
      <alignment horizontal="center" vertical="center" wrapText="1"/>
    </xf>
    <xf numFmtId="0" fontId="0" fillId="0" borderId="3" xfId="0" applyNumberFormat="1" applyBorder="1" applyAlignment="1">
      <alignment horizontal="right" vertical="center"/>
    </xf>
    <xf numFmtId="3" fontId="0" fillId="0" borderId="3" xfId="0" applyNumberFormat="1" applyBorder="1" applyAlignment="1">
      <alignment horizontal="center" vertical="center"/>
    </xf>
    <xf numFmtId="3" fontId="4" fillId="6" borderId="1" xfId="0" applyNumberFormat="1" applyFont="1" applyFill="1" applyBorder="1" applyAlignment="1">
      <alignment horizontal="center" vertical="center" wrapText="1"/>
    </xf>
    <xf numFmtId="4" fontId="4" fillId="6" borderId="1" xfId="0" applyNumberFormat="1" applyFont="1" applyFill="1" applyBorder="1" applyAlignment="1">
      <alignment horizontal="center" vertical="center" wrapText="1"/>
    </xf>
    <xf numFmtId="4" fontId="4" fillId="10" borderId="1" xfId="0" applyNumberFormat="1" applyFont="1" applyFill="1" applyBorder="1" applyAlignment="1">
      <alignment horizontal="center" vertical="center" wrapText="1"/>
    </xf>
    <xf numFmtId="0" fontId="4" fillId="17" borderId="1" xfId="0" applyNumberFormat="1" applyFont="1" applyFill="1" applyBorder="1" applyAlignment="1">
      <alignment horizontal="center" vertical="center" wrapText="1"/>
    </xf>
    <xf numFmtId="1" fontId="0" fillId="0" borderId="3" xfId="0" applyNumberFormat="1" applyBorder="1" applyAlignment="1">
      <alignment horizontal="center" vertical="center"/>
    </xf>
    <xf numFmtId="1" fontId="0" fillId="0" borderId="0" xfId="0" applyNumberFormat="1"/>
    <xf numFmtId="49" fontId="10" fillId="0" borderId="3" xfId="0" applyNumberFormat="1" applyFont="1" applyBorder="1" applyAlignment="1">
      <alignment horizontal="center" vertical="center"/>
    </xf>
    <xf numFmtId="4" fontId="4" fillId="7" borderId="4" xfId="1" applyNumberFormat="1" applyFont="1" applyFill="1" applyBorder="1" applyAlignment="1">
      <alignment horizontal="center"/>
    </xf>
    <xf numFmtId="4" fontId="4" fillId="7" borderId="5" xfId="1" applyNumberFormat="1" applyFont="1" applyFill="1" applyBorder="1" applyAlignment="1">
      <alignment horizontal="center"/>
    </xf>
    <xf numFmtId="4" fontId="4" fillId="7" borderId="6" xfId="1" applyNumberFormat="1" applyFont="1" applyFill="1" applyBorder="1" applyAlignment="1">
      <alignment horizontal="center"/>
    </xf>
    <xf numFmtId="4" fontId="4" fillId="7" borderId="7" xfId="1" applyNumberFormat="1" applyFont="1" applyFill="1" applyBorder="1" applyAlignment="1">
      <alignment horizontal="center" vertical="center"/>
    </xf>
    <xf numFmtId="4" fontId="4" fillId="7" borderId="11" xfId="1" applyNumberFormat="1" applyFont="1" applyFill="1" applyBorder="1" applyAlignment="1">
      <alignment horizontal="center" vertical="center"/>
    </xf>
    <xf numFmtId="4" fontId="4" fillId="7" borderId="8" xfId="1" applyNumberFormat="1" applyFont="1" applyFill="1" applyBorder="1" applyAlignment="1">
      <alignment horizontal="center" vertical="center"/>
    </xf>
    <xf numFmtId="4" fontId="4" fillId="7" borderId="12" xfId="1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5" borderId="0" xfId="0" applyFont="1" applyFill="1" applyBorder="1" applyAlignment="1">
      <alignment horizontal="center" vertical="center" wrapText="1"/>
    </xf>
    <xf numFmtId="0" fontId="7" fillId="16" borderId="2" xfId="0" applyFont="1" applyFill="1" applyBorder="1" applyAlignment="1">
      <alignment horizontal="left" vertical="center" wrapText="1"/>
    </xf>
    <xf numFmtId="0" fontId="7" fillId="16" borderId="0" xfId="0" applyFont="1" applyFill="1" applyBorder="1" applyAlignment="1">
      <alignment horizontal="left" vertical="center" wrapText="1"/>
    </xf>
    <xf numFmtId="0" fontId="7" fillId="16" borderId="14" xfId="0" applyFont="1" applyFill="1" applyBorder="1" applyAlignment="1">
      <alignment horizontal="left" vertical="center" wrapText="1"/>
    </xf>
    <xf numFmtId="0" fontId="7" fillId="16" borderId="8" xfId="0" applyFont="1" applyFill="1" applyBorder="1" applyAlignment="1">
      <alignment horizontal="left" vertical="center" wrapText="1"/>
    </xf>
    <xf numFmtId="0" fontId="7" fillId="16" borderId="12" xfId="0" applyFont="1" applyFill="1" applyBorder="1" applyAlignment="1">
      <alignment horizontal="left" vertical="center" wrapText="1"/>
    </xf>
    <xf numFmtId="0" fontId="7" fillId="16" borderId="9" xfId="0" applyFont="1" applyFill="1" applyBorder="1" applyAlignment="1">
      <alignment horizontal="left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8" borderId="4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4" fillId="11" borderId="5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13" borderId="4" xfId="0" applyFont="1" applyFill="1" applyBorder="1" applyAlignment="1">
      <alignment horizontal="center" vertical="center"/>
    </xf>
    <xf numFmtId="0" fontId="4" fillId="13" borderId="5" xfId="0" applyFont="1" applyFill="1" applyBorder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137"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ode 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4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5" formatCode="_-* #,##0.00\ _₫_-;\-* #,##0.00\ _₫_-;_-* &quot;-&quot;??\ _₫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7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_ [$€-413]\ * #,##0.00_ ;_ [$€-413]\ * \-#,##0.00_ ;_ [$€-413]\ * &quot;-&quot;??_ ;_ 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5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24"/>
        <color theme="1"/>
        <name val="Code 128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rial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4B084"/>
      <color rgb="FFDDEBF7"/>
      <color rgb="FF00B0F0"/>
      <color rgb="FFED7D31"/>
      <color rgb="FF00B050"/>
      <color rgb="FF8EA9DB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ParamTable" minOccurs="0" maxOccurs="unbounded">
              <xs:complexType>
                <xs:sequence>
                  <xs:element name="Season" type="xs:string" minOccurs="0"/>
                  <xs:element name="Month" type="xs:int" minOccurs="0"/>
                  <xs:element name="IsIncludeImage" type="xs:boolean" minOccurs="0"/>
                  <xs:element name="IsIncludeDailyImageProduct" type="xs:boolean" minOccurs="0"/>
                </xs:sequence>
              </xs:complexType>
            </xs:element>
            <xs:element name="ReportMng_StockOverview_View" minOccurs="0" maxOccurs="unbounded">
              <xs:complexType>
                <xs:sequence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PhysicalQnt" msdata:ReadOnly="true" type="xs:int" minOccurs="0"/>
                  <xs:element name="PhysicalQntIn40HC" msdata:ReadOnly="true" type="xs:decimal" minOccurs="0"/>
                  <xs:element name="WarehouseAreaUD" type="xs:string" minOccurs="0"/>
                  <xs:element name="QntPerWarehouseArea" type="xs:string" minOccurs="0"/>
                  <xs:element name="StockValueInEuro" msdata:ReadOnly="true" type="xs:decimal" minOccurs="0"/>
                  <xs:element name="TotalStockValueInEuro" msdata:ReadOnly="true" type="xs:decimal" minOccurs="0"/>
                  <xs:element name="PurchaseFobPrice" msdata:ReadOnly="true" type="xs:decimal" minOccurs="0"/>
                  <xs:element name="TransportPerItem" msdata:ReadOnly="true" type="xs:decimal" minOccurs="0"/>
                  <xs:element name="OnSeaQnt" type="xs:int" minOccurs="0"/>
                  <xs:element name="TobeShippedQnt" msdata:ReadOnly="true" type="xs:decimal" minOccurs="0"/>
                  <xs:element name="ReservationQnt" type="xs:int" minOccurs="0"/>
                  <xs:element name="FTSQnt" msdata:ReadOnly="true" type="xs:decimal" minOccurs="0"/>
                  <xs:element name="SalePrice" msdata:ReadOnly="true" type="xs:decimal" minOccurs="0"/>
                  <xs:element name="KeyID" type="xs:string" minOccurs="0"/>
                </xs:sequence>
              </xs:complexType>
            </xs:element>
            <xs:element name="ReportMng_StockReservationProduct_View" minOccurs="0" maxOccurs="unbounded">
              <xs:complexType>
                <xs:sequence>
                  <xs:element name="ProductStatusID" type="xs:int" minOccurs="0"/>
                  <xs:element name="GoodsID" type="xs:int" minOccurs="0"/>
                  <xs:element name="ProductTyp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ReservationQnt" msdata:ReadOnly="true" type="xs:int" minOccurs="0"/>
                  <xs:element name="ReservationQntIn40HC" msdata:ReadOnly="true" type="xs:decimal" minOccurs="0"/>
                </xs:sequence>
              </xs:complexType>
            </xs:element>
            <xs:element name="ReportMng_StockClient_View" minOccurs="0" maxOccurs="unbounded">
              <xs:complexType>
                <xs:sequence>
                  <xs:element name="ClientID" type="xs:int" minOccurs="0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</xs:sequence>
              </xs:complexType>
            </xs:element>
            <xs:element name="ReportMng_StockReservation_View" minOccurs="0" maxOccurs="unbounded">
              <xs:complexType>
                <xs:sequence>
                  <xs:element name="KeyID" msdata:ReadOnly="true" minOccurs="0">
                    <xs:simpleType>
                      <xs:restriction base="xs:string">
                        <xs:maxLength value="92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BarCod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ImageFile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type="xs:int" minOccurs="0"/>
                  <xs:element name="ReservationQnt" msdata:ReadOnly="true" type="xs:int" minOccurs="0"/>
                  <xs:element name="ReservationQntIn40HC" msdata:ReadOnly="true" type="xs:decimal" minOccurs="0"/>
                </xs:sequence>
              </xs:complexType>
            </xs:element>
            <xs:element name="ReportMng_StockOverview_PhysicalStock_View" minOccurs="0" maxOccurs="unbounded">
              <xs:complexType>
                <xs:sequence>
                  <xs:element name="KeyID" type="xs:string" minOccurs="0"/>
                  <xs:element name="ArticleCode" type="xs:string" minOccurs="0"/>
                  <xs:element name="Description" type="xs:string" minOccurs="0"/>
                  <xs:element name="ProductStatusNM" type="xs:string" minOccurs="0"/>
                  <xs:element name="WarehouseAreaUD" type="xs:string" minOccurs="0"/>
                  <xs:element name="PhysicalQnt" type="xs:int" minOccurs="0"/>
                </xs:sequence>
              </xs:complexType>
            </xs:element>
            <xs:element name="ReportMng_StockDaily_Product_View" minOccurs="0" maxOccurs="unbounded">
              <xs:complexType>
                <xs:sequence>
                  <xs:element name="KeyID" type="xs:string" minOccurs="0"/>
                  <xs:element name="GoodsID" type="xs:int" minOccurs="0"/>
                  <xs:element name="ProductStatusID" type="xs:int" minOccurs="0"/>
                  <xs:element name="ProductType" type="xs:string" minOccurs="0"/>
                  <xs:element name="ProductStatusNM" type="xs:string" minOccurs="0"/>
                  <xs:element name="Barcode" type="xs:string" minOccurs="0"/>
                  <xs:element name="SelectedThumbnailImage" type="xs:string" minOccurs="0"/>
                  <xs:element name="ArticleCode" type="xs:string" minOccurs="0"/>
                  <xs:element name="Description" type="xs:string" minOccurs="0"/>
                  <xs:element name="Qnt40HC" type="xs:int" minOccurs="0"/>
                </xs:sequence>
              </xs:complexType>
            </xs:element>
            <xs:element name="ReportMng_StockDaily_Picked_View" minOccurs="0" maxOccurs="unbounded">
              <xs:complexType>
                <xs:sequence>
                  <xs:element name="FullKeyID" type="xs:string" minOccurs="0"/>
                  <xs:element name="KeyID" type="xs:string" minOccurs="0"/>
                  <xs:element name="GoodsID" type="xs:int" minOccurs="0"/>
                  <xs:element name="ProductStatusID" type="xs:int" minOccurs="0"/>
                  <xs:element name="ProductType" type="xs:string" minOccurs="0"/>
                  <xs:element name="CMRDate" type="xs:string" minOccurs="0"/>
                  <xs:element name="Season" type="xs:string" minOccurs="0"/>
                  <xs:element name="PickedQnt" type="xs:int" minOccurs="0"/>
                </xs:sequence>
              </xs:complexType>
            </xs:element>
            <xs:element name="ReportMng_StockDaily_Imported_View" minOccurs="0" maxOccurs="unbounded">
              <xs:complexType>
                <xs:sequence>
                  <xs:element name="FullKeyID" type="xs:string" minOccurs="0"/>
                  <xs:element name="KeyID" type="xs:string" minOccurs="0"/>
                  <xs:element name="GoodsID" type="xs:int" minOccurs="0"/>
                  <xs:element name="ProductStatusID" type="xs:int" minOccurs="0"/>
                  <xs:element name="ProductType" type="xs:string" minOccurs="0"/>
                  <xs:element name="ImportedMonth" type="xs:int" minOccurs="0"/>
                  <xs:element name="WeekOfMonth" type="xs:int" minOccurs="0"/>
                  <xs:element name="Season" type="xs:string" minOccurs="0"/>
                  <xs:element name="ImportedQnt" type="xs:int" minOccurs="0"/>
                </xs:sequence>
              </xs:complexType>
            </xs:element>
            <xs:element name="DailyInMonth" minOccurs="0" maxOccurs="unbounded">
              <xs:complexType>
                <xs:sequence>
                  <xs:element name="KeyID" type="xs:string" minOccurs="0"/>
                  <xs:element name="DateInMonth" type="xs:string" minOccurs="0"/>
                  <xs:element name="DateNameInWeekByNumber" type="xs:int" minOccurs="0"/>
                  <xs:element name="DateNameInWeekByText" type="xs:string" minOccurs="0"/>
                  <xs:element name="WeekOfMonth" type="xs:int" minOccurs="0"/>
                  <xs:element name="WeekOfYear" type="xs:int" minOccurs="0"/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Table2" displayName="Table2" ref="A6:AB7" tableType="xml" headerRowDxfId="136" totalsRowDxfId="133" headerRowBorderDxfId="135" tableBorderDxfId="134" totalsRowBorderDxfId="132">
  <autoFilter ref="A6:AB7"/>
  <tableColumns count="28">
    <tableColumn id="1" uniqueName="ns1:ProductStatusNM" name="ns1:ProductStatusNM" totalsRowLabel="Total" dataDxfId="131" totalsRowDxfId="130">
      <xmlColumnPr mapId="2" xpath="/ns1:ReportDataObject/ns1:ReportMng_StockOverview_View/ns1:ProductStatusNM" xmlDataType="string"/>
    </tableColumn>
    <tableColumn id="2" uniqueName="ns1:BarCode" name="ns1:BarCode" dataDxfId="129" totalsRowDxfId="128">
      <xmlColumnPr mapId="2" xpath="/ns1:ReportDataObject/ns1:ReportMng_StockOverview_View/ns1:BarCode" xmlDataType="string"/>
    </tableColumn>
    <tableColumn id="3" uniqueName="ns1:ImageFile" name="ns1:ImageFile" dataDxfId="127" totalsRowDxfId="126">
      <xmlColumnPr mapId="2" xpath="/ns1:ReportDataObject/ns1:ReportMng_StockOverview_View/ns1:ImageFile" xmlDataType="string"/>
    </tableColumn>
    <tableColumn id="4" uniqueName="ns1:ArticleCode" name="ns1:ArticleCode" dataDxfId="125" totalsRowDxfId="124">
      <xmlColumnPr mapId="2" xpath="/ns1:ReportDataObject/ns1:ReportMng_StockOverview_View/ns1:ArticleCode" xmlDataType="string"/>
    </tableColumn>
    <tableColumn id="5" uniqueName="ns1:Description" name="ns1:Description" dataDxfId="123" totalsRowDxfId="122">
      <xmlColumnPr mapId="2" xpath="/ns1:ReportDataObject/ns1:ReportMng_StockOverview_View/ns1:Description" xmlDataType="string"/>
    </tableColumn>
    <tableColumn id="6" uniqueName="ns1:Qnt40HC" name="ns1:Qnt40HC" dataDxfId="121" totalsRowDxfId="120" dataCellStyle="Comma">
      <xmlColumnPr mapId="2" xpath="/ns1:ReportDataObject/ns1:ReportMng_StockOverview_View/ns1:Qnt40HC" xmlDataType="int"/>
    </tableColumn>
    <tableColumn id="7" uniqueName="ns1:PhysicalQnt" name="ns1:PhysicalQnt" dataDxfId="119" totalsRowDxfId="118" dataCellStyle="Comma">
      <xmlColumnPr mapId="2" xpath="/ns1:ReportDataObject/ns1:ReportMng_StockOverview_View/ns1:PhysicalQnt" xmlDataType="int"/>
    </tableColumn>
    <tableColumn id="8" uniqueName="ns1:PhysicalQntIn40HC" name="ns1:PhysicalQntIn40HC" dataDxfId="117" totalsRowDxfId="116" dataCellStyle="Comma">
      <calculatedColumnFormula>ROUND(IFERROR(Table2[ns1:PhysicalQnt]/Table2[ns1:Qnt40HC],0),2)</calculatedColumnFormula>
    </tableColumn>
    <tableColumn id="32" uniqueName="ns1:WarehouseAreaUD" name="Column15" dataDxfId="115" totalsRowDxfId="114" dataCellStyle="Comma">
      <xmlColumnPr mapId="2" xpath="/ns1:ReportDataObject/ns1:ReportMng_StockOverview_View/ns1:WarehouseAreaUD" xmlDataType="string"/>
    </tableColumn>
    <tableColumn id="31" uniqueName="ns1:QntPerWarehouseArea" name="Column14" dataDxfId="113" totalsRowDxfId="112" dataCellStyle="Comma">
      <xmlColumnPr mapId="2" xpath="/ns1:ReportDataObject/ns1:ReportMng_StockOverview_View/ns1:QntPerWarehouseArea" xmlDataType="string"/>
    </tableColumn>
    <tableColumn id="24" uniqueName="ns1:StockValueInEuro" name="Column11" dataDxfId="111" totalsRowDxfId="110" dataCellStyle="Comma">
      <xmlColumnPr mapId="2" xpath="/ns1:ReportDataObject/ns1:ReportMng_StockOverview_View/ns1:StockValueInEuro" xmlDataType="decimal"/>
    </tableColumn>
    <tableColumn id="23" uniqueName="ns1:TotalStockValueInEuro" name="Column10" dataDxfId="109" totalsRowDxfId="108" dataCellStyle="Comma">
      <xmlColumnPr mapId="2" xpath="/ns1:ReportDataObject/ns1:ReportMng_StockOverview_View/ns1:TotalStockValueInEuro" xmlDataType="decimal"/>
    </tableColumn>
    <tableColumn id="22" uniqueName="ns1:PurchaseFobPrice" name="Column9" dataDxfId="107" totalsRowDxfId="106" dataCellStyle="Comma">
      <xmlColumnPr mapId="2" xpath="/ns1:ReportDataObject/ns1:ReportMng_StockOverview_View/ns1:PurchaseFobPrice" xmlDataType="decimal"/>
    </tableColumn>
    <tableColumn id="21" uniqueName="ns1:TransportPerItem" name="Column4" dataDxfId="105" totalsRowDxfId="104" dataCellStyle="Comma">
      <xmlColumnPr mapId="2" xpath="/ns1:ReportDataObject/ns1:ReportMng_StockOverview_View/ns1:TransportPerItem" xmlDataType="decimal"/>
    </tableColumn>
    <tableColumn id="9" uniqueName="ns1:OnSeaQnt" name="ns1:OnSeaQnt" dataDxfId="103" totalsRowDxfId="102" dataCellStyle="Comma">
      <xmlColumnPr mapId="2" xpath="/ns1:ReportDataObject/ns1:ReportMng_StockOverview_View/ns1:OnSeaQnt" xmlDataType="int"/>
    </tableColumn>
    <tableColumn id="13" uniqueName="13" name="Column1" dataDxfId="101" totalsRowDxfId="100" dataCellStyle="Comma">
      <calculatedColumnFormula>IFERROR(Table2[ns1:OnSeaQnt]/Table2[ns1:Qnt40HC],0)</calculatedColumnFormula>
    </tableColumn>
    <tableColumn id="10" uniqueName="ns1:TobeShippedQnt" name="ns1:TobeShippedQnt" dataDxfId="99" totalsRowDxfId="98" dataCellStyle="Comma">
      <xmlColumnPr mapId="2" xpath="/ns1:ReportDataObject/ns1:ReportMng_StockOverview_View/ns1:TobeShippedQnt" xmlDataType="decimal"/>
    </tableColumn>
    <tableColumn id="14" uniqueName="14" name="Column2" dataDxfId="97" totalsRowDxfId="96" dataCellStyle="Comma">
      <calculatedColumnFormula>IFERROR(Table2[ns1:TobeShippedQnt]/Table2[ns1:Qnt40HC],0)</calculatedColumnFormula>
    </tableColumn>
    <tableColumn id="11" uniqueName="ns1:ReservationQnt" name="ns1:ReservationQnt" dataDxfId="95" totalsRowDxfId="94" dataCellStyle="Comma">
      <xmlColumnPr mapId="2" xpath="/ns1:ReportDataObject/ns1:ReportMng_StockOverview_View/ns1:ReservationQnt" xmlDataType="int"/>
    </tableColumn>
    <tableColumn id="15" uniqueName="15" name="Column3" dataDxfId="93" totalsRowDxfId="92" dataCellStyle="Comma">
      <calculatedColumnFormula>IFERROR(Table2[ns1:ReservationQnt]/Table2[ns1:Qnt40HC],0)</calculatedColumnFormula>
    </tableColumn>
    <tableColumn id="12" uniqueName="ns1:FTSQnt" name="ns1:FTSQnt" dataDxfId="91" totalsRowDxfId="90" dataCellStyle="Comma">
      <xmlColumnPr mapId="2" xpath="/ns1:ReportDataObject/ns1:ReportMng_StockOverview_View/ns1:FTSQnt" xmlDataType="decimal"/>
    </tableColumn>
    <tableColumn id="17" uniqueName="17" name="Column5" dataDxfId="89" totalsRowDxfId="88" dataCellStyle="Comma">
      <calculatedColumnFormula>IFERROR(Table2[ns1:FTSQnt]/Table2[ns1:Qnt40HC],0)</calculatedColumnFormula>
    </tableColumn>
    <tableColumn id="16" uniqueName="16" name="Column6" dataDxfId="87" totalsRowDxfId="86" dataCellStyle="Comma">
      <calculatedColumnFormula>Table2[ns1:FTSQnt]+Table2[ns1:OnSeaQnt]</calculatedColumnFormula>
    </tableColumn>
    <tableColumn id="19" uniqueName="19" name="Column62" dataDxfId="85" totalsRowDxfId="84" dataCellStyle="Comma">
      <calculatedColumnFormula>IFERROR(Table2[Column6]/Table2[ns1:Qnt40HC],0)</calculatedColumnFormula>
    </tableColumn>
    <tableColumn id="18" uniqueName="18" name="Column7" dataDxfId="83" totalsRowDxfId="82" dataCellStyle="Comma">
      <calculatedColumnFormula>Table2[ns1:FTSQnt]+Table2[ns1:OnSeaQnt]+Table2[ns1:TobeShippedQnt]</calculatedColumnFormula>
    </tableColumn>
    <tableColumn id="20" uniqueName="20" name="Column8" totalsRowFunction="sum" dataDxfId="81" totalsRowDxfId="80" dataCellStyle="Comma">
      <calculatedColumnFormula>IFERROR(Table2[Column7]/Table2[ns1:Qnt40HC],0)</calculatedColumnFormula>
    </tableColumn>
    <tableColumn id="25" uniqueName="ns1:SalePrice" name="Column82" dataDxfId="79" totalsRowDxfId="78">
      <xmlColumnPr mapId="2" xpath="/ns1:ReportDataObject/ns1:ReportMng_StockOverview_View/ns1:SalePrice" xmlDataType="decimal"/>
    </tableColumn>
    <tableColumn id="28" uniqueName="ns1:KeyID" name="Column823" dataDxfId="77" totalsRowDxfId="76">
      <xmlColumnPr mapId="2" xpath="/ns1:ReportDataObject/ns1:ReportMng_StockOverview_View/ns1:KeyID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A2:F3" tableType="xml" insertRow="1" totalsRowShown="0" headerRowDxfId="75" headerRowBorderDxfId="74" tableBorderDxfId="73" totalsRowBorderDxfId="72">
  <autoFilter ref="A2:F3"/>
  <tableColumns count="6">
    <tableColumn id="1" uniqueName="ns1:KeyID" name="ns1:KeyID" dataDxfId="71">
      <xmlColumnPr mapId="2" xpath="/ns1:ReportDataObject/ns1:ReportMng_StockOverview_PhysicalStock_View/ns1:KeyID" xmlDataType="string"/>
    </tableColumn>
    <tableColumn id="2" uniqueName="ns1:ArticleCode" name="ns1:ArticleCode" dataDxfId="70">
      <xmlColumnPr mapId="2" xpath="/ns1:ReportDataObject/ns1:ReportMng_StockOverview_PhysicalStock_View/ns1:ArticleCode" xmlDataType="string"/>
    </tableColumn>
    <tableColumn id="3" uniqueName="ns1:Description" name="ns1:Description" dataDxfId="69">
      <xmlColumnPr mapId="2" xpath="/ns1:ReportDataObject/ns1:ReportMng_StockOverview_PhysicalStock_View/ns1:Description" xmlDataType="string"/>
    </tableColumn>
    <tableColumn id="4" uniqueName="ns1:ProductStatusNM" name="ns1:ProductStatusNM" dataDxfId="68">
      <xmlColumnPr mapId="2" xpath="/ns1:ReportDataObject/ns1:ReportMng_StockOverview_PhysicalStock_View/ns1:ProductStatusNM" xmlDataType="string"/>
    </tableColumn>
    <tableColumn id="5" uniqueName="ns1:WarehouseAreaUD" name="ns1:WarehouseAreaUD" dataDxfId="67">
      <xmlColumnPr mapId="2" xpath="/ns1:ReportDataObject/ns1:ReportMng_StockOverview_PhysicalStock_View/ns1:WarehouseAreaUD" xmlDataType="string"/>
    </tableColumn>
    <tableColumn id="6" uniqueName="ns1:PhysicalQnt" name="ns1:PhysicalQnt" dataDxfId="66">
      <xmlColumnPr mapId="2" xpath="/ns1:ReportDataObject/ns1:ReportMng_StockOverview_PhysicalStock_View/ns1:PhysicalQnt" xmlDataType="int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8:M9" tableType="xml" totalsRowShown="0" headerRowDxfId="65" headerRowBorderDxfId="64" tableBorderDxfId="63" totalsRowBorderDxfId="62">
  <autoFilter ref="A8:M9"/>
  <tableColumns count="13">
    <tableColumn id="1" uniqueName="ns1:ProductStatusID" name="ns1:ProductStatusID" dataDxfId="61">
      <xmlColumnPr mapId="2" xpath="/ns1:ReportDataObject/ns1:ReportMng_StockReservationProduct_View/ns1:ProductStatusID" xmlDataType="int"/>
    </tableColumn>
    <tableColumn id="2" uniqueName="ns1:GoodsID" name="ns1:ProductID" dataDxfId="60">
      <xmlColumnPr mapId="2" xpath="/ns1:ReportDataObject/ns1:ReportMng_StockReservationProduct_View/ns1:GoodsID" xmlDataType="int"/>
    </tableColumn>
    <tableColumn id="13" uniqueName="ns1:ProductType" name="Column3" dataDxfId="59">
      <xmlColumnPr mapId="2" xpath="/ns1:ReportDataObject/ns1:ReportMng_StockReservationProduct_View/ns1:ProductType" xmlDataType="string"/>
    </tableColumn>
    <tableColumn id="3" uniqueName="ns1:ProductStatusNM" name="ns1:ProductStatusNM" dataDxfId="58">
      <xmlColumnPr mapId="2" xpath="/ns1:ReportDataObject/ns1:ReportMng_StockReservationProduct_View/ns1:ProductStatusNM" xmlDataType="string"/>
    </tableColumn>
    <tableColumn id="4" uniqueName="ns1:BarCode" name="ns1:BarCode" dataDxfId="57">
      <xmlColumnPr mapId="2" xpath="/ns1:ReportDataObject/ns1:ReportMng_StockReservationProduct_View/ns1:BarCode" xmlDataType="string"/>
    </tableColumn>
    <tableColumn id="5" uniqueName="ns1:ImageFile" name="ns1:ImageFile" dataDxfId="56">
      <xmlColumnPr mapId="2" xpath="/ns1:ReportDataObject/ns1:ReportMng_StockReservationProduct_View/ns1:ImageFile" xmlDataType="string"/>
    </tableColumn>
    <tableColumn id="6" uniqueName="ns1:ArticleCode" name="ns1:ArticleCode" dataDxfId="55">
      <xmlColumnPr mapId="2" xpath="/ns1:ReportDataObject/ns1:ReportMng_StockReservationProduct_View/ns1:ArticleCode" xmlDataType="string"/>
    </tableColumn>
    <tableColumn id="7" uniqueName="ns1:Description" name="ns1:Description" dataDxfId="54">
      <xmlColumnPr mapId="2" xpath="/ns1:ReportDataObject/ns1:ReportMng_StockReservationProduct_View/ns1:Description" xmlDataType="string"/>
    </tableColumn>
    <tableColumn id="8" uniqueName="ns1:Qnt40HC" name="ns1:Qnt40HC" dataDxfId="53">
      <xmlColumnPr mapId="2" xpath="/ns1:ReportDataObject/ns1:ReportMng_StockReservationProduct_View/ns1:Qnt40HC" xmlDataType="int"/>
    </tableColumn>
    <tableColumn id="9" uniqueName="ns1:ReservationQnt" name="ns1:ReservationQnt" dataDxfId="52">
      <xmlColumnPr mapId="2" xpath="/ns1:ReportDataObject/ns1:ReportMng_StockReservationProduct_View/ns1:ReservationQnt" xmlDataType="int"/>
    </tableColumn>
    <tableColumn id="10" uniqueName="ns1:ReservationQntIn40HC" name="ns1:ReservationQntIn40HC" dataDxfId="51">
      <calculatedColumnFormula>IFERROR(Table4[ns1:ReservationQnt]/Table4[ns1:Qnt40HC],0)</calculatedColumnFormula>
    </tableColumn>
    <tableColumn id="12" uniqueName="12" name="Column2" dataDxfId="50"/>
    <tableColumn id="11" uniqueName="11" name="Column1" dataDxfId="4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1" name="Table1" displayName="Table1" ref="A1:C2" tableType="xml" insertRow="1" totalsRowShown="0">
  <autoFilter ref="A1:C2"/>
  <tableColumns count="3">
    <tableColumn id="1" uniqueName="ns1:ClientID" name="ns1:ClientID">
      <xmlColumnPr mapId="2" xpath="/ns1:ReportDataObject/ns1:ReportMng_StockClient_View/ns1:ClientID" xmlDataType="int"/>
    </tableColumn>
    <tableColumn id="2" uniqueName="ns1:ClientUD" name="ns1:ClientUD" dataDxfId="48">
      <xmlColumnPr mapId="2" xpath="/ns1:ReportDataObject/ns1:ReportMng_StockClient_View/ns1:ClientUD" xmlDataType="string"/>
    </tableColumn>
    <tableColumn id="3" uniqueName="ns1:ClientNM" name="ns1:ClientNM">
      <xmlColumnPr mapId="2" xpath="/ns1:ReportDataObject/ns1:ReportMng_StockClient_View/ns1:ClientNM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I2" tableType="xml" insertRow="1" totalsRowShown="0">
  <autoFilter ref="A1:I2"/>
  <tableColumns count="9">
    <tableColumn id="1" uniqueName="ns1:KeyID" name="ns1:KeyID">
      <xmlColumnPr mapId="2" xpath="/ns1:ReportDataObject/ns1:ReportMng_StockReservation_View/ns1:KeyID" xmlDataType="string"/>
    </tableColumn>
    <tableColumn id="2" uniqueName="ns1:ProductStatusNM" name="ns1:ProductStatusNM">
      <xmlColumnPr mapId="2" xpath="/ns1:ReportDataObject/ns1:ReportMng_StockReservation_View/ns1:ProductStatusNM" xmlDataType="string"/>
    </tableColumn>
    <tableColumn id="3" uniqueName="ns1:BarCode" name="ns1:BarCode">
      <xmlColumnPr mapId="2" xpath="/ns1:ReportDataObject/ns1:ReportMng_StockReservation_View/ns1:BarCode" xmlDataType="string"/>
    </tableColumn>
    <tableColumn id="4" uniqueName="ns1:ImageFile" name="ns1:ImageFile">
      <xmlColumnPr mapId="2" xpath="/ns1:ReportDataObject/ns1:ReportMng_StockReservation_View/ns1:ImageFile" xmlDataType="string"/>
    </tableColumn>
    <tableColumn id="5" uniqueName="ns1:ArticleCode" name="ns1:ArticleCode">
      <xmlColumnPr mapId="2" xpath="/ns1:ReportDataObject/ns1:ReportMng_StockReservation_View/ns1:ArticleCode" xmlDataType="string"/>
    </tableColumn>
    <tableColumn id="6" uniqueName="ns1:Description" name="ns1:Description">
      <xmlColumnPr mapId="2" xpath="/ns1:ReportDataObject/ns1:ReportMng_StockReservation_View/ns1:Description" xmlDataType="string"/>
    </tableColumn>
    <tableColumn id="7" uniqueName="ns1:Qnt40HC" name="ns1:Qnt40HC">
      <xmlColumnPr mapId="2" xpath="/ns1:ReportDataObject/ns1:ReportMng_StockReservation_View/ns1:Qnt40HC" xmlDataType="int"/>
    </tableColumn>
    <tableColumn id="8" uniqueName="ns1:ReservationQnt" name="ns1:ReservationQnt">
      <xmlColumnPr mapId="2" xpath="/ns1:ReportDataObject/ns1:ReportMng_StockReservation_View/ns1:ReservationQnt" xmlDataType="int"/>
    </tableColumn>
    <tableColumn id="9" uniqueName="ns1:ReservationQntIn40HC" name="ns1:ReservationQntIn40HC">
      <xmlColumnPr mapId="2" xpath="/ns1:ReportDataObject/ns1:ReportMng_StockReservation_View/ns1:ReservationQntIn40HC" xmlDataType="decimal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Table10" displayName="Table10" ref="A10:AR11" tableType="xml" totalsRowShown="0" headerRowDxfId="47" headerRowBorderDxfId="46" tableBorderDxfId="45" totalsRowBorderDxfId="44">
  <autoFilter ref="A10:AR11"/>
  <tableColumns count="44">
    <tableColumn id="1" uniqueName="ns1:KeyID" name="ns1:KeyID" dataDxfId="43">
      <xmlColumnPr mapId="2" xpath="/ns1:ReportDataObject/ns1:ReportMng_StockDaily_Product_View/ns1:KeyID" xmlDataType="string"/>
    </tableColumn>
    <tableColumn id="2" uniqueName="ns1:ProductStatusNM" name="ns1:ProductStatusNM" dataDxfId="42">
      <xmlColumnPr mapId="2" xpath="/ns1:ReportDataObject/ns1:ReportMng_StockDaily_Product_View/ns1:ProductStatusNM" xmlDataType="string"/>
    </tableColumn>
    <tableColumn id="3" uniqueName="ns1:Barcode" name="ns1:BarCode" dataDxfId="41">
      <xmlColumnPr mapId="2" xpath="/ns1:ReportDataObject/ns1:ReportMng_StockDaily_Product_View/ns1:Barcode" xmlDataType="string"/>
    </tableColumn>
    <tableColumn id="4" uniqueName="ns1:SelectedThumbnailImage" name="ns1:ImageFile" dataDxfId="40">
      <xmlColumnPr mapId="2" xpath="/ns1:ReportDataObject/ns1:ReportMng_StockDaily_Product_View/ns1:SelectedThumbnailImage" xmlDataType="string"/>
    </tableColumn>
    <tableColumn id="5" uniqueName="ns1:ArticleCode" name="ns1:ArticleCode" dataDxfId="39">
      <xmlColumnPr mapId="2" xpath="/ns1:ReportDataObject/ns1:ReportMng_StockDaily_Product_View/ns1:ArticleCode" xmlDataType="string"/>
    </tableColumn>
    <tableColumn id="6" uniqueName="ns1:Description" name="ns1:Description" dataDxfId="38">
      <xmlColumnPr mapId="2" xpath="/ns1:ReportDataObject/ns1:ReportMng_StockDaily_Product_View/ns1:Description" xmlDataType="string"/>
    </tableColumn>
    <tableColumn id="7" uniqueName="ns1:Qnt40HC" name="ns1:Qnt40HC" dataDxfId="37">
      <xmlColumnPr mapId="2" xpath="/ns1:ReportDataObject/ns1:ReportMng_StockDaily_Product_View/ns1:Qnt40HC" xmlDataType="int"/>
    </tableColumn>
    <tableColumn id="8" uniqueName="8" name="ns1:Out" dataDxfId="36">
      <calculatedColumnFormula>Table10[Column2]+Table10[Column3]+Table10[Column4]+Table10[Column5]+Table10[Column6]+Table10[Column9]+Table10[Column10]+Table10[Column11]+Table10[Column12]+Table10[Column13]+Table10[Column16]+Table10[Column17]+Table10[Column18]+Table10[Column19]+Table10[Column20]+Table10[Column23]+Table10[Column24]+Table10[Column25]+Table10[Column26]+Table10[Column27]+Table10[Column30]+Table10[Column31]+Table10[Column32]+Table10[Column33]+Table10[Column34]</calculatedColumnFormula>
    </tableColumn>
    <tableColumn id="9" uniqueName="9" name="ns1:OutIn40HC" dataDxfId="35">
      <calculatedColumnFormula>IFERROR(Table10[ns1:Out]/Table10[ns1:Qnt40HC],0)</calculatedColumnFormula>
    </tableColumn>
    <tableColumn id="10" uniqueName="10" name="Column1" dataDxfId="34"/>
    <tableColumn id="11" uniqueName="11" name="Column2" dataDxfId="33">
      <calculatedColumnFormula>_xlfn.IFNA(VLOOKUP($A11&amp;"_"&amp;K$7,Table9[],8,FALSE),0)</calculatedColumnFormula>
    </tableColumn>
    <tableColumn id="12" uniqueName="12" name="Column3" dataDxfId="32">
      <calculatedColumnFormula>_xlfn.IFNA(VLOOKUP($A11&amp;"_"&amp;L$7,Table9[],8,FALSE),0)</calculatedColumnFormula>
    </tableColumn>
    <tableColumn id="13" uniqueName="13" name="Column4" dataDxfId="31">
      <calculatedColumnFormula>_xlfn.IFNA(VLOOKUP($A11&amp;"_"&amp;M$7,Table9[],8,FALSE),0)</calculatedColumnFormula>
    </tableColumn>
    <tableColumn id="14" uniqueName="14" name="Column5" dataDxfId="30">
      <calculatedColumnFormula>_xlfn.IFNA(VLOOKUP($A11&amp;"_"&amp;N$7,Table9[],8,FALSE),0)</calculatedColumnFormula>
    </tableColumn>
    <tableColumn id="15" uniqueName="15" name="Column6" dataDxfId="29">
      <calculatedColumnFormula>_xlfn.IFNA(VLOOKUP($A11&amp;"_"&amp;O$7,Table9[],8,FALSE),0)</calculatedColumnFormula>
    </tableColumn>
    <tableColumn id="16" uniqueName="16" name="Column7" dataDxfId="28">
      <calculatedColumnFormula>_xlfn.IFNA(VLOOKUP($A11&amp;"_"&amp;$K$5,Table8[],9,FALSE),0)</calculatedColumnFormula>
    </tableColumn>
    <tableColumn id="17" uniqueName="17" name="Column8" dataDxfId="27">
      <calculatedColumnFormula>_xlfn.IFNA(VLOOKUP($A11&amp;"_"&amp;Q$7,Table9[],8,FALSE),0)</calculatedColumnFormula>
    </tableColumn>
    <tableColumn id="18" uniqueName="18" name="Column9" dataDxfId="26">
      <calculatedColumnFormula>_xlfn.IFNA(VLOOKUP($A11&amp;"_"&amp;R$7,Table9[],8,FALSE),0)</calculatedColumnFormula>
    </tableColumn>
    <tableColumn id="19" uniqueName="19" name="Column10" dataDxfId="25">
      <calculatedColumnFormula>_xlfn.IFNA(VLOOKUP($A11&amp;"_"&amp;S$7,Table9[],8,FALSE),0)</calculatedColumnFormula>
    </tableColumn>
    <tableColumn id="20" uniqueName="20" name="Column11" dataDxfId="24">
      <calculatedColumnFormula>_xlfn.IFNA(VLOOKUP($A11&amp;"_"&amp;T$7,Table9[],8,FALSE),0)</calculatedColumnFormula>
    </tableColumn>
    <tableColumn id="21" uniqueName="21" name="Column12" dataDxfId="23">
      <calculatedColumnFormula>_xlfn.IFNA(VLOOKUP($A11&amp;"_"&amp;U$7,Table9[],8,FALSE),0)</calculatedColumnFormula>
    </tableColumn>
    <tableColumn id="22" uniqueName="22" name="Column13" dataDxfId="22">
      <calculatedColumnFormula>_xlfn.IFNA(VLOOKUP($A11&amp;"_"&amp;V$7,Table9[],8,FALSE),0)</calculatedColumnFormula>
    </tableColumn>
    <tableColumn id="23" uniqueName="23" name="Column14" dataDxfId="21">
      <calculatedColumnFormula>_xlfn.IFNA(VLOOKUP($A11&amp;"_"&amp;$R$5,Table8[],9,FALSE),0)</calculatedColumnFormula>
    </tableColumn>
    <tableColumn id="24" uniqueName="24" name="Column15" dataDxfId="20">
      <calculatedColumnFormula>_xlfn.IFNA(VLOOKUP($A11&amp;"_"&amp;X$7,Table9[],8,FALSE),0)</calculatedColumnFormula>
    </tableColumn>
    <tableColumn id="25" uniqueName="25" name="Column16" dataDxfId="19">
      <calculatedColumnFormula>_xlfn.IFNA(VLOOKUP($A11&amp;"_"&amp;Y$7,Table9[],8,FALSE),0)</calculatedColumnFormula>
    </tableColumn>
    <tableColumn id="26" uniqueName="26" name="Column17" dataDxfId="18">
      <calculatedColumnFormula>_xlfn.IFNA(VLOOKUP($A11&amp;"_"&amp;Z$7,Table9[],8,FALSE),0)</calculatedColumnFormula>
    </tableColumn>
    <tableColumn id="27" uniqueName="27" name="Column18" dataDxfId="17">
      <calculatedColumnFormula>_xlfn.IFNA(VLOOKUP($A11&amp;"_"&amp;AA$7,Table9[],8,FALSE),0)</calculatedColumnFormula>
    </tableColumn>
    <tableColumn id="28" uniqueName="28" name="Column19" dataDxfId="16">
      <calculatedColumnFormula>_xlfn.IFNA(VLOOKUP($A11&amp;"_"&amp;AB$7,Table9[],8,FALSE),0)</calculatedColumnFormula>
    </tableColumn>
    <tableColumn id="29" uniqueName="29" name="Column20" dataDxfId="15">
      <calculatedColumnFormula>_xlfn.IFNA(VLOOKUP($A11&amp;"_"&amp;AC$7,Table9[],8,FALSE),0)</calculatedColumnFormula>
    </tableColumn>
    <tableColumn id="30" uniqueName="30" name="Column21" dataDxfId="14">
      <calculatedColumnFormula>_xlfn.IFNA(VLOOKUP($A11&amp;"_"&amp;$Y$5,Table8[],9,FALSE),0)</calculatedColumnFormula>
    </tableColumn>
    <tableColumn id="31" uniqueName="31" name="Column22" dataDxfId="13">
      <calculatedColumnFormula>_xlfn.IFNA(VLOOKUP($A11&amp;"_"&amp;AE$7,Table9[],8,FALSE),0)</calculatedColumnFormula>
    </tableColumn>
    <tableColumn id="32" uniqueName="32" name="Column23" dataDxfId="12">
      <calculatedColumnFormula>_xlfn.IFNA(VLOOKUP($A11&amp;"_"&amp;AF$7,Table9[],8,FALSE),0)</calculatedColumnFormula>
    </tableColumn>
    <tableColumn id="33" uniqueName="33" name="Column24" dataDxfId="11">
      <calculatedColumnFormula>_xlfn.IFNA(VLOOKUP($A11&amp;"_"&amp;AG$7,Table9[],8,FALSE),0)</calculatedColumnFormula>
    </tableColumn>
    <tableColumn id="34" uniqueName="34" name="Column25" dataDxfId="10">
      <calculatedColumnFormula>_xlfn.IFNA(VLOOKUP($A11&amp;"_"&amp;AH$7,Table9[],8,FALSE),0)</calculatedColumnFormula>
    </tableColumn>
    <tableColumn id="35" uniqueName="35" name="Column26" dataDxfId="9">
      <calculatedColumnFormula>_xlfn.IFNA(VLOOKUP($A11&amp;"_"&amp;AI$7,Table9[],8,FALSE),0)</calculatedColumnFormula>
    </tableColumn>
    <tableColumn id="36" uniqueName="36" name="Column27" dataDxfId="8">
      <calculatedColumnFormula>_xlfn.IFNA(VLOOKUP($A11&amp;"_"&amp;AJ$7,Table9[],8,FALSE),0)</calculatedColumnFormula>
    </tableColumn>
    <tableColumn id="37" uniqueName="37" name="Column28" dataDxfId="7">
      <calculatedColumnFormula>_xlfn.IFNA(VLOOKUP($A11&amp;"_"&amp;$AF$5,Table8[],9,FALSE),0)</calculatedColumnFormula>
    </tableColumn>
    <tableColumn id="38" uniqueName="38" name="Column29" dataDxfId="6">
      <calculatedColumnFormula>_xlfn.IFNA(VLOOKUP($A11&amp;"_"&amp;AL$7,Table9[],8,FALSE),0)</calculatedColumnFormula>
    </tableColumn>
    <tableColumn id="39" uniqueName="39" name="Column30" dataDxfId="5">
      <calculatedColumnFormula>_xlfn.IFNA(VLOOKUP($A11&amp;"_"&amp;AM$7,Table9[],8,FALSE),0)</calculatedColumnFormula>
    </tableColumn>
    <tableColumn id="40" uniqueName="40" name="Column31" dataDxfId="4">
      <calculatedColumnFormula>_xlfn.IFNA(VLOOKUP($A11&amp;"_"&amp;AN$7,Table9[],8,FALSE),0)</calculatedColumnFormula>
    </tableColumn>
    <tableColumn id="41" uniqueName="41" name="Column32" dataDxfId="3">
      <calculatedColumnFormula>_xlfn.IFNA(VLOOKUP($A11&amp;"_"&amp;AO$7,Table9[],8,FALSE),0)</calculatedColumnFormula>
    </tableColumn>
    <tableColumn id="42" uniqueName="42" name="Column33" dataDxfId="2">
      <calculatedColumnFormula>_xlfn.IFNA(VLOOKUP($A11&amp;"_"&amp;AP$7,Table9[],8,FALSE),0)</calculatedColumnFormula>
    </tableColumn>
    <tableColumn id="43" uniqueName="43" name="Column34" dataDxfId="1">
      <calculatedColumnFormula>_xlfn.IFNA(VLOOKUP($A11&amp;"_"&amp;AQ$7,Table9[],8,FALSE),0)</calculatedColumnFormula>
    </tableColumn>
    <tableColumn id="44" uniqueName="44" name="Column35" dataDxfId="0">
      <calculatedColumnFormula>_xlfn.IFNA(VLOOKUP($A11&amp;"_"&amp;$AM$5,Table8[],9,FALSE),0)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A1:F2" tableType="xml" insertRow="1" totalsRowShown="0">
  <autoFilter ref="A1:F2"/>
  <tableColumns count="6">
    <tableColumn id="1" uniqueName="ns1:KeyID" name="ns1:KeyID">
      <xmlColumnPr mapId="2" xpath="/ns1:ReportDataObject/ns1:DailyInMonth/ns1:KeyID" xmlDataType="string"/>
    </tableColumn>
    <tableColumn id="2" uniqueName="ns1:DateInMonth" name="ns1:DateInMonth">
      <xmlColumnPr mapId="2" xpath="/ns1:ReportDataObject/ns1:DailyInMonth/ns1:DateInMonth" xmlDataType="string"/>
    </tableColumn>
    <tableColumn id="3" uniqueName="ns1:DateNameInWeekByNumber" name="ns1:DateNameInWeekByNumber">
      <xmlColumnPr mapId="2" xpath="/ns1:ReportDataObject/ns1:DailyInMonth/ns1:DateNameInWeekByNumber" xmlDataType="int"/>
    </tableColumn>
    <tableColumn id="4" uniqueName="ns1:DateNameInWeekByText" name="ns1:DateNameInWeekByText">
      <xmlColumnPr mapId="2" xpath="/ns1:ReportDataObject/ns1:DailyInMonth/ns1:DateNameInWeekByText" xmlDataType="string"/>
    </tableColumn>
    <tableColumn id="5" uniqueName="ns1:WeekOfMonth" name="ns1:WeekOfMonth">
      <xmlColumnPr mapId="2" xpath="/ns1:ReportDataObject/ns1:DailyInMonth/ns1:WeekOfMonth" xmlDataType="int"/>
    </tableColumn>
    <tableColumn id="6" uniqueName="ns1:WeekOfYear" name="ns1:WeekOfYear">
      <xmlColumnPr mapId="2" xpath="/ns1:ReportDataObject/ns1:DailyInMonth/ns1:WeekOfYear" xmlDataType="int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1:I2" tableType="xml" insertRow="1" totalsRowShown="0">
  <autoFilter ref="A1:I2"/>
  <tableColumns count="9">
    <tableColumn id="1" uniqueName="ns1:FullKeyID" name="ns1:FullKeyID">
      <xmlColumnPr mapId="2" xpath="/ns1:ReportDataObject/ns1:ReportMng_StockDaily_Imported_View/ns1:FullKeyID" xmlDataType="string"/>
    </tableColumn>
    <tableColumn id="2" uniqueName="ns1:KeyID" name="ns1:KeyID">
      <xmlColumnPr mapId="2" xpath="/ns1:ReportDataObject/ns1:ReportMng_StockDaily_Imported_View/ns1:KeyID" xmlDataType="string"/>
    </tableColumn>
    <tableColumn id="3" uniqueName="ns1:GoodsID" name="ns1:GoodsID">
      <xmlColumnPr mapId="2" xpath="/ns1:ReportDataObject/ns1:ReportMng_StockDaily_Imported_View/ns1:GoodsID" xmlDataType="int"/>
    </tableColumn>
    <tableColumn id="4" uniqueName="ns1:ProductStatusID" name="ns1:ProductStatusID">
      <xmlColumnPr mapId="2" xpath="/ns1:ReportDataObject/ns1:ReportMng_StockDaily_Imported_View/ns1:ProductStatusID" xmlDataType="int"/>
    </tableColumn>
    <tableColumn id="5" uniqueName="ns1:ProductType" name="ns1:ProductType">
      <xmlColumnPr mapId="2" xpath="/ns1:ReportDataObject/ns1:ReportMng_StockDaily_Imported_View/ns1:ProductType" xmlDataType="string"/>
    </tableColumn>
    <tableColumn id="6" uniqueName="ns1:ImportedMonth" name="ns1:ImportedMonth">
      <xmlColumnPr mapId="2" xpath="/ns1:ReportDataObject/ns1:ReportMng_StockDaily_Imported_View/ns1:ImportedMonth" xmlDataType="int"/>
    </tableColumn>
    <tableColumn id="7" uniqueName="ns1:WeekOfMonth" name="ns1:WeekOfMonth">
      <xmlColumnPr mapId="2" xpath="/ns1:ReportDataObject/ns1:ReportMng_StockDaily_Imported_View/ns1:WeekOfMonth" xmlDataType="int"/>
    </tableColumn>
    <tableColumn id="8" uniqueName="ns1:Season" name="ns1:Season">
      <xmlColumnPr mapId="2" xpath="/ns1:ReportDataObject/ns1:ReportMng_StockDaily_Imported_View/ns1:Season" xmlDataType="string"/>
    </tableColumn>
    <tableColumn id="9" uniqueName="ns1:ImportedQnt" name="ns1:ImportedQnt">
      <xmlColumnPr mapId="2" xpath="/ns1:ReportDataObject/ns1:ReportMng_StockDaily_Imported_View/ns1:ImportedQnt" xmlDataType="int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1:H2" tableType="xml" insertRow="1" totalsRowShown="0">
  <autoFilter ref="A1:H2"/>
  <tableColumns count="8">
    <tableColumn id="1" uniqueName="ns1:FullKeyID" name="ns1:FullKeyID">
      <xmlColumnPr mapId="2" xpath="/ns1:ReportDataObject/ns1:ReportMng_StockDaily_Picked_View/ns1:FullKeyID" xmlDataType="string"/>
    </tableColumn>
    <tableColumn id="2" uniqueName="ns1:KeyID" name="ns1:KeyID">
      <xmlColumnPr mapId="2" xpath="/ns1:ReportDataObject/ns1:ReportMng_StockDaily_Picked_View/ns1:KeyID" xmlDataType="string"/>
    </tableColumn>
    <tableColumn id="3" uniqueName="ns1:GoodsID" name="ns1:GoodsID">
      <xmlColumnPr mapId="2" xpath="/ns1:ReportDataObject/ns1:ReportMng_StockDaily_Picked_View/ns1:GoodsID" xmlDataType="int"/>
    </tableColumn>
    <tableColumn id="4" uniqueName="ns1:ProductStatusID" name="ns1:ProductStatusID">
      <xmlColumnPr mapId="2" xpath="/ns1:ReportDataObject/ns1:ReportMng_StockDaily_Picked_View/ns1:ProductStatusID" xmlDataType="int"/>
    </tableColumn>
    <tableColumn id="5" uniqueName="ns1:ProductType" name="ns1:ProductType">
      <xmlColumnPr mapId="2" xpath="/ns1:ReportDataObject/ns1:ReportMng_StockDaily_Picked_View/ns1:ProductType" xmlDataType="string"/>
    </tableColumn>
    <tableColumn id="6" uniqueName="ns1:CMRDate" name="ns1:CMRDate">
      <xmlColumnPr mapId="2" xpath="/ns1:ReportDataObject/ns1:ReportMng_StockDaily_Picked_View/ns1:CMRDate" xmlDataType="string"/>
    </tableColumn>
    <tableColumn id="7" uniqueName="ns1:Season" name="ns1:Season">
      <xmlColumnPr mapId="2" xpath="/ns1:ReportDataObject/ns1:ReportMng_StockDaily_Picked_View/ns1:Season" xmlDataType="string"/>
    </tableColumn>
    <tableColumn id="8" uniqueName="ns1:PickedQnt" name="ns1:PickedQnt">
      <xmlColumnPr mapId="2" xpath="/ns1:ReportDataObject/ns1:ReportMng_StockDaily_Picked_View/ns1:PickedQnt" xmlDataType="int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able5" displayName="Table5" ref="A1:D2" tableType="xml" insertRow="1" totalsRowShown="0">
  <autoFilter ref="A1:D2"/>
  <tableColumns count="4">
    <tableColumn id="1" uniqueName="ns1:Season" name="ns1:Season">
      <xmlColumnPr mapId="2" xpath="/ns1:ReportDataObject/ns1:ParamTable/ns1:Season" xmlDataType="string"/>
    </tableColumn>
    <tableColumn id="2" uniqueName="ns1:IsIncludeImage" name="ns1:IsIncludeImage">
      <xmlColumnPr mapId="2" xpath="/ns1:ReportDataObject/ns1:ParamTable/ns1:IsIncludeImage" xmlDataType="boolean"/>
    </tableColumn>
    <tableColumn id="3" uniqueName="ns1:Month" name="ns1:Month">
      <xmlColumnPr mapId="2" xpath="/ns1:ReportDataObject/ns1:ParamTable/ns1:Month" xmlDataType="int"/>
    </tableColumn>
    <tableColumn id="4" uniqueName="ns1:IsIncludeDailyImageProduct" name="ns1:IsIncludeDailyImageProduct">
      <xmlColumnPr mapId="2" xpath="/ns1:ReportDataObject/ns1:ParamTable/ns1:IsIncludeDailyImageProduct" xmlDataType="boolean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"/>
  <sheetViews>
    <sheetView showZeros="0" tabSelected="1" zoomScale="85" zoomScaleNormal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E16" sqref="E16"/>
    </sheetView>
  </sheetViews>
  <sheetFormatPr defaultRowHeight="15"/>
  <cols>
    <col min="1" max="1" width="12.28515625" customWidth="1"/>
    <col min="2" max="2" width="25.7109375" style="38" customWidth="1"/>
    <col min="3" max="3" width="22.7109375" customWidth="1"/>
    <col min="4" max="4" width="16.5703125" customWidth="1"/>
    <col min="5" max="5" width="50.5703125" customWidth="1"/>
    <col min="6" max="6" width="7" style="19" customWidth="1"/>
    <col min="7" max="7" width="7.42578125" style="19" customWidth="1"/>
    <col min="8" max="8" width="8" style="35" customWidth="1"/>
    <col min="9" max="9" width="14.28515625" style="35" customWidth="1"/>
    <col min="10" max="10" width="10" style="35" customWidth="1"/>
    <col min="11" max="11" width="10.42578125" style="35" customWidth="1"/>
    <col min="12" max="12" width="14.42578125" style="35" customWidth="1"/>
    <col min="13" max="14" width="10.42578125" style="35" customWidth="1"/>
    <col min="15" max="15" width="8.5703125" style="19" customWidth="1"/>
    <col min="16" max="16" width="8.5703125" style="17" hidden="1" customWidth="1"/>
    <col min="17" max="17" width="8.5703125" style="19" customWidth="1"/>
    <col min="18" max="18" width="8.5703125" style="17" hidden="1" customWidth="1"/>
    <col min="19" max="19" width="8.5703125" style="19" customWidth="1"/>
    <col min="20" max="20" width="8.5703125" style="17" hidden="1" customWidth="1"/>
    <col min="21" max="21" width="8.5703125" style="19" customWidth="1"/>
    <col min="22" max="22" width="10.140625" style="17" hidden="1" customWidth="1"/>
    <col min="24" max="24" width="0" hidden="1" customWidth="1"/>
    <col min="26" max="26" width="0" hidden="1" customWidth="1"/>
    <col min="27" max="27" width="11" customWidth="1"/>
    <col min="28" max="28" width="9.85546875" hidden="1" customWidth="1"/>
  </cols>
  <sheetData>
    <row r="1" spans="1:28" ht="19.5">
      <c r="A1" s="4" t="s">
        <v>52</v>
      </c>
      <c r="C1" s="5" t="s">
        <v>5</v>
      </c>
      <c r="D1" s="1">
        <f ca="1">NOW()</f>
        <v>42716.424153819447</v>
      </c>
      <c r="G1" s="23" t="s">
        <v>42</v>
      </c>
      <c r="H1" s="32"/>
      <c r="I1" s="126" t="s">
        <v>68</v>
      </c>
      <c r="J1" s="127"/>
      <c r="K1" s="123" t="s">
        <v>57</v>
      </c>
      <c r="L1" s="124"/>
      <c r="M1" s="124"/>
      <c r="N1" s="125"/>
      <c r="O1" s="24">
        <f>P4</f>
        <v>0</v>
      </c>
      <c r="P1" s="24"/>
      <c r="Q1" s="24">
        <f>R4</f>
        <v>0</v>
      </c>
      <c r="R1" s="24"/>
      <c r="S1" s="24">
        <f>T4</f>
        <v>0</v>
      </c>
      <c r="T1" s="24"/>
      <c r="U1" s="24">
        <f>V4</f>
        <v>0</v>
      </c>
      <c r="V1" s="24"/>
      <c r="W1" s="24">
        <f>X4</f>
        <v>0</v>
      </c>
      <c r="X1" s="24"/>
      <c r="Y1" s="24">
        <f>Z4</f>
        <v>0</v>
      </c>
      <c r="Z1" s="24"/>
    </row>
    <row r="2" spans="1:28">
      <c r="G2" s="47" t="s">
        <v>43</v>
      </c>
      <c r="H2" s="36"/>
      <c r="I2" s="128"/>
      <c r="J2" s="129"/>
      <c r="K2" s="46"/>
      <c r="L2" s="46" t="s">
        <v>58</v>
      </c>
      <c r="M2" s="46">
        <v>1.1499999999999999</v>
      </c>
      <c r="N2" s="48">
        <v>2500</v>
      </c>
      <c r="O2" s="37">
        <f>P5</f>
        <v>0</v>
      </c>
      <c r="P2" s="37"/>
      <c r="Q2" s="37">
        <f>R5</f>
        <v>0</v>
      </c>
      <c r="R2" s="37"/>
      <c r="S2" s="37">
        <f>T5</f>
        <v>0</v>
      </c>
      <c r="T2" s="37"/>
      <c r="U2" s="37">
        <f>V5</f>
        <v>0</v>
      </c>
      <c r="V2" s="37"/>
      <c r="W2" s="24">
        <f>X5</f>
        <v>0</v>
      </c>
      <c r="X2" s="37"/>
      <c r="Y2" s="24">
        <f>Z5</f>
        <v>0</v>
      </c>
      <c r="Z2" s="37"/>
    </row>
    <row r="3" spans="1:28" ht="63.75">
      <c r="A3" s="2" t="s">
        <v>6</v>
      </c>
      <c r="B3" s="2" t="s">
        <v>0</v>
      </c>
      <c r="C3" s="2" t="s">
        <v>1</v>
      </c>
      <c r="D3" s="2" t="s">
        <v>2</v>
      </c>
      <c r="E3" s="2" t="s">
        <v>3</v>
      </c>
      <c r="F3" s="30" t="s">
        <v>4</v>
      </c>
      <c r="G3" s="30" t="s">
        <v>19</v>
      </c>
      <c r="H3" s="33" t="s">
        <v>20</v>
      </c>
      <c r="I3" s="33" t="s">
        <v>69</v>
      </c>
      <c r="J3" s="33" t="s">
        <v>70</v>
      </c>
      <c r="K3" s="33" t="s">
        <v>60</v>
      </c>
      <c r="L3" s="33" t="s">
        <v>59</v>
      </c>
      <c r="M3" s="33" t="s">
        <v>61</v>
      </c>
      <c r="N3" s="33" t="s">
        <v>62</v>
      </c>
      <c r="O3" s="30" t="s">
        <v>21</v>
      </c>
      <c r="P3" s="30"/>
      <c r="Q3" s="30" t="s">
        <v>22</v>
      </c>
      <c r="R3" s="30"/>
      <c r="S3" s="30" t="s">
        <v>23</v>
      </c>
      <c r="T3" s="30"/>
      <c r="U3" s="30" t="s">
        <v>44</v>
      </c>
      <c r="V3" s="18"/>
      <c r="W3" s="30" t="s">
        <v>50</v>
      </c>
      <c r="X3" s="18"/>
      <c r="Y3" s="18" t="s">
        <v>49</v>
      </c>
      <c r="Z3" s="18" t="s">
        <v>49</v>
      </c>
      <c r="AA3" s="18" t="s">
        <v>64</v>
      </c>
      <c r="AB3" s="18" t="s">
        <v>74</v>
      </c>
    </row>
    <row r="4" spans="1:28">
      <c r="A4" s="20"/>
      <c r="B4" s="20"/>
      <c r="C4" s="20"/>
      <c r="D4" s="20"/>
      <c r="E4" s="21"/>
      <c r="F4" s="31"/>
      <c r="G4" s="31">
        <f>SUM(Table2[ns1:PhysicalQnt])</f>
        <v>0</v>
      </c>
      <c r="H4" s="34">
        <f>SUM(Table2[ns1:PhysicalQntIn40HC])</f>
        <v>0</v>
      </c>
      <c r="I4" s="34"/>
      <c r="J4" s="34"/>
      <c r="K4" s="34"/>
      <c r="L4" s="57">
        <f>SUM(Table2[Column10])</f>
        <v>0</v>
      </c>
      <c r="M4" s="34"/>
      <c r="N4" s="34"/>
      <c r="O4" s="31">
        <f>SUM(Table2[ns1:OnSeaQnt])</f>
        <v>0</v>
      </c>
      <c r="P4" s="31">
        <f>SUM(Table2[Column1])</f>
        <v>0</v>
      </c>
      <c r="Q4" s="31">
        <f>SUM(Table2[ns1:TobeShippedQnt])</f>
        <v>0</v>
      </c>
      <c r="R4" s="31">
        <f>SUM(Table2[Column2])</f>
        <v>0</v>
      </c>
      <c r="S4" s="31">
        <f>SUM(Table2[ns1:ReservationQnt])</f>
        <v>0</v>
      </c>
      <c r="T4" s="31">
        <f>SUM(Table2[Column3])</f>
        <v>0</v>
      </c>
      <c r="U4" s="31">
        <f>SUM(Table2[ns1:FTSQnt])</f>
        <v>0</v>
      </c>
      <c r="V4" s="22">
        <f>SUM(Table2[Column5])</f>
        <v>0</v>
      </c>
      <c r="W4" s="31">
        <f>SUM(Table2[Column6])</f>
        <v>0</v>
      </c>
      <c r="X4" s="22">
        <f>SUM(Table2[Column62])</f>
        <v>0</v>
      </c>
      <c r="Y4" s="31">
        <f>SUM(Table2[Column7])</f>
        <v>0</v>
      </c>
      <c r="Z4" s="31">
        <f>SUM(Table2[Column8])</f>
        <v>0</v>
      </c>
      <c r="AA4" s="31"/>
      <c r="AB4" s="31"/>
    </row>
    <row r="5" spans="1:28">
      <c r="A5" s="20"/>
      <c r="B5" s="20"/>
      <c r="C5" s="20"/>
      <c r="D5" s="20"/>
      <c r="E5" s="21"/>
      <c r="F5" s="31"/>
      <c r="G5" s="31">
        <f>SUBTOTAL(9,Table2[ns1:PhysicalQnt])</f>
        <v>0</v>
      </c>
      <c r="H5" s="34">
        <f>SUBTOTAL(9,Table2[ns1:PhysicalQntIn40HC])</f>
        <v>0</v>
      </c>
      <c r="I5" s="34"/>
      <c r="J5" s="34"/>
      <c r="K5" s="34"/>
      <c r="L5" s="57">
        <f>SUBTOTAL(9,Table2[Column10])</f>
        <v>0</v>
      </c>
      <c r="M5" s="34"/>
      <c r="N5" s="34"/>
      <c r="O5" s="31">
        <f>SUBTOTAL(9,Table2[ns1:OnSeaQnt])</f>
        <v>0</v>
      </c>
      <c r="P5" s="31">
        <f>SUBTOTAL(9,Table2[Column1])</f>
        <v>0</v>
      </c>
      <c r="Q5" s="31">
        <f>SUBTOTAL(9,Table2[ns1:TobeShippedQnt])</f>
        <v>0</v>
      </c>
      <c r="R5" s="31">
        <f>SUBTOTAL(9,Table2[Column2])</f>
        <v>0</v>
      </c>
      <c r="S5" s="31">
        <f>SUBTOTAL(9,Table2[ns1:ReservationQnt])</f>
        <v>0</v>
      </c>
      <c r="T5" s="31">
        <f>SUBTOTAL(9,Table2[Column3])</f>
        <v>0</v>
      </c>
      <c r="U5" s="31">
        <f>SUBTOTAL(9,Table2[ns1:FTSQnt])</f>
        <v>0</v>
      </c>
      <c r="V5" s="22">
        <f>SUBTOTAL(9,Table2[Column5])</f>
        <v>0</v>
      </c>
      <c r="W5" s="31">
        <f>SUBTOTAL(9,Table2[Column6])</f>
        <v>0</v>
      </c>
      <c r="X5" s="22">
        <f>SUBTOTAL(9,Table2[Column62])</f>
        <v>0</v>
      </c>
      <c r="Y5" s="31">
        <f>SUBTOTAL(9,Table2[Column7])</f>
        <v>0</v>
      </c>
      <c r="Z5" s="31">
        <f>SUBTOTAL(9,Table2[Column8])</f>
        <v>0</v>
      </c>
      <c r="AA5" s="31"/>
      <c r="AB5" s="31"/>
    </row>
    <row r="6" spans="1:28">
      <c r="A6" s="50" t="s">
        <v>7</v>
      </c>
      <c r="B6" s="51" t="s">
        <v>8</v>
      </c>
      <c r="C6" s="49" t="s">
        <v>9</v>
      </c>
      <c r="D6" s="49" t="s">
        <v>10</v>
      </c>
      <c r="E6" s="49" t="s">
        <v>11</v>
      </c>
      <c r="F6" s="52" t="s">
        <v>12</v>
      </c>
      <c r="G6" s="52" t="s">
        <v>13</v>
      </c>
      <c r="H6" s="53" t="s">
        <v>14</v>
      </c>
      <c r="I6" s="53" t="s">
        <v>67</v>
      </c>
      <c r="J6" s="53" t="s">
        <v>66</v>
      </c>
      <c r="K6" s="53" t="s">
        <v>56</v>
      </c>
      <c r="L6" s="53" t="s">
        <v>55</v>
      </c>
      <c r="M6" s="53" t="s">
        <v>54</v>
      </c>
      <c r="N6" s="53" t="s">
        <v>53</v>
      </c>
      <c r="O6" s="52" t="s">
        <v>15</v>
      </c>
      <c r="P6" s="52" t="s">
        <v>37</v>
      </c>
      <c r="Q6" s="52" t="s">
        <v>16</v>
      </c>
      <c r="R6" s="52" t="s">
        <v>38</v>
      </c>
      <c r="S6" s="52" t="s">
        <v>17</v>
      </c>
      <c r="T6" s="52" t="s">
        <v>40</v>
      </c>
      <c r="U6" s="52" t="s">
        <v>18</v>
      </c>
      <c r="V6" s="54" t="s">
        <v>41</v>
      </c>
      <c r="W6" s="55" t="s">
        <v>45</v>
      </c>
      <c r="X6" s="55" t="s">
        <v>47</v>
      </c>
      <c r="Y6" s="55" t="s">
        <v>46</v>
      </c>
      <c r="Z6" s="55" t="s">
        <v>48</v>
      </c>
      <c r="AA6" s="49" t="s">
        <v>63</v>
      </c>
      <c r="AB6" s="56" t="s">
        <v>65</v>
      </c>
    </row>
    <row r="7" spans="1:28" ht="80.099999999999994" customHeight="1">
      <c r="A7" s="39"/>
      <c r="B7" s="60"/>
      <c r="C7" s="39"/>
      <c r="D7" s="41"/>
      <c r="E7" s="73"/>
      <c r="F7" s="61"/>
      <c r="G7" s="61"/>
      <c r="H7" s="62">
        <f>ROUND(IFERROR(Table2[ns1:PhysicalQnt]/Table2[ns1:Qnt40HC],0),2)</f>
        <v>0</v>
      </c>
      <c r="I7" s="71"/>
      <c r="J7" s="71"/>
      <c r="K7" s="63"/>
      <c r="L7" s="63"/>
      <c r="M7" s="64"/>
      <c r="N7" s="63"/>
      <c r="O7" s="61"/>
      <c r="P7" s="61">
        <f>IFERROR(Table2[ns1:OnSeaQnt]/Table2[ns1:Qnt40HC],0)</f>
        <v>0</v>
      </c>
      <c r="Q7" s="61"/>
      <c r="R7" s="61">
        <f>IFERROR(Table2[ns1:TobeShippedQnt]/Table2[ns1:Qnt40HC],0)</f>
        <v>0</v>
      </c>
      <c r="S7" s="61"/>
      <c r="T7" s="61">
        <f>IFERROR(Table2[ns1:ReservationQnt]/Table2[ns1:Qnt40HC],0)</f>
        <v>0</v>
      </c>
      <c r="U7" s="61"/>
      <c r="V7" s="65">
        <f>IFERROR(Table2[ns1:FTSQnt]/Table2[ns1:Qnt40HC],0)</f>
        <v>0</v>
      </c>
      <c r="W7" s="61">
        <f>Table2[ns1:FTSQnt]+Table2[ns1:OnSeaQnt]</f>
        <v>0</v>
      </c>
      <c r="X7" s="65">
        <f>IFERROR(Table2[Column6]/Table2[ns1:Qnt40HC],0)</f>
        <v>0</v>
      </c>
      <c r="Y7" s="61">
        <f>Table2[ns1:FTSQnt]+Table2[ns1:OnSeaQnt]+Table2[ns1:TobeShippedQnt]</f>
        <v>0</v>
      </c>
      <c r="Z7" s="66">
        <f>IFERROR(Table2[Column7]/Table2[ns1:Qnt40HC],0)</f>
        <v>0</v>
      </c>
      <c r="AA7" s="67"/>
      <c r="AB7" s="69"/>
    </row>
  </sheetData>
  <mergeCells count="2">
    <mergeCell ref="K1:N1"/>
    <mergeCell ref="I1:J2"/>
  </mergeCells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"/>
  <sheetViews>
    <sheetView topLeftCell="B1" workbookViewId="0">
      <selection activeCell="B3" sqref="B3"/>
    </sheetView>
  </sheetViews>
  <sheetFormatPr defaultRowHeight="15"/>
  <cols>
    <col min="1" max="1" width="14.140625" hidden="1" customWidth="1"/>
    <col min="2" max="2" width="29.42578125" customWidth="1"/>
    <col min="3" max="3" width="99.85546875" customWidth="1"/>
    <col min="4" max="4" width="14.140625" customWidth="1"/>
    <col min="5" max="5" width="11.140625" customWidth="1"/>
    <col min="6" max="6" width="10.42578125" customWidth="1"/>
  </cols>
  <sheetData>
    <row r="1" spans="1:6" ht="33" customHeight="1">
      <c r="A1" s="68"/>
      <c r="B1" s="68" t="s">
        <v>72</v>
      </c>
      <c r="C1" s="68" t="s">
        <v>3</v>
      </c>
      <c r="D1" s="68" t="s">
        <v>73</v>
      </c>
      <c r="E1" s="68" t="s">
        <v>69</v>
      </c>
      <c r="F1" s="70" t="s">
        <v>75</v>
      </c>
    </row>
    <row r="2" spans="1:6">
      <c r="A2" s="11" t="s">
        <v>27</v>
      </c>
      <c r="B2" s="11" t="s">
        <v>10</v>
      </c>
      <c r="C2" s="11" t="s">
        <v>11</v>
      </c>
      <c r="D2" s="11" t="s">
        <v>7</v>
      </c>
      <c r="E2" s="11" t="s">
        <v>71</v>
      </c>
      <c r="F2" s="11" t="s">
        <v>13</v>
      </c>
    </row>
    <row r="3" spans="1:6">
      <c r="A3" s="9"/>
      <c r="B3" s="41"/>
      <c r="C3" s="72"/>
      <c r="D3" s="39"/>
      <c r="E3" s="39"/>
      <c r="F3" s="8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zoomScale="85" zoomScaleNormal="85" workbookViewId="0">
      <pane xSplit="11" ySplit="8" topLeftCell="L9" activePane="bottomRight" state="frozen"/>
      <selection activeCell="C1" sqref="C1"/>
      <selection pane="topRight" activeCell="K1" sqref="K1"/>
      <selection pane="bottomLeft" activeCell="C9" sqref="C9"/>
      <selection pane="bottomRight" activeCell="H20" sqref="H20"/>
    </sheetView>
  </sheetViews>
  <sheetFormatPr defaultRowHeight="15"/>
  <cols>
    <col min="1" max="1" width="14.28515625" hidden="1" customWidth="1"/>
    <col min="2" max="2" width="14.140625" hidden="1" customWidth="1"/>
    <col min="3" max="3" width="11.42578125" hidden="1" customWidth="1"/>
    <col min="4" max="4" width="10.42578125" customWidth="1"/>
    <col min="5" max="5" width="25.7109375" style="38" customWidth="1"/>
    <col min="6" max="6" width="22.7109375" customWidth="1"/>
    <col min="7" max="7" width="16.5703125" customWidth="1"/>
    <col min="8" max="8" width="50.5703125" customWidth="1"/>
    <col min="9" max="9" width="7" customWidth="1"/>
    <col min="10" max="10" width="6.5703125" customWidth="1"/>
    <col min="11" max="11" width="7.85546875" customWidth="1"/>
    <col min="12" max="12" width="8.85546875" customWidth="1"/>
    <col min="13" max="13" width="3.42578125" customWidth="1"/>
  </cols>
  <sheetData>
    <row r="1" spans="1:13" ht="14.25" customHeight="1">
      <c r="D1" s="130" t="s">
        <v>31</v>
      </c>
      <c r="E1" s="131"/>
      <c r="F1" s="7" t="s">
        <v>5</v>
      </c>
      <c r="G1" s="1">
        <f ca="1">NOW()</f>
        <v>42716.424153819447</v>
      </c>
      <c r="J1" s="25" t="s">
        <v>42</v>
      </c>
      <c r="K1" s="25"/>
      <c r="L1" s="26"/>
      <c r="M1" s="25"/>
    </row>
    <row r="2" spans="1:13" ht="14.25" customHeight="1">
      <c r="D2" s="130"/>
      <c r="E2" s="131"/>
      <c r="J2" s="25" t="s">
        <v>43</v>
      </c>
      <c r="K2" s="25"/>
      <c r="L2" s="26"/>
      <c r="M2" s="25"/>
    </row>
    <row r="3" spans="1:13" ht="44.25" customHeight="1">
      <c r="A3" s="10" t="s">
        <v>32</v>
      </c>
      <c r="B3" s="10" t="s">
        <v>51</v>
      </c>
      <c r="C3" s="10"/>
      <c r="D3" s="2" t="s">
        <v>6</v>
      </c>
      <c r="E3" s="2" t="s">
        <v>0</v>
      </c>
      <c r="F3" s="2" t="s">
        <v>1</v>
      </c>
      <c r="G3" s="2" t="s">
        <v>2</v>
      </c>
      <c r="H3" s="2" t="s">
        <v>3</v>
      </c>
      <c r="I3" s="2" t="s">
        <v>4</v>
      </c>
      <c r="J3" s="2" t="s">
        <v>29</v>
      </c>
      <c r="K3" s="2" t="s">
        <v>30</v>
      </c>
      <c r="L3" s="2"/>
      <c r="M3" s="3"/>
    </row>
    <row r="4" spans="1:13" hidden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3"/>
    </row>
    <row r="5" spans="1:13">
      <c r="A5" s="12"/>
      <c r="B5" s="12"/>
      <c r="C5" s="12"/>
      <c r="D5" s="12"/>
      <c r="E5" s="12"/>
      <c r="F5" s="12"/>
      <c r="G5" s="12"/>
      <c r="H5" s="12"/>
      <c r="I5" s="12"/>
      <c r="J5" s="59" t="s">
        <v>39</v>
      </c>
      <c r="K5" s="27"/>
      <c r="L5" s="28"/>
      <c r="M5" s="29"/>
    </row>
    <row r="6" spans="1:13">
      <c r="A6" s="12"/>
      <c r="B6" s="12"/>
      <c r="C6" s="12"/>
      <c r="D6" s="12"/>
      <c r="E6" s="12"/>
      <c r="F6" s="12"/>
      <c r="G6" s="12"/>
      <c r="H6" s="58" t="s">
        <v>35</v>
      </c>
      <c r="I6" s="12"/>
      <c r="J6" s="15">
        <f>SUM(Table4[ns1:ReservationQnt])</f>
        <v>0</v>
      </c>
      <c r="K6" s="14">
        <f>SUM(Table4[ns1:ReservationQntIn40HC])</f>
        <v>0</v>
      </c>
      <c r="L6" s="15"/>
      <c r="M6" s="14"/>
    </row>
    <row r="7" spans="1:13">
      <c r="A7" s="12"/>
      <c r="B7" s="12"/>
      <c r="C7" s="12"/>
      <c r="D7" s="12"/>
      <c r="E7" s="12"/>
      <c r="F7" s="12"/>
      <c r="G7" s="12"/>
      <c r="H7" s="58" t="s">
        <v>36</v>
      </c>
      <c r="I7" s="12"/>
      <c r="J7" s="15">
        <f>SUBTOTAL(9,Table4[ns1:ReservationQnt])</f>
        <v>0</v>
      </c>
      <c r="K7" s="14">
        <f>SUBTOTAL(9,Table4[ns1:ReservationQntIn40HC])</f>
        <v>0</v>
      </c>
      <c r="L7" s="15"/>
      <c r="M7" s="14"/>
    </row>
    <row r="8" spans="1:13">
      <c r="A8" s="11" t="s">
        <v>33</v>
      </c>
      <c r="B8" s="11" t="s">
        <v>34</v>
      </c>
      <c r="C8" s="11" t="s">
        <v>40</v>
      </c>
      <c r="D8" s="11" t="s">
        <v>7</v>
      </c>
      <c r="E8" s="40" t="s">
        <v>8</v>
      </c>
      <c r="F8" s="11" t="s">
        <v>9</v>
      </c>
      <c r="G8" s="11" t="s">
        <v>10</v>
      </c>
      <c r="H8" s="11" t="s">
        <v>11</v>
      </c>
      <c r="I8" s="11" t="s">
        <v>12</v>
      </c>
      <c r="J8" s="11" t="s">
        <v>17</v>
      </c>
      <c r="K8" s="11" t="s">
        <v>28</v>
      </c>
      <c r="L8" s="16" t="s">
        <v>38</v>
      </c>
      <c r="M8" s="11" t="s">
        <v>37</v>
      </c>
    </row>
    <row r="9" spans="1:13" ht="80.099999999999994" customHeight="1">
      <c r="A9" s="8"/>
      <c r="B9" s="8"/>
      <c r="C9" s="9"/>
      <c r="D9" s="39"/>
      <c r="E9" s="60"/>
      <c r="F9" s="39"/>
      <c r="G9" s="41"/>
      <c r="H9" s="45"/>
      <c r="I9" s="42"/>
      <c r="J9" s="43"/>
      <c r="K9" s="44">
        <f>IFERROR(Table4[ns1:ReservationQnt]/Table4[ns1:Qnt40HC],0)</f>
        <v>0</v>
      </c>
      <c r="L9" s="43"/>
      <c r="M9" s="43"/>
    </row>
  </sheetData>
  <mergeCells count="1">
    <mergeCell ref="D1:E2"/>
  </mergeCells>
  <pageMargins left="0.7" right="0.7" top="0.75" bottom="0.75" header="0.3" footer="0.3"/>
  <pageSetup paperSize="9" orientation="portrait" horizontalDpi="180" verticalDpi="18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A2" sqref="A2:C2"/>
    </sheetView>
  </sheetViews>
  <sheetFormatPr defaultRowHeight="15"/>
  <cols>
    <col min="1" max="1" width="13.5703125" bestFit="1" customWidth="1"/>
    <col min="2" max="2" width="14.42578125" bestFit="1" customWidth="1"/>
    <col min="3" max="3" width="54.28515625" customWidth="1"/>
  </cols>
  <sheetData>
    <row r="1" spans="1:3">
      <c r="A1" t="s">
        <v>24</v>
      </c>
      <c r="B1" t="s">
        <v>25</v>
      </c>
      <c r="C1" t="s">
        <v>26</v>
      </c>
    </row>
    <row r="2" spans="1:3">
      <c r="B2" s="6"/>
      <c r="C2" s="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"/>
  <sheetViews>
    <sheetView workbookViewId="0">
      <selection activeCell="A2" sqref="A2:I2"/>
    </sheetView>
  </sheetViews>
  <sheetFormatPr defaultRowHeight="15"/>
  <cols>
    <col min="1" max="1" width="14.7109375" customWidth="1"/>
    <col min="2" max="2" width="22.42578125" bestFit="1" customWidth="1"/>
    <col min="3" max="3" width="14" customWidth="1"/>
    <col min="4" max="4" width="15.140625" bestFit="1" customWidth="1"/>
    <col min="5" max="5" width="15.42578125" customWidth="1"/>
    <col min="6" max="6" width="16.85546875" bestFit="1" customWidth="1"/>
    <col min="7" max="7" width="14.42578125" bestFit="1" customWidth="1"/>
    <col min="8" max="8" width="20.85546875" bestFit="1" customWidth="1"/>
    <col min="9" max="9" width="27.42578125" bestFit="1" customWidth="1"/>
  </cols>
  <sheetData>
    <row r="1" spans="1:9">
      <c r="A1" t="s">
        <v>27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17</v>
      </c>
      <c r="I1" t="s">
        <v>28</v>
      </c>
    </row>
    <row r="2" spans="1:9">
      <c r="A2" s="6"/>
      <c r="B2" s="6"/>
      <c r="C2" s="6"/>
      <c r="D2" s="6"/>
      <c r="E2" s="6"/>
      <c r="F2" s="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R31"/>
  <sheetViews>
    <sheetView view="pageBreakPreview" zoomScale="80" zoomScaleNormal="70" zoomScaleSheetLayoutView="80" workbookViewId="0">
      <pane xSplit="10" ySplit="10" topLeftCell="K11" activePane="bottomRight" state="frozen"/>
      <selection activeCell="B1" sqref="B1"/>
      <selection pane="topRight" activeCell="K1" sqref="K1"/>
      <selection pane="bottomLeft" activeCell="B11" sqref="B11"/>
      <selection pane="bottomRight" activeCell="F22" sqref="F22"/>
    </sheetView>
  </sheetViews>
  <sheetFormatPr defaultRowHeight="15"/>
  <cols>
    <col min="1" max="1" width="14.140625" hidden="1" customWidth="1"/>
    <col min="2" max="2" width="8" customWidth="1"/>
    <col min="3" max="3" width="9" customWidth="1"/>
    <col min="4" max="4" width="17.42578125" customWidth="1"/>
    <col min="5" max="5" width="9" customWidth="1"/>
    <col min="6" max="6" width="37.140625" customWidth="1"/>
    <col min="7" max="8" width="6.42578125" customWidth="1"/>
    <col min="9" max="9" width="6.5703125" customWidth="1"/>
    <col min="10" max="10" width="0.42578125" style="78" customWidth="1"/>
    <col min="11" max="11" width="6.140625" customWidth="1"/>
    <col min="12" max="12" width="6.140625" style="121" customWidth="1"/>
    <col min="13" max="16" width="6.140625" customWidth="1"/>
    <col min="17" max="17" width="0.28515625" customWidth="1"/>
    <col min="18" max="23" width="6.140625" customWidth="1"/>
    <col min="24" max="24" width="0.42578125" customWidth="1"/>
    <col min="25" max="30" width="6.140625" customWidth="1"/>
    <col min="31" max="31" width="0.28515625" customWidth="1"/>
    <col min="32" max="37" width="6.140625" customWidth="1"/>
    <col min="38" max="38" width="0.28515625" customWidth="1"/>
    <col min="39" max="44" width="6.140625" customWidth="1"/>
  </cols>
  <sheetData>
    <row r="1" spans="1:44" ht="14.25" customHeight="1">
      <c r="A1" s="8"/>
      <c r="B1" s="132" t="str">
        <f>"SALES REPORT MONTH "&amp; ParamTable!C2 &amp;" SEASON " &amp; ParamTable!A2</f>
        <v xml:space="preserve">SALES REPORT MONTH  SEASON </v>
      </c>
      <c r="C1" s="133"/>
      <c r="D1" s="133"/>
      <c r="E1" s="133"/>
      <c r="F1" s="133"/>
      <c r="G1" s="134"/>
      <c r="H1" s="25" t="s">
        <v>42</v>
      </c>
      <c r="I1" s="25"/>
      <c r="J1" s="74"/>
      <c r="K1" s="26">
        <v>0</v>
      </c>
      <c r="L1" s="26">
        <v>0</v>
      </c>
      <c r="M1" s="26">
        <v>0</v>
      </c>
      <c r="N1" s="26">
        <v>0</v>
      </c>
      <c r="O1" s="26">
        <v>0</v>
      </c>
      <c r="P1" s="26">
        <v>0</v>
      </c>
      <c r="R1" s="26">
        <v>0</v>
      </c>
      <c r="S1" s="26">
        <v>0</v>
      </c>
      <c r="T1" s="26">
        <v>0</v>
      </c>
      <c r="U1" s="26">
        <v>0</v>
      </c>
      <c r="V1" s="26">
        <v>0</v>
      </c>
      <c r="W1" s="26">
        <v>0</v>
      </c>
      <c r="Y1" s="26">
        <v>0</v>
      </c>
      <c r="Z1" s="26">
        <v>0</v>
      </c>
      <c r="AA1" s="26">
        <v>0</v>
      </c>
      <c r="AB1" s="26">
        <v>0</v>
      </c>
      <c r="AC1" s="26">
        <v>0</v>
      </c>
      <c r="AD1" s="26">
        <v>0</v>
      </c>
      <c r="AF1" s="26">
        <v>0</v>
      </c>
      <c r="AG1" s="26">
        <v>0</v>
      </c>
      <c r="AH1" s="26">
        <v>0</v>
      </c>
      <c r="AI1" s="26">
        <v>0</v>
      </c>
      <c r="AJ1" s="26">
        <v>0</v>
      </c>
      <c r="AK1" s="26">
        <v>0</v>
      </c>
      <c r="AM1" s="26">
        <v>0</v>
      </c>
      <c r="AN1" s="26">
        <v>0</v>
      </c>
      <c r="AO1" s="26">
        <v>0</v>
      </c>
      <c r="AP1" s="26">
        <v>0</v>
      </c>
      <c r="AQ1" s="26">
        <v>0</v>
      </c>
      <c r="AR1" s="26">
        <v>0</v>
      </c>
    </row>
    <row r="2" spans="1:44" ht="14.25" customHeight="1">
      <c r="A2" s="8"/>
      <c r="B2" s="135"/>
      <c r="C2" s="136"/>
      <c r="D2" s="136"/>
      <c r="E2" s="136"/>
      <c r="F2" s="136"/>
      <c r="G2" s="137"/>
      <c r="H2" s="25" t="s">
        <v>43</v>
      </c>
      <c r="I2" s="25"/>
      <c r="J2" s="74"/>
      <c r="K2" s="26">
        <v>0</v>
      </c>
      <c r="L2" s="26">
        <v>0</v>
      </c>
      <c r="M2" s="26">
        <v>0</v>
      </c>
      <c r="N2" s="26">
        <v>0</v>
      </c>
      <c r="O2" s="26">
        <v>0</v>
      </c>
      <c r="P2" s="26">
        <v>0</v>
      </c>
      <c r="R2" s="26">
        <v>0</v>
      </c>
      <c r="S2" s="26">
        <v>0</v>
      </c>
      <c r="T2" s="26">
        <v>0</v>
      </c>
      <c r="U2" s="26">
        <v>0</v>
      </c>
      <c r="V2" s="26">
        <v>0</v>
      </c>
      <c r="W2" s="26">
        <v>0</v>
      </c>
      <c r="Y2" s="26">
        <v>0</v>
      </c>
      <c r="Z2" s="26">
        <v>0</v>
      </c>
      <c r="AA2" s="26">
        <v>0</v>
      </c>
      <c r="AB2" s="26">
        <v>0</v>
      </c>
      <c r="AC2" s="26">
        <v>0</v>
      </c>
      <c r="AD2" s="26">
        <v>0</v>
      </c>
      <c r="AF2" s="26">
        <v>0</v>
      </c>
      <c r="AG2" s="26">
        <v>0</v>
      </c>
      <c r="AH2" s="26">
        <v>0</v>
      </c>
      <c r="AI2" s="26">
        <v>0</v>
      </c>
      <c r="AJ2" s="26">
        <v>0</v>
      </c>
      <c r="AK2" s="26">
        <v>0</v>
      </c>
      <c r="AM2" s="26">
        <v>0</v>
      </c>
      <c r="AN2" s="26">
        <v>0</v>
      </c>
      <c r="AO2" s="26">
        <v>0</v>
      </c>
      <c r="AP2" s="26">
        <v>0</v>
      </c>
      <c r="AQ2" s="26">
        <v>0</v>
      </c>
      <c r="AR2" s="26">
        <v>0</v>
      </c>
    </row>
    <row r="3" spans="1:44" ht="25.5">
      <c r="A3" s="8"/>
      <c r="B3" s="2" t="s">
        <v>6</v>
      </c>
      <c r="C3" s="2" t="s">
        <v>0</v>
      </c>
      <c r="D3" s="94" t="s">
        <v>1</v>
      </c>
      <c r="E3" s="2" t="s">
        <v>2</v>
      </c>
      <c r="F3" s="2" t="s">
        <v>3</v>
      </c>
      <c r="G3" s="2" t="s">
        <v>4</v>
      </c>
      <c r="H3" s="2" t="s">
        <v>78</v>
      </c>
      <c r="I3" s="2" t="s">
        <v>78</v>
      </c>
      <c r="J3" s="75"/>
      <c r="K3" s="138" t="s">
        <v>79</v>
      </c>
      <c r="L3" s="139"/>
      <c r="M3" s="139"/>
      <c r="N3" s="139"/>
      <c r="O3" s="139"/>
      <c r="P3" s="2" t="s">
        <v>80</v>
      </c>
      <c r="R3" s="138" t="s">
        <v>79</v>
      </c>
      <c r="S3" s="139"/>
      <c r="T3" s="139"/>
      <c r="U3" s="139"/>
      <c r="V3" s="139"/>
      <c r="W3" s="2" t="s">
        <v>80</v>
      </c>
      <c r="Y3" s="138" t="s">
        <v>79</v>
      </c>
      <c r="Z3" s="139"/>
      <c r="AA3" s="139"/>
      <c r="AB3" s="139"/>
      <c r="AC3" s="139"/>
      <c r="AD3" s="2" t="s">
        <v>80</v>
      </c>
      <c r="AF3" s="138" t="s">
        <v>79</v>
      </c>
      <c r="AG3" s="139"/>
      <c r="AH3" s="139"/>
      <c r="AI3" s="139"/>
      <c r="AJ3" s="139"/>
      <c r="AK3" s="2" t="s">
        <v>80</v>
      </c>
      <c r="AM3" s="138" t="s">
        <v>79</v>
      </c>
      <c r="AN3" s="139"/>
      <c r="AO3" s="139"/>
      <c r="AP3" s="139"/>
      <c r="AQ3" s="139"/>
      <c r="AR3" s="2" t="s">
        <v>80</v>
      </c>
    </row>
    <row r="4" spans="1:44">
      <c r="A4" s="8"/>
      <c r="B4" s="76"/>
      <c r="C4" s="76"/>
      <c r="D4" s="95"/>
      <c r="E4" s="76"/>
      <c r="F4" s="76" t="s">
        <v>81</v>
      </c>
      <c r="G4" s="76"/>
      <c r="H4" s="76"/>
      <c r="I4" s="76"/>
      <c r="J4" s="75"/>
      <c r="K4" s="140" t="s">
        <v>82</v>
      </c>
      <c r="L4" s="141"/>
      <c r="M4" s="141"/>
      <c r="N4" s="141"/>
      <c r="O4" s="141"/>
      <c r="P4" s="142"/>
      <c r="R4" s="143" t="s">
        <v>83</v>
      </c>
      <c r="S4" s="144"/>
      <c r="T4" s="144"/>
      <c r="U4" s="144"/>
      <c r="V4" s="144"/>
      <c r="W4" s="145"/>
      <c r="Y4" s="146" t="s">
        <v>84</v>
      </c>
      <c r="Z4" s="147"/>
      <c r="AA4" s="147"/>
      <c r="AB4" s="147"/>
      <c r="AC4" s="147"/>
      <c r="AD4" s="148"/>
      <c r="AF4" s="149" t="s">
        <v>85</v>
      </c>
      <c r="AG4" s="150"/>
      <c r="AH4" s="150"/>
      <c r="AI4" s="150"/>
      <c r="AJ4" s="150"/>
      <c r="AK4" s="151"/>
      <c r="AM4" s="152" t="s">
        <v>86</v>
      </c>
      <c r="AN4" s="153"/>
      <c r="AO4" s="153"/>
      <c r="AP4" s="153"/>
      <c r="AQ4" s="153"/>
      <c r="AR4" s="154"/>
    </row>
    <row r="5" spans="1:44" ht="13.5" hidden="1" customHeight="1">
      <c r="A5" s="8"/>
      <c r="B5" s="76"/>
      <c r="C5" s="76"/>
      <c r="D5" s="95"/>
      <c r="E5" s="76"/>
      <c r="F5" s="76"/>
      <c r="G5" s="76"/>
      <c r="H5" s="76"/>
      <c r="I5" s="76"/>
      <c r="J5" s="75"/>
      <c r="K5" s="140">
        <v>1</v>
      </c>
      <c r="L5" s="141"/>
      <c r="M5" s="141"/>
      <c r="N5" s="141"/>
      <c r="O5" s="141"/>
      <c r="P5" s="142"/>
      <c r="R5" s="143">
        <v>2</v>
      </c>
      <c r="S5" s="144"/>
      <c r="T5" s="144"/>
      <c r="U5" s="144"/>
      <c r="V5" s="144"/>
      <c r="W5" s="145"/>
      <c r="Y5" s="146">
        <v>3</v>
      </c>
      <c r="Z5" s="147"/>
      <c r="AA5" s="147"/>
      <c r="AB5" s="147"/>
      <c r="AC5" s="147"/>
      <c r="AD5" s="148"/>
      <c r="AF5" s="149">
        <v>4</v>
      </c>
      <c r="AG5" s="150"/>
      <c r="AH5" s="150"/>
      <c r="AI5" s="150"/>
      <c r="AJ5" s="150"/>
      <c r="AK5" s="151"/>
      <c r="AM5" s="152">
        <v>5</v>
      </c>
      <c r="AN5" s="153"/>
      <c r="AO5" s="153"/>
      <c r="AP5" s="153"/>
      <c r="AQ5" s="153"/>
      <c r="AR5" s="154"/>
    </row>
    <row r="6" spans="1:44">
      <c r="A6" s="8"/>
      <c r="B6" s="76"/>
      <c r="C6" s="76"/>
      <c r="D6" s="95"/>
      <c r="E6" s="76"/>
      <c r="F6" s="76"/>
      <c r="G6" s="76"/>
      <c r="H6" s="76"/>
      <c r="I6" s="90"/>
      <c r="J6" s="75"/>
      <c r="K6" s="80" t="s">
        <v>88</v>
      </c>
      <c r="L6" s="80" t="s">
        <v>89</v>
      </c>
      <c r="M6" s="80" t="s">
        <v>87</v>
      </c>
      <c r="N6" s="80" t="s">
        <v>90</v>
      </c>
      <c r="O6" s="80" t="s">
        <v>91</v>
      </c>
      <c r="P6" s="80"/>
      <c r="R6" s="84" t="s">
        <v>88</v>
      </c>
      <c r="S6" s="84" t="s">
        <v>89</v>
      </c>
      <c r="T6" s="84" t="s">
        <v>87</v>
      </c>
      <c r="U6" s="84" t="s">
        <v>90</v>
      </c>
      <c r="V6" s="84" t="s">
        <v>91</v>
      </c>
      <c r="W6" s="84"/>
      <c r="Y6" s="81" t="s">
        <v>88</v>
      </c>
      <c r="Z6" s="81" t="s">
        <v>89</v>
      </c>
      <c r="AA6" s="81" t="s">
        <v>87</v>
      </c>
      <c r="AB6" s="81" t="s">
        <v>90</v>
      </c>
      <c r="AC6" s="81" t="s">
        <v>91</v>
      </c>
      <c r="AD6" s="81"/>
      <c r="AF6" s="87" t="s">
        <v>88</v>
      </c>
      <c r="AG6" s="87" t="s">
        <v>89</v>
      </c>
      <c r="AH6" s="87" t="s">
        <v>87</v>
      </c>
      <c r="AI6" s="87" t="s">
        <v>90</v>
      </c>
      <c r="AJ6" s="87" t="s">
        <v>91</v>
      </c>
      <c r="AK6" s="87"/>
      <c r="AM6" s="82" t="s">
        <v>88</v>
      </c>
      <c r="AN6" s="82" t="s">
        <v>89</v>
      </c>
      <c r="AO6" s="82" t="s">
        <v>87</v>
      </c>
      <c r="AP6" s="82" t="s">
        <v>90</v>
      </c>
      <c r="AQ6" s="82" t="s">
        <v>91</v>
      </c>
      <c r="AR6" s="82"/>
    </row>
    <row r="7" spans="1:44" ht="25.5" customHeight="1">
      <c r="A7" s="8"/>
      <c r="B7" s="90"/>
      <c r="C7" s="90"/>
      <c r="D7" s="96"/>
      <c r="E7" s="90"/>
      <c r="F7" s="91"/>
      <c r="G7" s="90"/>
      <c r="H7" s="92"/>
      <c r="I7" s="93"/>
      <c r="J7" s="77"/>
      <c r="K7" s="109" t="str">
        <f>_xlfn.IFNA(VLOOKUP($K$5&amp;"_"&amp;K6,Table7[],2,FALSE),"")</f>
        <v/>
      </c>
      <c r="L7" s="109" t="str">
        <f>_xlfn.IFNA(VLOOKUP($K$5&amp;"_"&amp;L6,Table7[],2,FALSE),"")</f>
        <v/>
      </c>
      <c r="M7" s="109" t="str">
        <f>_xlfn.IFNA(VLOOKUP($K$5&amp;"_"&amp;M6,Table7[],2,FALSE),"")</f>
        <v/>
      </c>
      <c r="N7" s="109" t="str">
        <f>_xlfn.IFNA(VLOOKUP($K$5&amp;"_"&amp;N6,Table7[],2,FALSE),"")</f>
        <v/>
      </c>
      <c r="O7" s="109" t="str">
        <f>_xlfn.IFNA(VLOOKUP($K$5&amp;"_"&amp;O6,Table7[],2,FALSE),"")</f>
        <v/>
      </c>
      <c r="P7" s="83"/>
      <c r="R7" s="110" t="str">
        <f>_xlfn.IFNA(VLOOKUP($R$5&amp;"_"&amp;R6,Table7[],2,FALSE),"")</f>
        <v/>
      </c>
      <c r="S7" s="110" t="str">
        <f>_xlfn.IFNA(VLOOKUP($R$5&amp;"_"&amp;S6,Table7[],2,FALSE),"")</f>
        <v/>
      </c>
      <c r="T7" s="110" t="str">
        <f>_xlfn.IFNA(VLOOKUP($R$5&amp;"_"&amp;T6,Table7[],2,FALSE),"")</f>
        <v/>
      </c>
      <c r="U7" s="110" t="str">
        <f>_xlfn.IFNA(VLOOKUP($R$5&amp;"_"&amp;U6,Table7[],2,FALSE),"")</f>
        <v/>
      </c>
      <c r="V7" s="110" t="str">
        <f>_xlfn.IFNA(VLOOKUP($R$5&amp;"_"&amp;V6,Table7[],2,FALSE),"")</f>
        <v/>
      </c>
      <c r="W7" s="85"/>
      <c r="Y7" s="111" t="str">
        <f>_xlfn.IFNA(VLOOKUP($Y$5&amp;"_"&amp;Y6,Table7[],2,FALSE),"")</f>
        <v/>
      </c>
      <c r="Z7" s="111" t="str">
        <f>_xlfn.IFNA(VLOOKUP($Y$5&amp;"_"&amp;Z6,Table7[],2,FALSE),"")</f>
        <v/>
      </c>
      <c r="AA7" s="111" t="str">
        <f>_xlfn.IFNA(VLOOKUP($Y$5&amp;"_"&amp;AA6,Table7[],2,FALSE),"")</f>
        <v/>
      </c>
      <c r="AB7" s="111" t="str">
        <f>_xlfn.IFNA(VLOOKUP($Y$5&amp;"_"&amp;AB6,Table7[],2,FALSE),"")</f>
        <v/>
      </c>
      <c r="AC7" s="111" t="str">
        <f>_xlfn.IFNA(VLOOKUP($Y$5&amp;"_"&amp;AC6,Table7[],2,FALSE),"")</f>
        <v/>
      </c>
      <c r="AD7" s="86"/>
      <c r="AF7" s="112" t="str">
        <f>_xlfn.IFNA(VLOOKUP($AF$5&amp;"_"&amp;AF6,Table7[],2,FALSE),"")</f>
        <v/>
      </c>
      <c r="AG7" s="112" t="str">
        <f>_xlfn.IFNA(VLOOKUP($AF$5&amp;"_"&amp;AG6,Table7[],2,FALSE),"")</f>
        <v/>
      </c>
      <c r="AH7" s="112" t="str">
        <f>_xlfn.IFNA(VLOOKUP($AF$5&amp;"_"&amp;AH6,Table7[],2,FALSE),"")</f>
        <v/>
      </c>
      <c r="AI7" s="112" t="str">
        <f>_xlfn.IFNA(VLOOKUP($AF$5&amp;"_"&amp;AI6,Table7[],2,FALSE),"")</f>
        <v/>
      </c>
      <c r="AJ7" s="112" t="str">
        <f>_xlfn.IFNA(VLOOKUP($AF$5&amp;"_"&amp;AJ6,Table7[],2,FALSE),"")</f>
        <v/>
      </c>
      <c r="AK7" s="88"/>
      <c r="AM7" s="113" t="str">
        <f>_xlfn.IFNA(VLOOKUP($AM$5&amp;"_"&amp;AM6,Table7[],2,FALSE),"")</f>
        <v/>
      </c>
      <c r="AN7" s="113" t="str">
        <f>_xlfn.IFNA(VLOOKUP($AM$5&amp;"_"&amp;AN6,Table7[],2,FALSE),"")</f>
        <v/>
      </c>
      <c r="AO7" s="113" t="str">
        <f>_xlfn.IFNA(VLOOKUP($AM$5&amp;"_"&amp;AO6,Table7[],2,FALSE),"")</f>
        <v/>
      </c>
      <c r="AP7" s="113" t="str">
        <f>_xlfn.IFNA(VLOOKUP($AM$5&amp;"_"&amp;AP6,Table7[],2,FALSE),"")</f>
        <v/>
      </c>
      <c r="AQ7" s="113" t="str">
        <f>_xlfn.IFNA(VLOOKUP($AM$5&amp;"_"&amp;AQ6,Table7[],2,FALSE),"")</f>
        <v/>
      </c>
      <c r="AR7" s="89"/>
    </row>
    <row r="8" spans="1:44">
      <c r="A8" s="8"/>
      <c r="B8" s="12"/>
      <c r="C8" s="12"/>
      <c r="D8" s="97"/>
      <c r="E8" s="12"/>
      <c r="F8" s="58" t="s">
        <v>35</v>
      </c>
      <c r="G8" s="12"/>
      <c r="H8" s="116">
        <f>SUM(Table10[ns1:Out])</f>
        <v>0</v>
      </c>
      <c r="I8" s="117">
        <f>SUM(Table10[ns1:OutIn40HC])</f>
        <v>0</v>
      </c>
      <c r="J8" s="118"/>
      <c r="K8" s="119">
        <f>SUM(Table10[Column2])</f>
        <v>0</v>
      </c>
      <c r="L8" s="119">
        <f>SUM(Table10[Column3])</f>
        <v>0</v>
      </c>
      <c r="M8" s="119">
        <f>SUM(Table10[Column4])</f>
        <v>0</v>
      </c>
      <c r="N8" s="119">
        <f>SUM(Table10[Column5])</f>
        <v>0</v>
      </c>
      <c r="O8" s="119">
        <f>SUM(Table10[Column6])</f>
        <v>0</v>
      </c>
      <c r="P8" s="119">
        <f>SUM(Table10[Column7])</f>
        <v>0</v>
      </c>
      <c r="Q8" s="119">
        <f>SUM(Table10[Column8])</f>
        <v>0</v>
      </c>
      <c r="R8" s="119">
        <f>SUM(Table10[Column9])</f>
        <v>0</v>
      </c>
      <c r="S8" s="119">
        <f>SUM(Table10[Column10])</f>
        <v>0</v>
      </c>
      <c r="T8" s="119">
        <f>SUM(Table10[Column11])</f>
        <v>0</v>
      </c>
      <c r="U8" s="119">
        <f>SUM(Table10[Column12])</f>
        <v>0</v>
      </c>
      <c r="V8" s="119">
        <f>SUM(Table10[Column13])</f>
        <v>0</v>
      </c>
      <c r="W8" s="119">
        <f>SUM(Table10[Column14])</f>
        <v>0</v>
      </c>
      <c r="X8" s="119">
        <f>SUM(Table10[Column15])</f>
        <v>0</v>
      </c>
      <c r="Y8" s="119">
        <f>SUM(Table10[Column16])</f>
        <v>0</v>
      </c>
      <c r="Z8" s="119">
        <f>SUM(Table10[Column17])</f>
        <v>0</v>
      </c>
      <c r="AA8" s="119">
        <f>SUM(Table10[Column18])</f>
        <v>0</v>
      </c>
      <c r="AB8" s="119">
        <f>SUM(Table10[Column19])</f>
        <v>0</v>
      </c>
      <c r="AC8" s="119">
        <f>SUM(Table10[Column20])</f>
        <v>0</v>
      </c>
      <c r="AD8" s="119">
        <f>SUM(Table10[Column21])</f>
        <v>0</v>
      </c>
      <c r="AE8" s="119">
        <f>SUM(Table10[Column22])</f>
        <v>0</v>
      </c>
      <c r="AF8" s="119">
        <f>SUM(Table10[Column23])</f>
        <v>0</v>
      </c>
      <c r="AG8" s="119">
        <f>SUM(Table10[Column24])</f>
        <v>0</v>
      </c>
      <c r="AH8" s="119">
        <f>SUM(Table10[Column25])</f>
        <v>0</v>
      </c>
      <c r="AI8" s="119">
        <f>SUM(Table10[Column26])</f>
        <v>0</v>
      </c>
      <c r="AJ8" s="119">
        <f>SUM(Table10[Column27])</f>
        <v>0</v>
      </c>
      <c r="AK8" s="119">
        <f>SUM(Table10[Column28])</f>
        <v>0</v>
      </c>
      <c r="AL8" s="119">
        <f>SUM(Table10[Column29])</f>
        <v>0</v>
      </c>
      <c r="AM8" s="119">
        <f>SUM(Table10[Column30])</f>
        <v>0</v>
      </c>
      <c r="AN8" s="119">
        <f>SUM(Table10[Column31])</f>
        <v>0</v>
      </c>
      <c r="AO8" s="119">
        <f>SUM(Table10[Column32])</f>
        <v>0</v>
      </c>
      <c r="AP8" s="119">
        <f>SUM(Table10[Column33])</f>
        <v>0</v>
      </c>
      <c r="AQ8" s="119">
        <f>SUM(Table10[Column34])</f>
        <v>0</v>
      </c>
      <c r="AR8" s="119">
        <f>SUM(Table10[Column35])</f>
        <v>0</v>
      </c>
    </row>
    <row r="9" spans="1:44">
      <c r="A9" s="8"/>
      <c r="B9" s="12"/>
      <c r="C9" s="12"/>
      <c r="D9" s="97"/>
      <c r="E9" s="12"/>
      <c r="F9" s="58" t="s">
        <v>36</v>
      </c>
      <c r="G9" s="12"/>
      <c r="H9" s="116">
        <f>SUBTOTAL(9,Table10[ns1:Out])</f>
        <v>0</v>
      </c>
      <c r="I9" s="117">
        <f>SUBTOTAL(9,Table10[ns1:OutIn40HC])</f>
        <v>0</v>
      </c>
      <c r="J9" s="118"/>
      <c r="K9" s="116">
        <f>SUBTOTAL(9,Table10[Column2])</f>
        <v>0</v>
      </c>
      <c r="L9" s="116">
        <f>SUBTOTAL(9,Table10[Column3])</f>
        <v>0</v>
      </c>
      <c r="M9" s="116">
        <f>SUBTOTAL(9,Table10[Column4])</f>
        <v>0</v>
      </c>
      <c r="N9" s="116">
        <f>SUBTOTAL(9,Table10[Column5])</f>
        <v>0</v>
      </c>
      <c r="O9" s="116">
        <f>SUBTOTAL(9,Table10[Column6])</f>
        <v>0</v>
      </c>
      <c r="P9" s="116">
        <f>SUBTOTAL(9,Table10[Column7])</f>
        <v>0</v>
      </c>
      <c r="Q9" s="116">
        <f>SUBTOTAL(9,Table10[Column8])</f>
        <v>0</v>
      </c>
      <c r="R9" s="116">
        <f>SUBTOTAL(9,Table10[Column9])</f>
        <v>0</v>
      </c>
      <c r="S9" s="116">
        <f>SUBTOTAL(9,Table10[Column10])</f>
        <v>0</v>
      </c>
      <c r="T9" s="116">
        <f>SUBTOTAL(9,Table10[Column11])</f>
        <v>0</v>
      </c>
      <c r="U9" s="116">
        <f>SUBTOTAL(9,Table10[Column12])</f>
        <v>0</v>
      </c>
      <c r="V9" s="116">
        <f>SUBTOTAL(9,Table10[Column13])</f>
        <v>0</v>
      </c>
      <c r="W9" s="116">
        <f>SUBTOTAL(9,Table10[Column14])</f>
        <v>0</v>
      </c>
      <c r="X9" s="116">
        <f>SUBTOTAL(9,Table10[Column15])</f>
        <v>0</v>
      </c>
      <c r="Y9" s="116">
        <f>SUBTOTAL(9,Table10[Column16])</f>
        <v>0</v>
      </c>
      <c r="Z9" s="116">
        <f>SUBTOTAL(9,Table10[Column17])</f>
        <v>0</v>
      </c>
      <c r="AA9" s="116">
        <f>SUBTOTAL(9,Table10[Column18])</f>
        <v>0</v>
      </c>
      <c r="AB9" s="116">
        <f>SUBTOTAL(9,Table10[Column19])</f>
        <v>0</v>
      </c>
      <c r="AC9" s="116">
        <f>SUBTOTAL(9,Table10[Column20])</f>
        <v>0</v>
      </c>
      <c r="AD9" s="116">
        <f>SUBTOTAL(9,Table10[Column21])</f>
        <v>0</v>
      </c>
      <c r="AE9" s="116">
        <f>SUBTOTAL(9,Table10[Column22])</f>
        <v>0</v>
      </c>
      <c r="AF9" s="116">
        <f>SUBTOTAL(9,Table10[Column23])</f>
        <v>0</v>
      </c>
      <c r="AG9" s="116">
        <f>SUBTOTAL(9,Table10[Column24])</f>
        <v>0</v>
      </c>
      <c r="AH9" s="116">
        <f>SUBTOTAL(9,Table10[Column25])</f>
        <v>0</v>
      </c>
      <c r="AI9" s="116">
        <f>SUBTOTAL(9,Table10[Column26])</f>
        <v>0</v>
      </c>
      <c r="AJ9" s="116">
        <f>SUBTOTAL(9,Table10[Column27])</f>
        <v>0</v>
      </c>
      <c r="AK9" s="116">
        <f>SUBTOTAL(9,Table10[Column28])</f>
        <v>0</v>
      </c>
      <c r="AL9" s="116">
        <f>SUBTOTAL(9,Table10[Column29])</f>
        <v>0</v>
      </c>
      <c r="AM9" s="116">
        <f>SUBTOTAL(9,Table10[Column30])</f>
        <v>0</v>
      </c>
      <c r="AN9" s="116">
        <f>SUBTOTAL(9,Table10[Column31])</f>
        <v>0</v>
      </c>
      <c r="AO9" s="116">
        <f>SUBTOTAL(9,Table10[Column32])</f>
        <v>0</v>
      </c>
      <c r="AP9" s="116">
        <f>SUBTOTAL(9,Table10[Column33])</f>
        <v>0</v>
      </c>
      <c r="AQ9" s="116">
        <f>SUBTOTAL(9,Table10[Column34])</f>
        <v>0</v>
      </c>
      <c r="AR9" s="116">
        <f>SUBTOTAL(9,Table10[Column35])</f>
        <v>0</v>
      </c>
    </row>
    <row r="10" spans="1:44">
      <c r="A10" s="98" t="s">
        <v>27</v>
      </c>
      <c r="B10" s="49" t="s">
        <v>7</v>
      </c>
      <c r="C10" s="51" t="s">
        <v>8</v>
      </c>
      <c r="D10" s="49" t="s">
        <v>9</v>
      </c>
      <c r="E10" s="49" t="s">
        <v>10</v>
      </c>
      <c r="F10" s="49" t="s">
        <v>11</v>
      </c>
      <c r="G10" s="49" t="s">
        <v>12</v>
      </c>
      <c r="H10" s="102" t="s">
        <v>126</v>
      </c>
      <c r="I10" s="102" t="s">
        <v>127</v>
      </c>
      <c r="J10" s="103" t="s">
        <v>37</v>
      </c>
      <c r="K10" s="104" t="s">
        <v>38</v>
      </c>
      <c r="L10" s="104" t="s">
        <v>40</v>
      </c>
      <c r="M10" s="104" t="s">
        <v>53</v>
      </c>
      <c r="N10" s="104" t="s">
        <v>41</v>
      </c>
      <c r="O10" s="104" t="s">
        <v>45</v>
      </c>
      <c r="P10" s="104" t="s">
        <v>46</v>
      </c>
      <c r="Q10" s="102" t="s">
        <v>48</v>
      </c>
      <c r="R10" s="104" t="s">
        <v>54</v>
      </c>
      <c r="S10" s="104" t="s">
        <v>55</v>
      </c>
      <c r="T10" s="104" t="s">
        <v>56</v>
      </c>
      <c r="U10" s="104" t="s">
        <v>103</v>
      </c>
      <c r="V10" s="104" t="s">
        <v>104</v>
      </c>
      <c r="W10" s="104" t="s">
        <v>66</v>
      </c>
      <c r="X10" s="102" t="s">
        <v>67</v>
      </c>
      <c r="Y10" s="104" t="s">
        <v>105</v>
      </c>
      <c r="Z10" s="104" t="s">
        <v>106</v>
      </c>
      <c r="AA10" s="104" t="s">
        <v>107</v>
      </c>
      <c r="AB10" s="104" t="s">
        <v>108</v>
      </c>
      <c r="AC10" s="104" t="s">
        <v>109</v>
      </c>
      <c r="AD10" s="104" t="s">
        <v>110</v>
      </c>
      <c r="AE10" s="102" t="s">
        <v>111</v>
      </c>
      <c r="AF10" s="104" t="s">
        <v>112</v>
      </c>
      <c r="AG10" s="104" t="s">
        <v>113</v>
      </c>
      <c r="AH10" s="104" t="s">
        <v>114</v>
      </c>
      <c r="AI10" s="104" t="s">
        <v>115</v>
      </c>
      <c r="AJ10" s="104" t="s">
        <v>116</v>
      </c>
      <c r="AK10" s="104" t="s">
        <v>117</v>
      </c>
      <c r="AL10" s="102" t="s">
        <v>118</v>
      </c>
      <c r="AM10" s="104" t="s">
        <v>119</v>
      </c>
      <c r="AN10" s="104" t="s">
        <v>120</v>
      </c>
      <c r="AO10" s="104" t="s">
        <v>121</v>
      </c>
      <c r="AP10" s="104" t="s">
        <v>122</v>
      </c>
      <c r="AQ10" s="104" t="s">
        <v>123</v>
      </c>
      <c r="AR10" s="105" t="s">
        <v>124</v>
      </c>
    </row>
    <row r="11" spans="1:44" ht="99.95" customHeight="1">
      <c r="A11" s="101"/>
      <c r="B11" s="99"/>
      <c r="C11" s="122"/>
      <c r="D11" s="99"/>
      <c r="E11" s="100"/>
      <c r="F11" s="100"/>
      <c r="G11" s="106"/>
      <c r="H11" s="114">
        <f>Table10[Column2]+Table10[Column3]+Table10[Column4]+Table10[Column5]+Table10[Column6]+Table10[Column9]+Table10[Column10]+Table10[Column11]+Table10[Column12]+Table10[Column13]+Table10[Column16]+Table10[Column17]+Table10[Column18]+Table10[Column19]+Table10[Column20]+Table10[Column23]+Table10[Column24]+Table10[Column25]+Table10[Column26]+Table10[Column27]+Table10[Column30]+Table10[Column31]+Table10[Column32]+Table10[Column33]+Table10[Column34]</f>
        <v>0</v>
      </c>
      <c r="I11" s="107">
        <f>IFERROR(Table10[ns1:Out]/Table10[ns1:Qnt40HC],0)</f>
        <v>0</v>
      </c>
      <c r="J11" s="108"/>
      <c r="K11" s="115">
        <f>_xlfn.IFNA(VLOOKUP($A11&amp;"_"&amp;K$7,Table9[],8,FALSE),0)</f>
        <v>0</v>
      </c>
      <c r="L11" s="120">
        <f>_xlfn.IFNA(VLOOKUP($A11&amp;"_"&amp;L$7,Table9[],8,FALSE),0)</f>
        <v>0</v>
      </c>
      <c r="M11" s="115">
        <f>_xlfn.IFNA(VLOOKUP($A11&amp;"_"&amp;M$7,Table9[],8,FALSE),0)</f>
        <v>0</v>
      </c>
      <c r="N11" s="115">
        <f>_xlfn.IFNA(VLOOKUP($A11&amp;"_"&amp;N$7,Table9[],8,FALSE),0)</f>
        <v>0</v>
      </c>
      <c r="O11" s="115">
        <f>_xlfn.IFNA(VLOOKUP($A11&amp;"_"&amp;O$7,Table9[],8,FALSE),0)</f>
        <v>0</v>
      </c>
      <c r="P11" s="115">
        <f>_xlfn.IFNA(VLOOKUP($A11&amp;"_"&amp;$K$5,Table8[],9,FALSE),0)</f>
        <v>0</v>
      </c>
      <c r="Q11" s="115">
        <f>_xlfn.IFNA(VLOOKUP($A11&amp;"_"&amp;Q$7,Table9[],8,FALSE),0)</f>
        <v>0</v>
      </c>
      <c r="R11" s="115">
        <f>_xlfn.IFNA(VLOOKUP($A11&amp;"_"&amp;R$7,Table9[],8,FALSE),0)</f>
        <v>0</v>
      </c>
      <c r="S11" s="115">
        <f>_xlfn.IFNA(VLOOKUP($A11&amp;"_"&amp;S$7,Table9[],8,FALSE),0)</f>
        <v>0</v>
      </c>
      <c r="T11" s="115">
        <f>_xlfn.IFNA(VLOOKUP($A11&amp;"_"&amp;T$7,Table9[],8,FALSE),0)</f>
        <v>0</v>
      </c>
      <c r="U11" s="115">
        <f>_xlfn.IFNA(VLOOKUP($A11&amp;"_"&amp;U$7,Table9[],8,FALSE),0)</f>
        <v>0</v>
      </c>
      <c r="V11" s="115">
        <f>_xlfn.IFNA(VLOOKUP($A11&amp;"_"&amp;V$7,Table9[],8,FALSE),0)</f>
        <v>0</v>
      </c>
      <c r="W11" s="115">
        <f>_xlfn.IFNA(VLOOKUP($A11&amp;"_"&amp;$R$5,Table8[],9,FALSE),0)</f>
        <v>0</v>
      </c>
      <c r="X11" s="115">
        <f>_xlfn.IFNA(VLOOKUP($A11&amp;"_"&amp;X$7,Table9[],8,FALSE),0)</f>
        <v>0</v>
      </c>
      <c r="Y11" s="115">
        <f>_xlfn.IFNA(VLOOKUP($A11&amp;"_"&amp;Y$7,Table9[],8,FALSE),0)</f>
        <v>0</v>
      </c>
      <c r="Z11" s="115">
        <f>_xlfn.IFNA(VLOOKUP($A11&amp;"_"&amp;Z$7,Table9[],8,FALSE),0)</f>
        <v>0</v>
      </c>
      <c r="AA11" s="115">
        <f>_xlfn.IFNA(VLOOKUP($A11&amp;"_"&amp;AA$7,Table9[],8,FALSE),0)</f>
        <v>0</v>
      </c>
      <c r="AB11" s="115">
        <f>_xlfn.IFNA(VLOOKUP($A11&amp;"_"&amp;AB$7,Table9[],8,FALSE),0)</f>
        <v>0</v>
      </c>
      <c r="AC11" s="115">
        <f>_xlfn.IFNA(VLOOKUP($A11&amp;"_"&amp;AC$7,Table9[],8,FALSE),0)</f>
        <v>0</v>
      </c>
      <c r="AD11" s="115">
        <f>_xlfn.IFNA(VLOOKUP($A11&amp;"_"&amp;$Y$5,Table8[],9,FALSE),0)</f>
        <v>0</v>
      </c>
      <c r="AE11" s="115">
        <f>_xlfn.IFNA(VLOOKUP($A11&amp;"_"&amp;AE$7,Table9[],8,FALSE),0)</f>
        <v>0</v>
      </c>
      <c r="AF11" s="115">
        <f>_xlfn.IFNA(VLOOKUP($A11&amp;"_"&amp;AF$7,Table9[],8,FALSE),0)</f>
        <v>0</v>
      </c>
      <c r="AG11" s="115">
        <f>_xlfn.IFNA(VLOOKUP($A11&amp;"_"&amp;AG$7,Table9[],8,FALSE),0)</f>
        <v>0</v>
      </c>
      <c r="AH11" s="115">
        <f>_xlfn.IFNA(VLOOKUP($A11&amp;"_"&amp;AH$7,Table9[],8,FALSE),0)</f>
        <v>0</v>
      </c>
      <c r="AI11" s="115">
        <f>_xlfn.IFNA(VLOOKUP($A11&amp;"_"&amp;AI$7,Table9[],8,FALSE),0)</f>
        <v>0</v>
      </c>
      <c r="AJ11" s="115">
        <f>_xlfn.IFNA(VLOOKUP($A11&amp;"_"&amp;AJ$7,Table9[],8,FALSE),0)</f>
        <v>0</v>
      </c>
      <c r="AK11" s="115">
        <f>_xlfn.IFNA(VLOOKUP($A11&amp;"_"&amp;$AF$5,Table8[],9,FALSE),0)</f>
        <v>0</v>
      </c>
      <c r="AL11" s="115">
        <f>_xlfn.IFNA(VLOOKUP($A11&amp;"_"&amp;AL$7,Table9[],8,FALSE),0)</f>
        <v>0</v>
      </c>
      <c r="AM11" s="115">
        <f>_xlfn.IFNA(VLOOKUP($A11&amp;"_"&amp;AM$7,Table9[],8,FALSE),0)</f>
        <v>0</v>
      </c>
      <c r="AN11" s="115">
        <f>_xlfn.IFNA(VLOOKUP($A11&amp;"_"&amp;AN$7,Table9[],8,FALSE),0)</f>
        <v>0</v>
      </c>
      <c r="AO11" s="115">
        <f>_xlfn.IFNA(VLOOKUP($A11&amp;"_"&amp;AO$7,Table9[],8,FALSE),0)</f>
        <v>0</v>
      </c>
      <c r="AP11" s="115">
        <f>_xlfn.IFNA(VLOOKUP($A11&amp;"_"&amp;AP$7,Table9[],8,FALSE),0)</f>
        <v>0</v>
      </c>
      <c r="AQ11" s="115">
        <f>_xlfn.IFNA(VLOOKUP($A11&amp;"_"&amp;AQ$7,Table9[],8,FALSE),0)</f>
        <v>0</v>
      </c>
      <c r="AR11" s="115">
        <f>_xlfn.IFNA(VLOOKUP($A11&amp;"_"&amp;$AM$5,Table8[],9,FALSE),0)</f>
        <v>0</v>
      </c>
    </row>
    <row r="12" spans="1:44" ht="14.25" customHeight="1">
      <c r="F12" s="79"/>
    </row>
    <row r="13" spans="1:44" ht="14.25" customHeight="1"/>
    <row r="14" spans="1:44" ht="14.25" customHeight="1"/>
    <row r="15" spans="1:44" ht="14.25" customHeight="1"/>
    <row r="16" spans="1:44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</sheetData>
  <mergeCells count="16">
    <mergeCell ref="B1:G2"/>
    <mergeCell ref="AM3:AQ3"/>
    <mergeCell ref="K5:P5"/>
    <mergeCell ref="R5:W5"/>
    <mergeCell ref="Y5:AD5"/>
    <mergeCell ref="AF5:AK5"/>
    <mergeCell ref="AM5:AR5"/>
    <mergeCell ref="K4:P4"/>
    <mergeCell ref="R4:W4"/>
    <mergeCell ref="Y4:AD4"/>
    <mergeCell ref="AF4:AK4"/>
    <mergeCell ref="AM4:AR4"/>
    <mergeCell ref="K3:O3"/>
    <mergeCell ref="R3:V3"/>
    <mergeCell ref="Y3:AC3"/>
    <mergeCell ref="AF3:AJ3"/>
  </mergeCells>
  <pageMargins left="0.7" right="0.7" top="0.75" bottom="0.75" header="0.3" footer="0.3"/>
  <pageSetup scale="42" fitToHeight="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"/>
  <sheetViews>
    <sheetView workbookViewId="0">
      <selection activeCell="C10" sqref="C10"/>
    </sheetView>
  </sheetViews>
  <sheetFormatPr defaultRowHeight="15"/>
  <cols>
    <col min="1" max="1" width="18" bestFit="1" customWidth="1"/>
    <col min="2" max="2" width="20.5703125" customWidth="1"/>
    <col min="3" max="4" width="28.85546875" bestFit="1" customWidth="1"/>
    <col min="5" max="5" width="19.42578125" bestFit="1" customWidth="1"/>
    <col min="6" max="6" width="17.7109375" bestFit="1" customWidth="1"/>
  </cols>
  <sheetData>
    <row r="1" spans="1:6">
      <c r="A1" t="s">
        <v>27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</row>
    <row r="2" spans="1:6">
      <c r="A2" s="6"/>
      <c r="B2" s="6"/>
      <c r="D2" s="6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"/>
  <sheetViews>
    <sheetView workbookViewId="0">
      <selection activeCell="D14" sqref="D14"/>
    </sheetView>
  </sheetViews>
  <sheetFormatPr defaultRowHeight="15"/>
  <cols>
    <col min="1" max="1" width="15.140625" bestFit="1" customWidth="1"/>
    <col min="2" max="2" width="14.28515625" bestFit="1" customWidth="1"/>
    <col min="3" max="3" width="21.28515625" bestFit="1" customWidth="1"/>
    <col min="4" max="4" width="18" bestFit="1" customWidth="1"/>
    <col min="5" max="6" width="20.28515625" bestFit="1" customWidth="1"/>
    <col min="7" max="7" width="19.42578125" bestFit="1" customWidth="1"/>
    <col min="8" max="8" width="13.140625" bestFit="1" customWidth="1"/>
    <col min="9" max="9" width="17.7109375" bestFit="1" customWidth="1"/>
  </cols>
  <sheetData>
    <row r="1" spans="1:9">
      <c r="A1" t="s">
        <v>97</v>
      </c>
      <c r="B1" t="s">
        <v>27</v>
      </c>
      <c r="C1" t="s">
        <v>98</v>
      </c>
      <c r="D1" t="s">
        <v>33</v>
      </c>
      <c r="E1" t="s">
        <v>99</v>
      </c>
      <c r="F1" t="s">
        <v>125</v>
      </c>
      <c r="G1" t="s">
        <v>95</v>
      </c>
      <c r="H1" t="s">
        <v>76</v>
      </c>
      <c r="I1" t="s">
        <v>100</v>
      </c>
    </row>
    <row r="2" spans="1:9">
      <c r="A2" s="6"/>
      <c r="B2" s="6"/>
      <c r="E2" s="6"/>
      <c r="H2" s="6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G17" sqref="G17"/>
    </sheetView>
  </sheetViews>
  <sheetFormatPr defaultRowHeight="15"/>
  <cols>
    <col min="1" max="1" width="15.140625" bestFit="1" customWidth="1"/>
    <col min="2" max="2" width="11.7109375" bestFit="1" customWidth="1"/>
    <col min="3" max="3" width="14.28515625" bestFit="1" customWidth="1"/>
    <col min="4" max="4" width="21.28515625" bestFit="1" customWidth="1"/>
    <col min="5" max="5" width="18" bestFit="1" customWidth="1"/>
    <col min="6" max="6" width="15.140625" bestFit="1" customWidth="1"/>
    <col min="7" max="7" width="15.140625" customWidth="1"/>
    <col min="8" max="8" width="15.85546875" bestFit="1" customWidth="1"/>
  </cols>
  <sheetData>
    <row r="1" spans="1:8">
      <c r="A1" t="s">
        <v>97</v>
      </c>
      <c r="B1" t="s">
        <v>27</v>
      </c>
      <c r="C1" t="s">
        <v>98</v>
      </c>
      <c r="D1" t="s">
        <v>33</v>
      </c>
      <c r="E1" t="s">
        <v>99</v>
      </c>
      <c r="F1" t="s">
        <v>101</v>
      </c>
      <c r="G1" t="s">
        <v>76</v>
      </c>
      <c r="H1" t="s">
        <v>102</v>
      </c>
    </row>
    <row r="2" spans="1:8">
      <c r="A2" s="6"/>
      <c r="B2" s="6"/>
      <c r="E2" s="6"/>
      <c r="F2" s="6"/>
      <c r="G2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"/>
  <sheetViews>
    <sheetView workbookViewId="0">
      <selection activeCell="D12" sqref="D12"/>
    </sheetView>
  </sheetViews>
  <sheetFormatPr defaultRowHeight="15"/>
  <cols>
    <col min="1" max="1" width="13.140625" bestFit="1" customWidth="1"/>
    <col min="2" max="2" width="20" bestFit="1" customWidth="1"/>
    <col min="3" max="3" width="12.140625" bestFit="1" customWidth="1"/>
    <col min="4" max="4" width="31.5703125" bestFit="1" customWidth="1"/>
  </cols>
  <sheetData>
    <row r="1" spans="1:4">
      <c r="A1" t="s">
        <v>76</v>
      </c>
      <c r="B1" t="s">
        <v>77</v>
      </c>
      <c r="C1" t="s">
        <v>128</v>
      </c>
      <c r="D1" t="s">
        <v>129</v>
      </c>
    </row>
    <row r="2" spans="1:4">
      <c r="A2" s="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StockOverview</vt:lpstr>
      <vt:lpstr>Physical Stock By Location</vt:lpstr>
      <vt:lpstr>Reservation</vt:lpstr>
      <vt:lpstr>Client</vt:lpstr>
      <vt:lpstr>ReservationData</vt:lpstr>
      <vt:lpstr>Sales Daily Report</vt:lpstr>
      <vt:lpstr>DailyInMonth</vt:lpstr>
      <vt:lpstr>Imported</vt:lpstr>
      <vt:lpstr>Picked</vt:lpstr>
      <vt:lpstr>ParamTable</vt:lpstr>
      <vt:lpstr>'Sales Daily Report'!Print_Area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my.nguyen</dc:creator>
  <cp:lastModifiedBy>Quang</cp:lastModifiedBy>
  <cp:lastPrinted>2016-05-06T08:33:41Z</cp:lastPrinted>
  <dcterms:created xsi:type="dcterms:W3CDTF">2015-03-27T06:16:18Z</dcterms:created>
  <dcterms:modified xsi:type="dcterms:W3CDTF">2016-12-12T03:11:09Z</dcterms:modified>
</cp:coreProperties>
</file>