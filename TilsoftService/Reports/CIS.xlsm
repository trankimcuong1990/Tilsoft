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120" yWindow="105" windowWidth="15120" windowHeight="6225" tabRatio="902"/>
  </bookViews>
  <sheets>
    <sheet name="Overview" sheetId="1" r:id="rId1"/>
    <sheet name="Template" sheetId="19" r:id="rId2"/>
    <sheet name="CIS_Client_View" sheetId="14" r:id="rId3"/>
    <sheet name="CIS_SalesProformaBySeason_View" sheetId="15" r:id="rId4"/>
    <sheet name="CIS_SalesProformaByItem_View" sheetId="16" r:id="rId5"/>
    <sheet name="CIS_LoadingPlanDetail_View" sheetId="17" r:id="rId6"/>
    <sheet name="CIS_PiceComparison_View" sheetId="18" r:id="rId7"/>
    <sheet name="PriceComparison" sheetId="7" r:id="rId8"/>
  </sheets>
  <functionGroups builtInGroupCount="18"/>
  <definedNames>
    <definedName name="_xlnm.Print_Area" localSheetId="0">Overview!$A$1:$I$24</definedName>
  </definedNames>
  <calcPr calcId="162913"/>
</workbook>
</file>

<file path=xl/calcChain.xml><?xml version="1.0" encoding="utf-8"?>
<calcChain xmlns="http://schemas.openxmlformats.org/spreadsheetml/2006/main">
  <c r="H11" i="19" l="1"/>
  <c r="H12" i="19" s="1"/>
  <c r="G11" i="19"/>
  <c r="G12" i="19" s="1"/>
  <c r="F11" i="19"/>
  <c r="F12" i="19" s="1"/>
  <c r="E11" i="19"/>
  <c r="E12" i="19" s="1"/>
  <c r="D11" i="19"/>
  <c r="D12" i="19" s="1"/>
  <c r="C11" i="19"/>
  <c r="C12" i="19" s="1"/>
  <c r="B11" i="19"/>
  <c r="A11" i="19"/>
  <c r="H9" i="19"/>
  <c r="G9" i="19"/>
  <c r="F9" i="19"/>
  <c r="E9" i="19"/>
  <c r="D9" i="19"/>
  <c r="C9" i="19"/>
  <c r="H1" i="7" l="1"/>
  <c r="F1" i="7"/>
  <c r="D1" i="7"/>
  <c r="G1" i="7"/>
  <c r="E1" i="7"/>
  <c r="C1" i="7"/>
  <c r="C26" i="19"/>
  <c r="C18" i="19"/>
  <c r="A4" i="19" l="1"/>
  <c r="B5" i="7" l="1"/>
  <c r="K5" i="7" l="1"/>
  <c r="J5" i="7"/>
  <c r="I5" i="7"/>
  <c r="H5" i="7"/>
  <c r="G5" i="7"/>
  <c r="F5" i="7"/>
  <c r="E5" i="7"/>
  <c r="D5" i="7"/>
  <c r="C5" i="7"/>
  <c r="A5" i="7"/>
  <c r="H23" i="1" l="1"/>
  <c r="G23" i="1"/>
  <c r="F23" i="1"/>
  <c r="E23" i="1"/>
  <c r="D23" i="1"/>
  <c r="G9" i="1" l="1"/>
  <c r="G10" i="1"/>
  <c r="G12" i="1"/>
  <c r="G13" i="1"/>
  <c r="G8" i="1"/>
  <c r="G7" i="1"/>
  <c r="G6" i="1"/>
  <c r="G5" i="1"/>
  <c r="B13" i="1"/>
  <c r="B12" i="1"/>
  <c r="B11" i="1"/>
  <c r="B10" i="1"/>
  <c r="B9" i="1"/>
  <c r="B8" i="1"/>
  <c r="B7" i="1"/>
  <c r="B6" i="1"/>
  <c r="B5" i="1"/>
  <c r="G11" i="1"/>
  <c r="A2" i="1"/>
  <c r="C29" i="19" l="1"/>
  <c r="C21" i="19"/>
  <c r="H4" i="19" l="1"/>
  <c r="G4" i="19"/>
  <c r="F4" i="19"/>
  <c r="E4" i="19"/>
  <c r="D4" i="19"/>
  <c r="C4" i="19"/>
  <c r="B4" i="19"/>
  <c r="E5" i="19" l="1"/>
  <c r="E2" i="19"/>
  <c r="F5" i="19"/>
  <c r="F2" i="19"/>
  <c r="C5" i="19"/>
  <c r="C2" i="19"/>
  <c r="G5" i="19"/>
  <c r="G2" i="19"/>
  <c r="D5" i="19"/>
  <c r="D2" i="19"/>
  <c r="H5" i="19"/>
  <c r="H2" i="19"/>
  <c r="H3" i="7"/>
  <c r="G3" i="7"/>
  <c r="F3" i="7"/>
  <c r="E3" i="7"/>
  <c r="D3" i="7"/>
  <c r="C3" i="7"/>
  <c r="H2" i="7"/>
  <c r="G2" i="7"/>
  <c r="F2" i="7"/>
  <c r="E2" i="7"/>
  <c r="D2" i="7"/>
  <c r="I2" i="7" s="1"/>
  <c r="C2" i="7"/>
  <c r="K2" i="7" l="1"/>
  <c r="K3" i="7"/>
  <c r="J2" i="7"/>
  <c r="J3" i="7"/>
  <c r="I3" i="7"/>
</calcChain>
</file>

<file path=xl/connections.xml><?xml version="1.0" encoding="utf-8"?>
<connections xmlns="http://schemas.openxmlformats.org/spreadsheetml/2006/main">
  <connection id="1" name="000500" type="4" refreshedVersion="0" background="1">
    <webPr xml="1" sourceData="1" url="C:\Users\tvangestel\AppData\Local\Temp\000500.xml" htmlTables="1" htmlFormat="all"/>
  </connection>
  <connection id="2" name="XMLData" type="4" refreshedVersion="0" background="1">
    <webPr xml="1" sourceData="1" url="C:\Users\mynt\Desktop\XMLData.xml" htmlTables="1" htmlFormat="all"/>
  </connection>
</connections>
</file>

<file path=xl/sharedStrings.xml><?xml version="1.0" encoding="utf-8"?>
<sst xmlns="http://schemas.openxmlformats.org/spreadsheetml/2006/main" count="182" uniqueCount="122">
  <si>
    <t>Franco €</t>
  </si>
  <si>
    <t>FOB $</t>
  </si>
  <si>
    <t>Exchange rate:</t>
  </si>
  <si>
    <t>Item description</t>
  </si>
  <si>
    <t>CUSTOMER INFORMATION SHEET</t>
  </si>
  <si>
    <t>SALES</t>
  </si>
  <si>
    <t>Agreed LDS</t>
  </si>
  <si>
    <t>Actual Date of shipping</t>
  </si>
  <si>
    <t>ETA Destination</t>
  </si>
  <si>
    <t>Pro Forma Invoice nr.</t>
  </si>
  <si>
    <t>Total</t>
  </si>
  <si>
    <t>Nr. Of Items</t>
  </si>
  <si>
    <t>Nr. Of Cont.</t>
  </si>
  <si>
    <t>Amount</t>
  </si>
  <si>
    <t>Container</t>
  </si>
  <si>
    <t>ns1:Season</t>
  </si>
  <si>
    <t>SALE Unit Price FOB ($)</t>
  </si>
  <si>
    <t>Sale Order Amount FOB ($)</t>
  </si>
  <si>
    <t>SALE Unit Price Franco  (€)</t>
  </si>
  <si>
    <t>Sale Order Amount Franco (€)</t>
  </si>
  <si>
    <t>Cont</t>
  </si>
  <si>
    <t>ns1:Blank1</t>
  </si>
  <si>
    <t>ns1:Blank2</t>
  </si>
  <si>
    <t>ns1:Blank3</t>
  </si>
  <si>
    <t>ns1:Cont</t>
  </si>
  <si>
    <t>ns1:FOB</t>
  </si>
  <si>
    <t>ns1:Franco</t>
  </si>
  <si>
    <t>ns1:TotalSales</t>
  </si>
  <si>
    <t>ns1:Description</t>
  </si>
  <si>
    <t>Name</t>
  </si>
  <si>
    <t>Code</t>
  </si>
  <si>
    <t>Address</t>
  </si>
  <si>
    <t>Website</t>
  </si>
  <si>
    <t>Phone</t>
  </si>
  <si>
    <t>Fax</t>
  </si>
  <si>
    <t>Accountmanager</t>
  </si>
  <si>
    <t>Date</t>
  </si>
  <si>
    <t>Time</t>
  </si>
  <si>
    <t>First Year Of Business</t>
  </si>
  <si>
    <t>Payment Term</t>
  </si>
  <si>
    <t>Delivery Term</t>
  </si>
  <si>
    <t>Qnt Of Store</t>
  </si>
  <si>
    <t>Type</t>
  </si>
  <si>
    <t>Total Sales €</t>
  </si>
  <si>
    <t>Default contact</t>
  </si>
  <si>
    <t>DELTA % AMOUNT</t>
  </si>
  <si>
    <t>DELTA % FOB ($)</t>
  </si>
  <si>
    <t>DELTA % FRANCO (€)</t>
  </si>
  <si>
    <t>ns1:RowIndex</t>
  </si>
  <si>
    <t>ns1:CurrentFOBPrice</t>
  </si>
  <si>
    <t>ns1:LastFOBPrice</t>
  </si>
  <si>
    <t>ns1:CurrentFrancoPrice</t>
  </si>
  <si>
    <t>ns1:LastFrancoPrice</t>
  </si>
  <si>
    <t>ns1:DeltaAmount</t>
  </si>
  <si>
    <t>ns1:DeltaFOBPrice</t>
  </si>
  <si>
    <t>ns1:DeltaFrancoPrice</t>
  </si>
  <si>
    <t>ns1:CurrentAmount</t>
  </si>
  <si>
    <t>ns1:LastAmount</t>
  </si>
  <si>
    <t>Sub Total</t>
  </si>
  <si>
    <t>#</t>
  </si>
  <si>
    <t>ClientID</t>
  </si>
  <si>
    <t>ClientNM</t>
  </si>
  <si>
    <t>ClientUD</t>
  </si>
  <si>
    <t>ZipCode</t>
  </si>
  <si>
    <t>ClientCityNM</t>
  </si>
  <si>
    <t>ClientCountryNM</t>
  </si>
  <si>
    <t>Telephone</t>
  </si>
  <si>
    <t>SaleNM</t>
  </si>
  <si>
    <t>DateOfPrint</t>
  </si>
  <si>
    <t>TimeOfPrint</t>
  </si>
  <si>
    <t>LogoImagePath</t>
  </si>
  <si>
    <t>ContactPersonFullName</t>
  </si>
  <si>
    <t>HaveBusinessRelationshipFromYear</t>
  </si>
  <si>
    <t>PaymentTermNM</t>
  </si>
  <si>
    <t>QntOfStore</t>
  </si>
  <si>
    <t>ClientTypeNM</t>
  </si>
  <si>
    <t>DeliveryTermNM</t>
  </si>
  <si>
    <t>Season</t>
  </si>
  <si>
    <t>FOB</t>
  </si>
  <si>
    <t>Franco</t>
  </si>
  <si>
    <t>TotalSales</t>
  </si>
  <si>
    <t>Blank1</t>
  </si>
  <si>
    <t>Blank2</t>
  </si>
  <si>
    <t>Blank3</t>
  </si>
  <si>
    <t>Description</t>
  </si>
  <si>
    <t>ProformaInvoiceNo</t>
  </si>
  <si>
    <t>LDS</t>
  </si>
  <si>
    <t>ShippedDate</t>
  </si>
  <si>
    <t>ETA</t>
  </si>
  <si>
    <t>ContainerNo</t>
  </si>
  <si>
    <t>IsShipped</t>
  </si>
  <si>
    <t>RowIndex</t>
  </si>
  <si>
    <t>LastFrancoPrice</t>
  </si>
  <si>
    <t>DeltaAmount</t>
  </si>
  <si>
    <t>DeltaFOBPrice</t>
  </si>
  <si>
    <t>DeltaFrancoPrice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</si>
  <si>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</si>
  <si>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</si>
  <si>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</si>
  <si>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</si>
  <si>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</si>
  <si>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</si>
  <si>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</si>
  <si>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</si>
  <si>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Shipped</t>
  </si>
  <si>
    <t>CurrentAmount</t>
  </si>
  <si>
    <t>LastAmount</t>
  </si>
  <si>
    <t>CurrentFOBPrice</t>
  </si>
  <si>
    <t>LastFOBPrice</t>
  </si>
  <si>
    <t>CurrentFrancoPrice</t>
  </si>
  <si>
    <t>ModelID</t>
  </si>
  <si>
    <t>ArticleCode</t>
  </si>
  <si>
    <t>NumberOfItem</t>
  </si>
  <si>
    <t>FOB_UnitPrice</t>
  </si>
  <si>
    <t>Franco_UnitPrice</t>
  </si>
  <si>
    <t>ProductImageThumbnailLocation</t>
  </si>
  <si>
    <t>Total Shipped</t>
  </si>
  <si>
    <t>Total Tobe shipped</t>
  </si>
  <si>
    <t>Tobe shipped</t>
  </si>
  <si>
    <t>GoodsType</t>
  </si>
  <si>
    <t>Proforma Invoice (Product)</t>
  </si>
  <si>
    <t>Proforma Invoice (Sparepart)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</si>
</sst>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$-409]#,##0.00"/>
    <numFmt numFmtId="165" formatCode="[$-409]d\-mmm\-yyyy;@"/>
    <numFmt numFmtId="166" formatCode="h:mm;@"/>
    <numFmt numFmtId="167" formatCode="[$€-413]\ #,##0.00"/>
    <numFmt numFmtId="168" formatCode="[$$-413]\ #,##0.00"/>
  </numFmts>
  <fonts count="19" x14ac:knownFonts="1">
    <font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i/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u/>
      <sz val="11"/>
      <name val="Calibri"/>
      <family val="2"/>
    </font>
    <font>
      <b/>
      <sz val="11"/>
      <color theme="1"/>
      <name val="Calibri"/>
      <family val="2"/>
      <scheme val="minor"/>
    </font>
    <font>
      <i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name val="Calibri"/>
      <family val="2"/>
    </font>
    <font>
      <i/>
      <sz val="11"/>
      <name val="Calibri"/>
      <family val="2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538DD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1" fillId="2" borderId="0" xfId="0" applyFont="1" applyFill="1" applyBorder="1"/>
    <xf numFmtId="0" fontId="1" fillId="2" borderId="0" xfId="0" applyFont="1" applyFill="1" applyBorder="1" applyAlignment="1"/>
    <xf numFmtId="0" fontId="0" fillId="2" borderId="0" xfId="0" applyFill="1" applyBorder="1"/>
    <xf numFmtId="0" fontId="1" fillId="2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6" fillId="2" borderId="0" xfId="0" applyFont="1" applyFill="1" applyBorder="1" applyAlignment="1"/>
    <xf numFmtId="0" fontId="4" fillId="2" borderId="0" xfId="0" applyFont="1" applyFill="1" applyAlignment="1"/>
    <xf numFmtId="0" fontId="0" fillId="2" borderId="0" xfId="0" applyFill="1" applyAlignment="1"/>
    <xf numFmtId="0" fontId="0" fillId="2" borderId="0" xfId="0" applyFill="1" applyBorder="1" applyAlignment="1"/>
    <xf numFmtId="0" fontId="7" fillId="2" borderId="0" xfId="0" applyFont="1" applyFill="1" applyAlignment="1"/>
    <xf numFmtId="0" fontId="1" fillId="0" borderId="0" xfId="0" applyFont="1" applyAlignment="1">
      <alignment horizontal="center" vertical="top" wrapText="1"/>
    </xf>
    <xf numFmtId="0" fontId="2" fillId="2" borderId="0" xfId="0" applyFont="1" applyFill="1"/>
    <xf numFmtId="49" fontId="0" fillId="0" borderId="0" xfId="0" applyNumberFormat="1"/>
    <xf numFmtId="0" fontId="0" fillId="2" borderId="11" xfId="0" applyFill="1" applyBorder="1" applyAlignment="1"/>
    <xf numFmtId="0" fontId="14" fillId="2" borderId="10" xfId="0" applyFont="1" applyFill="1" applyBorder="1" applyAlignment="1"/>
    <xf numFmtId="0" fontId="12" fillId="2" borderId="11" xfId="0" applyFont="1" applyFill="1" applyBorder="1" applyAlignment="1"/>
    <xf numFmtId="0" fontId="12" fillId="2" borderId="9" xfId="0" applyFont="1" applyFill="1" applyBorder="1" applyAlignment="1">
      <alignment horizontal="center"/>
    </xf>
    <xf numFmtId="49" fontId="10" fillId="2" borderId="5" xfId="0" applyNumberFormat="1" applyFont="1" applyFill="1" applyBorder="1" applyAlignment="1">
      <alignment horizontal="right"/>
    </xf>
    <xf numFmtId="49" fontId="10" fillId="2" borderId="0" xfId="0" applyNumberFormat="1" applyFont="1" applyFill="1" applyBorder="1" applyAlignment="1">
      <alignment horizontal="right"/>
    </xf>
    <xf numFmtId="49" fontId="10" fillId="2" borderId="0" xfId="0" applyNumberFormat="1" applyFont="1" applyFill="1" applyBorder="1" applyAlignment="1">
      <alignment horizontal="left"/>
    </xf>
    <xf numFmtId="49" fontId="10" fillId="2" borderId="5" xfId="0" applyNumberFormat="1" applyFont="1" applyFill="1" applyBorder="1" applyAlignment="1">
      <alignment horizontal="right" wrapText="1"/>
    </xf>
    <xf numFmtId="49" fontId="10" fillId="2" borderId="0" xfId="0" applyNumberFormat="1" applyFont="1" applyFill="1" applyBorder="1" applyAlignment="1">
      <alignment horizontal="right" wrapText="1"/>
    </xf>
    <xf numFmtId="49" fontId="9" fillId="2" borderId="5" xfId="0" applyNumberFormat="1" applyFont="1" applyFill="1" applyBorder="1" applyAlignment="1">
      <alignment horizontal="right"/>
    </xf>
    <xf numFmtId="49" fontId="9" fillId="2" borderId="0" xfId="0" applyNumberFormat="1" applyFont="1" applyFill="1" applyBorder="1" applyAlignment="1">
      <alignment horizontal="right"/>
    </xf>
    <xf numFmtId="49" fontId="11" fillId="2" borderId="5" xfId="1" applyNumberFormat="1" applyFont="1" applyFill="1" applyBorder="1" applyAlignment="1" applyProtection="1">
      <alignment horizontal="right"/>
    </xf>
    <xf numFmtId="49" fontId="11" fillId="2" borderId="0" xfId="1" applyNumberFormat="1" applyFont="1" applyFill="1" applyBorder="1" applyAlignment="1" applyProtection="1">
      <alignment horizontal="right"/>
    </xf>
    <xf numFmtId="49" fontId="13" fillId="2" borderId="0" xfId="0" applyNumberFormat="1" applyFont="1" applyFill="1" applyBorder="1" applyAlignment="1">
      <alignment horizontal="right"/>
    </xf>
    <xf numFmtId="49" fontId="9" fillId="2" borderId="0" xfId="0" applyNumberFormat="1" applyFont="1" applyFill="1" applyBorder="1" applyAlignment="1">
      <alignment horizontal="left"/>
    </xf>
    <xf numFmtId="49" fontId="13" fillId="2" borderId="2" xfId="0" applyNumberFormat="1" applyFont="1" applyFill="1" applyBorder="1" applyAlignment="1">
      <alignment horizontal="right"/>
    </xf>
    <xf numFmtId="49" fontId="13" fillId="2" borderId="3" xfId="0" applyNumberFormat="1" applyFont="1" applyFill="1" applyBorder="1" applyAlignment="1">
      <alignment horizontal="right"/>
    </xf>
    <xf numFmtId="49" fontId="2" fillId="2" borderId="12" xfId="0" applyNumberFormat="1" applyFont="1" applyFill="1" applyBorder="1" applyAlignment="1">
      <alignment horizontal="left" wrapText="1"/>
    </xf>
    <xf numFmtId="49" fontId="2" fillId="2" borderId="14" xfId="0" applyNumberFormat="1" applyFont="1" applyFill="1" applyBorder="1" applyAlignment="1">
      <alignment horizontal="right"/>
    </xf>
    <xf numFmtId="49" fontId="2" fillId="2" borderId="12" xfId="0" applyNumberFormat="1" applyFont="1" applyFill="1" applyBorder="1" applyAlignment="1">
      <alignment horizontal="left"/>
    </xf>
    <xf numFmtId="49" fontId="2" fillId="2" borderId="14" xfId="0" applyNumberFormat="1" applyFont="1" applyFill="1" applyBorder="1" applyAlignment="1">
      <alignment horizontal="left"/>
    </xf>
    <xf numFmtId="49" fontId="16" fillId="2" borderId="14" xfId="1" applyNumberFormat="1" applyFont="1" applyFill="1" applyBorder="1" applyAlignment="1" applyProtection="1">
      <alignment horizontal="left"/>
    </xf>
    <xf numFmtId="49" fontId="16" fillId="2" borderId="13" xfId="1" applyNumberFormat="1" applyFont="1" applyFill="1" applyBorder="1" applyAlignment="1" applyProtection="1">
      <alignment horizontal="left"/>
    </xf>
    <xf numFmtId="49" fontId="10" fillId="2" borderId="0" xfId="0" applyNumberFormat="1" applyFont="1" applyFill="1" applyBorder="1" applyAlignment="1"/>
    <xf numFmtId="0" fontId="10" fillId="2" borderId="0" xfId="0" applyFont="1" applyFill="1" applyBorder="1"/>
    <xf numFmtId="49" fontId="10" fillId="2" borderId="0" xfId="0" applyNumberFormat="1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left"/>
    </xf>
    <xf numFmtId="49" fontId="2" fillId="2" borderId="13" xfId="0" applyNumberFormat="1" applyFont="1" applyFill="1" applyBorder="1" applyAlignment="1">
      <alignment horizontal="left"/>
    </xf>
    <xf numFmtId="0" fontId="7" fillId="2" borderId="0" xfId="0" applyFont="1" applyFill="1" applyAlignment="1">
      <alignment horizontal="center"/>
    </xf>
    <xf numFmtId="49" fontId="10" fillId="2" borderId="0" xfId="0" applyNumberFormat="1" applyFont="1" applyFill="1" applyBorder="1" applyAlignment="1">
      <alignment horizontal="left"/>
    </xf>
    <xf numFmtId="0" fontId="10" fillId="2" borderId="0" xfId="0" applyNumberFormat="1" applyFont="1" applyFill="1" applyBorder="1" applyAlignment="1">
      <alignment horizontal="left"/>
    </xf>
    <xf numFmtId="49" fontId="2" fillId="2" borderId="14" xfId="0" applyNumberFormat="1" applyFont="1" applyFill="1" applyBorder="1" applyAlignment="1">
      <alignment horizontal="left" wrapText="1"/>
    </xf>
    <xf numFmtId="0" fontId="18" fillId="0" borderId="7" xfId="0" applyFont="1" applyBorder="1"/>
    <xf numFmtId="0" fontId="18" fillId="0" borderId="13" xfId="0" applyFont="1" applyBorder="1"/>
    <xf numFmtId="0" fontId="18" fillId="0" borderId="8" xfId="0" applyFont="1" applyBorder="1"/>
    <xf numFmtId="0" fontId="0" fillId="0" borderId="4" xfId="0" applyBorder="1" applyAlignment="1">
      <alignment horizontal="center"/>
    </xf>
    <xf numFmtId="167" fontId="0" fillId="4" borderId="12" xfId="0" applyNumberFormat="1" applyFill="1" applyBorder="1"/>
    <xf numFmtId="164" fontId="0" fillId="5" borderId="12" xfId="0" applyNumberFormat="1" applyFill="1" applyBorder="1"/>
    <xf numFmtId="10" fontId="0" fillId="5" borderId="12" xfId="0" applyNumberFormat="1" applyFill="1" applyBorder="1"/>
    <xf numFmtId="167" fontId="0" fillId="6" borderId="12" xfId="0" applyNumberFormat="1" applyFill="1" applyBorder="1"/>
    <xf numFmtId="10" fontId="0" fillId="6" borderId="12" xfId="0" applyNumberFormat="1" applyFill="1" applyBorder="1"/>
    <xf numFmtId="10" fontId="0" fillId="4" borderId="2" xfId="0" applyNumberFormat="1" applyFill="1" applyBorder="1"/>
    <xf numFmtId="164" fontId="0" fillId="7" borderId="12" xfId="0" applyNumberFormat="1" applyFill="1" applyBorder="1"/>
    <xf numFmtId="0" fontId="3" fillId="3" borderId="1" xfId="0" applyFont="1" applyFill="1" applyBorder="1" applyAlignment="1">
      <alignment horizontal="center" vertical="center"/>
    </xf>
    <xf numFmtId="0" fontId="3" fillId="6" borderId="1" xfId="0" applyNumberFormat="1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15" fillId="0" borderId="16" xfId="0" applyFont="1" applyFill="1" applyBorder="1"/>
    <xf numFmtId="0" fontId="15" fillId="0" borderId="0" xfId="0" applyFont="1" applyFill="1" applyBorder="1"/>
    <xf numFmtId="0" fontId="3" fillId="3" borderId="1" xfId="0" applyFont="1" applyFill="1" applyBorder="1" applyAlignment="1">
      <alignment horizontal="right" vertical="center"/>
    </xf>
    <xf numFmtId="0" fontId="3" fillId="3" borderId="13" xfId="0" applyFont="1" applyFill="1" applyBorder="1" applyAlignment="1">
      <alignment horizontal="right" vertical="center"/>
    </xf>
    <xf numFmtId="167" fontId="0" fillId="6" borderId="1" xfId="0" applyNumberFormat="1" applyFill="1" applyBorder="1"/>
    <xf numFmtId="164" fontId="0" fillId="7" borderId="1" xfId="0" applyNumberFormat="1" applyFill="1" applyBorder="1"/>
    <xf numFmtId="167" fontId="0" fillId="4" borderId="1" xfId="0" applyNumberFormat="1" applyFill="1" applyBorder="1"/>
    <xf numFmtId="10" fontId="0" fillId="6" borderId="1" xfId="0" applyNumberFormat="1" applyFill="1" applyBorder="1"/>
    <xf numFmtId="10" fontId="0" fillId="5" borderId="1" xfId="0" applyNumberFormat="1" applyFill="1" applyBorder="1"/>
    <xf numFmtId="10" fontId="0" fillId="4" borderId="1" xfId="0" applyNumberFormat="1" applyFill="1" applyBorder="1"/>
    <xf numFmtId="0" fontId="0" fillId="0" borderId="0" xfId="0" applyNumberFormat="1" applyFont="1" applyFill="1" applyBorder="1"/>
    <xf numFmtId="0" fontId="0" fillId="0" borderId="1" xfId="0" applyBorder="1" applyAlignment="1">
      <alignment horizontal="center" vertical="center"/>
    </xf>
    <xf numFmtId="0" fontId="12" fillId="8" borderId="1" xfId="0" applyFont="1" applyFill="1" applyBorder="1"/>
    <xf numFmtId="0" fontId="0" fillId="0" borderId="1" xfId="0" applyBorder="1" applyAlignment="1">
      <alignment horizontal="left" vertical="center"/>
    </xf>
    <xf numFmtId="164" fontId="0" fillId="0" borderId="12" xfId="0" applyNumberFormat="1" applyBorder="1" applyAlignment="1">
      <alignment horizontal="right" vertical="center"/>
    </xf>
    <xf numFmtId="0" fontId="12" fillId="3" borderId="1" xfId="0" applyFont="1" applyFill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/>
    </xf>
    <xf numFmtId="164" fontId="12" fillId="0" borderId="12" xfId="0" applyNumberFormat="1" applyFont="1" applyBorder="1" applyAlignment="1">
      <alignment horizontal="right" vertical="center"/>
    </xf>
    <xf numFmtId="0" fontId="12" fillId="0" borderId="1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9" fontId="0" fillId="0" borderId="0" xfId="0" applyNumberFormat="1" applyBorder="1"/>
    <xf numFmtId="4" fontId="0" fillId="0" borderId="0" xfId="0" applyNumberFormat="1" applyBorder="1"/>
    <xf numFmtId="49" fontId="12" fillId="0" borderId="1" xfId="0" applyNumberFormat="1" applyFont="1" applyBorder="1" applyAlignment="1">
      <alignment horizontal="center"/>
    </xf>
    <xf numFmtId="0" fontId="0" fillId="0" borderId="1" xfId="0" applyBorder="1"/>
    <xf numFmtId="0" fontId="12" fillId="0" borderId="1" xfId="0" applyFont="1" applyBorder="1" applyAlignment="1">
      <alignment horizontal="center"/>
    </xf>
    <xf numFmtId="168" fontId="0" fillId="0" borderId="1" xfId="0" applyNumberFormat="1" applyBorder="1"/>
    <xf numFmtId="167" fontId="0" fillId="0" borderId="1" xfId="0" applyNumberFormat="1" applyBorder="1"/>
    <xf numFmtId="49" fontId="12" fillId="0" borderId="1" xfId="0" applyNumberFormat="1" applyFont="1" applyBorder="1" applyAlignment="1"/>
    <xf numFmtId="49" fontId="0" fillId="0" borderId="1" xfId="0" applyNumberFormat="1" applyBorder="1" applyAlignment="1"/>
    <xf numFmtId="0" fontId="0" fillId="0" borderId="12" xfId="0" applyNumberFormat="1" applyBorder="1" applyAlignment="1">
      <alignment wrapText="1"/>
    </xf>
    <xf numFmtId="0" fontId="18" fillId="0" borderId="0" xfId="0" applyFont="1"/>
    <xf numFmtId="0" fontId="0" fillId="0" borderId="0" xfId="0" applyNumberFormat="1"/>
    <xf numFmtId="164" fontId="12" fillId="0" borderId="1" xfId="0" applyNumberFormat="1" applyFont="1" applyBorder="1" applyAlignment="1">
      <alignment horizontal="right" vertical="center"/>
    </xf>
    <xf numFmtId="0" fontId="0" fillId="9" borderId="1" xfId="0" applyFill="1" applyBorder="1"/>
    <xf numFmtId="0" fontId="12" fillId="8" borderId="1" xfId="0" applyFont="1" applyFill="1" applyBorder="1" applyAlignment="1">
      <alignment horizontal="right"/>
    </xf>
    <xf numFmtId="0" fontId="0" fillId="8" borderId="0" xfId="0" applyFill="1"/>
    <xf numFmtId="3" fontId="12" fillId="10" borderId="14" xfId="0" applyNumberFormat="1" applyFont="1" applyFill="1" applyBorder="1" applyAlignment="1">
      <alignment horizontal="right" vertical="center"/>
    </xf>
    <xf numFmtId="4" fontId="12" fillId="10" borderId="14" xfId="0" applyNumberFormat="1" applyFont="1" applyFill="1" applyBorder="1" applyAlignment="1">
      <alignment horizontal="right" vertical="center"/>
    </xf>
    <xf numFmtId="164" fontId="12" fillId="10" borderId="14" xfId="0" applyNumberFormat="1" applyFont="1" applyFill="1" applyBorder="1" applyAlignment="1">
      <alignment horizontal="right" vertical="center"/>
    </xf>
    <xf numFmtId="167" fontId="12" fillId="10" borderId="14" xfId="0" applyNumberFormat="1" applyFont="1" applyFill="1" applyBorder="1" applyAlignment="1">
      <alignment horizontal="right" vertical="center"/>
    </xf>
    <xf numFmtId="0" fontId="12" fillId="0" borderId="12" xfId="0" applyFont="1" applyBorder="1" applyAlignment="1">
      <alignment horizontal="right" vertical="center"/>
    </xf>
    <xf numFmtId="164" fontId="12" fillId="10" borderId="1" xfId="0" applyNumberFormat="1" applyFont="1" applyFill="1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167" fontId="0" fillId="0" borderId="1" xfId="0" applyNumberFormat="1" applyBorder="1" applyAlignment="1">
      <alignment horizontal="right" vertical="center"/>
    </xf>
    <xf numFmtId="0" fontId="12" fillId="0" borderId="1" xfId="0" applyFont="1" applyBorder="1" applyAlignment="1">
      <alignment horizontal="right" vertical="center"/>
    </xf>
    <xf numFmtId="3" fontId="12" fillId="0" borderId="1" xfId="0" applyNumberFormat="1" applyFont="1" applyBorder="1" applyAlignment="1">
      <alignment horizontal="right" vertical="center"/>
    </xf>
    <xf numFmtId="4" fontId="12" fillId="0" borderId="1" xfId="0" applyNumberFormat="1" applyFont="1" applyBorder="1" applyAlignment="1">
      <alignment horizontal="right" vertical="center"/>
    </xf>
    <xf numFmtId="167" fontId="12" fillId="0" borderId="1" xfId="0" applyNumberFormat="1" applyFont="1" applyBorder="1" applyAlignment="1">
      <alignment horizontal="right" vertical="center"/>
    </xf>
    <xf numFmtId="0" fontId="12" fillId="0" borderId="1" xfId="0" applyFont="1" applyBorder="1" applyAlignment="1">
      <alignment horizontal="left" vertical="center" wrapText="1"/>
    </xf>
    <xf numFmtId="0" fontId="12" fillId="8" borderId="0" xfId="0" applyFont="1" applyFill="1" applyAlignment="1">
      <alignment horizontal="right"/>
    </xf>
    <xf numFmtId="0" fontId="0" fillId="8" borderId="0" xfId="0" applyFill="1" applyAlignment="1">
      <alignment horizontal="left" vertical="center"/>
    </xf>
    <xf numFmtId="0" fontId="17" fillId="2" borderId="5" xfId="1" applyNumberFormat="1" applyFont="1" applyFill="1" applyBorder="1" applyAlignment="1" applyProtection="1">
      <alignment horizontal="left" vertical="center"/>
    </xf>
    <xf numFmtId="0" fontId="8" fillId="0" borderId="6" xfId="0" applyNumberFormat="1" applyFont="1" applyBorder="1" applyAlignment="1">
      <alignment horizontal="left" vertical="center"/>
    </xf>
    <xf numFmtId="0" fontId="14" fillId="0" borderId="3" xfId="0" applyNumberFormat="1" applyFont="1" applyBorder="1" applyAlignment="1">
      <alignment horizontal="left" vertical="center"/>
    </xf>
    <xf numFmtId="0" fontId="14" fillId="0" borderId="4" xfId="0" applyNumberFormat="1" applyFont="1" applyBorder="1" applyAlignment="1">
      <alignment horizontal="left" vertical="center"/>
    </xf>
    <xf numFmtId="0" fontId="10" fillId="2" borderId="3" xfId="0" applyNumberFormat="1" applyFont="1" applyFill="1" applyBorder="1" applyAlignment="1">
      <alignment horizontal="left" vertical="center"/>
    </xf>
    <xf numFmtId="0" fontId="10" fillId="2" borderId="4" xfId="0" applyNumberFormat="1" applyFont="1" applyFill="1" applyBorder="1" applyAlignment="1">
      <alignment horizontal="left" vertical="center"/>
    </xf>
    <xf numFmtId="0" fontId="1" fillId="2" borderId="0" xfId="0" applyNumberFormat="1" applyFont="1" applyFill="1" applyAlignment="1">
      <alignment horizontal="center" vertical="center"/>
    </xf>
    <xf numFmtId="49" fontId="6" fillId="2" borderId="0" xfId="0" applyNumberFormat="1" applyFont="1" applyFill="1" applyBorder="1" applyAlignment="1">
      <alignment horizontal="left"/>
    </xf>
    <xf numFmtId="165" fontId="1" fillId="2" borderId="0" xfId="0" applyNumberFormat="1" applyFont="1" applyFill="1" applyBorder="1" applyAlignment="1">
      <alignment horizontal="left"/>
    </xf>
    <xf numFmtId="166" fontId="1" fillId="2" borderId="0" xfId="0" applyNumberFormat="1" applyFont="1" applyFill="1" applyBorder="1" applyAlignment="1">
      <alignment horizontal="left"/>
    </xf>
    <xf numFmtId="0" fontId="7" fillId="2" borderId="0" xfId="0" applyFont="1" applyFill="1" applyAlignment="1">
      <alignment horizontal="center"/>
    </xf>
    <xf numFmtId="0" fontId="17" fillId="2" borderId="15" xfId="1" applyNumberFormat="1" applyFont="1" applyFill="1" applyBorder="1" applyAlignment="1" applyProtection="1">
      <alignment horizontal="left" vertical="center"/>
    </xf>
    <xf numFmtId="0" fontId="17" fillId="2" borderId="8" xfId="1" applyNumberFormat="1" applyFont="1" applyFill="1" applyBorder="1" applyAlignment="1" applyProtection="1">
      <alignment horizontal="left" vertical="center"/>
    </xf>
    <xf numFmtId="0" fontId="17" fillId="2" borderId="7" xfId="1" applyNumberFormat="1" applyFont="1" applyFill="1" applyBorder="1" applyAlignment="1" applyProtection="1">
      <alignment horizontal="left" vertical="center"/>
    </xf>
    <xf numFmtId="0" fontId="8" fillId="0" borderId="8" xfId="0" applyNumberFormat="1" applyFont="1" applyBorder="1" applyAlignment="1">
      <alignment horizontal="left" vertical="center"/>
    </xf>
    <xf numFmtId="0" fontId="9" fillId="2" borderId="2" xfId="0" applyNumberFormat="1" applyFont="1" applyFill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9" fillId="2" borderId="7" xfId="0" applyNumberFormat="1" applyFont="1" applyFill="1" applyBorder="1" applyAlignment="1">
      <alignment horizontal="left" vertical="center"/>
    </xf>
    <xf numFmtId="0" fontId="0" fillId="0" borderId="8" xfId="0" applyNumberFormat="1" applyBorder="1" applyAlignment="1">
      <alignment horizontal="left" vertical="center"/>
    </xf>
    <xf numFmtId="0" fontId="10" fillId="2" borderId="2" xfId="0" applyNumberFormat="1" applyFont="1" applyFill="1" applyBorder="1" applyAlignment="1">
      <alignment horizontal="left" vertical="center" wrapText="1"/>
    </xf>
    <xf numFmtId="0" fontId="0" fillId="0" borderId="4" xfId="0" applyNumberFormat="1" applyBorder="1" applyAlignment="1">
      <alignment horizontal="left" vertical="center" wrapText="1"/>
    </xf>
    <xf numFmtId="0" fontId="10" fillId="2" borderId="5" xfId="0" applyNumberFormat="1" applyFont="1" applyFill="1" applyBorder="1" applyAlignment="1">
      <alignment horizontal="left" vertical="center"/>
    </xf>
    <xf numFmtId="0" fontId="0" fillId="0" borderId="6" xfId="0" applyNumberFormat="1" applyBorder="1" applyAlignment="1">
      <alignment horizontal="left" vertical="center"/>
    </xf>
    <xf numFmtId="0" fontId="10" fillId="2" borderId="9" xfId="0" applyNumberFormat="1" applyFont="1" applyFill="1" applyBorder="1" applyAlignment="1">
      <alignment horizontal="left" vertical="center"/>
    </xf>
    <xf numFmtId="0" fontId="0" fillId="0" borderId="10" xfId="0" applyNumberFormat="1" applyBorder="1" applyAlignment="1">
      <alignment horizontal="left" vertical="center"/>
    </xf>
    <xf numFmtId="0" fontId="10" fillId="2" borderId="2" xfId="0" applyNumberFormat="1" applyFont="1" applyFill="1" applyBorder="1" applyAlignment="1">
      <alignment horizontal="left" vertical="center"/>
    </xf>
    <xf numFmtId="0" fontId="10" fillId="2" borderId="12" xfId="0" applyNumberFormat="1" applyFont="1" applyFill="1" applyBorder="1" applyAlignment="1">
      <alignment horizontal="left" vertical="center"/>
    </xf>
    <xf numFmtId="0" fontId="10" fillId="2" borderId="0" xfId="0" applyNumberFormat="1" applyFont="1" applyFill="1" applyBorder="1" applyAlignment="1">
      <alignment horizontal="left" vertical="center"/>
    </xf>
    <xf numFmtId="0" fontId="10" fillId="2" borderId="6" xfId="0" applyNumberFormat="1" applyFont="1" applyFill="1" applyBorder="1" applyAlignment="1">
      <alignment horizontal="left" vertical="center"/>
    </xf>
    <xf numFmtId="0" fontId="10" fillId="2" borderId="7" xfId="0" applyNumberFormat="1" applyFont="1" applyFill="1" applyBorder="1" applyAlignment="1">
      <alignment horizontal="left" vertical="center"/>
    </xf>
    <xf numFmtId="0" fontId="5" fillId="2" borderId="2" xfId="1" applyNumberFormat="1" applyFill="1" applyBorder="1" applyAlignment="1" applyProtection="1">
      <alignment horizontal="left" vertical="center"/>
    </xf>
    <xf numFmtId="0" fontId="12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right" vertical="center"/>
    </xf>
    <xf numFmtId="164" fontId="12" fillId="0" borderId="0" xfId="0" applyNumberFormat="1" applyFont="1" applyBorder="1" applyAlignment="1">
      <alignment horizontal="right" vertical="center"/>
    </xf>
    <xf numFmtId="0" fontId="12" fillId="8" borderId="13" xfId="0" applyFont="1" applyFill="1" applyBorder="1"/>
    <xf numFmtId="0" fontId="12" fillId="8" borderId="13" xfId="0" applyFont="1" applyFill="1" applyBorder="1" applyAlignment="1">
      <alignment horizontal="right"/>
    </xf>
    <xf numFmtId="164" fontId="12" fillId="9" borderId="13" xfId="0" applyNumberFormat="1" applyFont="1" applyFill="1" applyBorder="1" applyAlignment="1">
      <alignment horizontal="right" vertical="center"/>
    </xf>
  </cellXfs>
  <cellStyles count="2">
    <cellStyle name="Hyperlink" xfId="1" builtinId="8"/>
    <cellStyle name="Normal" xfId="0" builtinId="0"/>
  </cellStyles>
  <dxfs count="1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$-409]#,##0.00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numFmt numFmtId="14" formatCode="0.00%"/>
      <fill>
        <patternFill patternType="solid">
          <fgColor indexed="64"/>
          <bgColor rgb="FF92D05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9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rgb="FFC5D9F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[$€-413]\ #,##0.00"/>
      <fill>
        <patternFill patternType="solid">
          <fgColor indexed="64"/>
          <bgColor rgb="FF92D05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[$€-413]\ #,##0.00"/>
      <fill>
        <patternFill patternType="solid">
          <fgColor indexed="64"/>
          <bgColor rgb="FF92D05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[$$-409]#,##0.00"/>
      <fill>
        <patternFill patternType="solid">
          <fgColor indexed="64"/>
          <bgColor theme="9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[$$-409]#,##0.00"/>
      <fill>
        <patternFill patternType="solid">
          <fgColor indexed="64"/>
          <bgColor rgb="FFFCD5B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[$€-413]\ #,##0.00"/>
      <fill>
        <patternFill patternType="solid">
          <fgColor indexed="64"/>
          <bgColor rgb="FFC5D9F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[$€-413]\ #,##0.00"/>
      <fill>
        <patternFill patternType="solid">
          <fgColor indexed="64"/>
          <bgColor rgb="FFC5D9F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€-413]\ 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 style="thin">
          <color indexed="64"/>
        </vertical>
        <horizontal style="thin">
          <color indexed="64"/>
        </horizontal>
      </border>
    </dxf>
    <dxf>
      <numFmt numFmtId="167" formatCode="[$€-413]\ 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€-413]\ 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7" formatCode="[$€-413]\ 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$-409]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4" formatCode="[$$-409]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$-409]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4" formatCode="[$$-409]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$-409]#,##0.0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[$$-409]#,##0.0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b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$-409]#,##0.0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[$$-409]#,##0.0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€-413]\ 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7" formatCode="[$€-413]\ 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€-413]\ 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7" formatCode="[$€-413]\ 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$-409]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4" formatCode="[$$-409]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$-409]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4" formatCode="[$$-409]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7" formatCode="[$€-413]\ #,##0.0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7" formatCode="[$€-413]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[$$-413]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538DD5"/>
      <color rgb="FF00B050"/>
      <color rgb="FFFCD5B4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PrintCISDataObject.xsd'">
  <Schema ID="Schema2" Namespace="http://tempuri.org/PrintCISDataObject.xsd">
    <xs:schema xmlns:mstns="http://tempuri.org/PrintCISDataObject.xsd" xmlns="http://tempuri.org/PrintCISDataObject.xsd" xmlns:xs="http://www.w3.org/2001/XMLSchema" xmlns:msdata="urn:schemas-microsoft-com:xml-msdata" id="PrintCISDataObject" targetNamespace="http://tempuri.org/PrintCISDataObject.xsd" attributeFormDefault="qualified" elementFormDefault="qualified">
      <xs:element name="PrintCISDataObject" msdata:IsDataSet="true" msdata:UseCurrentLocale="true">
        <xs:complexType>
          <xs:sequence>
            <xs:element name="BuyerManagement_Report_CIS_Buyer_View">
              <xs:complexType>
                <xs:sequence>
                  <xs:element name="BuyerID" type="xs:int"/>
                  <xs:element name="Buy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Buyer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Address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ZipCode" minOccurs="0">
                    <xs:simpleType>
                      <xs:restriction base="xs:string">
                        <xs:maxLength value="5"/>
                      </xs:restriction>
                    </xs:simpleType>
                  </xs:element>
                  <xs:element name="Plac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Country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Website" type="xs:string" minOccurs="0"/>
                  <xs:element name="Telephon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xNumber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DateOfPrint" msdata:ReadOnly="true" type="xs:string" minOccurs="0"/>
                  <xs:element name="TimeOfPrint" msdata:ReadOnly="true" type="xs:string" minOccurs="0"/>
                  <xs:element name="LogoImag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LogoImagePath" type="xs:string" minOccurs="0"/>
                  <xs:element name="ContactPersonFull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EstablishmentDate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HaveBusinessRelationshipFromYear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PaymentTerm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ntOfStore" type="xs:int"/>
                  <xs:element name="Client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LastedVisit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DeliveryTerm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</xs:sequence>
              </xs:complexType>
            </xs:element>
            <xs:element name="BuyerManagement_Report_CIS_Detail_View" minOccurs="0" maxOccurs="unbounded">
              <xs:complexType>
                <xs:sequence>
                  <xs:element name="Blank1" type="xs:string" minOccurs="0"/>
                  <xs:element name="Blank2" type="xs:string" minOccurs="0"/>
                  <xs:element name="Blank3" type="xs:string" minOccurs="0"/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Cont" msdata:ReadOnly="true" type="xs:int" minOccurs="0"/>
                  <xs:element name="FOB" msdata:ReadOnly="true" type="xs:decimal" minOccurs="0"/>
                  <xs:element name="Franco" msdata:ReadOnly="true" type="xs:decimal" minOccurs="0"/>
                  <xs:element name="TotalSales" msdata:ReadOnly="true" type="xs:decimal" minOccurs="0"/>
                </xs:sequence>
              </xs:complexType>
            </xs:element>
            <xs:element name="BuyerManagement_Report_CIS_Season_Detail_View" minOccurs="0" maxOccurs="unbounded">
              <xs:complexType>
                <xs:sequence>
                  <xs:element name="IndexItem" type="xs:string" minOccurs="0"/>
                  <xs:element name="BuyerID" type="xs:int" minOccurs="0"/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NumberOfItem" type="xs:int" minOccurs="0"/>
                  <xs:element name="Cont" msdata:ReadOnly="true" type="xs:int" minOccurs="0"/>
                  <xs:element name="FOB_UnitPrice" msdata:ReadOnly="true" type="xs:decimal" minOccurs="0"/>
                  <xs:element name="FOB" msdata:ReadOnly="true" type="xs:decimal" minOccurs="0"/>
                  <xs:element name="Franco_UnitPrice" msdata:ReadOnly="true" type="xs:decimal" minOccurs="0"/>
                  <xs:element name="Franco" msdata:ReadOnly="true" type="xs:decimal" minOccurs="0"/>
                  <xs:element name="FullImage" type="xs:string" minOccurs="0"/>
                  <xs:element name="ModelImage" type="xs:string" minOccurs="0"/>
                  <xs:element name="ImageFilePath" type="xs:string" minOccurs="0"/>
                </xs:sequence>
              </xs:complexType>
            </xs:element>
            <xs:element name="BuyerManagement_Report_CIS_Season_LoadingPlan_Detail_View" minOccurs="0" maxOccurs="unbounded">
              <xs:complexType>
                <xs:sequence>
                  <xs:element name="BuyerID" type="xs:int" minOccurs="0"/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mount" msdata:ReadOnly="true" type="xs:decimal" minOccurs="0"/>
                  <xs:element name="LDS" type="xs:string" minOccurs="0"/>
                  <xs:element name="ShippedDate" type="xs:string" minOccurs="0"/>
                  <xs:element name="ETA" type="xs:string" minOccurs="0"/>
                  <xs:element name="Container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IsShipped" type="xs:boolean" minOccurs="0"/>
                </xs:sequence>
              </xs:complexType>
            </xs:element>
            <xs:element name="BuyerManagement_Report_CIS_ComparePrice" minOccurs="0" maxOccurs="unbounded">
              <xs:complexType>
                <xs:sequence>
                  <xs:element name="RowIndex" type="xs:int" minOccurs="0"/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rrentAmount" type="xs:decimal" minOccurs="0"/>
                  <xs:element name="LastAmount" type="xs:decimal" minOccurs="0"/>
                  <xs:element name="CurrentFOBPrice" type="xs:decimal" minOccurs="0"/>
                  <xs:element name="LastFOBPrice" type="xs:decimal" minOccurs="0"/>
                  <xs:element name="CurrentFrancoPrice" type="xs:decimal" minOccurs="0"/>
                  <xs:element name="LastFrancoPrice" type="xs:decimal" minOccurs="0"/>
                  <xs:element name="DeltaAmount" type="xs:decimal" minOccurs="0"/>
                  <xs:element name="DeltaFOBPrice" type="xs:decimal" minOccurs="0"/>
                  <xs:element name="DeltaFrancoPrice" type="xs:decimal" minOccurs="0"/>
                </xs:sequence>
              </xs:complexType>
            </xs:element>
            <xs:element name="BuyerManagement_Report_CIS_Status_View" minOccurs="0" maxOccurs="unbounded">
              <xs:complexType>
                <xs:sequence>
                  <xs:element name="BuyerID" type="xs:int" minOccurs="0"/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IsPaymentReceived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ApprovedDate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IsPutInProduction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OrderDate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</xs:sequence>
              </xs:complexType>
            </xs:element>
            <xs:element name="BuyerManagement_Report_CIS_OrderStatus" minOccurs="0" maxOccurs="unbounded">
              <xs:complexType>
                <xs:sequence>
                  <xs:element name="BuyerID" type="xs:int" minOccurs="0"/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IsPutInProduction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OrderDate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</xs:sequence>
              </xs:complexType>
            </xs:element>
            <xs:element name="BuyerManagement_Report_CIS_PaymentStatus" minOccurs="0" maxOccurs="unbounded">
              <xs:complexType>
                <xs:sequence>
                  <xs:element name="BuyerID" type="xs:int" minOccurs="0"/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IsPaymentReceived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ApprovedDate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</xs:sequence>
              </xs:complexType>
            </xs:element>
          </xs:sequence>
        </xs:complexType>
        <xs:unique name="Constraint1" msdata:PrimaryKey="true">
          <xs:selector xpath=".//mstns:BuyerManagement_Report_CIS_Buyer_View"/>
          <xs:field xpath="mstns:BuyerID"/>
        </xs:unique>
      </xs:element>
    </xs:schema>
  </Schema>
  <Map ID="6" Name="PrintCISDataObject_Map" RootElement="PrintCISDataObject" SchemaID="Schema2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704850</xdr:colOff>
      <xdr:row>1</xdr:row>
      <xdr:rowOff>723900</xdr:rowOff>
    </xdr:from>
    <xdr:to>
      <xdr:col>6</xdr:col>
      <xdr:colOff>933450</xdr:colOff>
      <xdr:row>1</xdr:row>
      <xdr:rowOff>1152525</xdr:rowOff>
    </xdr:to>
    <xdr:pic>
      <xdr:nvPicPr>
        <xdr:cNvPr id="2" name="Afbeelding 1" descr="eurofar2007 klein formaat mai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353050" y="1038225"/>
          <a:ext cx="1409700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22:H23" totalsRowShown="0" headerRowDxfId="117" headerRowBorderDxfId="116" tableBorderDxfId="115" totalsRowBorderDxfId="114">
  <autoFilter ref="A22:H23"/>
  <tableColumns count="8">
    <tableColumn id="1" name="ns1:Blank1" dataDxfId="113"/>
    <tableColumn id="2" name="ns1:Blank2" dataDxfId="112"/>
    <tableColumn id="3" name="ns1:Blank3" dataDxfId="111"/>
    <tableColumn id="4" name="ns1:Season" dataDxfId="110">
      <calculatedColumnFormula>CIS_SalesProformaBySeason_View!B2</calculatedColumnFormula>
    </tableColumn>
    <tableColumn id="5" name="ns1:Cont" dataDxfId="109">
      <calculatedColumnFormula>CIS_SalesProformaBySeason_View!C2</calculatedColumnFormula>
    </tableColumn>
    <tableColumn id="6" name="ns1:FOB" dataDxfId="108">
      <calculatedColumnFormula>CIS_SalesProformaBySeason_View!D2</calculatedColumnFormula>
    </tableColumn>
    <tableColumn id="7" name="ns1:Franco" dataDxfId="107">
      <calculatedColumnFormula>CIS_SalesProformaBySeason_View!E2</calculatedColumnFormula>
    </tableColumn>
    <tableColumn id="8" name="ns1:TotalSales" dataDxfId="106">
      <calculatedColumnFormula>CIS_SalesProformaBySeason_View!F2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3:H5" totalsRowCount="1" headerRowDxfId="105" headerRowBorderDxfId="104">
  <autoFilter ref="A3:H4"/>
  <tableColumns count="8">
    <tableColumn id="1" name="#" dataDxfId="103" totalsRowDxfId="102">
      <calculatedColumnFormula>CIS_SalesProformaByItem_View!M2</calculatedColumnFormula>
    </tableColumn>
    <tableColumn id="2" name="Item description" totalsRowLabel="Total" dataDxfId="101" totalsRowDxfId="100">
      <calculatedColumnFormula>CIS_SalesProformaByItem_View!E2</calculatedColumnFormula>
    </tableColumn>
    <tableColumn id="3" name="Nr. Of Items" totalsRowFunction="sum" dataDxfId="99" totalsRowDxfId="98">
      <calculatedColumnFormula>CIS_SalesProformaByItem_View!F2</calculatedColumnFormula>
    </tableColumn>
    <tableColumn id="4" name="Nr. Of Cont." totalsRowFunction="sum" dataDxfId="97" totalsRowDxfId="96">
      <calculatedColumnFormula>CIS_SalesProformaByItem_View!G2</calculatedColumnFormula>
    </tableColumn>
    <tableColumn id="5" name="SALE Unit Price FOB ($)" totalsRowFunction="sum" dataDxfId="95" totalsRowDxfId="94">
      <calculatedColumnFormula>CIS_SalesProformaByItem_View!H2</calculatedColumnFormula>
    </tableColumn>
    <tableColumn id="6" name="Sale Order Amount FOB ($)" totalsRowFunction="sum" dataDxfId="93" totalsRowDxfId="92">
      <calculatedColumnFormula>CIS_SalesProformaByItem_View!I2</calculatedColumnFormula>
    </tableColumn>
    <tableColumn id="7" name="SALE Unit Price Franco  (€)" totalsRowFunction="sum" dataDxfId="91" totalsRowDxfId="90">
      <calculatedColumnFormula>CIS_SalesProformaByItem_View!K2</calculatedColumnFormula>
    </tableColumn>
    <tableColumn id="8" name="Sale Order Amount Franco (€)" totalsRowFunction="sum" dataDxfId="89" totalsRowDxfId="88">
      <calculatedColumnFormula>CIS_SalesProformaByItem_View!L2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20" name="Table20" displayName="Table20" ref="A6:H8" totalsRowShown="0" headerRowDxfId="87" tableBorderDxfId="86">
  <autoFilter ref="A6:H8"/>
  <tableColumns count="8">
    <tableColumn id="1" name="Column1"/>
    <tableColumn id="2" name="Column2"/>
    <tableColumn id="3" name="Column3" dataDxfId="85"/>
    <tableColumn id="4" name="Column4"/>
    <tableColumn id="5" name="Column5"/>
    <tableColumn id="6" name="Column6"/>
    <tableColumn id="7" name="Column7"/>
    <tableColumn id="8" name="Column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22" name="Table22" displayName="Table22" ref="A19:G21" insertRow="1" totalsRowCount="1" headerRowDxfId="84" totalsRowDxfId="81" headerRowBorderDxfId="83" tableBorderDxfId="82" totalsRowBorderDxfId="80">
  <autoFilter ref="A19:G20"/>
  <tableColumns count="7">
    <tableColumn id="1" name="Pro Forma Invoice nr." dataDxfId="79" totalsRowDxfId="78"/>
    <tableColumn id="2" name="Item description" totalsRowLabel="Total Shipped" dataDxfId="77" totalsRowDxfId="76"/>
    <tableColumn id="3" name="Amount" totalsRowFunction="sum" dataDxfId="75" totalsRowDxfId="74"/>
    <tableColumn id="4" name="Agreed LDS" dataDxfId="73" totalsRowDxfId="72"/>
    <tableColumn id="5" name="Actual Date of shipping" dataDxfId="71" totalsRowDxfId="70"/>
    <tableColumn id="6" name="ETA Destination" dataDxfId="69" totalsRowDxfId="68"/>
    <tableColumn id="7" name="Container" dataDxfId="67" totalsRowDxfId="6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28" name="Table28" displayName="Table28" ref="A27:G29" insertRow="1" totalsRowCount="1" headerRowDxfId="65" totalsRowDxfId="62" headerRowBorderDxfId="64" tableBorderDxfId="63" totalsRowBorderDxfId="61">
  <autoFilter ref="A27:G28"/>
  <tableColumns count="7">
    <tableColumn id="1" name="Pro Forma Invoice nr." dataDxfId="60" totalsRowDxfId="59"/>
    <tableColumn id="2" name="Item description" totalsRowLabel="Total Tobe shipped" dataDxfId="58" totalsRowDxfId="57"/>
    <tableColumn id="3" name="Amount" totalsRowFunction="sum" dataDxfId="56" totalsRowDxfId="55"/>
    <tableColumn id="4" name="Agreed LDS" dataDxfId="54" totalsRowDxfId="53"/>
    <tableColumn id="5" name="Actual Date of shipping" dataDxfId="52" totalsRowDxfId="51"/>
    <tableColumn id="6" name="ETA Destination" dataDxfId="50" totalsRowDxfId="49"/>
    <tableColumn id="7" name="Container" dataDxfId="48" totalsRowDxfId="47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3" name="Table24" displayName="Table24" ref="A10:H12" totalsRowCount="1" headerRowDxfId="46" totalsRowDxfId="44" headerRowBorderDxfId="45" totalsRowBorderDxfId="43">
  <autoFilter ref="A10:H11"/>
  <tableColumns count="8">
    <tableColumn id="1" name="#" dataDxfId="42" totalsRowDxfId="41">
      <calculatedColumnFormula>CIS_SalesProformaByItem_View!M9</calculatedColumnFormula>
    </tableColumn>
    <tableColumn id="2" name="Item description" totalsRowLabel="Total" dataDxfId="40" totalsRowDxfId="39">
      <calculatedColumnFormula>CIS_SalesProformaByItem_View!E9</calculatedColumnFormula>
    </tableColumn>
    <tableColumn id="3" name="Nr. Of Items" totalsRowFunction="sum" dataDxfId="38" totalsRowDxfId="37">
      <calculatedColumnFormula>CIS_SalesProformaByItem_View!F9</calculatedColumnFormula>
    </tableColumn>
    <tableColumn id="4" name="Nr. Of Cont." totalsRowFunction="sum" dataDxfId="36" totalsRowDxfId="35">
      <calculatedColumnFormula>CIS_SalesProformaByItem_View!G9</calculatedColumnFormula>
    </tableColumn>
    <tableColumn id="5" name="SALE Unit Price FOB ($)" totalsRowFunction="sum" dataDxfId="34" totalsRowDxfId="33">
      <calculatedColumnFormula>CIS_SalesProformaByItem_View!H9</calculatedColumnFormula>
    </tableColumn>
    <tableColumn id="6" name="Sale Order Amount FOB ($)" totalsRowFunction="sum" dataDxfId="32" totalsRowDxfId="31">
      <calculatedColumnFormula>CIS_SalesProformaByItem_View!I9</calculatedColumnFormula>
    </tableColumn>
    <tableColumn id="7" name="SALE Unit Price Franco  (€)" totalsRowFunction="sum" dataDxfId="30" totalsRowDxfId="29">
      <calculatedColumnFormula>CIS_SalesProformaByItem_View!K9</calculatedColumnFormula>
    </tableColumn>
    <tableColumn id="8" name="Sale Order Amount Franco (€)" totalsRowFunction="sum" dataDxfId="28" totalsRowDxfId="27">
      <calculatedColumnFormula>CIS_SalesProformaByItem_View!L9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5" name="Table5" displayName="Table5" ref="A13:H15" totalsRowShown="0" headerRowDxfId="26" tableBorderDxfId="25">
  <autoFilter ref="A13:H15"/>
  <tableColumns count="8">
    <tableColumn id="1" name="Column1"/>
    <tableColumn id="2" name="Column2"/>
    <tableColumn id="3" name="Column3"/>
    <tableColumn id="4" name="Column4"/>
    <tableColumn id="5" name="Column5"/>
    <tableColumn id="6" name="Column6"/>
    <tableColumn id="7" name="Column7"/>
    <tableColumn id="8" name="Column8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4" name="Table4" displayName="Table4" ref="A22:G25" totalsRowShown="0" headerRowDxfId="0" dataDxfId="1" tableBorderDxfId="9">
  <autoFilter ref="A22:G25"/>
  <tableColumns count="7">
    <tableColumn id="1" name="Column1" dataDxfId="8"/>
    <tableColumn id="2" name="Column2" dataDxfId="7"/>
    <tableColumn id="3" name="Column3" dataDxfId="6"/>
    <tableColumn id="4" name="Column4" dataDxfId="5"/>
    <tableColumn id="5" name="Column5" dataDxfId="4"/>
    <tableColumn id="6" name="Column6" dataDxfId="3"/>
    <tableColumn id="7" name="Column7" dataDxfId="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27" name="Table27" displayName="Table27" ref="A4:K5" totalsRowShown="0" headerRowDxfId="24" headerRowBorderDxfId="23" tableBorderDxfId="22" totalsRowBorderDxfId="21">
  <autoFilter ref="A4:K5"/>
  <tableColumns count="11">
    <tableColumn id="1" name="ns1:RowIndex" dataDxfId="20">
      <calculatedColumnFormula>CIS_PiceComparison_View!A2</calculatedColumnFormula>
    </tableColumn>
    <tableColumn id="2" name="ns1:Description" dataDxfId="19">
      <calculatedColumnFormula>CIS_PiceComparison_View!B2</calculatedColumnFormula>
    </tableColumn>
    <tableColumn id="3" name="ns1:CurrentAmount" dataDxfId="18">
      <calculatedColumnFormula>CIS_PiceComparison_View!C2</calculatedColumnFormula>
    </tableColumn>
    <tableColumn id="4" name="ns1:LastAmount" dataDxfId="17">
      <calculatedColumnFormula>CIS_PiceComparison_View!D2</calculatedColumnFormula>
    </tableColumn>
    <tableColumn id="5" name="ns1:CurrentFOBPrice" dataDxfId="16">
      <calculatedColumnFormula>CIS_PiceComparison_View!E2</calculatedColumnFormula>
    </tableColumn>
    <tableColumn id="6" name="ns1:LastFOBPrice" dataDxfId="15">
      <calculatedColumnFormula>CIS_PiceComparison_View!F2</calculatedColumnFormula>
    </tableColumn>
    <tableColumn id="7" name="ns1:CurrentFrancoPrice" dataDxfId="14">
      <calculatedColumnFormula>CIS_PiceComparison_View!G2</calculatedColumnFormula>
    </tableColumn>
    <tableColumn id="8" name="ns1:LastFrancoPrice" dataDxfId="13">
      <calculatedColumnFormula>CIS_PiceComparison_View!H2</calculatedColumnFormula>
    </tableColumn>
    <tableColumn id="9" name="ns1:DeltaAmount" dataDxfId="12">
      <calculatedColumnFormula>CIS_PiceComparison_View!I2</calculatedColumnFormula>
    </tableColumn>
    <tableColumn id="10" name="ns1:DeltaFOBPrice" dataDxfId="11">
      <calculatedColumnFormula>CIS_PiceComparison_View!J2</calculatedColumnFormula>
    </tableColumn>
    <tableColumn id="11" name="ns1:DeltaFrancoPrice" dataDxfId="10">
      <calculatedColumnFormula>CIS_PiceComparison_View!K2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28"/>
  <sheetViews>
    <sheetView tabSelected="1" zoomScale="85" zoomScaleNormal="85" workbookViewId="0">
      <selection activeCell="C28" sqref="C28"/>
    </sheetView>
  </sheetViews>
  <sheetFormatPr defaultRowHeight="15" x14ac:dyDescent="0.25"/>
  <cols>
    <col min="1" max="1" width="11.85546875" customWidth="1"/>
    <col min="2" max="2" width="11" customWidth="1"/>
    <col min="3" max="3" width="25.42578125" customWidth="1"/>
    <col min="4" max="4" width="10" customWidth="1"/>
    <col min="5" max="5" width="11.42578125" customWidth="1"/>
    <col min="6" max="6" width="21.85546875" customWidth="1"/>
    <col min="7" max="7" width="17.7109375" customWidth="1"/>
    <col min="8" max="8" width="17.42578125" customWidth="1"/>
    <col min="9" max="9" width="3.5703125" customWidth="1"/>
    <col min="10" max="10" width="4.28515625" customWidth="1"/>
    <col min="11" max="11" width="6" customWidth="1"/>
    <col min="12" max="12" width="5.5703125" customWidth="1"/>
    <col min="13" max="13" width="6.140625" customWidth="1"/>
    <col min="14" max="17" width="12.28515625" customWidth="1"/>
    <col min="18" max="18" width="11" customWidth="1"/>
    <col min="19" max="19" width="10.5703125" customWidth="1"/>
    <col min="20" max="20" width="6.5703125" customWidth="1"/>
    <col min="21" max="21" width="4.5703125" customWidth="1"/>
    <col min="22" max="22" width="7.42578125" customWidth="1"/>
  </cols>
  <sheetData>
    <row r="1" spans="1:24" ht="24.75" customHeight="1" x14ac:dyDescent="0.4">
      <c r="A1" s="128" t="s">
        <v>4</v>
      </c>
      <c r="B1" s="128"/>
      <c r="C1" s="128"/>
      <c r="D1" s="128"/>
      <c r="E1" s="128"/>
      <c r="F1" s="128"/>
      <c r="G1" s="128"/>
      <c r="H1" s="128"/>
      <c r="I1" s="45"/>
      <c r="J1" s="45"/>
      <c r="K1" s="45"/>
      <c r="L1" s="45"/>
      <c r="M1" s="13"/>
      <c r="N1" s="13"/>
      <c r="O1" s="13"/>
      <c r="P1" s="13"/>
      <c r="Q1" s="13"/>
      <c r="R1" s="13"/>
      <c r="S1" s="13"/>
      <c r="T1" s="10"/>
      <c r="U1" s="10"/>
      <c r="V1" s="10"/>
    </row>
    <row r="2" spans="1:24" ht="142.5" customHeight="1" x14ac:dyDescent="0.25">
      <c r="A2" s="124">
        <f>CIS_Client_View!N2</f>
        <v>0</v>
      </c>
      <c r="B2" s="124"/>
      <c r="C2" s="124"/>
      <c r="D2" s="124"/>
      <c r="E2" s="7"/>
      <c r="F2" s="2"/>
      <c r="G2" s="2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X2" s="14"/>
    </row>
    <row r="3" spans="1:24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4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6"/>
      <c r="O4" s="6"/>
      <c r="P4" s="6"/>
      <c r="Q4" s="6"/>
      <c r="R4" s="3"/>
      <c r="S4" s="3"/>
      <c r="T4" s="3"/>
      <c r="U4" s="3"/>
      <c r="V4" s="3"/>
    </row>
    <row r="5" spans="1:24" x14ac:dyDescent="0.25">
      <c r="A5" s="36" t="s">
        <v>29</v>
      </c>
      <c r="B5" s="133">
        <f>CIS_Client_View!B2</f>
        <v>0</v>
      </c>
      <c r="C5" s="134"/>
      <c r="D5" s="26"/>
      <c r="E5" s="27"/>
      <c r="F5" s="43" t="s">
        <v>35</v>
      </c>
      <c r="G5" s="141">
        <f>CIS_Client_View!K2</f>
        <v>0</v>
      </c>
      <c r="H5" s="142"/>
      <c r="I5" s="31"/>
      <c r="J5" s="31"/>
      <c r="K5" s="31"/>
      <c r="L5" s="31"/>
      <c r="M5" s="5"/>
      <c r="N5" s="125"/>
      <c r="O5" s="125"/>
      <c r="P5" s="125"/>
      <c r="Q5" s="125"/>
      <c r="R5" s="9"/>
      <c r="S5" s="9"/>
      <c r="T5" s="9"/>
      <c r="U5" s="9"/>
      <c r="V5" s="9"/>
      <c r="W5" s="1"/>
    </row>
    <row r="6" spans="1:24" x14ac:dyDescent="0.25">
      <c r="A6" s="37" t="s">
        <v>30</v>
      </c>
      <c r="B6" s="135">
        <f>CIS_Client_View!C2</f>
        <v>0</v>
      </c>
      <c r="C6" s="136"/>
      <c r="D6" s="26"/>
      <c r="E6" s="27"/>
      <c r="F6" s="37" t="s">
        <v>36</v>
      </c>
      <c r="G6" s="143">
        <f>CIS_Client_View!L2</f>
        <v>0</v>
      </c>
      <c r="H6" s="134"/>
      <c r="I6" s="40"/>
      <c r="J6" s="40"/>
      <c r="K6" s="40"/>
      <c r="L6" s="23"/>
      <c r="M6" s="5"/>
      <c r="N6" s="126"/>
      <c r="O6" s="126"/>
      <c r="P6" s="126"/>
      <c r="Q6" s="126"/>
      <c r="R6" s="8"/>
      <c r="S6" s="5"/>
      <c r="T6" s="8"/>
      <c r="U6" s="8"/>
      <c r="V6" s="8"/>
      <c r="W6" s="1"/>
    </row>
    <row r="7" spans="1:24" x14ac:dyDescent="0.25">
      <c r="A7" s="34" t="s">
        <v>31</v>
      </c>
      <c r="B7" s="137">
        <f>CIS_Client_View!D2</f>
        <v>0</v>
      </c>
      <c r="C7" s="138"/>
      <c r="D7" s="24"/>
      <c r="E7" s="25"/>
      <c r="F7" s="48" t="s">
        <v>37</v>
      </c>
      <c r="G7" s="139">
        <f>CIS_Client_View!M2</f>
        <v>0</v>
      </c>
      <c r="H7" s="140"/>
      <c r="I7" s="23"/>
      <c r="J7" s="23"/>
      <c r="K7" s="23"/>
      <c r="L7" s="23"/>
      <c r="M7" s="5"/>
      <c r="N7" s="127"/>
      <c r="O7" s="127"/>
      <c r="P7" s="127"/>
      <c r="Q7" s="127"/>
      <c r="R7" s="5"/>
      <c r="S7" s="5"/>
      <c r="T7" s="5"/>
      <c r="U7" s="5"/>
      <c r="V7" s="5"/>
      <c r="W7" s="1"/>
    </row>
    <row r="8" spans="1:24" x14ac:dyDescent="0.25">
      <c r="A8" s="35"/>
      <c r="B8" s="139">
        <f>CIS_Client_View!E2</f>
        <v>0</v>
      </c>
      <c r="C8" s="140"/>
      <c r="D8" s="21"/>
      <c r="E8" s="22"/>
      <c r="F8" s="36" t="s">
        <v>38</v>
      </c>
      <c r="G8" s="144">
        <f>CIS_Client_View!P2</f>
        <v>0</v>
      </c>
      <c r="H8" s="144"/>
      <c r="I8" s="23"/>
      <c r="J8" s="23"/>
      <c r="K8" s="23"/>
      <c r="L8" s="23"/>
      <c r="M8" s="5"/>
      <c r="N8" s="5"/>
      <c r="O8" s="5"/>
      <c r="P8" s="5"/>
      <c r="Q8" s="5"/>
      <c r="R8" s="5"/>
      <c r="S8" s="5"/>
      <c r="T8" s="5"/>
      <c r="U8" s="5"/>
      <c r="V8" s="5"/>
      <c r="W8" s="1"/>
    </row>
    <row r="9" spans="1:24" x14ac:dyDescent="0.25">
      <c r="A9" s="35"/>
      <c r="B9" s="139">
        <f>CIS_Client_View!F2</f>
        <v>0</v>
      </c>
      <c r="C9" s="140"/>
      <c r="D9" s="21"/>
      <c r="E9" s="22"/>
      <c r="F9" s="36" t="s">
        <v>39</v>
      </c>
      <c r="G9" s="120">
        <f>CIS_Client_View!Q2</f>
        <v>0</v>
      </c>
      <c r="H9" s="121"/>
      <c r="I9" s="42"/>
      <c r="J9" s="42"/>
      <c r="K9" s="42"/>
      <c r="L9" s="42"/>
      <c r="M9" s="2"/>
      <c r="N9" s="2"/>
      <c r="O9" s="2"/>
      <c r="P9" s="2"/>
      <c r="Q9" s="2"/>
      <c r="R9" s="4"/>
      <c r="S9" s="2"/>
      <c r="T9" s="2"/>
      <c r="U9" s="2"/>
      <c r="V9" s="2"/>
      <c r="W9" s="1"/>
    </row>
    <row r="10" spans="1:24" x14ac:dyDescent="0.25">
      <c r="A10" s="35"/>
      <c r="B10" s="147">
        <f>CIS_Client_View!G2</f>
        <v>0</v>
      </c>
      <c r="C10" s="136"/>
      <c r="D10" s="21"/>
      <c r="E10" s="22"/>
      <c r="F10" s="44" t="s">
        <v>40</v>
      </c>
      <c r="G10" s="145">
        <f>CIS_Client_View!T2</f>
        <v>0</v>
      </c>
      <c r="H10" s="146"/>
      <c r="I10" s="23"/>
      <c r="J10" s="23"/>
      <c r="K10" s="23"/>
      <c r="L10" s="23"/>
      <c r="M10" s="2"/>
      <c r="N10" s="2"/>
      <c r="O10" s="2"/>
      <c r="P10" s="2"/>
      <c r="Q10" s="2"/>
      <c r="R10" s="2"/>
      <c r="S10" s="2"/>
      <c r="T10" s="2"/>
      <c r="U10" s="2"/>
      <c r="V10" s="2"/>
      <c r="W10" s="1"/>
    </row>
    <row r="11" spans="1:24" x14ac:dyDescent="0.25">
      <c r="A11" s="36" t="s">
        <v>32</v>
      </c>
      <c r="B11" s="148">
        <f>CIS_Client_View!H2</f>
        <v>0</v>
      </c>
      <c r="C11" s="134"/>
      <c r="D11" s="21"/>
      <c r="E11" s="22"/>
      <c r="F11" s="36" t="s">
        <v>41</v>
      </c>
      <c r="G11" s="122">
        <f>CIS_Client_View!R2</f>
        <v>0</v>
      </c>
      <c r="H11" s="123"/>
      <c r="I11" s="23"/>
      <c r="J11" s="23"/>
      <c r="K11" s="23"/>
      <c r="L11" s="23"/>
      <c r="M11" s="2"/>
      <c r="N11" s="2"/>
      <c r="O11" s="2"/>
      <c r="P11" s="2"/>
      <c r="Q11" s="2"/>
      <c r="R11" s="2"/>
      <c r="S11" s="2"/>
      <c r="T11" s="2"/>
      <c r="U11" s="2"/>
      <c r="V11" s="2"/>
      <c r="W11" s="1"/>
    </row>
    <row r="12" spans="1:24" x14ac:dyDescent="0.25">
      <c r="A12" s="38" t="s">
        <v>33</v>
      </c>
      <c r="B12" s="118">
        <f>CIS_Client_View!I2</f>
        <v>0</v>
      </c>
      <c r="C12" s="119"/>
      <c r="D12" s="28"/>
      <c r="E12" s="29"/>
      <c r="F12" s="39" t="s">
        <v>42</v>
      </c>
      <c r="G12" s="129">
        <f>CIS_Client_View!S2</f>
        <v>0</v>
      </c>
      <c r="H12" s="130"/>
      <c r="I12" s="41"/>
      <c r="J12" s="41"/>
      <c r="K12" s="41"/>
      <c r="L12" s="41"/>
      <c r="M12" s="2"/>
      <c r="N12" s="2"/>
      <c r="O12" s="2"/>
      <c r="P12" s="2"/>
      <c r="Q12" s="2"/>
      <c r="R12" s="2"/>
      <c r="S12" s="2"/>
      <c r="T12" s="2"/>
      <c r="U12" s="2"/>
      <c r="V12" s="2"/>
      <c r="W12" s="1"/>
    </row>
    <row r="13" spans="1:24" x14ac:dyDescent="0.25">
      <c r="A13" s="39" t="s">
        <v>34</v>
      </c>
      <c r="B13" s="131">
        <f>CIS_Client_View!J2</f>
        <v>0</v>
      </c>
      <c r="C13" s="132"/>
      <c r="D13" s="28"/>
      <c r="E13" s="29"/>
      <c r="F13" s="39" t="s">
        <v>44</v>
      </c>
      <c r="G13" s="131">
        <f>CIS_Client_View!O2</f>
        <v>0</v>
      </c>
      <c r="H13" s="132"/>
      <c r="I13" s="23"/>
      <c r="J13" s="23"/>
      <c r="K13" s="23"/>
      <c r="L13" s="23"/>
      <c r="M13" s="2"/>
      <c r="N13" s="2"/>
      <c r="O13" s="2"/>
      <c r="P13" s="2"/>
      <c r="Q13" s="2"/>
      <c r="R13" s="2"/>
      <c r="S13" s="2"/>
      <c r="T13" s="2"/>
      <c r="U13" s="2"/>
      <c r="V13" s="2"/>
      <c r="W13" s="1"/>
    </row>
    <row r="14" spans="1:24" x14ac:dyDescent="0.25">
      <c r="A14" s="32"/>
      <c r="B14" s="33"/>
      <c r="C14" s="33"/>
      <c r="D14" s="30"/>
      <c r="E14" s="30"/>
      <c r="F14" s="30"/>
      <c r="G14" s="22"/>
      <c r="H14" s="46"/>
      <c r="I14" s="46"/>
      <c r="J14" s="46"/>
      <c r="K14" s="46"/>
      <c r="L14" s="46"/>
      <c r="M14" s="2"/>
      <c r="N14" s="2"/>
      <c r="O14" s="2"/>
      <c r="P14" s="2"/>
      <c r="Q14" s="2"/>
      <c r="R14" s="2"/>
      <c r="S14" s="2"/>
      <c r="T14" s="2"/>
      <c r="U14" s="2"/>
      <c r="V14" s="2"/>
      <c r="W14" s="1"/>
    </row>
    <row r="15" spans="1:24" x14ac:dyDescent="0.25">
      <c r="A15" s="15"/>
      <c r="B15" s="15"/>
      <c r="C15" s="15"/>
      <c r="D15" s="15"/>
      <c r="E15" s="15"/>
      <c r="F15" s="15"/>
      <c r="G15" s="15"/>
      <c r="H15" s="46"/>
      <c r="I15" s="46"/>
      <c r="J15" s="46"/>
      <c r="K15" s="46"/>
      <c r="L15" s="46"/>
      <c r="M15" s="2"/>
      <c r="N15" s="2"/>
      <c r="O15" s="2"/>
      <c r="P15" s="2"/>
      <c r="Q15" s="2"/>
      <c r="R15" s="2"/>
      <c r="S15" s="2"/>
      <c r="T15" s="2"/>
      <c r="U15" s="2"/>
      <c r="V15" s="2"/>
      <c r="W15" s="1"/>
    </row>
    <row r="16" spans="1:24" x14ac:dyDescent="0.25">
      <c r="A16" s="15"/>
      <c r="B16" s="15"/>
      <c r="C16" s="15"/>
      <c r="D16" s="15"/>
      <c r="E16" s="15"/>
      <c r="F16" s="15"/>
      <c r="G16" s="15"/>
      <c r="H16" s="47"/>
      <c r="I16" s="47"/>
      <c r="J16" s="47"/>
      <c r="K16" s="47"/>
      <c r="L16" s="47"/>
      <c r="M16" s="2"/>
      <c r="N16" s="2"/>
      <c r="O16" s="2"/>
      <c r="P16" s="2"/>
      <c r="Q16" s="2"/>
      <c r="R16" s="2"/>
      <c r="S16" s="2"/>
      <c r="T16" s="2"/>
      <c r="U16" s="2"/>
      <c r="V16" s="2"/>
      <c r="W16" s="1"/>
    </row>
    <row r="17" spans="1:23" x14ac:dyDescent="0.25">
      <c r="A17" s="15"/>
      <c r="B17" s="15"/>
      <c r="C17" s="15"/>
      <c r="D17" s="15"/>
      <c r="E17" s="15"/>
      <c r="F17" s="15"/>
      <c r="G17" s="15"/>
      <c r="H17" s="46"/>
      <c r="I17" s="46"/>
      <c r="J17" s="46"/>
      <c r="K17" s="46"/>
      <c r="L17" s="46"/>
      <c r="M17" s="2"/>
      <c r="N17" s="2"/>
      <c r="O17" s="2"/>
      <c r="P17" s="2"/>
      <c r="Q17" s="2"/>
      <c r="R17" s="2"/>
      <c r="S17" s="2"/>
      <c r="T17" s="2"/>
      <c r="U17" s="2"/>
      <c r="V17" s="2"/>
      <c r="W17" s="1"/>
    </row>
    <row r="18" spans="1:23" x14ac:dyDescent="0.25">
      <c r="A18" s="15"/>
      <c r="B18" s="15"/>
      <c r="C18" s="15"/>
      <c r="D18" s="15"/>
      <c r="E18" s="15"/>
      <c r="F18" s="15"/>
      <c r="G18" s="15"/>
      <c r="H18" s="46"/>
      <c r="I18" s="46"/>
      <c r="J18" s="46"/>
      <c r="K18" s="46"/>
      <c r="L18" s="46"/>
      <c r="M18" s="2"/>
      <c r="N18" s="2"/>
      <c r="O18" s="2"/>
      <c r="P18" s="2"/>
      <c r="Q18" s="2"/>
      <c r="R18" s="2"/>
      <c r="S18" s="2"/>
      <c r="T18" s="2"/>
      <c r="U18" s="2"/>
      <c r="V18" s="2"/>
      <c r="W18" s="1"/>
    </row>
    <row r="19" spans="1:23" x14ac:dyDescent="0.25">
      <c r="A19" s="11"/>
      <c r="B19" s="11"/>
      <c r="C19" s="11"/>
      <c r="D19" s="11"/>
      <c r="E19" s="11"/>
      <c r="F19" s="11"/>
      <c r="G19" s="11"/>
      <c r="H19" s="11"/>
      <c r="I19" s="12"/>
      <c r="J19" s="12"/>
      <c r="K19" s="11"/>
      <c r="L19" s="11"/>
      <c r="M19" s="11"/>
      <c r="N19" s="11"/>
      <c r="O19" s="11"/>
      <c r="P19" s="11"/>
      <c r="Q19" s="11"/>
      <c r="R19" s="11"/>
      <c r="S19" s="11"/>
      <c r="T19" s="12"/>
      <c r="U19" s="11"/>
      <c r="V19" s="11"/>
      <c r="W19" s="1"/>
    </row>
    <row r="20" spans="1:23" x14ac:dyDescent="0.25">
      <c r="A20" s="11"/>
      <c r="B20" s="11"/>
      <c r="C20" s="11"/>
      <c r="D20" s="11"/>
      <c r="E20" s="20" t="s">
        <v>5</v>
      </c>
      <c r="F20" s="17"/>
      <c r="G20" s="19" t="s">
        <v>2</v>
      </c>
      <c r="H20" s="18">
        <v>1.1200000000000001</v>
      </c>
      <c r="I20" s="12"/>
      <c r="J20" s="12"/>
      <c r="K20" s="11"/>
      <c r="L20" s="11"/>
      <c r="M20" s="11"/>
      <c r="N20" s="11"/>
      <c r="O20" s="11"/>
      <c r="P20" s="11"/>
      <c r="Q20" s="11"/>
      <c r="R20" s="11"/>
      <c r="S20" s="11"/>
      <c r="T20" s="12"/>
      <c r="U20" s="11"/>
      <c r="V20" s="11"/>
      <c r="W20" s="1"/>
    </row>
    <row r="21" spans="1:23" x14ac:dyDescent="0.25">
      <c r="A21" s="87"/>
      <c r="B21" s="92"/>
      <c r="C21" s="93"/>
      <c r="D21" s="88"/>
      <c r="E21" s="89" t="s">
        <v>20</v>
      </c>
      <c r="F21" s="89" t="s">
        <v>1</v>
      </c>
      <c r="G21" s="89" t="s">
        <v>0</v>
      </c>
      <c r="H21" s="89" t="s">
        <v>43</v>
      </c>
    </row>
    <row r="22" spans="1:23" ht="0.75" hidden="1" customHeight="1" x14ac:dyDescent="0.25">
      <c r="A22" s="88" t="s">
        <v>21</v>
      </c>
      <c r="B22" s="88" t="s">
        <v>22</v>
      </c>
      <c r="C22" s="88" t="s">
        <v>23</v>
      </c>
      <c r="D22" s="88" t="s">
        <v>15</v>
      </c>
      <c r="E22" s="88" t="s">
        <v>24</v>
      </c>
      <c r="F22" s="88" t="s">
        <v>25</v>
      </c>
      <c r="G22" s="88" t="s">
        <v>26</v>
      </c>
      <c r="H22" s="88" t="s">
        <v>27</v>
      </c>
    </row>
    <row r="23" spans="1:23" x14ac:dyDescent="0.25">
      <c r="A23" s="88"/>
      <c r="B23" s="88"/>
      <c r="C23" s="88"/>
      <c r="D23" s="88">
        <f>CIS_SalesProformaBySeason_View!B2</f>
        <v>0</v>
      </c>
      <c r="E23" s="88">
        <f>CIS_SalesProformaBySeason_View!C2</f>
        <v>0</v>
      </c>
      <c r="F23" s="90">
        <f>CIS_SalesProformaBySeason_View!D2</f>
        <v>0</v>
      </c>
      <c r="G23" s="91">
        <f>CIS_SalesProformaBySeason_View!E2</f>
        <v>0</v>
      </c>
      <c r="H23" s="91">
        <f>CIS_SalesProformaBySeason_View!F2</f>
        <v>0</v>
      </c>
    </row>
    <row r="24" spans="1:23" x14ac:dyDescent="0.25">
      <c r="A24" s="85"/>
      <c r="B24" s="85"/>
      <c r="C24" s="85"/>
      <c r="D24" s="85"/>
      <c r="E24" s="86"/>
      <c r="F24" s="86"/>
      <c r="G24" s="86"/>
      <c r="H24" s="86"/>
    </row>
    <row r="25" spans="1:23" x14ac:dyDescent="0.25">
      <c r="A25" s="85"/>
      <c r="B25" s="85"/>
      <c r="C25" s="85"/>
      <c r="D25" s="85"/>
      <c r="E25" s="86"/>
      <c r="F25" s="86"/>
      <c r="G25" s="86"/>
      <c r="H25" s="86"/>
    </row>
    <row r="28" spans="1:23" x14ac:dyDescent="0.25">
      <c r="C28" s="16"/>
    </row>
  </sheetData>
  <mergeCells count="23">
    <mergeCell ref="A1:H1"/>
    <mergeCell ref="G12:H12"/>
    <mergeCell ref="G13:H13"/>
    <mergeCell ref="B5:C5"/>
    <mergeCell ref="B6:C6"/>
    <mergeCell ref="B7:C7"/>
    <mergeCell ref="B8:C8"/>
    <mergeCell ref="G5:H5"/>
    <mergeCell ref="G6:H6"/>
    <mergeCell ref="G7:H7"/>
    <mergeCell ref="G8:H8"/>
    <mergeCell ref="G10:H10"/>
    <mergeCell ref="B9:C9"/>
    <mergeCell ref="B10:C10"/>
    <mergeCell ref="B11:C11"/>
    <mergeCell ref="B13:C13"/>
    <mergeCell ref="B12:C12"/>
    <mergeCell ref="G9:H9"/>
    <mergeCell ref="G11:H11"/>
    <mergeCell ref="A2:D2"/>
    <mergeCell ref="N5:Q5"/>
    <mergeCell ref="N6:Q6"/>
    <mergeCell ref="N7:Q7"/>
  </mergeCells>
  <pageMargins left="0.2" right="0.196850393700787" top="0.75" bottom="0.35433070866141703" header="0.196850393700787" footer="0.196850393700787"/>
  <pageSetup paperSize="9" scale="77" fitToHeight="0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H29"/>
  <sheetViews>
    <sheetView topLeftCell="A7" workbookViewId="0">
      <selection activeCell="B28" sqref="B28"/>
    </sheetView>
  </sheetViews>
  <sheetFormatPr defaultRowHeight="15" x14ac:dyDescent="0.25"/>
  <cols>
    <col min="1" max="1" width="13.28515625" customWidth="1"/>
    <col min="2" max="2" width="63.7109375" customWidth="1"/>
    <col min="3" max="3" width="13.7109375" customWidth="1"/>
    <col min="4" max="5" width="11.7109375" customWidth="1"/>
    <col min="6" max="8" width="12.7109375" customWidth="1"/>
  </cols>
  <sheetData>
    <row r="2" spans="1:8" x14ac:dyDescent="0.25">
      <c r="A2" s="117" t="s">
        <v>120</v>
      </c>
      <c r="B2" s="116"/>
      <c r="C2" s="101">
        <f>SUBTOTAL(9,Table2[Nr. Of Items])</f>
        <v>0</v>
      </c>
      <c r="D2" s="102">
        <f>SUBTOTAL(9,Table2[Nr. Of Cont.])</f>
        <v>0</v>
      </c>
      <c r="E2" s="103">
        <f>SUBTOTAL(9,Table2[SALE Unit Price FOB ($)])</f>
        <v>0</v>
      </c>
      <c r="F2" s="103">
        <f>SUBTOTAL(9,Table2[Sale Order Amount FOB ($)])</f>
        <v>0</v>
      </c>
      <c r="G2" s="104">
        <f>SUBTOTAL(9,Table2[SALE Unit Price Franco  (€)])</f>
        <v>0</v>
      </c>
      <c r="H2" s="104">
        <f>SUBTOTAL(9,Table2[Sale Order Amount Franco (€)])</f>
        <v>0</v>
      </c>
    </row>
    <row r="3" spans="1:8" ht="45.75" customHeight="1" x14ac:dyDescent="0.25">
      <c r="A3" s="80" t="s">
        <v>59</v>
      </c>
      <c r="B3" s="80" t="s">
        <v>3</v>
      </c>
      <c r="C3" s="80" t="s">
        <v>11</v>
      </c>
      <c r="D3" s="80" t="s">
        <v>12</v>
      </c>
      <c r="E3" s="80" t="s">
        <v>16</v>
      </c>
      <c r="F3" s="80" t="s">
        <v>17</v>
      </c>
      <c r="G3" s="80" t="s">
        <v>18</v>
      </c>
      <c r="H3" s="80" t="s">
        <v>19</v>
      </c>
    </row>
    <row r="4" spans="1:8" ht="60" customHeight="1" x14ac:dyDescent="0.25">
      <c r="A4" s="76">
        <f>CIS_SalesProformaByItem_View!M2</f>
        <v>0</v>
      </c>
      <c r="B4" s="115">
        <f>CIS_SalesProformaByItem_View!E2</f>
        <v>0</v>
      </c>
      <c r="C4" s="107">
        <f>CIS_SalesProformaByItem_View!F2</f>
        <v>0</v>
      </c>
      <c r="D4" s="108">
        <f>CIS_SalesProformaByItem_View!G2</f>
        <v>0</v>
      </c>
      <c r="E4" s="109">
        <f>CIS_SalesProformaByItem_View!H2</f>
        <v>0</v>
      </c>
      <c r="F4" s="109">
        <f>CIS_SalesProformaByItem_View!I2</f>
        <v>0</v>
      </c>
      <c r="G4" s="110">
        <f>CIS_SalesProformaByItem_View!K2</f>
        <v>0</v>
      </c>
      <c r="H4" s="110">
        <f>CIS_SalesProformaByItem_View!L2</f>
        <v>0</v>
      </c>
    </row>
    <row r="5" spans="1:8" x14ac:dyDescent="0.25">
      <c r="A5" s="76"/>
      <c r="B5" s="111" t="s">
        <v>10</v>
      </c>
      <c r="C5" s="112">
        <f>SUBTOTAL(109,Table2[Nr. Of Items])</f>
        <v>0</v>
      </c>
      <c r="D5" s="113">
        <f>SUBTOTAL(109,Table2[Nr. Of Cont.])</f>
        <v>0</v>
      </c>
      <c r="E5" s="97">
        <f>SUBTOTAL(109,Table2[SALE Unit Price FOB ($)])</f>
        <v>0</v>
      </c>
      <c r="F5" s="97">
        <f>SUBTOTAL(109,Table2[Sale Order Amount FOB ($)])</f>
        <v>0</v>
      </c>
      <c r="G5" s="114">
        <f>SUBTOTAL(109,Table2[SALE Unit Price Franco  (€)])</f>
        <v>0</v>
      </c>
      <c r="H5" s="114">
        <f>SUBTOTAL(109,Table2[Sale Order Amount Franco (€)])</f>
        <v>0</v>
      </c>
    </row>
    <row r="6" spans="1:8" x14ac:dyDescent="0.25">
      <c r="A6" s="95" t="s">
        <v>96</v>
      </c>
      <c r="B6" s="95" t="s">
        <v>97</v>
      </c>
      <c r="C6" s="95" t="s">
        <v>98</v>
      </c>
      <c r="D6" s="95" t="s">
        <v>99</v>
      </c>
      <c r="E6" s="95" t="s">
        <v>100</v>
      </c>
      <c r="F6" s="95" t="s">
        <v>101</v>
      </c>
      <c r="G6" s="95" t="s">
        <v>102</v>
      </c>
      <c r="H6" s="95" t="s">
        <v>103</v>
      </c>
    </row>
    <row r="7" spans="1:8" x14ac:dyDescent="0.25">
      <c r="C7" s="96"/>
    </row>
    <row r="8" spans="1:8" x14ac:dyDescent="0.25">
      <c r="C8" s="96"/>
    </row>
    <row r="9" spans="1:8" x14ac:dyDescent="0.25">
      <c r="A9" s="100" t="s">
        <v>121</v>
      </c>
      <c r="B9" s="116"/>
      <c r="C9" s="101">
        <f>SUBTOTAL(9,Table24[Nr. Of Items])</f>
        <v>0</v>
      </c>
      <c r="D9" s="102">
        <f>SUBTOTAL(9,Table24[Nr. Of Cont.])</f>
        <v>0</v>
      </c>
      <c r="E9" s="103">
        <f>SUBTOTAL(9,Table24[SALE Unit Price FOB ($)])</f>
        <v>0</v>
      </c>
      <c r="F9" s="103">
        <f>SUBTOTAL(9,Table24[Sale Order Amount FOB ($)])</f>
        <v>0</v>
      </c>
      <c r="G9" s="104">
        <f>SUBTOTAL(9,Table24[SALE Unit Price Franco  (€)])</f>
        <v>0</v>
      </c>
      <c r="H9" s="104">
        <f>SUBTOTAL(9,Table24[Sale Order Amount Franco (€)])</f>
        <v>0</v>
      </c>
    </row>
    <row r="10" spans="1:8" ht="45" x14ac:dyDescent="0.25">
      <c r="A10" s="80" t="s">
        <v>59</v>
      </c>
      <c r="B10" s="80" t="s">
        <v>3</v>
      </c>
      <c r="C10" s="80" t="s">
        <v>11</v>
      </c>
      <c r="D10" s="80" t="s">
        <v>12</v>
      </c>
      <c r="E10" s="80" t="s">
        <v>16</v>
      </c>
      <c r="F10" s="80" t="s">
        <v>17</v>
      </c>
      <c r="G10" s="80" t="s">
        <v>18</v>
      </c>
      <c r="H10" s="80" t="s">
        <v>19</v>
      </c>
    </row>
    <row r="11" spans="1:8" ht="60" customHeight="1" x14ac:dyDescent="0.25">
      <c r="A11" s="76">
        <f>CIS_SalesProformaByItem_View!M9</f>
        <v>0</v>
      </c>
      <c r="B11" s="115">
        <f>CIS_SalesProformaByItem_View!E9</f>
        <v>0</v>
      </c>
      <c r="C11" s="107">
        <f>CIS_SalesProformaByItem_View!F9</f>
        <v>0</v>
      </c>
      <c r="D11" s="108">
        <f>CIS_SalesProformaByItem_View!G9</f>
        <v>0</v>
      </c>
      <c r="E11" s="109">
        <f>CIS_SalesProformaByItem_View!H9</f>
        <v>0</v>
      </c>
      <c r="F11" s="109">
        <f>CIS_SalesProformaByItem_View!I9</f>
        <v>0</v>
      </c>
      <c r="G11" s="110">
        <f>CIS_SalesProformaByItem_View!K9</f>
        <v>0</v>
      </c>
      <c r="H11" s="110">
        <f>CIS_SalesProformaByItem_View!L9</f>
        <v>0</v>
      </c>
    </row>
    <row r="12" spans="1:8" x14ac:dyDescent="0.25">
      <c r="A12" s="76"/>
      <c r="B12" s="111" t="s">
        <v>10</v>
      </c>
      <c r="C12" s="112">
        <f>SUBTOTAL(109,Table24[Nr. Of Items])</f>
        <v>0</v>
      </c>
      <c r="D12" s="113">
        <f>SUBTOTAL(109,Table24[Nr. Of Cont.])</f>
        <v>0</v>
      </c>
      <c r="E12" s="97">
        <f>SUBTOTAL(109,Table24[SALE Unit Price FOB ($)])</f>
        <v>0</v>
      </c>
      <c r="F12" s="97">
        <f>SUBTOTAL(109,Table24[Sale Order Amount FOB ($)])</f>
        <v>0</v>
      </c>
      <c r="G12" s="114">
        <f>SUBTOTAL(109,Table24[SALE Unit Price Franco  (€)])</f>
        <v>0</v>
      </c>
      <c r="H12" s="114">
        <f>SUBTOTAL(109,Table24[Sale Order Amount Franco (€)])</f>
        <v>0</v>
      </c>
    </row>
    <row r="13" spans="1:8" x14ac:dyDescent="0.25">
      <c r="A13" s="95" t="s">
        <v>96</v>
      </c>
      <c r="B13" s="95" t="s">
        <v>97</v>
      </c>
      <c r="C13" s="95" t="s">
        <v>98</v>
      </c>
      <c r="D13" s="95" t="s">
        <v>99</v>
      </c>
      <c r="E13" s="95" t="s">
        <v>100</v>
      </c>
      <c r="F13" s="95" t="s">
        <v>101</v>
      </c>
      <c r="G13" s="95" t="s">
        <v>102</v>
      </c>
      <c r="H13" s="95" t="s">
        <v>103</v>
      </c>
    </row>
    <row r="15" spans="1:8" x14ac:dyDescent="0.25">
      <c r="A15" s="95" t="s">
        <v>96</v>
      </c>
      <c r="B15" s="95" t="s">
        <v>97</v>
      </c>
      <c r="C15" s="95" t="s">
        <v>98</v>
      </c>
      <c r="D15" s="95" t="s">
        <v>99</v>
      </c>
      <c r="E15" s="95" t="s">
        <v>100</v>
      </c>
      <c r="F15" s="95" t="s">
        <v>101</v>
      </c>
      <c r="G15" s="95" t="s">
        <v>102</v>
      </c>
      <c r="H15" s="95" t="s">
        <v>103</v>
      </c>
    </row>
    <row r="17" spans="1:7" x14ac:dyDescent="0.25">
      <c r="C17" s="96"/>
    </row>
    <row r="18" spans="1:7" x14ac:dyDescent="0.25">
      <c r="A18" s="77" t="s">
        <v>104</v>
      </c>
      <c r="B18" s="99" t="s">
        <v>116</v>
      </c>
      <c r="C18" s="106">
        <f>SUM(Table22[Amount])</f>
        <v>0</v>
      </c>
      <c r="D18" s="98"/>
      <c r="E18" s="98"/>
      <c r="F18" s="98"/>
      <c r="G18" s="98"/>
    </row>
    <row r="19" spans="1:7" ht="30" x14ac:dyDescent="0.25">
      <c r="A19" s="80" t="s">
        <v>9</v>
      </c>
      <c r="B19" s="80" t="s">
        <v>3</v>
      </c>
      <c r="C19" s="80" t="s">
        <v>13</v>
      </c>
      <c r="D19" s="80" t="s">
        <v>6</v>
      </c>
      <c r="E19" s="80" t="s">
        <v>7</v>
      </c>
      <c r="F19" s="80" t="s">
        <v>8</v>
      </c>
      <c r="G19" s="80" t="s">
        <v>14</v>
      </c>
    </row>
    <row r="20" spans="1:7" x14ac:dyDescent="0.25">
      <c r="A20" s="76"/>
      <c r="B20" s="78"/>
      <c r="C20" s="79"/>
      <c r="D20" s="76"/>
      <c r="E20" s="76"/>
      <c r="F20" s="76"/>
      <c r="G20" s="76"/>
    </row>
    <row r="21" spans="1:7" x14ac:dyDescent="0.25">
      <c r="A21" s="81"/>
      <c r="B21" s="105" t="s">
        <v>116</v>
      </c>
      <c r="C21" s="82">
        <f>SUBTOTAL(109,Table22[Amount])</f>
        <v>0</v>
      </c>
      <c r="D21" s="83"/>
      <c r="E21" s="83"/>
      <c r="F21" s="83"/>
      <c r="G21" s="84"/>
    </row>
    <row r="22" spans="1:7" x14ac:dyDescent="0.25">
      <c r="A22" s="95" t="s">
        <v>96</v>
      </c>
      <c r="B22" s="95" t="s">
        <v>97</v>
      </c>
      <c r="C22" s="95" t="s">
        <v>98</v>
      </c>
      <c r="D22" s="95" t="s">
        <v>99</v>
      </c>
      <c r="E22" s="95" t="s">
        <v>100</v>
      </c>
      <c r="F22" s="95" t="s">
        <v>101</v>
      </c>
      <c r="G22" s="95" t="s">
        <v>102</v>
      </c>
    </row>
    <row r="23" spans="1:7" x14ac:dyDescent="0.25">
      <c r="A23" s="149"/>
      <c r="B23" s="150"/>
      <c r="C23" s="151"/>
      <c r="D23" s="149"/>
      <c r="E23" s="149"/>
      <c r="F23" s="149"/>
      <c r="G23" s="149"/>
    </row>
    <row r="24" spans="1:7" x14ac:dyDescent="0.25">
      <c r="A24" s="149"/>
      <c r="B24" s="150"/>
      <c r="C24" s="151"/>
      <c r="D24" s="149"/>
      <c r="E24" s="149"/>
      <c r="F24" s="149"/>
      <c r="G24" s="149"/>
    </row>
    <row r="25" spans="1:7" x14ac:dyDescent="0.25">
      <c r="A25" s="149"/>
      <c r="B25" s="150"/>
      <c r="C25" s="151"/>
      <c r="D25" s="149"/>
      <c r="E25" s="149"/>
      <c r="F25" s="149"/>
      <c r="G25" s="149"/>
    </row>
    <row r="26" spans="1:7" x14ac:dyDescent="0.25">
      <c r="A26" s="152" t="s">
        <v>118</v>
      </c>
      <c r="B26" s="153" t="s">
        <v>117</v>
      </c>
      <c r="C26" s="154">
        <f>SUBTOTAL(9,Table28[Amount])</f>
        <v>0</v>
      </c>
      <c r="D26" s="154"/>
      <c r="E26" s="154"/>
      <c r="F26" s="154"/>
      <c r="G26" s="154"/>
    </row>
    <row r="27" spans="1:7" ht="30" x14ac:dyDescent="0.25">
      <c r="A27" s="80" t="s">
        <v>9</v>
      </c>
      <c r="B27" s="80" t="s">
        <v>3</v>
      </c>
      <c r="C27" s="80" t="s">
        <v>13</v>
      </c>
      <c r="D27" s="80" t="s">
        <v>6</v>
      </c>
      <c r="E27" s="80" t="s">
        <v>7</v>
      </c>
      <c r="F27" s="80" t="s">
        <v>8</v>
      </c>
      <c r="G27" s="80" t="s">
        <v>14</v>
      </c>
    </row>
    <row r="28" spans="1:7" x14ac:dyDescent="0.25">
      <c r="A28" s="76"/>
      <c r="B28" s="78"/>
      <c r="C28" s="79"/>
      <c r="D28" s="76"/>
      <c r="E28" s="76"/>
      <c r="F28" s="76"/>
      <c r="G28" s="76"/>
    </row>
    <row r="29" spans="1:7" x14ac:dyDescent="0.25">
      <c r="A29" s="81"/>
      <c r="B29" s="105" t="s">
        <v>117</v>
      </c>
      <c r="C29" s="82">
        <f>SUBTOTAL(109,Table28[Amount])</f>
        <v>0</v>
      </c>
      <c r="D29" s="83"/>
      <c r="E29" s="83"/>
      <c r="F29" s="83"/>
      <c r="G29" s="84"/>
    </row>
  </sheetData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"/>
  <sheetViews>
    <sheetView workbookViewId="0">
      <selection activeCell="C4" sqref="C4"/>
    </sheetView>
  </sheetViews>
  <sheetFormatPr defaultRowHeight="15" x14ac:dyDescent="0.25"/>
  <cols>
    <col min="1" max="1" width="10" customWidth="1"/>
    <col min="6" max="6" width="12.85546875" bestFit="1" customWidth="1"/>
    <col min="7" max="7" width="16.5703125" bestFit="1" customWidth="1"/>
    <col min="9" max="9" width="10.5703125" bestFit="1" customWidth="1"/>
    <col min="11" max="11" width="7.85546875" bestFit="1" customWidth="1"/>
    <col min="12" max="12" width="11.5703125" bestFit="1" customWidth="1"/>
    <col min="13" max="13" width="11.85546875" bestFit="1" customWidth="1"/>
    <col min="14" max="14" width="14.7109375" bestFit="1" customWidth="1"/>
    <col min="15" max="15" width="22.85546875" bestFit="1" customWidth="1"/>
    <col min="16" max="16" width="33.42578125" bestFit="1" customWidth="1"/>
    <col min="17" max="17" width="16.7109375" bestFit="1" customWidth="1"/>
    <col min="18" max="18" width="11.140625" bestFit="1" customWidth="1"/>
    <col min="19" max="19" width="13.85546875" bestFit="1" customWidth="1"/>
    <col min="20" max="20" width="16.28515625" bestFit="1" customWidth="1"/>
  </cols>
  <sheetData>
    <row r="1" spans="1:24" x14ac:dyDescent="0.25">
      <c r="A1" s="75" t="s">
        <v>60</v>
      </c>
      <c r="B1" s="75" t="s">
        <v>61</v>
      </c>
      <c r="C1" s="75" t="s">
        <v>62</v>
      </c>
      <c r="D1" s="75" t="s">
        <v>31</v>
      </c>
      <c r="E1" s="75" t="s">
        <v>63</v>
      </c>
      <c r="F1" s="75" t="s">
        <v>64</v>
      </c>
      <c r="G1" s="75" t="s">
        <v>65</v>
      </c>
      <c r="H1" s="75" t="s">
        <v>32</v>
      </c>
      <c r="I1" s="75" t="s">
        <v>66</v>
      </c>
      <c r="J1" s="75" t="s">
        <v>34</v>
      </c>
      <c r="K1" s="75" t="s">
        <v>67</v>
      </c>
      <c r="L1" s="75" t="s">
        <v>68</v>
      </c>
      <c r="M1" s="75" t="s">
        <v>69</v>
      </c>
      <c r="N1" s="75" t="s">
        <v>70</v>
      </c>
      <c r="O1" s="75" t="s">
        <v>71</v>
      </c>
      <c r="P1" s="75" t="s">
        <v>72</v>
      </c>
      <c r="Q1" s="75" t="s">
        <v>73</v>
      </c>
      <c r="R1" s="75" t="s">
        <v>74</v>
      </c>
      <c r="S1" s="75" t="s">
        <v>75</v>
      </c>
      <c r="T1" s="75" t="s">
        <v>76</v>
      </c>
      <c r="U1" s="75"/>
      <c r="V1" s="75"/>
      <c r="W1" s="75"/>
      <c r="X1" s="7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"/>
  <sheetViews>
    <sheetView workbookViewId="0">
      <selection activeCell="E2" sqref="E2"/>
    </sheetView>
  </sheetViews>
  <sheetFormatPr defaultRowHeight="15" x14ac:dyDescent="0.25"/>
  <cols>
    <col min="6" max="6" width="10" bestFit="1" customWidth="1"/>
  </cols>
  <sheetData>
    <row r="1" spans="1:10" x14ac:dyDescent="0.25">
      <c r="A1" s="75" t="s">
        <v>60</v>
      </c>
      <c r="B1" s="75" t="s">
        <v>77</v>
      </c>
      <c r="C1" s="75" t="s">
        <v>20</v>
      </c>
      <c r="D1" s="75" t="s">
        <v>78</v>
      </c>
      <c r="E1" s="75" t="s">
        <v>79</v>
      </c>
      <c r="F1" s="75" t="s">
        <v>80</v>
      </c>
      <c r="G1" s="75" t="s">
        <v>81</v>
      </c>
      <c r="H1" s="75" t="s">
        <v>82</v>
      </c>
      <c r="I1" s="75" t="s">
        <v>83</v>
      </c>
      <c r="J1" s="7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1"/>
  <sheetViews>
    <sheetView workbookViewId="0">
      <selection activeCell="I4" sqref="I4"/>
    </sheetView>
  </sheetViews>
  <sheetFormatPr defaultRowHeight="15" x14ac:dyDescent="0.25"/>
  <cols>
    <col min="2" max="2" width="7.28515625" bestFit="1" customWidth="1"/>
    <col min="4" max="4" width="11.42578125" bestFit="1" customWidth="1"/>
    <col min="5" max="5" width="11.140625" bestFit="1" customWidth="1"/>
    <col min="6" max="6" width="14.7109375" bestFit="1" customWidth="1"/>
    <col min="7" max="7" width="5.140625" bestFit="1" customWidth="1"/>
    <col min="8" max="8" width="13.85546875" bestFit="1" customWidth="1"/>
    <col min="10" max="10" width="16.140625" bestFit="1" customWidth="1"/>
    <col min="12" max="12" width="8.140625" bestFit="1" customWidth="1"/>
    <col min="13" max="13" width="57.85546875" customWidth="1"/>
    <col min="14" max="14" width="31.85546875" bestFit="1" customWidth="1"/>
  </cols>
  <sheetData>
    <row r="1" spans="1:22" x14ac:dyDescent="0.25">
      <c r="A1" s="75" t="s">
        <v>60</v>
      </c>
      <c r="B1" s="75" t="s">
        <v>77</v>
      </c>
      <c r="C1" s="75" t="s">
        <v>110</v>
      </c>
      <c r="D1" s="75" t="s">
        <v>111</v>
      </c>
      <c r="E1" s="75" t="s">
        <v>84</v>
      </c>
      <c r="F1" s="75" t="s">
        <v>112</v>
      </c>
      <c r="G1" s="75" t="s">
        <v>20</v>
      </c>
      <c r="H1" s="75" t="s">
        <v>113</v>
      </c>
      <c r="I1" s="75" t="s">
        <v>78</v>
      </c>
      <c r="J1" s="75" t="s">
        <v>114</v>
      </c>
      <c r="K1" s="75" t="s">
        <v>79</v>
      </c>
      <c r="L1" s="75" t="s">
        <v>13</v>
      </c>
      <c r="M1" s="75" t="s">
        <v>115</v>
      </c>
      <c r="N1" s="75" t="s">
        <v>119</v>
      </c>
      <c r="O1" s="75"/>
      <c r="P1" s="75"/>
      <c r="Q1" s="75"/>
      <c r="R1" s="75"/>
      <c r="S1" s="75"/>
      <c r="T1" s="75"/>
      <c r="U1" s="75"/>
      <c r="V1" s="7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1"/>
  <sheetViews>
    <sheetView workbookViewId="0">
      <selection activeCell="I7" sqref="I7"/>
    </sheetView>
  </sheetViews>
  <sheetFormatPr defaultRowHeight="15" x14ac:dyDescent="0.25"/>
  <cols>
    <col min="1" max="1" width="8.140625" bestFit="1" customWidth="1"/>
    <col min="2" max="2" width="7.28515625" bestFit="1" customWidth="1"/>
    <col min="3" max="3" width="18.5703125" bestFit="1" customWidth="1"/>
    <col min="7" max="7" width="12.42578125" bestFit="1" customWidth="1"/>
    <col min="9" max="9" width="12.28515625" bestFit="1" customWidth="1"/>
    <col min="10" max="10" width="9.7109375" bestFit="1" customWidth="1"/>
  </cols>
  <sheetData>
    <row r="1" spans="1:18" x14ac:dyDescent="0.25">
      <c r="A1" s="75" t="s">
        <v>60</v>
      </c>
      <c r="B1" s="75" t="s">
        <v>77</v>
      </c>
      <c r="C1" s="75" t="s">
        <v>85</v>
      </c>
      <c r="D1" s="75" t="s">
        <v>84</v>
      </c>
      <c r="E1" s="75" t="s">
        <v>13</v>
      </c>
      <c r="F1" s="75" t="s">
        <v>86</v>
      </c>
      <c r="G1" s="75" t="s">
        <v>87</v>
      </c>
      <c r="H1" s="75" t="s">
        <v>88</v>
      </c>
      <c r="I1" s="75" t="s">
        <v>89</v>
      </c>
      <c r="J1" s="75" t="s">
        <v>90</v>
      </c>
      <c r="K1" s="75"/>
      <c r="L1" s="75"/>
      <c r="M1" s="75"/>
      <c r="N1" s="75"/>
      <c r="O1" s="75"/>
      <c r="P1" s="75"/>
      <c r="Q1" s="75"/>
      <c r="R1" s="7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"/>
  <sheetViews>
    <sheetView workbookViewId="0">
      <selection activeCell="G19" sqref="G19"/>
    </sheetView>
  </sheetViews>
  <sheetFormatPr defaultRowHeight="15" x14ac:dyDescent="0.25"/>
  <cols>
    <col min="1" max="1" width="9.85546875" bestFit="1" customWidth="1"/>
    <col min="2" max="2" width="11.140625" bestFit="1" customWidth="1"/>
    <col min="3" max="3" width="15" bestFit="1" customWidth="1"/>
    <col min="4" max="4" width="11.5703125" bestFit="1" customWidth="1"/>
    <col min="5" max="5" width="15.85546875" bestFit="1" customWidth="1"/>
    <col min="6" max="6" width="12.85546875" bestFit="1" customWidth="1"/>
    <col min="7" max="7" width="18.28515625" bestFit="1" customWidth="1"/>
    <col min="8" max="8" width="14.85546875" bestFit="1" customWidth="1"/>
    <col min="9" max="9" width="12.85546875" bestFit="1" customWidth="1"/>
    <col min="10" max="10" width="13.85546875" bestFit="1" customWidth="1"/>
    <col min="11" max="11" width="16.140625" bestFit="1" customWidth="1"/>
  </cols>
  <sheetData>
    <row r="1" spans="1:18" x14ac:dyDescent="0.25">
      <c r="A1" s="75" t="s">
        <v>91</v>
      </c>
      <c r="B1" s="75" t="s">
        <v>84</v>
      </c>
      <c r="C1" s="75" t="s">
        <v>105</v>
      </c>
      <c r="D1" s="75" t="s">
        <v>106</v>
      </c>
      <c r="E1" s="75" t="s">
        <v>107</v>
      </c>
      <c r="F1" s="75" t="s">
        <v>108</v>
      </c>
      <c r="G1" s="75" t="s">
        <v>109</v>
      </c>
      <c r="H1" s="75" t="s">
        <v>92</v>
      </c>
      <c r="I1" s="75" t="s">
        <v>93</v>
      </c>
      <c r="J1" s="75" t="s">
        <v>94</v>
      </c>
      <c r="K1" s="75" t="s">
        <v>95</v>
      </c>
      <c r="L1" s="75"/>
      <c r="M1" s="75"/>
      <c r="N1" s="75"/>
      <c r="O1" s="75"/>
      <c r="P1" s="75"/>
      <c r="Q1" s="75"/>
      <c r="R1" s="7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"/>
  <sheetViews>
    <sheetView zoomScale="85" zoomScaleNormal="85" workbookViewId="0">
      <pane ySplit="4" topLeftCell="A5" activePane="bottomLeft" state="frozen"/>
      <selection pane="bottomLeft" activeCell="H1" sqref="H1"/>
    </sheetView>
  </sheetViews>
  <sheetFormatPr defaultRowHeight="15" x14ac:dyDescent="0.25"/>
  <cols>
    <col min="1" max="1" width="5" customWidth="1"/>
    <col min="2" max="2" width="110.28515625" customWidth="1"/>
    <col min="3" max="8" width="13.7109375" customWidth="1"/>
    <col min="9" max="9" width="12" customWidth="1"/>
    <col min="10" max="10" width="11" customWidth="1"/>
    <col min="11" max="11" width="12.140625" customWidth="1"/>
  </cols>
  <sheetData>
    <row r="1" spans="1:11" ht="45" x14ac:dyDescent="0.25">
      <c r="A1" s="65"/>
      <c r="B1" s="60" t="s">
        <v>3</v>
      </c>
      <c r="C1" s="61" t="str">
        <f>"AMOUNT (€) " &amp; Overview!$D$23</f>
        <v>AMOUNT (€) 0</v>
      </c>
      <c r="D1" s="62" t="str">
        <f>"AMOUNT (€) 2017/2018"</f>
        <v>AMOUNT (€) 2017/2018</v>
      </c>
      <c r="E1" s="63" t="str">
        <f>"SALE Unit Price FOB ($) " &amp; Overview!$D$23</f>
        <v>SALE Unit Price FOB ($) 0</v>
      </c>
      <c r="F1" s="63" t="str">
        <f>"SALE Unit Price FOB ($)  2017/2018"</f>
        <v>SALE Unit Price FOB ($)  2017/2018</v>
      </c>
      <c r="G1" s="64" t="str">
        <f>"SALE Unit Price FRANCO (€) " &amp; Overview!$D$23</f>
        <v>SALE Unit Price FRANCO (€) 0</v>
      </c>
      <c r="H1" s="64" t="str">
        <f>"SALE Unit Price FRANCO (€) 2017/2018"</f>
        <v>SALE Unit Price FRANCO (€) 2017/2018</v>
      </c>
      <c r="I1" s="62" t="s">
        <v>45</v>
      </c>
      <c r="J1" s="63" t="s">
        <v>46</v>
      </c>
      <c r="K1" s="64" t="s">
        <v>47</v>
      </c>
    </row>
    <row r="2" spans="1:11" x14ac:dyDescent="0.25">
      <c r="A2" s="66"/>
      <c r="B2" s="67" t="s">
        <v>10</v>
      </c>
      <c r="C2" s="69">
        <f>SUM(Table27[ns1:CurrentAmount])</f>
        <v>0</v>
      </c>
      <c r="D2" s="69">
        <f>SUM(Table27[ns1:LastAmount])</f>
        <v>0</v>
      </c>
      <c r="E2" s="70">
        <f>SUM(Table27[ns1:CurrentFOBPrice])</f>
        <v>0</v>
      </c>
      <c r="F2" s="70">
        <f>SUM(Table27[ns1:LastFOBPrice])</f>
        <v>0</v>
      </c>
      <c r="G2" s="71">
        <f>SUM(Table27[ns1:CurrentFrancoPrice])</f>
        <v>0</v>
      </c>
      <c r="H2" s="71">
        <f>SUM(Table27[ns1:LastFrancoPrice])</f>
        <v>0</v>
      </c>
      <c r="I2" s="72" t="e">
        <f>(C2-D2)/D2</f>
        <v>#DIV/0!</v>
      </c>
      <c r="J2" s="73" t="e">
        <f>(E2-F2)/F2</f>
        <v>#DIV/0!</v>
      </c>
      <c r="K2" s="74" t="e">
        <f>(G2-H2)/H2</f>
        <v>#DIV/0!</v>
      </c>
    </row>
    <row r="3" spans="1:11" x14ac:dyDescent="0.25">
      <c r="A3" s="66"/>
      <c r="B3" s="68" t="s">
        <v>58</v>
      </c>
      <c r="C3" s="69">
        <f>SUBTOTAL(9,Table27[ns1:CurrentAmount])</f>
        <v>0</v>
      </c>
      <c r="D3" s="69">
        <f>SUBTOTAL(9,Table27[ns1:LastAmount])</f>
        <v>0</v>
      </c>
      <c r="E3" s="70">
        <f>SUBTOTAL(9,Table27[ns1:CurrentFOBPrice])</f>
        <v>0</v>
      </c>
      <c r="F3" s="70">
        <f>SUBTOTAL(9,Table27[ns1:LastFOBPrice])</f>
        <v>0</v>
      </c>
      <c r="G3" s="71">
        <f>SUBTOTAL(9,Table27[ns1:CurrentFrancoPrice])</f>
        <v>0</v>
      </c>
      <c r="H3" s="71">
        <f>SUBTOTAL(9,Table27[ns1:LastFrancoPrice])</f>
        <v>0</v>
      </c>
      <c r="I3" s="72" t="e">
        <f>(C3-D3)/D3</f>
        <v>#DIV/0!</v>
      </c>
      <c r="J3" s="73" t="e">
        <f>(E3-F3)/F3</f>
        <v>#DIV/0!</v>
      </c>
      <c r="K3" s="74" t="e">
        <f>(G3-H3)/H3</f>
        <v>#DIV/0!</v>
      </c>
    </row>
    <row r="4" spans="1:11" x14ac:dyDescent="0.25">
      <c r="A4" s="51" t="s">
        <v>48</v>
      </c>
      <c r="B4" s="50" t="s">
        <v>28</v>
      </c>
      <c r="C4" s="50" t="s">
        <v>56</v>
      </c>
      <c r="D4" s="50" t="s">
        <v>57</v>
      </c>
      <c r="E4" s="50" t="s">
        <v>49</v>
      </c>
      <c r="F4" s="50" t="s">
        <v>50</v>
      </c>
      <c r="G4" s="50" t="s">
        <v>51</v>
      </c>
      <c r="H4" s="50" t="s">
        <v>52</v>
      </c>
      <c r="I4" s="50" t="s">
        <v>53</v>
      </c>
      <c r="J4" s="50" t="s">
        <v>54</v>
      </c>
      <c r="K4" s="49" t="s">
        <v>55</v>
      </c>
    </row>
    <row r="5" spans="1:11" x14ac:dyDescent="0.25">
      <c r="A5" s="52">
        <f>CIS_PiceComparison_View!A2</f>
        <v>0</v>
      </c>
      <c r="B5" s="94">
        <f>CIS_PiceComparison_View!B2</f>
        <v>0</v>
      </c>
      <c r="C5" s="56">
        <f>CIS_PiceComparison_View!C2</f>
        <v>0</v>
      </c>
      <c r="D5" s="56">
        <f>CIS_PiceComparison_View!D2</f>
        <v>0</v>
      </c>
      <c r="E5" s="59">
        <f>CIS_PiceComparison_View!E2</f>
        <v>0</v>
      </c>
      <c r="F5" s="54">
        <f>CIS_PiceComparison_View!F2</f>
        <v>0</v>
      </c>
      <c r="G5" s="53">
        <f>CIS_PiceComparison_View!G2</f>
        <v>0</v>
      </c>
      <c r="H5" s="53">
        <f>CIS_PiceComparison_View!H2</f>
        <v>0</v>
      </c>
      <c r="I5" s="57">
        <f>CIS_PiceComparison_View!I2</f>
        <v>0</v>
      </c>
      <c r="J5" s="55">
        <f>CIS_PiceComparison_View!J2</f>
        <v>0</v>
      </c>
      <c r="K5" s="58">
        <f>CIS_PiceComparison_View!K2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Overview</vt:lpstr>
      <vt:lpstr>Template</vt:lpstr>
      <vt:lpstr>CIS_Client_View</vt:lpstr>
      <vt:lpstr>CIS_SalesProformaBySeason_View</vt:lpstr>
      <vt:lpstr>CIS_SalesProformaByItem_View</vt:lpstr>
      <vt:lpstr>CIS_LoadingPlanDetail_View</vt:lpstr>
      <vt:lpstr>CIS_PiceComparison_View</vt:lpstr>
      <vt:lpstr>PriceComparison</vt:lpstr>
      <vt:lpstr>Overview!Print_Area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2006-09-26T08:55:29Z</dcterms:created>
  <dcterms:modified xsi:type="dcterms:W3CDTF">2018-09-10T07:22:21Z</dcterms:modified>
</cp:coreProperties>
</file>