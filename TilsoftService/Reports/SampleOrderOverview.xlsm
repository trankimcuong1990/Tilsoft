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Data1" sheetId="2" r:id="rId1"/>
    <sheet name="Data2" sheetId="3" r:id="rId2"/>
    <sheet name="Data3" sheetId="4" r:id="rId3"/>
    <sheet name="template" sheetId="5" r:id="rId4"/>
  </sheets>
  <functionGroups builtInGroupCount="18"/>
  <definedNames>
    <definedName name="_xlnm._FilterDatabase" localSheetId="3" hidden="1">template!$A$6:$AV$6</definedName>
  </definedNames>
  <calcPr calcId="152511"/>
</workbook>
</file>

<file path=xl/calcChain.xml><?xml version="1.0" encoding="utf-8"?>
<calcChain xmlns="http://schemas.openxmlformats.org/spreadsheetml/2006/main">
  <c r="E7" i="5" l="1"/>
  <c r="F7" i="5" l="1"/>
  <c r="I7" i="5"/>
  <c r="H7" i="5"/>
  <c r="G7" i="5"/>
  <c r="N7" i="5"/>
  <c r="J1" i="5"/>
  <c r="AR7" i="5" l="1"/>
  <c r="B7" i="5"/>
  <c r="M7" i="5" l="1"/>
  <c r="AS7" i="5" l="1"/>
  <c r="AP7" i="5" l="1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D7" i="5"/>
  <c r="AQ7" i="5"/>
  <c r="O7" i="5"/>
  <c r="K7" i="5"/>
  <c r="J7" i="5"/>
  <c r="C7" i="5"/>
  <c r="A7" i="5"/>
</calcChain>
</file>

<file path=xl/sharedStrings.xml><?xml version="1.0" encoding="utf-8"?>
<sst xmlns="http://schemas.openxmlformats.org/spreadsheetml/2006/main" count="52" uniqueCount="49">
  <si>
    <t>SAMPLE ORDER OVERVIEW</t>
  </si>
  <si>
    <t>#</t>
  </si>
  <si>
    <t>Image</t>
  </si>
  <si>
    <t>Client Code / Name</t>
  </si>
  <si>
    <t>Hard Deadline</t>
  </si>
  <si>
    <t>Deadline</t>
  </si>
  <si>
    <t>Description</t>
  </si>
  <si>
    <t>Sample Qty</t>
  </si>
  <si>
    <t>Status</t>
  </si>
  <si>
    <t>Factory</t>
  </si>
  <si>
    <t>Sub Factory</t>
  </si>
  <si>
    <t>Material Name</t>
  </si>
  <si>
    <t>Material Type Name</t>
  </si>
  <si>
    <t>Material Color Name</t>
  </si>
  <si>
    <t>Material 2 Name</t>
  </si>
  <si>
    <t>Material 2 Type Name</t>
  </si>
  <si>
    <t>Material 2 Color Name</t>
  </si>
  <si>
    <t>Material 3 Name</t>
  </si>
  <si>
    <t>Material 3 Type Name</t>
  </si>
  <si>
    <t>Material 3 Color Name</t>
  </si>
  <si>
    <t>Seat Cushion Name</t>
  </si>
  <si>
    <t>Back Cushion Name</t>
  </si>
  <si>
    <t>Cushion Color Name</t>
  </si>
  <si>
    <t>Over all Dimension</t>
  </si>
  <si>
    <t>TD</t>
  </si>
  <si>
    <t>Net Weight</t>
  </si>
  <si>
    <t>Gross Weight</t>
  </si>
  <si>
    <t>Load Ability</t>
  </si>
  <si>
    <t>Item/Box</t>
  </si>
  <si>
    <t>Box/Set</t>
  </si>
  <si>
    <t>Carton Box Dimension</t>
  </si>
  <si>
    <t>Intern Remark</t>
  </si>
  <si>
    <t>Sample progress 
/ 
Latest picture</t>
  </si>
  <si>
    <t>L</t>
  </si>
  <si>
    <t>W</t>
  </si>
  <si>
    <t>H</t>
  </si>
  <si>
    <t>20DC</t>
  </si>
  <si>
    <t>40DC</t>
  </si>
  <si>
    <t>40HC</t>
  </si>
  <si>
    <t>Adding Intern Remark</t>
  </si>
  <si>
    <t>QA / FAC Remark</t>
  </si>
  <si>
    <t xml:space="preserve"> Adding QA / FAC Remark</t>
  </si>
  <si>
    <t>Code Sample</t>
  </si>
  <si>
    <t>QR
Code</t>
  </si>
  <si>
    <t>Sample Order</t>
  </si>
  <si>
    <t>Purpose</t>
  </si>
  <si>
    <t>Transport Type</t>
  </si>
  <si>
    <t>Destination</t>
  </si>
  <si>
    <t>Remark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</si>
</sst>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1" fillId="2" borderId="1" xfId="0" applyNumberFormat="1" applyFont="1" applyFill="1" applyBorder="1"/>
    <xf numFmtId="0" fontId="1" fillId="0" borderId="1" xfId="0" applyNumberFormat="1" applyFont="1" applyFill="1" applyBorder="1"/>
    <xf numFmtId="0" fontId="3" fillId="0" borderId="0" xfId="0" applyNumberFormat="1" applyFont="1" applyFill="1" applyBorder="1"/>
    <xf numFmtId="0" fontId="1" fillId="0" borderId="1" xfId="0" applyNumberFormat="1" applyFont="1" applyFill="1" applyBorder="1" applyAlignment="1">
      <alignment vertical="top" wrapText="1"/>
    </xf>
    <xf numFmtId="0" fontId="4" fillId="0" borderId="0" xfId="0" applyNumberFormat="1" applyFont="1" applyFill="1" applyBorder="1"/>
    <xf numFmtId="0" fontId="1" fillId="0" borderId="1" xfId="0" applyNumberFormat="1" applyFont="1" applyFill="1" applyBorder="1" applyAlignment="1">
      <alignment horizontal="left" vertical="top" wrapText="1"/>
    </xf>
    <xf numFmtId="0" fontId="1" fillId="0" borderId="1" xfId="0" applyNumberFormat="1" applyFont="1" applyFill="1" applyBorder="1" applyAlignment="1">
      <alignment horizontal="center" vertical="top" wrapText="1"/>
    </xf>
    <xf numFmtId="14" fontId="1" fillId="0" borderId="1" xfId="0" applyNumberFormat="1" applyFont="1" applyFill="1" applyBorder="1" applyAlignment="1">
      <alignment horizontal="center" vertical="top" wrapText="1"/>
    </xf>
    <xf numFmtId="0" fontId="2" fillId="4" borderId="1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left" vertical="top"/>
    </xf>
    <xf numFmtId="0" fontId="2" fillId="4" borderId="1" xfId="0" applyNumberFormat="1" applyFont="1" applyFill="1" applyBorder="1" applyAlignment="1">
      <alignment horizontal="center" vertical="center" wrapText="1"/>
    </xf>
    <xf numFmtId="0" fontId="2" fillId="3" borderId="1" xfId="0" applyNumberFormat="1" applyFont="1" applyFill="1" applyBorder="1" applyAlignment="1">
      <alignment horizontal="center" vertical="center" wrapText="1"/>
    </xf>
    <xf numFmtId="0" fontId="2" fillId="3" borderId="2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 wrapText="1"/>
    </xf>
    <xf numFmtId="0" fontId="5" fillId="7" borderId="2" xfId="0" applyNumberFormat="1" applyFont="1" applyFill="1" applyBorder="1" applyAlignment="1">
      <alignment horizontal="center" vertical="center" wrapText="1"/>
    </xf>
    <xf numFmtId="0" fontId="5" fillId="7" borderId="3" xfId="0" applyNumberFormat="1" applyFont="1" applyFill="1" applyBorder="1" applyAlignment="1">
      <alignment horizontal="center" vertical="center" wrapText="1"/>
    </xf>
    <xf numFmtId="0" fontId="5" fillId="5" borderId="2" xfId="0" applyNumberFormat="1" applyFont="1" applyFill="1" applyBorder="1" applyAlignment="1">
      <alignment horizontal="center" vertical="center" wrapText="1"/>
    </xf>
    <xf numFmtId="0" fontId="5" fillId="5" borderId="3" xfId="0" applyNumberFormat="1" applyFont="1" applyFill="1" applyBorder="1" applyAlignment="1">
      <alignment horizontal="center" vertical="center" wrapText="1"/>
    </xf>
    <xf numFmtId="0" fontId="2" fillId="6" borderId="1" xfId="0" applyNumberFormat="1" applyFont="1" applyFill="1" applyBorder="1" applyAlignment="1">
      <alignment horizontal="center" vertical="center" wrapText="1"/>
    </xf>
    <xf numFmtId="0" fontId="2" fillId="4" borderId="2" xfId="0" applyNumberFormat="1" applyFont="1" applyFill="1" applyBorder="1" applyAlignment="1">
      <alignment horizontal="center" vertical="center" wrapText="1"/>
    </xf>
    <xf numFmtId="0" fontId="2" fillId="4" borderId="3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V2" sqref="AV2"/>
    </sheetView>
  </sheetViews>
  <sheetFormatPr defaultRowHeight="15" x14ac:dyDescent="0.25"/>
  <cols>
    <col min="1" max="1" width="16.42578125" bestFit="1" customWidth="1"/>
    <col min="2" max="2" width="49.85546875" bestFit="1" customWidth="1"/>
    <col min="3" max="3" width="50.85546875" bestFit="1" customWidth="1"/>
    <col min="4" max="4" width="50.7109375" customWidth="1"/>
    <col min="5" max="5" width="49.28515625" bestFit="1" customWidth="1"/>
    <col min="6" max="6" width="49.42578125" bestFit="1" customWidth="1"/>
    <col min="7" max="7" width="50.7109375" customWidth="1"/>
    <col min="8" max="8" width="50" bestFit="1" customWidth="1"/>
    <col min="9" max="9" width="50.140625" bestFit="1" customWidth="1"/>
    <col min="10" max="12" width="50.7109375" customWidth="1"/>
    <col min="13" max="13" width="15.42578125" bestFit="1" customWidth="1"/>
    <col min="14" max="14" width="8.85546875" bestFit="1" customWidth="1"/>
    <col min="15" max="15" width="43.140625" bestFit="1" customWidth="1"/>
    <col min="16" max="16" width="13.28515625" bestFit="1" customWidth="1"/>
    <col min="17" max="18" width="23.42578125" bestFit="1" customWidth="1"/>
    <col min="19" max="19" width="9.28515625" bestFit="1" customWidth="1"/>
    <col min="20" max="20" width="50.7109375" customWidth="1"/>
    <col min="21" max="21" width="8.7109375" bestFit="1" customWidth="1"/>
    <col min="22" max="22" width="21.85546875" bestFit="1" customWidth="1"/>
    <col min="23" max="23" width="22.28515625" bestFit="1" customWidth="1"/>
    <col min="24" max="24" width="18" bestFit="1" customWidth="1"/>
    <col min="25" max="25" width="28" bestFit="1" customWidth="1"/>
    <col min="26" max="26" width="18.42578125" bestFit="1" customWidth="1"/>
    <col min="27" max="27" width="25.140625" bestFit="1" customWidth="1"/>
    <col min="28" max="28" width="53" bestFit="1" customWidth="1"/>
    <col min="29" max="29" width="32.28515625" bestFit="1" customWidth="1"/>
    <col min="30" max="30" width="28.7109375" bestFit="1" customWidth="1"/>
    <col min="31" max="31" width="15.28515625" bestFit="1" customWidth="1"/>
    <col min="32" max="32" width="21.140625" bestFit="1" customWidth="1"/>
    <col min="33" max="33" width="25" bestFit="1" customWidth="1"/>
    <col min="34" max="34" width="14.7109375" bestFit="1" customWidth="1"/>
    <col min="35" max="35" width="14.28515625" bestFit="1" customWidth="1"/>
    <col min="36" max="36" width="15.7109375" bestFit="1" customWidth="1"/>
    <col min="37" max="37" width="18.140625" bestFit="1" customWidth="1"/>
    <col min="38" max="38" width="15.5703125" bestFit="1" customWidth="1"/>
    <col min="39" max="39" width="11.85546875" bestFit="1" customWidth="1"/>
    <col min="40" max="40" width="12.28515625" bestFit="1" customWidth="1"/>
    <col min="41" max="43" width="15.5703125" bestFit="1" customWidth="1"/>
    <col min="44" max="44" width="14.7109375" bestFit="1" customWidth="1"/>
    <col min="45" max="45" width="15.7109375" bestFit="1" customWidth="1"/>
    <col min="46" max="46" width="15.140625" bestFit="1" customWidth="1"/>
    <col min="47" max="47" width="10.140625" bestFit="1" customWidth="1"/>
    <col min="48" max="48" width="24.140625" customWidth="1"/>
    <col min="49" max="49" width="21.5703125" bestFit="1" customWidth="1"/>
    <col min="50" max="50" width="21" bestFit="1" customWidth="1"/>
    <col min="51" max="51" width="14.7109375" bestFit="1" customWidth="1"/>
    <col min="52" max="52" width="22.140625" bestFit="1" customWidth="1"/>
  </cols>
  <sheetData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15" sqref="E15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7"/>
  <sheetViews>
    <sheetView tabSelected="1" zoomScale="73" zoomScaleNormal="73" workbookViewId="0">
      <pane xSplit="11" ySplit="6" topLeftCell="L7" activePane="bottomRight" state="frozen"/>
      <selection pane="topRight" activeCell="K1" sqref="K1"/>
      <selection pane="bottomLeft" activeCell="A7" sqref="A7"/>
      <selection pane="bottomRight" activeCell="AX2" sqref="AX2"/>
    </sheetView>
  </sheetViews>
  <sheetFormatPr defaultColWidth="9.140625" defaultRowHeight="168.6" customHeight="1" x14ac:dyDescent="0.2"/>
  <cols>
    <col min="1" max="1" width="5.28515625" style="1" customWidth="1"/>
    <col min="2" max="2" width="33.5703125" style="1" customWidth="1"/>
    <col min="3" max="3" width="7.7109375" style="1" customWidth="1"/>
    <col min="4" max="4" width="12.140625" style="1" customWidth="1"/>
    <col min="5" max="5" width="10.42578125" style="1" customWidth="1"/>
    <col min="6" max="6" width="10.7109375" style="1" customWidth="1"/>
    <col min="7" max="7" width="11" style="1" customWidth="1"/>
    <col min="8" max="8" width="12.42578125" style="1" customWidth="1"/>
    <col min="9" max="11" width="12.28515625" style="1" customWidth="1"/>
    <col min="12" max="12" width="17.7109375" style="1" customWidth="1"/>
    <col min="13" max="13" width="27.140625" style="1" customWidth="1"/>
    <col min="14" max="14" width="36.5703125" style="1" customWidth="1"/>
    <col min="15" max="15" width="8" style="1" customWidth="1"/>
    <col min="16" max="16" width="18.28515625" style="1" customWidth="1"/>
    <col min="17" max="25" width="8.7109375" style="1" customWidth="1"/>
    <col min="26" max="31" width="6.7109375" style="1" customWidth="1"/>
    <col min="32" max="32" width="6.7109375" style="1" hidden="1" customWidth="1"/>
    <col min="33" max="42" width="6.7109375" style="1" customWidth="1"/>
    <col min="43" max="43" width="8" style="1" customWidth="1"/>
    <col min="44" max="45" width="33.7109375" style="1" customWidth="1"/>
    <col min="46" max="48" width="33.5703125" style="1" customWidth="1"/>
    <col min="49" max="16384" width="9.140625" style="1"/>
  </cols>
  <sheetData>
    <row r="1" spans="1:48" ht="18" x14ac:dyDescent="0.25">
      <c r="A1" s="4" t="s">
        <v>0</v>
      </c>
      <c r="J1" s="6" t="str">
        <f>Data3!A2&amp;""</f>
        <v/>
      </c>
      <c r="K1" s="6"/>
      <c r="M1" s="6"/>
    </row>
    <row r="2" spans="1:48" ht="60" customHeight="1" x14ac:dyDescent="0.2">
      <c r="A2" s="13" t="s">
        <v>1</v>
      </c>
      <c r="B2" s="13" t="s">
        <v>2</v>
      </c>
      <c r="C2" s="13" t="s">
        <v>3</v>
      </c>
      <c r="D2" s="13" t="s">
        <v>9</v>
      </c>
      <c r="E2" s="14" t="s">
        <v>44</v>
      </c>
      <c r="F2" s="14" t="s">
        <v>45</v>
      </c>
      <c r="G2" s="14" t="s">
        <v>46</v>
      </c>
      <c r="H2" s="14" t="s">
        <v>47</v>
      </c>
      <c r="I2" s="14" t="s">
        <v>48</v>
      </c>
      <c r="J2" s="13" t="s">
        <v>4</v>
      </c>
      <c r="K2" s="13" t="s">
        <v>5</v>
      </c>
      <c r="L2" s="13" t="s">
        <v>43</v>
      </c>
      <c r="M2" s="14" t="s">
        <v>42</v>
      </c>
      <c r="N2" s="13" t="s">
        <v>6</v>
      </c>
      <c r="O2" s="13" t="s">
        <v>7</v>
      </c>
      <c r="P2" s="13" t="s">
        <v>10</v>
      </c>
      <c r="Q2" s="14" t="s">
        <v>11</v>
      </c>
      <c r="R2" s="13" t="s">
        <v>12</v>
      </c>
      <c r="S2" s="13" t="s">
        <v>13</v>
      </c>
      <c r="T2" s="14" t="s">
        <v>14</v>
      </c>
      <c r="U2" s="13" t="s">
        <v>15</v>
      </c>
      <c r="V2" s="13" t="s">
        <v>16</v>
      </c>
      <c r="W2" s="14" t="s">
        <v>17</v>
      </c>
      <c r="X2" s="13" t="s">
        <v>18</v>
      </c>
      <c r="Y2" s="13" t="s">
        <v>19</v>
      </c>
      <c r="Z2" s="13" t="s">
        <v>20</v>
      </c>
      <c r="AA2" s="13" t="s">
        <v>21</v>
      </c>
      <c r="AB2" s="13" t="s">
        <v>22</v>
      </c>
      <c r="AC2" s="12" t="s">
        <v>23</v>
      </c>
      <c r="AD2" s="12"/>
      <c r="AE2" s="12"/>
      <c r="AF2" s="21" t="s">
        <v>24</v>
      </c>
      <c r="AG2" s="12" t="s">
        <v>25</v>
      </c>
      <c r="AH2" s="12" t="s">
        <v>26</v>
      </c>
      <c r="AI2" s="12" t="s">
        <v>27</v>
      </c>
      <c r="AJ2" s="12"/>
      <c r="AK2" s="12"/>
      <c r="AL2" s="10" t="s">
        <v>28</v>
      </c>
      <c r="AM2" s="10" t="s">
        <v>29</v>
      </c>
      <c r="AN2" s="12" t="s">
        <v>30</v>
      </c>
      <c r="AO2" s="12"/>
      <c r="AP2" s="12"/>
      <c r="AQ2" s="13" t="s">
        <v>8</v>
      </c>
      <c r="AR2" s="12" t="s">
        <v>32</v>
      </c>
      <c r="AS2" s="13" t="s">
        <v>31</v>
      </c>
      <c r="AT2" s="18" t="s">
        <v>39</v>
      </c>
      <c r="AU2" s="20" t="s">
        <v>40</v>
      </c>
      <c r="AV2" s="16" t="s">
        <v>41</v>
      </c>
    </row>
    <row r="3" spans="1:48" ht="12.75" x14ac:dyDescent="0.2">
      <c r="A3" s="13"/>
      <c r="B3" s="13"/>
      <c r="C3" s="13"/>
      <c r="D3" s="13"/>
      <c r="E3" s="15"/>
      <c r="F3" s="15"/>
      <c r="G3" s="15"/>
      <c r="H3" s="15"/>
      <c r="I3" s="15"/>
      <c r="J3" s="13"/>
      <c r="K3" s="13"/>
      <c r="L3" s="13"/>
      <c r="M3" s="15"/>
      <c r="N3" s="13"/>
      <c r="O3" s="13"/>
      <c r="P3" s="13"/>
      <c r="Q3" s="15"/>
      <c r="R3" s="13"/>
      <c r="S3" s="13"/>
      <c r="T3" s="15"/>
      <c r="U3" s="13"/>
      <c r="V3" s="13"/>
      <c r="W3" s="15"/>
      <c r="X3" s="13"/>
      <c r="Y3" s="13"/>
      <c r="Z3" s="13"/>
      <c r="AA3" s="13"/>
      <c r="AB3" s="13"/>
      <c r="AC3" s="10" t="s">
        <v>33</v>
      </c>
      <c r="AD3" s="10" t="s">
        <v>34</v>
      </c>
      <c r="AE3" s="10" t="s">
        <v>35</v>
      </c>
      <c r="AF3" s="22"/>
      <c r="AG3" s="12"/>
      <c r="AH3" s="12"/>
      <c r="AI3" s="10" t="s">
        <v>36</v>
      </c>
      <c r="AJ3" s="10" t="s">
        <v>37</v>
      </c>
      <c r="AK3" s="10" t="s">
        <v>38</v>
      </c>
      <c r="AL3" s="10"/>
      <c r="AM3" s="10"/>
      <c r="AN3" s="10" t="s">
        <v>33</v>
      </c>
      <c r="AO3" s="10" t="s">
        <v>34</v>
      </c>
      <c r="AP3" s="10" t="s">
        <v>35</v>
      </c>
      <c r="AQ3" s="13"/>
      <c r="AR3" s="12"/>
      <c r="AS3" s="13"/>
      <c r="AT3" s="19"/>
      <c r="AU3" s="20"/>
      <c r="AV3" s="17"/>
    </row>
    <row r="4" spans="1:48" ht="12.75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ht="12.75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ht="12.75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1:48" ht="168.6" customHeight="1" x14ac:dyDescent="0.2">
      <c r="A7" s="5">
        <f>ROW()-6</f>
        <v>1</v>
      </c>
      <c r="B7" s="5" t="str">
        <f>IF(ISBLANK(Data1!B2)=FALSE,"http://media-tilsoft.com/thumbnail/"&amp;Data1!B2,"")</f>
        <v/>
      </c>
      <c r="C7" s="8" t="str">
        <f>Data1!C2&amp;"/"&amp;Data1!D2</f>
        <v>/</v>
      </c>
      <c r="D7" s="8" t="str">
        <f>Data1!J2&amp;""</f>
        <v/>
      </c>
      <c r="E7" s="8" t="str">
        <f>IF(ISBLANK(Data1!AV2)=FALSE, VALUE(Data1!AV2),"")</f>
        <v/>
      </c>
      <c r="F7" s="8" t="str">
        <f>IF(ISBLANK(Data1!BH2)=FALSE, VALUE(Data1!BH2),"")</f>
        <v/>
      </c>
      <c r="G7" s="8" t="str">
        <f>IF(ISBLANK(Data1!BI2)=FALSE,VALUE(Data1!BI2),"")</f>
        <v/>
      </c>
      <c r="H7" s="8" t="str">
        <f>IF(ISBLANK(Data1!BJ2)=FALSE,VALUE(Data1!BJ2),"")</f>
        <v/>
      </c>
      <c r="I7" s="8" t="str">
        <f>IF(ISBLANK(Data1!BK2)=FALSE,VALUE(Data1!BK2),"")</f>
        <v/>
      </c>
      <c r="J7" s="9" t="str">
        <f>IF(ISBLANK(Data1!E2)=FALSE,DATEVALUE(Data1!E2),"")</f>
        <v/>
      </c>
      <c r="K7" s="9" t="str">
        <f>IF(ISBLANK(Data1!F2)=FALSE,DATEVALUE(Data1!F2),"")</f>
        <v/>
      </c>
      <c r="L7" s="3"/>
      <c r="M7" s="9" t="str">
        <f>Data1!BB2&amp;""</f>
        <v/>
      </c>
      <c r="N7" s="7" t="str">
        <f>Data1!H2&amp;""</f>
        <v/>
      </c>
      <c r="O7" s="5">
        <f>Data1!I2</f>
        <v>0</v>
      </c>
      <c r="P7" s="8" t="str">
        <f>Data1!K2&amp;""</f>
        <v/>
      </c>
      <c r="Q7" s="8" t="str">
        <f>Data1!L2&amp;""</f>
        <v/>
      </c>
      <c r="R7" s="8" t="str">
        <f>Data1!M2&amp;""</f>
        <v/>
      </c>
      <c r="S7" s="8" t="str">
        <f>Data1!N2&amp;""</f>
        <v/>
      </c>
      <c r="T7" s="8" t="str">
        <f>Data1!O2&amp;""</f>
        <v/>
      </c>
      <c r="U7" s="8" t="str">
        <f>Data1!P2&amp;""</f>
        <v/>
      </c>
      <c r="V7" s="8" t="str">
        <f>Data1!Q2&amp;""</f>
        <v/>
      </c>
      <c r="W7" s="8" t="str">
        <f>Data1!R2&amp;""</f>
        <v/>
      </c>
      <c r="X7" s="8" t="str">
        <f>Data1!S2&amp;""</f>
        <v/>
      </c>
      <c r="Y7" s="8" t="str">
        <f>Data1!T2&amp;""</f>
        <v/>
      </c>
      <c r="Z7" s="8" t="str">
        <f>Data1!Y2&amp;""</f>
        <v/>
      </c>
      <c r="AA7" s="8" t="str">
        <f>Data1!Z2&amp;""</f>
        <v/>
      </c>
      <c r="AB7" s="8" t="str">
        <f>Data1!AA2&amp;""</f>
        <v/>
      </c>
      <c r="AC7" s="8" t="str">
        <f>Data1!AD2&amp;""</f>
        <v/>
      </c>
      <c r="AD7" s="8" t="str">
        <f>Data1!AE2&amp;""</f>
        <v/>
      </c>
      <c r="AE7" s="8" t="str">
        <f>Data1!AF2&amp;""</f>
        <v/>
      </c>
      <c r="AF7" s="8" t="str">
        <f>Data1!AG2&amp;""</f>
        <v/>
      </c>
      <c r="AG7" s="8" t="str">
        <f>Data1!AH2&amp;""</f>
        <v/>
      </c>
      <c r="AH7" s="8" t="str">
        <f>Data1!AI2&amp;""</f>
        <v/>
      </c>
      <c r="AI7" s="8" t="str">
        <f>Data1!AJ2&amp;""</f>
        <v/>
      </c>
      <c r="AJ7" s="8" t="str">
        <f>Data1!AK2&amp;""</f>
        <v/>
      </c>
      <c r="AK7" s="8" t="str">
        <f>Data1!AL2&amp;""</f>
        <v/>
      </c>
      <c r="AL7" s="8" t="str">
        <f>Data1!AM2&amp;""</f>
        <v/>
      </c>
      <c r="AM7" s="8" t="str">
        <f>Data1!AN2&amp;""</f>
        <v/>
      </c>
      <c r="AN7" s="8" t="str">
        <f>Data1!AO2&amp;""</f>
        <v/>
      </c>
      <c r="AO7" s="8" t="str">
        <f>Data1!AP2&amp;""</f>
        <v/>
      </c>
      <c r="AP7" s="8" t="str">
        <f>Data1!AQ2&amp;""</f>
        <v/>
      </c>
      <c r="AQ7" s="8" t="str">
        <f>Data1!G2&amp;""</f>
        <v/>
      </c>
      <c r="AR7" s="7" t="str">
        <f>IF(ISBLANK(Data1!AT2)=FALSE,"http://media-tilsoft.com/thumbnail/"&amp;Data1!AT2,"")</f>
        <v/>
      </c>
      <c r="AS7" s="7" t="str">
        <f>Data1!AS2&amp;""</f>
        <v/>
      </c>
      <c r="AT7" s="11"/>
      <c r="AU7" s="11"/>
      <c r="AV7" s="11"/>
    </row>
  </sheetData>
  <autoFilter ref="A6:AV6"/>
  <mergeCells count="40">
    <mergeCell ref="AV2:AV3"/>
    <mergeCell ref="T2:T3"/>
    <mergeCell ref="AR2:AR3"/>
    <mergeCell ref="AS2:AS3"/>
    <mergeCell ref="AT2:AT3"/>
    <mergeCell ref="AU2:AU3"/>
    <mergeCell ref="AB2:AB3"/>
    <mergeCell ref="U2:U3"/>
    <mergeCell ref="Z2:Z3"/>
    <mergeCell ref="AA2:AA3"/>
    <mergeCell ref="AQ2:AQ3"/>
    <mergeCell ref="AN2:AP2"/>
    <mergeCell ref="AC2:AE2"/>
    <mergeCell ref="AF2:AF3"/>
    <mergeCell ref="AG2:AG3"/>
    <mergeCell ref="AH2:AH3"/>
    <mergeCell ref="D2:D3"/>
    <mergeCell ref="A2:A3"/>
    <mergeCell ref="B2:B3"/>
    <mergeCell ref="C2:C3"/>
    <mergeCell ref="J2:J3"/>
    <mergeCell ref="K2:K3"/>
    <mergeCell ref="E2:E3"/>
    <mergeCell ref="F2:F3"/>
    <mergeCell ref="G2:G3"/>
    <mergeCell ref="H2:H3"/>
    <mergeCell ref="I2:I3"/>
    <mergeCell ref="P2:P3"/>
    <mergeCell ref="Q2:Q3"/>
    <mergeCell ref="R2:R3"/>
    <mergeCell ref="S2:S3"/>
    <mergeCell ref="L2:L3"/>
    <mergeCell ref="M2:M3"/>
    <mergeCell ref="N2:N3"/>
    <mergeCell ref="O2:O3"/>
    <mergeCell ref="AI2:AK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Data1</vt:lpstr>
      <vt:lpstr>Data2</vt:lpstr>
      <vt:lpstr>Data3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2019-11-26T08:12:15Z</dcterms:modified>
</cp:coreProperties>
</file>