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xr:revisionPtr revIDLastSave="0" documentId="10_ncr:8100000_{B6B7A6E0-4656-4638-8462-A686571DD2C0}" xr6:coauthVersionLast="34" xr6:coauthVersionMax="34" xr10:uidLastSave="{00000000-0000-0000-0000-000000000000}"/>
  <bookViews>
    <workbookView xWindow="120" yWindow="60" windowWidth="11475" windowHeight="6720" xr2:uid="{00000000-000D-0000-FFFF-FFFF00000000}"/>
  </bookViews>
  <sheets>
    <sheet name="EurofarPriceOverview" sheetId="1" r:id="rId1"/>
    <sheet name="Data1" sheetId="4" state="hidden" r:id="rId2"/>
    <sheet name="Data2" sheetId="5" state="hidden" r:id="rId3"/>
  </sheets>
  <definedNames>
    <definedName name="_xlnm._FilterDatabase" localSheetId="0" hidden="1">EurofarPriceOverview!$A$6:$AX$6</definedName>
    <definedName name="_xlnm.Print_Titles" localSheetId="0">EurofarPriceOverview!$1:$6</definedName>
  </definedNames>
  <calcPr calcId="162913"/>
</workbook>
</file>

<file path=xl/calcChain.xml><?xml version="1.0" encoding="utf-8"?>
<calcChain xmlns="http://schemas.openxmlformats.org/spreadsheetml/2006/main">
  <c r="AX7" i="1" l="1"/>
  <c r="AX5" i="1"/>
  <c r="AB7" i="1" l="1"/>
  <c r="AA7" i="1"/>
  <c r="V7" i="1"/>
  <c r="U7" i="1"/>
  <c r="T7" i="1"/>
  <c r="S7" i="1"/>
  <c r="R7" i="1"/>
  <c r="Q7" i="1"/>
  <c r="P7" i="1"/>
  <c r="J7" i="1"/>
  <c r="H7" i="1"/>
  <c r="G7" i="1"/>
  <c r="F7" i="1"/>
  <c r="E7" i="1"/>
  <c r="D7" i="1"/>
  <c r="B7" i="1"/>
  <c r="E2" i="1"/>
  <c r="H2" i="1"/>
  <c r="AQ7" i="1"/>
  <c r="AI7" i="1"/>
  <c r="AJ7" i="1" s="1"/>
  <c r="AC7" i="1"/>
  <c r="AF7" i="1" s="1"/>
  <c r="Z7" i="1"/>
  <c r="Y7" i="1"/>
  <c r="W7" i="1"/>
  <c r="N7" i="1"/>
  <c r="L7" i="1"/>
  <c r="I7" i="1"/>
  <c r="K7" i="1" s="1"/>
  <c r="C7" i="1"/>
  <c r="A7" i="1"/>
  <c r="O7" i="1" l="1"/>
  <c r="O5" i="1" s="1"/>
  <c r="M7" i="1"/>
  <c r="M5" i="1" s="1"/>
  <c r="AD7" i="1"/>
  <c r="AS7" i="1" s="1"/>
  <c r="J5" i="1"/>
  <c r="L5" i="1"/>
  <c r="N5" i="1"/>
  <c r="K4" i="1"/>
  <c r="AK7" i="1"/>
  <c r="AG7" i="1"/>
  <c r="AH7" i="1" s="1"/>
  <c r="N4" i="1"/>
  <c r="L4" i="1"/>
  <c r="K5" i="1"/>
  <c r="AR7" i="1"/>
  <c r="J4" i="1"/>
  <c r="X7" i="1"/>
  <c r="AK5" i="1" l="1"/>
  <c r="AH4" i="1"/>
  <c r="AK4" i="1"/>
  <c r="O4" i="1"/>
  <c r="M4" i="1"/>
  <c r="AG5" i="1"/>
  <c r="AE7" i="1"/>
  <c r="AL7" i="1"/>
  <c r="AM7" i="1" s="1"/>
  <c r="X4" i="1"/>
  <c r="X5" i="1"/>
  <c r="AT7" i="1"/>
  <c r="AU7" i="1" s="1"/>
  <c r="AH5" i="1" l="1"/>
  <c r="AG4" i="1"/>
  <c r="AN7" i="1"/>
  <c r="AN4" i="1" s="1"/>
  <c r="AP7" i="1"/>
  <c r="AO7" i="1"/>
  <c r="AE5" i="1"/>
  <c r="AE4" i="1"/>
  <c r="AU4" i="1"/>
  <c r="AU1" i="1" s="1"/>
  <c r="AU5" i="1"/>
  <c r="AU2" i="1" s="1"/>
  <c r="AW7" i="1" l="1"/>
  <c r="AO4" i="1"/>
  <c r="AO1" i="1" s="1"/>
  <c r="AO5" i="1"/>
  <c r="AO2" i="1" s="1"/>
  <c r="AN5" i="1"/>
  <c r="AW5" i="1" l="1"/>
  <c r="AV5" i="1" s="1"/>
  <c r="AV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rofarPriceOverview_20152016" type="4" refreshedVersion="0" background="1">
    <webPr xml="1" sourceData="1" url="C:\Users\my.nguyen\AppData\Local\Temp\EurofarPriceOverview_20152016.xml" htmlTables="1" htmlFormat="all"/>
  </connection>
</connections>
</file>

<file path=xl/sharedStrings.xml><?xml version="1.0" encoding="utf-8"?>
<sst xmlns="http://schemas.openxmlformats.org/spreadsheetml/2006/main" count="90" uniqueCount="87">
  <si>
    <t>Season</t>
  </si>
  <si>
    <t>ExRate</t>
  </si>
  <si>
    <t>TotalCont</t>
  </si>
  <si>
    <t>TotalTurnOverEuro</t>
  </si>
  <si>
    <t>SWOverhead</t>
  </si>
  <si>
    <t>QuotationDetailID</t>
  </si>
  <si>
    <t>ProformaInvoiceNo</t>
  </si>
  <si>
    <t>InvoiceDate</t>
  </si>
  <si>
    <t>ClientUD</t>
  </si>
  <si>
    <t>ClientNM</t>
  </si>
  <si>
    <t>SaleNM</t>
  </si>
  <si>
    <t>ArticleCode</t>
  </si>
  <si>
    <t>Description</t>
  </si>
  <si>
    <t>Qnt40HC</t>
  </si>
  <si>
    <t>OrderQnt</t>
  </si>
  <si>
    <t>ShippedQnt</t>
  </si>
  <si>
    <t>LoadedQnt</t>
  </si>
  <si>
    <t>MaterialNM</t>
  </si>
  <si>
    <t>ProductionStatus</t>
  </si>
  <si>
    <t>FactoryUD</t>
  </si>
  <si>
    <t>LDS</t>
  </si>
  <si>
    <t>QuotationUD</t>
  </si>
  <si>
    <t>ManufacturerCountryNM</t>
  </si>
  <si>
    <t>LocationNM</t>
  </si>
  <si>
    <t>PriceDifferenceCode</t>
  </si>
  <si>
    <t>PurchasingPrice</t>
  </si>
  <si>
    <t>SalePrice</t>
  </si>
  <si>
    <t>TargetPrice</t>
  </si>
  <si>
    <t>BreakDownPrice</t>
  </si>
  <si>
    <t>QuotationStatusNM</t>
  </si>
  <si>
    <t>StatusUpdatedDate</t>
  </si>
  <si>
    <t>Remark</t>
  </si>
  <si>
    <t>Currency</t>
  </si>
  <si>
    <t>UnitPrice</t>
  </si>
  <si>
    <t>Transportation</t>
  </si>
  <si>
    <t>Commission</t>
  </si>
  <si>
    <t>TOTAL IN EUR</t>
  </si>
  <si>
    <t>PROFORMA INVOICES</t>
  </si>
  <si>
    <t>EUR/USD =</t>
  </si>
  <si>
    <t>SUB-TOTAL IN EUR</t>
  </si>
  <si>
    <t>No.</t>
  </si>
  <si>
    <t>P/O. No.</t>
  </si>
  <si>
    <t>Date</t>
  </si>
  <si>
    <t>Customer Code</t>
  </si>
  <si>
    <t>Name Customer</t>
  </si>
  <si>
    <t>Sale</t>
  </si>
  <si>
    <t>Art. Code</t>
  </si>
  <si>
    <t>Art. Description</t>
  </si>
  <si>
    <t>Qnt/40ft</t>
  </si>
  <si>
    <t>Order qnt</t>
  </si>
  <si>
    <t xml:space="preserve"> Order in Cont.</t>
  </si>
  <si>
    <t>Loaded qnt</t>
  </si>
  <si>
    <t>Loaded in Cont.</t>
  </si>
  <si>
    <t>Shipped qnt</t>
  </si>
  <si>
    <t>Shipped in Cont.</t>
  </si>
  <si>
    <t>Main material</t>
  </si>
  <si>
    <t>Status</t>
  </si>
  <si>
    <t>Supplier</t>
  </si>
  <si>
    <t>CO</t>
  </si>
  <si>
    <t>PLACE</t>
  </si>
  <si>
    <t>QUALITY</t>
  </si>
  <si>
    <t>FOD IN USD (COMPANY)</t>
  </si>
  <si>
    <t>Total in USD Company</t>
  </si>
  <si>
    <t>Target price</t>
  </si>
  <si>
    <t>FOB USD (BREAKDOWN)</t>
  </si>
  <si>
    <t>Price status</t>
  </si>
  <si>
    <t>Price cfmd date</t>
  </si>
  <si>
    <t>SALES Unitpr EURO</t>
  </si>
  <si>
    <t>SALES Amount EURO</t>
  </si>
  <si>
    <t>SALES Unitpr US$</t>
  </si>
  <si>
    <t>SALES Amount US$</t>
  </si>
  <si>
    <t>TOTAL SALES Amount USD convert into EURO</t>
  </si>
  <si>
    <t>TRANPSORT PER 40FT HC IN EURO  FOR EURO SALES (STANDARD = 2200 EURO)</t>
  </si>
  <si>
    <t>Transport per unit</t>
  </si>
  <si>
    <t>Totale Transport in Euro</t>
  </si>
  <si>
    <t>FOB SALES PRICES FOR EURO ORDERS ( ELIMINATE TRANSPORT</t>
  </si>
  <si>
    <t xml:space="preserve"> SALES FOB UNIT PRICE  in USD</t>
  </si>
  <si>
    <t>TOTAL SALES AMOUNT IN USD</t>
  </si>
  <si>
    <t>Gross Margin in USD before commission</t>
  </si>
  <si>
    <t>Gross Margin in % before commission</t>
  </si>
  <si>
    <t xml:space="preserve">Commission % </t>
  </si>
  <si>
    <t>Commission Unit price in USD (of USD order)</t>
  </si>
  <si>
    <t>Commission Unit price in Euro (of Euro order</t>
  </si>
  <si>
    <t>Commission Unitprice in USD</t>
  </si>
  <si>
    <t>COMMISSION AMOUNT IN USD</t>
  </si>
  <si>
    <t>Gross Margin% after Commission</t>
  </si>
  <si>
    <t>Oder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</si>
</sst>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\ _B_F_-;\-* #,##0\ _B_F_-;_-* &quot;-&quot;\ _B_F_-;_-@_-"/>
    <numFmt numFmtId="165" formatCode="_-[$€-2]\ * #,##0_-;\-[$€-2]\ * #,##0_-;_-[$€-2]\ * &quot;-&quot;??_-;_-@_-"/>
    <numFmt numFmtId="166" formatCode="_([$€-2]\ * #,##0.00_);_([$€-2]\ * \(#,##0.00\);_([$€-2]\ * &quot;-&quot;??_);_(@_)"/>
    <numFmt numFmtId="167" formatCode="_-* #,##0_-;\-* #,##0_-;_-* &quot;-&quot;??_-;_-@_-"/>
    <numFmt numFmtId="168" formatCode="_-[$€-2]\ * #,##0.00_-;\-[$€-2]\ * #,##0.00_-;_-[$€-2]\ * &quot;-&quot;??_-;_-@_-"/>
    <numFmt numFmtId="169" formatCode="_-* #,##0_-;\-* #,##0_-;_-* &quot;-&quot;_-;_-@_-"/>
    <numFmt numFmtId="170" formatCode="_-* #,##0.00_-;_-* #,##0.00\-;_-* &quot;-&quot;??_-;_-@_-"/>
    <numFmt numFmtId="171" formatCode="#,##0\ &quot;DM&quot;;\-#,##0\ &quot;DM&quot;"/>
    <numFmt numFmtId="172" formatCode="0.000%"/>
    <numFmt numFmtId="173" formatCode="&quot;￥&quot;#,##0;&quot;￥&quot;\-#,##0"/>
    <numFmt numFmtId="174" formatCode="00.000"/>
    <numFmt numFmtId="175" formatCode="_-&quot;F&quot;* #,##0_-;\-&quot;F&quot;* #,##0_-;_-&quot;F&quot;* &quot;-&quot;_-;_-@_-"/>
    <numFmt numFmtId="176" formatCode="#,##0\ &quot;F&quot;;[Red]\-#,##0\ &quot;F&quot;"/>
    <numFmt numFmtId="177" formatCode="_-&quot;F&quot;* #,##0.00_-;\-&quot;F&quot;* #,##0.00_-;_-&quot;F&quot;* &quot;-&quot;??_-;_-@_-"/>
    <numFmt numFmtId="178" formatCode="[$$-C09]#,##0.00"/>
    <numFmt numFmtId="179" formatCode="_-[$$-C09]* #,##0.00_-;\-[$$-C09]* #,##0.00_-;_-[$$-C09]* &quot;-&quot;??_-;_-@_-"/>
    <numFmt numFmtId="180" formatCode="_-&quot;€&quot;\ * #,##0.00_-;_-&quot;€&quot;\ * #,##0.00\-;_-&quot;€&quot;\ * &quot;-&quot;??_-;_-@_-"/>
    <numFmt numFmtId="181" formatCode="_-[$$-1009]* #,##0.00_-;\-[$$-1009]* #,##0.00_-;_-[$$-1009]* &quot;-&quot;??_-;_-@_-"/>
    <numFmt numFmtId="182" formatCode="_ [$€-413]\ * #,##0.00_ ;_ [$€-413]\ * \-#,##0.00_ ;_ [$€-413]\ * &quot;-&quot;??_ ;_ @_ "/>
    <numFmt numFmtId="183" formatCode="_ [$€-2]\ * #,##0_ ;_ [$€-2]\ * \-#,##0_ ;_ [$€-2]\ * &quot;-&quot;??_ ;_ @_ "/>
    <numFmt numFmtId="184" formatCode="&quot;$&quot;#,##0.00"/>
    <numFmt numFmtId="185" formatCode="[$€-413]\ #,##0.00"/>
    <numFmt numFmtId="186" formatCode="_-[$$-409]* #,##0.00_ ;_-[$$-409]* \-#,##0.00\ ;_-[$$-409]* &quot;-&quot;??_ ;_-@_ 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宋体"/>
    </font>
    <font>
      <b/>
      <sz val="9"/>
      <name val="Arial Narrow"/>
      <family val="2"/>
    </font>
    <font>
      <b/>
      <sz val="14"/>
      <color indexed="10"/>
      <name val="Arial Narrow"/>
      <family val="2"/>
    </font>
    <font>
      <sz val="14"/>
      <color indexed="10"/>
      <name val="Arial Narrow"/>
      <family val="2"/>
    </font>
    <font>
      <b/>
      <sz val="14"/>
      <name val="Arial Narrow"/>
      <family val="2"/>
    </font>
    <font>
      <sz val="14"/>
      <name val="Arial Narrow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0"/>
      <name val="Arial Narrow"/>
      <family val="2"/>
    </font>
    <font>
      <sz val="10"/>
      <color indexed="48"/>
      <name val="Arial Narrow"/>
      <family val="2"/>
    </font>
    <font>
      <sz val="11"/>
      <name val="Arial Narrow"/>
      <family val="2"/>
    </font>
    <font>
      <b/>
      <sz val="14"/>
      <color indexed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sz val="9"/>
      <color theme="1"/>
      <name val="Arial"/>
      <family val="2"/>
    </font>
    <font>
      <b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1">
    <xf numFmtId="0" fontId="0" fillId="0" borderId="0"/>
    <xf numFmtId="164" fontId="4" fillId="0" borderId="0"/>
    <xf numFmtId="43" fontId="2" fillId="0" borderId="0"/>
    <xf numFmtId="44" fontId="1" fillId="0" borderId="0"/>
    <xf numFmtId="44" fontId="2" fillId="0" borderId="0"/>
    <xf numFmtId="0" fontId="11" fillId="0" borderId="1">
      <alignment horizontal="left" vertical="center"/>
    </xf>
    <xf numFmtId="0" fontId="11" fillId="0" borderId="2">
      <alignment horizontal="left" vertical="center"/>
    </xf>
    <xf numFmtId="169" fontId="4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170" fontId="3" fillId="0" borderId="0"/>
    <xf numFmtId="0" fontId="3" fillId="0" borderId="0"/>
    <xf numFmtId="43" fontId="3" fillId="0" borderId="0"/>
    <xf numFmtId="0" fontId="12" fillId="0" borderId="0"/>
    <xf numFmtId="164" fontId="2" fillId="0" borderId="0"/>
    <xf numFmtId="9" fontId="1" fillId="0" borderId="0"/>
    <xf numFmtId="9" fontId="2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4" fontId="3" fillId="0" borderId="0"/>
    <xf numFmtId="164" fontId="3" fillId="0" borderId="0"/>
    <xf numFmtId="164" fontId="3" fillId="0" borderId="0"/>
    <xf numFmtId="0" fontId="1" fillId="0" borderId="0"/>
    <xf numFmtId="0" fontId="3" fillId="0" borderId="0"/>
    <xf numFmtId="0" fontId="3" fillId="0" borderId="0"/>
    <xf numFmtId="180" fontId="3" fillId="0" borderId="0"/>
    <xf numFmtId="0" fontId="20" fillId="0" borderId="0"/>
    <xf numFmtId="0" fontId="20" fillId="0" borderId="0"/>
    <xf numFmtId="0" fontId="21" fillId="0" borderId="0">
      <alignment vertical="center"/>
    </xf>
    <xf numFmtId="40" fontId="13" fillId="0" borderId="0"/>
    <xf numFmtId="38" fontId="13" fillId="0" borderId="0"/>
    <xf numFmtId="0" fontId="13" fillId="0" borderId="0"/>
    <xf numFmtId="0" fontId="13" fillId="0" borderId="0"/>
    <xf numFmtId="9" fontId="14" fillId="0" borderId="0"/>
    <xf numFmtId="0" fontId="15" fillId="0" borderId="0"/>
    <xf numFmtId="171" fontId="18" fillId="0" borderId="0"/>
    <xf numFmtId="172" fontId="18" fillId="0" borderId="0"/>
    <xf numFmtId="173" fontId="18" fillId="0" borderId="0"/>
    <xf numFmtId="174" fontId="18" fillId="0" borderId="0"/>
    <xf numFmtId="0" fontId="19" fillId="0" borderId="0"/>
    <xf numFmtId="0" fontId="10" fillId="0" borderId="0"/>
    <xf numFmtId="169" fontId="16" fillId="0" borderId="0"/>
    <xf numFmtId="40" fontId="17" fillId="0" borderId="0"/>
    <xf numFmtId="175" fontId="16" fillId="0" borderId="0"/>
    <xf numFmtId="176" fontId="17" fillId="0" borderId="0"/>
    <xf numFmtId="177" fontId="16" fillId="0" borderId="0"/>
  </cellStyleXfs>
  <cellXfs count="73">
    <xf numFmtId="0" fontId="0" fillId="0" borderId="0" xfId="0" applyNumberFormat="1" applyFont="1" applyFill="1" applyBorder="1"/>
    <xf numFmtId="43" fontId="9" fillId="0" borderId="0" xfId="2" applyNumberFormat="1" applyFont="1" applyFill="1" applyBorder="1" applyAlignment="1">
      <alignment vertical="center"/>
    </xf>
    <xf numFmtId="49" fontId="8" fillId="0" borderId="0" xfId="2" applyNumberFormat="1" applyFont="1" applyFill="1" applyBorder="1" applyAlignment="1">
      <alignment horizontal="center" vertical="center"/>
    </xf>
    <xf numFmtId="43" fontId="7" fillId="0" borderId="0" xfId="2" applyNumberFormat="1" applyFont="1" applyFill="1" applyBorder="1" applyAlignment="1">
      <alignment vertical="center"/>
    </xf>
    <xf numFmtId="43" fontId="8" fillId="0" borderId="0" xfId="2" applyNumberFormat="1" applyFont="1" applyFill="1" applyBorder="1" applyAlignment="1">
      <alignment horizontal="left" vertical="center"/>
    </xf>
    <xf numFmtId="0" fontId="9" fillId="0" borderId="0" xfId="17" applyNumberFormat="1" applyFont="1" applyFill="1" applyBorder="1" applyAlignment="1">
      <alignment horizontal="center" vertical="center"/>
    </xf>
    <xf numFmtId="43" fontId="9" fillId="0" borderId="0" xfId="2" applyNumberFormat="1" applyFont="1" applyFill="1" applyBorder="1" applyAlignment="1">
      <alignment horizontal="center" vertical="center"/>
    </xf>
    <xf numFmtId="166" fontId="8" fillId="0" borderId="0" xfId="2" applyNumberFormat="1" applyFont="1" applyFill="1" applyBorder="1" applyAlignment="1">
      <alignment horizontal="center" vertical="center"/>
    </xf>
    <xf numFmtId="49" fontId="6" fillId="0" borderId="0" xfId="17" applyNumberFormat="1" applyFont="1" applyFill="1" applyBorder="1" applyAlignment="1">
      <alignment horizontal="left" vertical="center"/>
    </xf>
    <xf numFmtId="165" fontId="8" fillId="0" borderId="0" xfId="2" applyNumberFormat="1" applyFont="1" applyFill="1" applyBorder="1" applyAlignment="1">
      <alignment horizontal="center" vertical="center"/>
    </xf>
    <xf numFmtId="183" fontId="5" fillId="0" borderId="0" xfId="15" applyNumberFormat="1" applyFont="1" applyFill="1" applyBorder="1" applyAlignment="1">
      <alignment horizontal="center" vertical="center" wrapText="1"/>
    </xf>
    <xf numFmtId="43" fontId="10" fillId="0" borderId="0" xfId="2" applyNumberFormat="1" applyFont="1" applyFill="1" applyBorder="1"/>
    <xf numFmtId="170" fontId="5" fillId="0" borderId="0" xfId="15" applyNumberFormat="1" applyFont="1" applyFill="1" applyBorder="1" applyAlignment="1">
      <alignment horizontal="center" vertical="center" wrapText="1"/>
    </xf>
    <xf numFmtId="179" fontId="5" fillId="0" borderId="0" xfId="15" applyNumberFormat="1" applyFont="1" applyFill="1" applyBorder="1" applyAlignment="1">
      <alignment horizontal="center" vertical="center" wrapText="1"/>
    </xf>
    <xf numFmtId="0" fontId="9" fillId="0" borderId="0" xfId="17" applyNumberFormat="1" applyFont="1" applyFill="1" applyBorder="1" applyAlignment="1">
      <alignment vertical="center"/>
    </xf>
    <xf numFmtId="181" fontId="22" fillId="0" borderId="0" xfId="2" applyNumberFormat="1" applyFont="1" applyFill="1" applyBorder="1" applyAlignment="1">
      <alignment vertical="center"/>
    </xf>
    <xf numFmtId="178" fontId="23" fillId="0" borderId="0" xfId="11" applyNumberFormat="1" applyFont="1" applyFill="1" applyBorder="1" applyAlignment="1">
      <alignment vertical="center"/>
    </xf>
    <xf numFmtId="182" fontId="24" fillId="0" borderId="0" xfId="19" applyNumberFormat="1" applyFont="1" applyFill="1" applyBorder="1" applyAlignment="1">
      <alignment vertical="center"/>
    </xf>
    <xf numFmtId="43" fontId="24" fillId="0" borderId="0" xfId="2" applyNumberFormat="1" applyFont="1" applyFill="1" applyBorder="1" applyAlignment="1">
      <alignment vertical="center"/>
    </xf>
    <xf numFmtId="43" fontId="27" fillId="0" borderId="0" xfId="2" applyNumberFormat="1" applyFont="1" applyFill="1" applyBorder="1" applyAlignment="1">
      <alignment horizontal="left" vertical="center"/>
    </xf>
    <xf numFmtId="0" fontId="28" fillId="3" borderId="3" xfId="0" applyNumberFormat="1" applyFont="1" applyFill="1" applyBorder="1"/>
    <xf numFmtId="3" fontId="28" fillId="3" borderId="3" xfId="0" applyNumberFormat="1" applyFont="1" applyFill="1" applyBorder="1"/>
    <xf numFmtId="4" fontId="28" fillId="3" borderId="3" xfId="0" applyNumberFormat="1" applyFont="1" applyFill="1" applyBorder="1"/>
    <xf numFmtId="185" fontId="28" fillId="3" borderId="3" xfId="0" applyNumberFormat="1" applyFont="1" applyFill="1" applyBorder="1"/>
    <xf numFmtId="184" fontId="28" fillId="3" borderId="3" xfId="0" applyNumberFormat="1" applyFont="1" applyFill="1" applyBorder="1"/>
    <xf numFmtId="10" fontId="28" fillId="3" borderId="3" xfId="0" applyNumberFormat="1" applyFont="1" applyFill="1" applyBorder="1"/>
    <xf numFmtId="0" fontId="28" fillId="4" borderId="4" xfId="0" applyNumberFormat="1" applyFont="1" applyFill="1" applyBorder="1"/>
    <xf numFmtId="3" fontId="28" fillId="4" borderId="4" xfId="0" applyNumberFormat="1" applyFont="1" applyFill="1" applyBorder="1"/>
    <xf numFmtId="4" fontId="28" fillId="4" borderId="4" xfId="0" applyNumberFormat="1" applyFont="1" applyFill="1" applyBorder="1"/>
    <xf numFmtId="185" fontId="28" fillId="4" borderId="4" xfId="0" applyNumberFormat="1" applyFont="1" applyFill="1" applyBorder="1"/>
    <xf numFmtId="184" fontId="28" fillId="4" borderId="4" xfId="0" applyNumberFormat="1" applyFont="1" applyFill="1" applyBorder="1"/>
    <xf numFmtId="10" fontId="28" fillId="4" borderId="4" xfId="0" applyNumberFormat="1" applyFont="1" applyFill="1" applyBorder="1"/>
    <xf numFmtId="49" fontId="27" fillId="0" borderId="0" xfId="2" applyNumberFormat="1" applyFont="1" applyFill="1" applyBorder="1" applyAlignment="1">
      <alignment horizontal="center" vertical="center"/>
    </xf>
    <xf numFmtId="39" fontId="27" fillId="0" borderId="0" xfId="2" applyNumberFormat="1" applyFont="1" applyFill="1" applyBorder="1" applyAlignment="1">
      <alignment horizontal="center" vertical="center"/>
    </xf>
    <xf numFmtId="3" fontId="10" fillId="2" borderId="3" xfId="17" applyNumberFormat="1" applyFont="1" applyFill="1" applyBorder="1" applyAlignment="1">
      <alignment horizontal="center" vertical="center" wrapText="1"/>
    </xf>
    <xf numFmtId="49" fontId="10" fillId="2" borderId="3" xfId="17" applyNumberFormat="1" applyFont="1" applyFill="1" applyBorder="1" applyAlignment="1">
      <alignment horizontal="center" vertical="center" wrapText="1"/>
    </xf>
    <xf numFmtId="168" fontId="10" fillId="2" borderId="3" xfId="17" applyNumberFormat="1" applyFont="1" applyFill="1" applyBorder="1" applyAlignment="1">
      <alignment horizontal="center" vertical="center" wrapText="1"/>
    </xf>
    <xf numFmtId="43" fontId="10" fillId="2" borderId="3" xfId="2" applyNumberFormat="1" applyFont="1" applyFill="1" applyBorder="1" applyAlignment="1">
      <alignment horizontal="center" vertical="center" wrapText="1"/>
    </xf>
    <xf numFmtId="164" fontId="10" fillId="2" borderId="3" xfId="17" applyNumberFormat="1" applyFont="1" applyFill="1" applyBorder="1" applyAlignment="1">
      <alignment horizontal="center" vertical="center" wrapText="1"/>
    </xf>
    <xf numFmtId="167" fontId="10" fillId="2" borderId="3" xfId="2" applyNumberFormat="1" applyFont="1" applyFill="1" applyBorder="1" applyAlignment="1">
      <alignment horizontal="center" vertical="center" wrapText="1"/>
    </xf>
    <xf numFmtId="166" fontId="28" fillId="5" borderId="3" xfId="0" applyNumberFormat="1" applyFont="1" applyFill="1" applyBorder="1" applyAlignment="1">
      <alignment horizontal="right"/>
    </xf>
    <xf numFmtId="166" fontId="26" fillId="5" borderId="3" xfId="2" applyNumberFormat="1" applyFont="1" applyFill="1" applyBorder="1" applyAlignment="1">
      <alignment horizontal="right" vertical="center"/>
    </xf>
    <xf numFmtId="44" fontId="28" fillId="3" borderId="3" xfId="3" applyNumberFormat="1" applyFont="1" applyFill="1" applyBorder="1"/>
    <xf numFmtId="44" fontId="28" fillId="4" borderId="4" xfId="3" applyNumberFormat="1" applyFont="1" applyFill="1" applyBorder="1"/>
    <xf numFmtId="0" fontId="0" fillId="0" borderId="3" xfId="0" applyNumberFormat="1" applyFont="1" applyFill="1" applyBorder="1"/>
    <xf numFmtId="0" fontId="0" fillId="0" borderId="5" xfId="0" applyNumberFormat="1" applyFont="1" applyFill="1" applyBorder="1"/>
    <xf numFmtId="49" fontId="25" fillId="0" borderId="5" xfId="17" applyNumberFormat="1" applyFont="1" applyFill="1" applyBorder="1" applyAlignment="1">
      <alignment horizontal="left" vertical="center"/>
    </xf>
    <xf numFmtId="9" fontId="0" fillId="0" borderId="3" xfId="18" applyNumberFormat="1" applyFont="1" applyFill="1" applyBorder="1"/>
    <xf numFmtId="186" fontId="28" fillId="3" borderId="3" xfId="0" applyNumberFormat="1" applyFont="1" applyFill="1" applyBorder="1"/>
    <xf numFmtId="186" fontId="28" fillId="4" borderId="4" xfId="0" applyNumberFormat="1" applyFont="1" applyFill="1" applyBorder="1"/>
    <xf numFmtId="9" fontId="28" fillId="3" borderId="3" xfId="18" applyNumberFormat="1" applyFont="1" applyFill="1" applyBorder="1"/>
    <xf numFmtId="168" fontId="28" fillId="3" borderId="3" xfId="0" applyNumberFormat="1" applyFont="1" applyFill="1" applyBorder="1"/>
    <xf numFmtId="168" fontId="28" fillId="4" borderId="4" xfId="0" applyNumberFormat="1" applyFont="1" applyFill="1" applyBorder="1"/>
    <xf numFmtId="14" fontId="0" fillId="0" borderId="3" xfId="0" applyNumberFormat="1" applyFont="1" applyFill="1" applyBorder="1"/>
    <xf numFmtId="1" fontId="0" fillId="0" borderId="3" xfId="0" applyNumberFormat="1" applyFont="1" applyFill="1" applyBorder="1" applyAlignment="1">
      <alignment horizontal="right"/>
    </xf>
    <xf numFmtId="2" fontId="0" fillId="0" borderId="3" xfId="0" applyNumberFormat="1" applyFont="1" applyFill="1" applyBorder="1"/>
    <xf numFmtId="0" fontId="0" fillId="0" borderId="3" xfId="0" applyNumberFormat="1" applyFont="1" applyFill="1" applyBorder="1"/>
    <xf numFmtId="186" fontId="0" fillId="0" borderId="3" xfId="0" applyNumberFormat="1" applyFont="1" applyFill="1" applyBorder="1"/>
    <xf numFmtId="186" fontId="0" fillId="0" borderId="3" xfId="0" applyNumberFormat="1" applyFont="1" applyFill="1" applyBorder="1" applyAlignment="1">
      <alignment horizontal="right"/>
    </xf>
    <xf numFmtId="168" fontId="0" fillId="0" borderId="3" xfId="0" applyNumberFormat="1" applyFont="1" applyFill="1" applyBorder="1"/>
    <xf numFmtId="10" fontId="0" fillId="0" borderId="3" xfId="18" applyNumberFormat="1" applyFont="1" applyFill="1" applyBorder="1"/>
    <xf numFmtId="168" fontId="0" fillId="0" borderId="3" xfId="3" applyNumberFormat="1" applyFont="1" applyFill="1" applyBorder="1"/>
    <xf numFmtId="10" fontId="28" fillId="4" borderId="4" xfId="18" applyNumberFormat="1" applyFont="1" applyFill="1" applyBorder="1"/>
    <xf numFmtId="0" fontId="27" fillId="0" borderId="0" xfId="2" applyNumberFormat="1" applyFont="1" applyFill="1" applyBorder="1" applyAlignment="1">
      <alignment horizontal="left" vertical="center"/>
    </xf>
    <xf numFmtId="2" fontId="0" fillId="0" borderId="3" xfId="0" applyNumberFormat="1" applyFont="1" applyFill="1" applyBorder="1" applyAlignment="1">
      <alignment horizontal="right"/>
    </xf>
    <xf numFmtId="0" fontId="0" fillId="0" borderId="3" xfId="0" applyNumberFormat="1" applyFont="1" applyFill="1" applyBorder="1" applyAlignment="1">
      <alignment horizontal="center"/>
    </xf>
    <xf numFmtId="14" fontId="28" fillId="5" borderId="3" xfId="0" applyNumberFormat="1" applyFont="1" applyFill="1" applyBorder="1" applyAlignment="1">
      <alignment horizontal="right"/>
    </xf>
    <xf numFmtId="14" fontId="10" fillId="2" borderId="3" xfId="2" applyNumberFormat="1" applyFont="1" applyFill="1" applyBorder="1" applyAlignment="1">
      <alignment horizontal="center" vertical="center" wrapText="1"/>
    </xf>
    <xf numFmtId="14" fontId="28" fillId="3" borderId="3" xfId="0" applyNumberFormat="1" applyFont="1" applyFill="1" applyBorder="1"/>
    <xf numFmtId="14" fontId="28" fillId="4" borderId="4" xfId="18" applyNumberFormat="1" applyFont="1" applyFill="1" applyBorder="1"/>
    <xf numFmtId="14" fontId="0" fillId="0" borderId="3" xfId="18" applyNumberFormat="1" applyFont="1" applyFill="1" applyBorder="1"/>
    <xf numFmtId="14" fontId="0" fillId="0" borderId="0" xfId="0" applyNumberFormat="1" applyFont="1" applyFill="1" applyBorder="1"/>
    <xf numFmtId="49" fontId="29" fillId="5" borderId="3" xfId="17" applyNumberFormat="1" applyFont="1" applyFill="1" applyBorder="1" applyAlignment="1">
      <alignment horizontal="right" vertical="center"/>
    </xf>
  </cellXfs>
  <cellStyles count="51">
    <cellStyle name="_ET_STYLE_NoName_00_" xfId="1" xr:uid="{00000000-0005-0000-0000-000000000000}"/>
    <cellStyle name="Comma 2" xfId="2" xr:uid="{00000000-0005-0000-0000-000001000000}"/>
    <cellStyle name="Currency" xfId="3" builtinId="4"/>
    <cellStyle name="Currency 2" xfId="4" xr:uid="{00000000-0005-0000-0000-000003000000}"/>
    <cellStyle name="Header1" xfId="5" xr:uid="{00000000-0005-0000-0000-000004000000}"/>
    <cellStyle name="Header2" xfId="6" xr:uid="{00000000-0005-0000-0000-000005000000}"/>
    <cellStyle name="Komma 2" xfId="7" xr:uid="{00000000-0005-0000-0000-000006000000}"/>
    <cellStyle name="Komma 2 2" xfId="8" xr:uid="{00000000-0005-0000-0000-000007000000}"/>
    <cellStyle name="Komma 2 3" xfId="9" xr:uid="{00000000-0005-0000-0000-000008000000}"/>
    <cellStyle name="Komma 2 4" xfId="10" xr:uid="{00000000-0005-0000-0000-000009000000}"/>
    <cellStyle name="Komma 3" xfId="11" xr:uid="{00000000-0005-0000-0000-00000A000000}"/>
    <cellStyle name="Komma 3 2" xfId="12" xr:uid="{00000000-0005-0000-0000-00000B000000}"/>
    <cellStyle name="Komma 5" xfId="13" xr:uid="{00000000-0005-0000-0000-00000C000000}"/>
    <cellStyle name="Komma 8" xfId="14" xr:uid="{00000000-0005-0000-0000-00000D000000}"/>
    <cellStyle name="Komma_Kopie van 01  IN PRODUCTION PROFORMA INVOICES AVM 26-09-08 (INGEVULD)" xfId="15" xr:uid="{00000000-0005-0000-0000-00000E000000}"/>
    <cellStyle name="n" xfId="16" xr:uid="{00000000-0005-0000-0000-00000F000000}"/>
    <cellStyle name="Normal" xfId="0" builtinId="0"/>
    <cellStyle name="Normal 2" xfId="17" xr:uid="{00000000-0005-0000-0000-000011000000}"/>
    <cellStyle name="Percent" xfId="18" builtinId="5"/>
    <cellStyle name="Percent 2" xfId="19" xr:uid="{00000000-0005-0000-0000-000013000000}"/>
    <cellStyle name="Procent 2 2" xfId="20" xr:uid="{00000000-0005-0000-0000-000014000000}"/>
    <cellStyle name="Procent 2 3" xfId="21" xr:uid="{00000000-0005-0000-0000-000015000000}"/>
    <cellStyle name="Procent 2 4" xfId="22" xr:uid="{00000000-0005-0000-0000-000016000000}"/>
    <cellStyle name="Procent 4" xfId="23" xr:uid="{00000000-0005-0000-0000-000017000000}"/>
    <cellStyle name="Standaard 2" xfId="24" xr:uid="{00000000-0005-0000-0000-000018000000}"/>
    <cellStyle name="Standaard 2 2" xfId="25" xr:uid="{00000000-0005-0000-0000-000019000000}"/>
    <cellStyle name="Standaard 2 3" xfId="26" xr:uid="{00000000-0005-0000-0000-00001A000000}"/>
    <cellStyle name="Standaard 3" xfId="27" xr:uid="{00000000-0005-0000-0000-00001B000000}"/>
    <cellStyle name="Standaard 3 2" xfId="28" xr:uid="{00000000-0005-0000-0000-00001C000000}"/>
    <cellStyle name="Standaard 3 3" xfId="29" xr:uid="{00000000-0005-0000-0000-00001D000000}"/>
    <cellStyle name="Valuta 2" xfId="30" xr:uid="{00000000-0005-0000-0000-00001E000000}"/>
    <cellStyle name=" [0.00]_ Att. 1- Cover" xfId="31" xr:uid="{00000000-0005-0000-0000-00001F000000}"/>
    <cellStyle name="_ Att. 1- Cover" xfId="32" xr:uid="{00000000-0005-0000-0000-000020000000}"/>
    <cellStyle name="?_ Att. 1- Cover" xfId="33" xr:uid="{00000000-0005-0000-0000-000021000000}"/>
    <cellStyle name="똿뗦먛귟 [0.00]_PRODUCT DETAIL Q1" xfId="34" xr:uid="{00000000-0005-0000-0000-000022000000}"/>
    <cellStyle name="똿뗦먛귟_PRODUCT DETAIL Q1" xfId="35" xr:uid="{00000000-0005-0000-0000-000023000000}"/>
    <cellStyle name="믅됞 [0.00]_PRODUCT DETAIL Q1" xfId="36" xr:uid="{00000000-0005-0000-0000-000024000000}"/>
    <cellStyle name="믅됞_PRODUCT DETAIL Q1" xfId="37" xr:uid="{00000000-0005-0000-0000-000025000000}"/>
    <cellStyle name="백분율_95" xfId="38" xr:uid="{00000000-0005-0000-0000-000026000000}"/>
    <cellStyle name="뷭?_BOOKSHIP" xfId="39" xr:uid="{00000000-0005-0000-0000-000027000000}"/>
    <cellStyle name="콤마 [0]_1202" xfId="40" xr:uid="{00000000-0005-0000-0000-000028000000}"/>
    <cellStyle name="콤마_1202" xfId="41" xr:uid="{00000000-0005-0000-0000-000029000000}"/>
    <cellStyle name="통화 [0]_1202" xfId="42" xr:uid="{00000000-0005-0000-0000-00002A000000}"/>
    <cellStyle name="통화_1202" xfId="43" xr:uid="{00000000-0005-0000-0000-00002B000000}"/>
    <cellStyle name="표준_(정보부문)월별인원계획" xfId="44" xr:uid="{00000000-0005-0000-0000-00002C000000}"/>
    <cellStyle name="一般_99Q3647-ALL-CAS2" xfId="45" xr:uid="{00000000-0005-0000-0000-00002D000000}"/>
    <cellStyle name="千分位[0]_Book1" xfId="46" xr:uid="{00000000-0005-0000-0000-00002E000000}"/>
    <cellStyle name="千分位_99Q3647-ALL-CAS2" xfId="47" xr:uid="{00000000-0005-0000-0000-00002F000000}"/>
    <cellStyle name="貨幣 [0]_Book1" xfId="48" xr:uid="{00000000-0005-0000-0000-000030000000}"/>
    <cellStyle name="貨幣[0]_BRE" xfId="49" xr:uid="{00000000-0005-0000-0000-000031000000}"/>
    <cellStyle name="貨幣_Book1" xfId="50" xr:uid="{00000000-0005-0000-0000-00003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X7"/>
  <sheetViews>
    <sheetView showZeros="0" tabSelected="1" zoomScale="75" zoomScaleNormal="75" zoomScaleSheetLayoutView="70" workbookViewId="0">
      <pane xSplit="11" ySplit="6" topLeftCell="AT7" activePane="bottomRight" state="frozen"/>
      <selection pane="topRight" activeCell="L1" sqref="L1"/>
      <selection pane="bottomLeft" activeCell="A7" sqref="A7"/>
      <selection pane="bottomRight" activeCell="E7" sqref="E7"/>
    </sheetView>
  </sheetViews>
  <sheetFormatPr defaultRowHeight="15"/>
  <cols>
    <col min="1" max="1" width="8.28515625" customWidth="1"/>
    <col min="2" max="2" width="8.85546875" bestFit="1" customWidth="1"/>
    <col min="3" max="3" width="10.7109375" bestFit="1" customWidth="1"/>
    <col min="4" max="4" width="13" bestFit="1" customWidth="1"/>
    <col min="5" max="5" width="21.140625" bestFit="1" customWidth="1"/>
    <col min="6" max="6" width="17.42578125" bestFit="1" customWidth="1"/>
    <col min="7" max="7" width="28.85546875" bestFit="1" customWidth="1"/>
    <col min="8" max="8" width="30" customWidth="1"/>
    <col min="9" max="9" width="11.28515625" customWidth="1"/>
    <col min="10" max="23" width="12.42578125" customWidth="1"/>
    <col min="24" max="24" width="14.5703125" bestFit="1" customWidth="1"/>
    <col min="25" max="28" width="12.42578125" customWidth="1"/>
    <col min="29" max="29" width="9.7109375" customWidth="1"/>
    <col min="30" max="40" width="15.7109375" customWidth="1"/>
    <col min="41" max="41" width="15.7109375" hidden="1" customWidth="1"/>
    <col min="42" max="48" width="15.7109375" customWidth="1"/>
    <col min="49" max="49" width="9.140625" hidden="1" customWidth="1"/>
    <col min="50" max="50" width="18.85546875" style="71" customWidth="1"/>
  </cols>
  <sheetData>
    <row r="1" spans="1:50" ht="18" customHeight="1">
      <c r="A1" s="45"/>
      <c r="I1" s="72" t="s">
        <v>36</v>
      </c>
      <c r="J1" s="72"/>
      <c r="AO1" s="40" t="e">
        <f>AO4/H2</f>
        <v>#DIV/0!</v>
      </c>
      <c r="AU1" s="40" t="e">
        <f>AU4/H2</f>
        <v>#DIV/0!</v>
      </c>
      <c r="AV1" s="40"/>
      <c r="AX1" s="66"/>
    </row>
    <row r="2" spans="1:50" ht="18">
      <c r="A2" s="46" t="s">
        <v>37</v>
      </c>
      <c r="B2" s="8"/>
      <c r="C2" s="9"/>
      <c r="D2" s="32"/>
      <c r="E2" s="63" t="str">
        <f>Data2!A2&amp;""</f>
        <v/>
      </c>
      <c r="F2" s="19"/>
      <c r="G2" s="19" t="s">
        <v>38</v>
      </c>
      <c r="H2" s="33">
        <f>Data2!B2</f>
        <v>0</v>
      </c>
      <c r="I2" s="72" t="s">
        <v>39</v>
      </c>
      <c r="J2" s="72"/>
      <c r="K2" s="7"/>
      <c r="L2" s="7"/>
      <c r="M2" s="7"/>
      <c r="N2" s="7"/>
      <c r="O2" s="7"/>
      <c r="P2" s="7"/>
      <c r="Q2" s="2"/>
      <c r="R2" s="4"/>
      <c r="S2" s="1"/>
      <c r="T2" s="6"/>
      <c r="U2" s="6"/>
      <c r="V2" s="1"/>
      <c r="W2" s="1"/>
      <c r="X2" s="1"/>
      <c r="Y2" s="1"/>
      <c r="Z2" s="1"/>
      <c r="AA2" s="1"/>
      <c r="AB2" s="3"/>
      <c r="AC2" s="5"/>
      <c r="AD2" s="11"/>
      <c r="AE2" s="12"/>
      <c r="AF2" s="11"/>
      <c r="AG2" s="13"/>
      <c r="AH2" s="10"/>
      <c r="AI2" s="10"/>
      <c r="AJ2" s="14"/>
      <c r="AK2" s="14"/>
      <c r="AL2" s="15"/>
      <c r="AM2" s="16"/>
      <c r="AN2" s="16"/>
      <c r="AO2" s="41" t="e">
        <f>AO5/H2</f>
        <v>#DIV/0!</v>
      </c>
      <c r="AP2" s="17"/>
      <c r="AQ2" s="17"/>
      <c r="AR2" s="17"/>
      <c r="AS2" s="17"/>
      <c r="AT2" s="18"/>
      <c r="AU2" s="40" t="e">
        <f>AU5/H2</f>
        <v>#DIV/0!</v>
      </c>
      <c r="AV2" s="40"/>
      <c r="AX2" s="66"/>
    </row>
    <row r="3" spans="1:50" ht="60">
      <c r="A3" s="34" t="s">
        <v>40</v>
      </c>
      <c r="B3" s="35" t="s">
        <v>41</v>
      </c>
      <c r="C3" s="36" t="s">
        <v>42</v>
      </c>
      <c r="D3" s="35" t="s">
        <v>43</v>
      </c>
      <c r="E3" s="37" t="s">
        <v>44</v>
      </c>
      <c r="F3" s="37" t="s">
        <v>45</v>
      </c>
      <c r="G3" s="37" t="s">
        <v>46</v>
      </c>
      <c r="H3" s="38" t="s">
        <v>47</v>
      </c>
      <c r="I3" s="38" t="s">
        <v>48</v>
      </c>
      <c r="J3" s="39" t="s">
        <v>49</v>
      </c>
      <c r="K3" s="37" t="s">
        <v>50</v>
      </c>
      <c r="L3" s="37" t="s">
        <v>51</v>
      </c>
      <c r="M3" s="37" t="s">
        <v>52</v>
      </c>
      <c r="N3" s="37" t="s">
        <v>53</v>
      </c>
      <c r="O3" s="37" t="s">
        <v>54</v>
      </c>
      <c r="P3" s="37" t="s">
        <v>55</v>
      </c>
      <c r="Q3" s="37" t="s">
        <v>56</v>
      </c>
      <c r="R3" s="37" t="s">
        <v>57</v>
      </c>
      <c r="S3" s="37" t="s">
        <v>20</v>
      </c>
      <c r="T3" s="37" t="s">
        <v>58</v>
      </c>
      <c r="U3" s="37" t="s">
        <v>59</v>
      </c>
      <c r="V3" s="37" t="s">
        <v>60</v>
      </c>
      <c r="W3" s="37" t="s">
        <v>61</v>
      </c>
      <c r="X3" s="37" t="s">
        <v>62</v>
      </c>
      <c r="Y3" s="37" t="s">
        <v>63</v>
      </c>
      <c r="Z3" s="37" t="s">
        <v>64</v>
      </c>
      <c r="AA3" s="37" t="s">
        <v>65</v>
      </c>
      <c r="AB3" s="37" t="s">
        <v>66</v>
      </c>
      <c r="AC3" s="37" t="s">
        <v>32</v>
      </c>
      <c r="AD3" s="37" t="s">
        <v>67</v>
      </c>
      <c r="AE3" s="37" t="s">
        <v>68</v>
      </c>
      <c r="AF3" s="37" t="s">
        <v>69</v>
      </c>
      <c r="AG3" s="37" t="s">
        <v>70</v>
      </c>
      <c r="AH3" s="37" t="s">
        <v>71</v>
      </c>
      <c r="AI3" s="37" t="s">
        <v>72</v>
      </c>
      <c r="AJ3" s="37" t="s">
        <v>73</v>
      </c>
      <c r="AK3" s="37" t="s">
        <v>74</v>
      </c>
      <c r="AL3" s="37" t="s">
        <v>75</v>
      </c>
      <c r="AM3" s="37" t="s">
        <v>76</v>
      </c>
      <c r="AN3" s="37" t="s">
        <v>77</v>
      </c>
      <c r="AO3" s="37" t="s">
        <v>78</v>
      </c>
      <c r="AP3" s="37" t="s">
        <v>79</v>
      </c>
      <c r="AQ3" s="37" t="s">
        <v>80</v>
      </c>
      <c r="AR3" s="37" t="s">
        <v>81</v>
      </c>
      <c r="AS3" s="37" t="s">
        <v>82</v>
      </c>
      <c r="AT3" s="37" t="s">
        <v>83</v>
      </c>
      <c r="AU3" s="37" t="s">
        <v>84</v>
      </c>
      <c r="AV3" s="37" t="s">
        <v>85</v>
      </c>
      <c r="AX3" s="67" t="s">
        <v>86</v>
      </c>
    </row>
    <row r="4" spans="1:50">
      <c r="A4" s="20"/>
      <c r="B4" s="20"/>
      <c r="C4" s="20"/>
      <c r="D4" s="20"/>
      <c r="E4" s="20"/>
      <c r="F4" s="20"/>
      <c r="G4" s="20"/>
      <c r="H4" s="20"/>
      <c r="I4" s="20"/>
      <c r="J4" s="21">
        <f t="shared" ref="J4:O4" si="0">SUM(J7:J44707)</f>
        <v>0</v>
      </c>
      <c r="K4" s="22">
        <f t="shared" si="0"/>
        <v>0</v>
      </c>
      <c r="L4" s="21">
        <f t="shared" si="0"/>
        <v>0</v>
      </c>
      <c r="M4" s="21">
        <f t="shared" si="0"/>
        <v>0</v>
      </c>
      <c r="N4" s="21">
        <f t="shared" si="0"/>
        <v>0</v>
      </c>
      <c r="O4" s="21">
        <f t="shared" si="0"/>
        <v>0</v>
      </c>
      <c r="P4" s="20"/>
      <c r="Q4" s="20"/>
      <c r="R4" s="20"/>
      <c r="S4" s="20"/>
      <c r="T4" s="20"/>
      <c r="U4" s="20"/>
      <c r="V4" s="20"/>
      <c r="W4" s="24"/>
      <c r="X4" s="48">
        <f>SUM(X7:X44707)</f>
        <v>0</v>
      </c>
      <c r="Y4" s="24"/>
      <c r="Z4" s="24"/>
      <c r="AA4" s="20"/>
      <c r="AB4" s="20"/>
      <c r="AC4" s="20"/>
      <c r="AD4" s="23"/>
      <c r="AE4" s="51">
        <f>SUM(AE7:AE44707)</f>
        <v>0</v>
      </c>
      <c r="AF4" s="24"/>
      <c r="AG4" s="48">
        <f>SUM(AG7:AG44707)</f>
        <v>0</v>
      </c>
      <c r="AH4" s="51" t="e">
        <f>SUM(AH7:AH44707)</f>
        <v>#DIV/0!</v>
      </c>
      <c r="AI4" s="23"/>
      <c r="AJ4" s="23"/>
      <c r="AK4" s="51">
        <f>SUM(AK7:AK44707)</f>
        <v>0</v>
      </c>
      <c r="AL4" s="23"/>
      <c r="AM4" s="42"/>
      <c r="AN4" s="42">
        <f>SUM(AN7:AN44707)</f>
        <v>0</v>
      </c>
      <c r="AO4" s="48">
        <f>SUM(AO7:AO44707)</f>
        <v>0</v>
      </c>
      <c r="AP4" s="50"/>
      <c r="AQ4" s="25"/>
      <c r="AR4" s="24"/>
      <c r="AS4" s="23"/>
      <c r="AT4" s="24"/>
      <c r="AU4" s="48">
        <f>SUM(AU7:AU44707)</f>
        <v>0</v>
      </c>
      <c r="AV4" s="48"/>
      <c r="AX4" s="68"/>
    </row>
    <row r="5" spans="1:50">
      <c r="A5" s="26"/>
      <c r="B5" s="26"/>
      <c r="C5" s="26"/>
      <c r="D5" s="26"/>
      <c r="E5" s="26"/>
      <c r="F5" s="26"/>
      <c r="G5" s="26"/>
      <c r="H5" s="26"/>
      <c r="I5" s="26"/>
      <c r="J5" s="27">
        <f t="shared" ref="J5:O5" si="1">SUBTOTAL(9,J7:J44707)</f>
        <v>0</v>
      </c>
      <c r="K5" s="28">
        <f t="shared" si="1"/>
        <v>0</v>
      </c>
      <c r="L5" s="27">
        <f t="shared" si="1"/>
        <v>0</v>
      </c>
      <c r="M5" s="27">
        <f t="shared" si="1"/>
        <v>0</v>
      </c>
      <c r="N5" s="27">
        <f t="shared" si="1"/>
        <v>0</v>
      </c>
      <c r="O5" s="27">
        <f t="shared" si="1"/>
        <v>0</v>
      </c>
      <c r="P5" s="26"/>
      <c r="Q5" s="26"/>
      <c r="R5" s="26"/>
      <c r="S5" s="26"/>
      <c r="T5" s="26"/>
      <c r="U5" s="26"/>
      <c r="V5" s="26"/>
      <c r="W5" s="30"/>
      <c r="X5" s="49">
        <f>SUBTOTAL(9,X7:X44707)</f>
        <v>0</v>
      </c>
      <c r="Y5" s="30"/>
      <c r="Z5" s="30"/>
      <c r="AA5" s="26"/>
      <c r="AB5" s="26"/>
      <c r="AC5" s="26"/>
      <c r="AD5" s="29"/>
      <c r="AE5" s="52">
        <f>SUBTOTAL(9,AE7:AE44707)</f>
        <v>0</v>
      </c>
      <c r="AF5" s="30"/>
      <c r="AG5" s="49">
        <f>SUBTOTAL(9,AG7:AG44707)</f>
        <v>0</v>
      </c>
      <c r="AH5" s="52" t="e">
        <f>SUBTOTAL(9,AH7:AH44707)</f>
        <v>#DIV/0!</v>
      </c>
      <c r="AI5" s="29"/>
      <c r="AJ5" s="29"/>
      <c r="AK5" s="52">
        <f>SUBTOTAL(9,AK7:AK44707)</f>
        <v>0</v>
      </c>
      <c r="AL5" s="29"/>
      <c r="AM5" s="43"/>
      <c r="AN5" s="43">
        <f>SUBTOTAL(9,AN7:AN44707)</f>
        <v>0</v>
      </c>
      <c r="AO5" s="49">
        <f>SUBTOTAL(9,AO7:AO44707)</f>
        <v>0</v>
      </c>
      <c r="AP5" s="28"/>
      <c r="AQ5" s="31"/>
      <c r="AR5" s="30"/>
      <c r="AS5" s="29"/>
      <c r="AT5" s="30"/>
      <c r="AU5" s="49">
        <f>SUBTOTAL(9,AU7:AU44707)</f>
        <v>0</v>
      </c>
      <c r="AV5" s="62" t="str">
        <f>IF(OR(X5="",X5=0),"",AW5/X5)</f>
        <v/>
      </c>
      <c r="AW5">
        <f>SUBTOTAL(9,AW7:AW44707)</f>
        <v>0</v>
      </c>
      <c r="AX5" s="69" t="str">
        <f>IF(OR(Z5="",Z5=0),"",AY5/Z5)</f>
        <v/>
      </c>
    </row>
    <row r="6" spans="1:50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7"/>
      <c r="AQ6" s="44"/>
      <c r="AR6" s="44"/>
      <c r="AS6" s="44"/>
      <c r="AT6" s="44"/>
      <c r="AU6" s="44"/>
      <c r="AV6" s="44"/>
      <c r="AX6" s="53"/>
    </row>
    <row r="7" spans="1:50">
      <c r="A7" s="44">
        <f>ROW()-6</f>
        <v>1</v>
      </c>
      <c r="B7" s="56" t="str">
        <f>Data1!C2&amp;""</f>
        <v/>
      </c>
      <c r="C7" s="53">
        <f>Data1!D2</f>
        <v>0</v>
      </c>
      <c r="D7" s="56" t="str">
        <f>Data1!E2&amp;""</f>
        <v/>
      </c>
      <c r="E7" s="56" t="str">
        <f>Data1!F2&amp;""</f>
        <v/>
      </c>
      <c r="F7" s="56" t="str">
        <f>Data1!G2&amp;""</f>
        <v/>
      </c>
      <c r="G7" s="56" t="str">
        <f>Data1!H2&amp;""</f>
        <v/>
      </c>
      <c r="H7" s="56" t="str">
        <f>Data1!I2&amp;""</f>
        <v/>
      </c>
      <c r="I7" s="54">
        <f>Data1!J2</f>
        <v>0</v>
      </c>
      <c r="J7" s="64">
        <f>Data1!K2</f>
        <v>0</v>
      </c>
      <c r="K7" s="55">
        <f>IF(OR(ISBLANK(I7),I7=0),0,J7/I7)</f>
        <v>0</v>
      </c>
      <c r="L7" s="54">
        <f>Data1!M2</f>
        <v>0</v>
      </c>
      <c r="M7" s="55">
        <f>IF(OR(ISBLANK(I7),I7=0),0,L7/I7)</f>
        <v>0</v>
      </c>
      <c r="N7" s="54">
        <f>Data1!L2</f>
        <v>0</v>
      </c>
      <c r="O7" s="55">
        <f>IF(OR(ISBLANK(I7),I7=0),0,N7/I7)</f>
        <v>0</v>
      </c>
      <c r="P7" s="56" t="str">
        <f>Data1!N2&amp;""</f>
        <v/>
      </c>
      <c r="Q7" s="65" t="str">
        <f>Data1!O2&amp;""</f>
        <v/>
      </c>
      <c r="R7" s="56" t="str">
        <f>Data1!P2&amp;""</f>
        <v/>
      </c>
      <c r="S7" s="53">
        <f>Data1!Q2</f>
        <v>0</v>
      </c>
      <c r="T7" s="56" t="str">
        <f>Data1!S2&amp;""</f>
        <v/>
      </c>
      <c r="U7" s="56" t="str">
        <f>Data1!T2&amp;""</f>
        <v/>
      </c>
      <c r="V7" s="65" t="str">
        <f>Data1!U2&amp;""</f>
        <v/>
      </c>
      <c r="W7" s="57">
        <f>Data1!W2</f>
        <v>0</v>
      </c>
      <c r="X7" s="58">
        <f>IF(W7="",0,W7*J7)</f>
        <v>0</v>
      </c>
      <c r="Y7" s="57">
        <f>Data1!X2</f>
        <v>0</v>
      </c>
      <c r="Z7" s="57">
        <f>Data1!Y2</f>
        <v>0</v>
      </c>
      <c r="AA7" s="56" t="str">
        <f>Data1!Z2&amp;""</f>
        <v/>
      </c>
      <c r="AB7" s="53">
        <f>Data1!AA2</f>
        <v>0</v>
      </c>
      <c r="AC7" s="56">
        <f>Data1!AC2</f>
        <v>0</v>
      </c>
      <c r="AD7" s="59">
        <f>IF(AC7="EUR",Data1!AD2,0)</f>
        <v>0</v>
      </c>
      <c r="AE7" s="59">
        <f>AD7*J7</f>
        <v>0</v>
      </c>
      <c r="AF7" s="57">
        <f>IF(AC7="USD",Data1!AD2,0)</f>
        <v>0</v>
      </c>
      <c r="AG7" s="58">
        <f>AF7*J7</f>
        <v>0</v>
      </c>
      <c r="AH7" s="61" t="e">
        <f>AG7/$H$2</f>
        <v>#DIV/0!</v>
      </c>
      <c r="AI7" s="59" t="str">
        <f>IF(ISBLANK(Data1!AE2),"",Data1!AE2)</f>
        <v/>
      </c>
      <c r="AJ7" s="59">
        <f>IF(OR(ISBLANK(I7),I7=0,AI7=""),0,AI7/I7)</f>
        <v>0</v>
      </c>
      <c r="AK7" s="59">
        <f>AJ7*J7</f>
        <v>0</v>
      </c>
      <c r="AL7" s="57">
        <f>(AD7-AJ7)*$H$2</f>
        <v>0</v>
      </c>
      <c r="AM7" s="57">
        <f>IF(AC7="USD",AF7,AL7)</f>
        <v>0</v>
      </c>
      <c r="AN7" s="57">
        <f>AM7*J7</f>
        <v>0</v>
      </c>
      <c r="AO7" s="58">
        <f>IF(OR(W7="",W7=0,AND(AC7="EUR",AI7="")),0,(AM7-W7)*J7)</f>
        <v>0</v>
      </c>
      <c r="AP7" s="60">
        <f>IF(OR(W7="",W7=0),0,(AM7-W7)/W7)</f>
        <v>0</v>
      </c>
      <c r="AQ7" s="47">
        <f>Data1!AF2</f>
        <v>0</v>
      </c>
      <c r="AR7" s="57">
        <f>IF(AC7="USD",AQ7*AF7,0)</f>
        <v>0</v>
      </c>
      <c r="AS7" s="59">
        <f>IF(AC7="USD",0,AQ7*AD7)</f>
        <v>0</v>
      </c>
      <c r="AT7" s="57">
        <f>IF(AC7="USD",AQ7*AF7,AQ7*AD7*$H$2)</f>
        <v>0</v>
      </c>
      <c r="AU7" s="57">
        <f>AT7*J7</f>
        <v>0</v>
      </c>
      <c r="AV7" s="60" t="str">
        <f>IF(IF(OR(X7="",X7=0),"",AW7/X7)=0,"",IF(OR(X7="",X7=0),"",AW7/X7))</f>
        <v/>
      </c>
      <c r="AW7">
        <f>IF(W7="",0,AO7-AU7)</f>
        <v>0</v>
      </c>
      <c r="AX7" s="70">
        <f>Data1!AG2</f>
        <v>0</v>
      </c>
    </row>
  </sheetData>
  <autoFilter ref="A6:AX6" xr:uid="{E19CE042-6A56-4E72-8FBD-777107FF8031}"/>
  <mergeCells count="2">
    <mergeCell ref="I1:J1"/>
    <mergeCell ref="I2:J2"/>
  </mergeCells>
  <pageMargins left="0.1" right="0.1" top="0.3" bottom="0.3" header="0.3" footer="0.3"/>
  <pageSetup paperSize="8" scale="30" fitToHeight="0" orientation="landscape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"/>
  <sheetViews>
    <sheetView topLeftCell="O1" workbookViewId="0">
      <selection activeCell="AG2" sqref="AG2"/>
    </sheetView>
  </sheetViews>
  <sheetFormatPr defaultRowHeight="15"/>
  <cols>
    <col min="32" max="32" width="11.85546875" bestFit="1" customWidth="1"/>
  </cols>
  <sheetData>
    <row r="1" spans="1:32">
      <c r="A1" t="s">
        <v>5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A2" sqref="A2:XFD2"/>
    </sheetView>
  </sheetViews>
  <sheetFormatPr defaultRowHeight="15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EurofarPriceOverview</vt:lpstr>
      <vt:lpstr>Data1</vt:lpstr>
      <vt:lpstr>Data2</vt:lpstr>
      <vt:lpstr>EurofarPriceOverview!Print_Titles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BIN</cp:lastModifiedBy>
  <cp:lastPrinted>2013-10-03T11:15:29Z</cp:lastPrinted>
  <dcterms:created xsi:type="dcterms:W3CDTF">2011-12-02T07:43:50Z</dcterms:created>
  <dcterms:modified xsi:type="dcterms:W3CDTF">2018-08-01T07:37:53Z</dcterms:modified>
</cp:coreProperties>
</file>