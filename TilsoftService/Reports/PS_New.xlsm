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629" codeName="{54D0D2CB-4C12-4D6E-6EDF-ACB5E8E520A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Projects\TiLSOFTv1\SOLUTION\TilsoftService\Reports\"/>
    </mc:Choice>
  </mc:AlternateContent>
  <xr:revisionPtr revIDLastSave="0" documentId="13_ncr:1_{09FD4F45-06AD-4133-A937-465A9CE26ECE}" xr6:coauthVersionLast="43" xr6:coauthVersionMax="43" xr10:uidLastSave="{00000000-0000-0000-0000-000000000000}"/>
  <bookViews>
    <workbookView xWindow="-120" yWindow="-120" windowWidth="20730" windowHeight="11160" tabRatio="805" xr2:uid="{00000000-000D-0000-FFFF-FFFF00000000}"/>
  </bookViews>
  <sheets>
    <sheet name="PS" sheetId="6" r:id="rId1"/>
    <sheet name="PSRpt_Product_View" sheetId="4" state="hidden" r:id="rId2"/>
    <sheet name="PSRpt_ProductDescription_View" sheetId="5" state="hidden" r:id="rId3"/>
    <sheet name="PSRpt_ModelDetail_View" sheetId="7" state="hidden" r:id="rId4"/>
    <sheet name="PSRpt_ModelPiece_View" sheetId="8" state="hidden" r:id="rId5"/>
    <sheet name="PSRpt_FactoryOrderDetail_View" sheetId="9" state="hidden" r:id="rId6"/>
  </sheets>
  <definedNames>
    <definedName name="Excel_BuiltIn_Print_Area_1" localSheetId="0">#REF!</definedName>
    <definedName name="Excel_BuiltIn_Print_Area_1">#REF!</definedName>
    <definedName name="_xlnm.Print_Area" localSheetId="0">PS!$A$1:$AH$66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54" i="6" l="1"/>
  <c r="T55" i="6"/>
  <c r="P45" i="6" l="1"/>
  <c r="P44" i="6"/>
  <c r="E16" i="6" l="1"/>
  <c r="E15" i="6"/>
  <c r="AF38" i="6" l="1"/>
  <c r="AD38" i="6"/>
  <c r="AB38" i="6"/>
  <c r="AF39" i="6"/>
  <c r="AD39" i="6"/>
  <c r="AB39" i="6"/>
  <c r="AF37" i="6"/>
  <c r="AD37" i="6"/>
  <c r="AB37" i="6"/>
  <c r="U38" i="6"/>
  <c r="S38" i="6"/>
  <c r="Q38" i="6"/>
  <c r="U39" i="6"/>
  <c r="S39" i="6"/>
  <c r="Q39" i="6"/>
  <c r="U37" i="6"/>
  <c r="S37" i="6"/>
  <c r="Q37" i="6"/>
  <c r="J38" i="6"/>
  <c r="H38" i="6"/>
  <c r="F38" i="6"/>
  <c r="J39" i="6"/>
  <c r="H39" i="6"/>
  <c r="F39" i="6"/>
  <c r="J37" i="6"/>
  <c r="H37" i="6"/>
  <c r="F37" i="6"/>
  <c r="AF33" i="6"/>
  <c r="AD33" i="6"/>
  <c r="AB33" i="6"/>
  <c r="AF34" i="6"/>
  <c r="AD34" i="6"/>
  <c r="AB34" i="6"/>
  <c r="AF32" i="6"/>
  <c r="AD32" i="6"/>
  <c r="AB32" i="6"/>
  <c r="U33" i="6"/>
  <c r="S33" i="6"/>
  <c r="Q33" i="6"/>
  <c r="U34" i="6"/>
  <c r="S34" i="6"/>
  <c r="Q34" i="6"/>
  <c r="U32" i="6"/>
  <c r="S32" i="6"/>
  <c r="Q32" i="6"/>
  <c r="J33" i="6"/>
  <c r="H33" i="6"/>
  <c r="F33" i="6"/>
  <c r="J34" i="6"/>
  <c r="H34" i="6"/>
  <c r="F34" i="6"/>
  <c r="J32" i="6"/>
  <c r="H32" i="6"/>
  <c r="F32" i="6"/>
  <c r="AF28" i="6"/>
  <c r="AD28" i="6"/>
  <c r="AB28" i="6"/>
  <c r="AF29" i="6"/>
  <c r="AD29" i="6"/>
  <c r="AB29" i="6"/>
  <c r="AF27" i="6"/>
  <c r="AD27" i="6"/>
  <c r="AB27" i="6"/>
  <c r="J29" i="6"/>
  <c r="H29" i="6"/>
  <c r="F29" i="6"/>
  <c r="J28" i="6"/>
  <c r="H28" i="6"/>
  <c r="F28" i="6"/>
  <c r="J27" i="6"/>
  <c r="H27" i="6"/>
  <c r="F27" i="6"/>
  <c r="N8" i="6"/>
  <c r="AE55" i="6" l="1"/>
  <c r="AB55" i="6"/>
  <c r="Y55" i="6"/>
  <c r="AE54" i="6"/>
  <c r="AB54" i="6"/>
  <c r="Y54" i="6"/>
  <c r="N55" i="6"/>
  <c r="N54" i="6"/>
  <c r="I55" i="6"/>
  <c r="F55" i="6"/>
  <c r="C55" i="6"/>
  <c r="I54" i="6"/>
  <c r="F54" i="6"/>
  <c r="C54" i="6"/>
  <c r="P43" i="6"/>
  <c r="F48" i="6"/>
  <c r="F47" i="6"/>
  <c r="F46" i="6"/>
  <c r="F45" i="6"/>
  <c r="F44" i="6"/>
  <c r="F43" i="6"/>
  <c r="O17" i="6"/>
  <c r="O15" i="6"/>
  <c r="E17" i="6"/>
  <c r="N12" i="6"/>
  <c r="E12" i="6"/>
  <c r="E8" i="6"/>
  <c r="N7" i="6"/>
  <c r="E6" i="6"/>
  <c r="N6" i="6" l="1"/>
</calcChain>
</file>

<file path=xl/sharedStrings.xml><?xml version="1.0" encoding="utf-8"?>
<sst xmlns="http://schemas.openxmlformats.org/spreadsheetml/2006/main" count="263" uniqueCount="128">
  <si>
    <t>PRODUCT SHEET</t>
  </si>
  <si>
    <t>CLIENT:</t>
  </si>
  <si>
    <t>DATE:</t>
  </si>
  <si>
    <t>ART. CODE:</t>
  </si>
  <si>
    <t>VERSION:</t>
  </si>
  <si>
    <t>PRODUCT DESCRIPTION:</t>
  </si>
  <si>
    <t>LOC:</t>
  </si>
  <si>
    <t>QNT/SET:</t>
  </si>
  <si>
    <t>DIMENSIONS</t>
  </si>
  <si>
    <t>L</t>
  </si>
  <si>
    <t>W</t>
  </si>
  <si>
    <t>H</t>
  </si>
  <si>
    <t>SEAT CUSHION STUFFING:</t>
  </si>
  <si>
    <t>SEAT CUSHION PARTS:</t>
  </si>
  <si>
    <t>BACK CUSHION STUFFING:</t>
  </si>
  <si>
    <t>BACK CUSHION PARTS:</t>
  </si>
  <si>
    <t>QNT BOX</t>
  </si>
  <si>
    <t>QNT CONTAINER</t>
  </si>
  <si>
    <t>20'</t>
  </si>
  <si>
    <t>40'</t>
  </si>
  <si>
    <t>40'HC</t>
  </si>
  <si>
    <t>ITEM:</t>
  </si>
  <si>
    <t>SET:</t>
  </si>
  <si>
    <t>ART. NAME:</t>
  </si>
  <si>
    <t>MATERIAL 1:</t>
  </si>
  <si>
    <t>MATERIAL 1 TYPE:</t>
  </si>
  <si>
    <t>MATERIAL 1 COLOR:</t>
  </si>
  <si>
    <t>MATERIAL 2:</t>
  </si>
  <si>
    <t>MATERIAL 2 TYPE:</t>
  </si>
  <si>
    <t>MATERIAL 2 COLOR:</t>
  </si>
  <si>
    <t>FABRIC TYPE:</t>
  </si>
  <si>
    <t>FABRIC COLOR:</t>
  </si>
  <si>
    <t>CUSHIONS</t>
  </si>
  <si>
    <t>GROSS WEIGHT:</t>
  </si>
  <si>
    <t>NET WEIGHT:</t>
  </si>
  <si>
    <t>SEAT CUSHION WEIGHT:</t>
  </si>
  <si>
    <t>BACK CUSHION WEIGHT:</t>
  </si>
  <si>
    <t>SET</t>
  </si>
  <si>
    <t>OVERALL DIMENSIONS:</t>
  </si>
  <si>
    <t>SEAT DIMENSIONS:</t>
  </si>
  <si>
    <t>BACK DIMENSIONS:</t>
  </si>
  <si>
    <t>OVERALL CUSHION DIMENSIONS:</t>
  </si>
  <si>
    <t>SEAT CUSHION DIMENSIONS:</t>
  </si>
  <si>
    <t>BACK CUSHION DIMENSIONS:</t>
  </si>
  <si>
    <t>Piece 1</t>
  </si>
  <si>
    <t>Piece 2</t>
  </si>
  <si>
    <t>Piece 3</t>
  </si>
  <si>
    <t>Piece 4</t>
  </si>
  <si>
    <t>Piece 5</t>
  </si>
  <si>
    <t>Piece 6</t>
  </si>
  <si>
    <t>Piece 7</t>
  </si>
  <si>
    <t>PACKAGING &amp; LOADABILITY</t>
  </si>
  <si>
    <t>BOX SIZE</t>
  </si>
  <si>
    <t>CARTON TYPE</t>
  </si>
  <si>
    <t>PACKAGING WEIGHT</t>
  </si>
  <si>
    <t>PACKAGING MATERIALS:</t>
  </si>
  <si>
    <t>POL:</t>
  </si>
  <si>
    <t>FRAME:</t>
  </si>
  <si>
    <t>CUSHIONS:</t>
  </si>
  <si>
    <t>MATERIAL 3:</t>
  </si>
  <si>
    <t>MATERIAL 3 TYPE:</t>
  </si>
  <si>
    <t>MATERIAL 3 COLOR:</t>
  </si>
  <si>
    <t>FABRIC &amp; CUSHIONS</t>
  </si>
  <si>
    <t>RowIndex</t>
  </si>
  <si>
    <t>FactoryOrderDetailID</t>
  </si>
  <si>
    <t>FactoryOrderID</t>
  </si>
  <si>
    <t>ProductID</t>
  </si>
  <si>
    <t>ModelID</t>
  </si>
  <si>
    <t>ClientUD</t>
  </si>
  <si>
    <t>ClientNM</t>
  </si>
  <si>
    <t>FileLocation</t>
  </si>
  <si>
    <t>ThumbnailLocation</t>
  </si>
  <si>
    <t>ArticleCode</t>
  </si>
  <si>
    <t>Description</t>
  </si>
  <si>
    <t>ModelThumbnailLocation</t>
  </si>
  <si>
    <t>QntOnSet</t>
  </si>
  <si>
    <t>FactoryUD</t>
  </si>
  <si>
    <t>GrossWeight</t>
  </si>
  <si>
    <t>NetWeight</t>
  </si>
  <si>
    <t>FrameMaterialOptionNM</t>
  </si>
  <si>
    <t>MaterialNM</t>
  </si>
  <si>
    <t>MaterialTypeNM</t>
  </si>
  <si>
    <t>MaterialColorNM</t>
  </si>
  <si>
    <t>MaterialImageFileLocation</t>
  </si>
  <si>
    <t>MaterialImageThumbnailLocation</t>
  </si>
  <si>
    <t>SubMaterialNM</t>
  </si>
  <si>
    <t>SubMaterialColorNM</t>
  </si>
  <si>
    <t>SubMaterialImageFileLocation</t>
  </si>
  <si>
    <t>SubMaterialImageThumbnailLocation</t>
  </si>
  <si>
    <t>SeatCushionStuffing</t>
  </si>
  <si>
    <t>SeatCushionWeight</t>
  </si>
  <si>
    <t>SeatCushionParts</t>
  </si>
  <si>
    <t>BackCushionStuffing</t>
  </si>
  <si>
    <t>BackCushionWeight</t>
  </si>
  <si>
    <t>BackCushionParts</t>
  </si>
  <si>
    <t>CushionTypeNM</t>
  </si>
  <si>
    <t>CushionColorNM</t>
  </si>
  <si>
    <t>CushionNM</t>
  </si>
  <si>
    <t>CushionColorImageFileLocation</t>
  </si>
  <si>
    <t>CushionColorImageThumbnailLocation</t>
  </si>
  <si>
    <t>BoxSizeSetL</t>
  </si>
  <si>
    <t>BoxSizeSetH</t>
  </si>
  <si>
    <t>BoxSizeSetW</t>
  </si>
  <si>
    <t>BoxSizeItemL</t>
  </si>
  <si>
    <t>BoxSizeItemH</t>
  </si>
  <si>
    <t>BoxSizeItemW</t>
  </si>
  <si>
    <t>ContSet20DC</t>
  </si>
  <si>
    <t>ContSet40DC</t>
  </si>
  <si>
    <t>ContSet40HC</t>
  </si>
  <si>
    <t>ContItem20DC</t>
  </si>
  <si>
    <t>ContItem40DC</t>
  </si>
  <si>
    <t>ContItem40HC</t>
  </si>
  <si>
    <t>QntInBoxSet</t>
  </si>
  <si>
    <t>QntInBoxItem</t>
  </si>
  <si>
    <t>BackCushionDimL</t>
  </si>
  <si>
    <t>BackCushionDimW</t>
  </si>
  <si>
    <t>BackCushionDimH</t>
  </si>
  <si>
    <t>SeatCushionDimL</t>
  </si>
  <si>
    <t>SeatCushionDimW</t>
  </si>
  <si>
    <t>SeatCushionDimH</t>
  </si>
  <si>
    <t>PackagingWeightSet</t>
  </si>
  <si>
    <t>PackagingWeightItem</t>
  </si>
  <si>
    <t>ProductDescription</t>
  </si>
  <si>
    <t>ModelTypeID</t>
  </si>
  <si>
    <t>OverallDimL</t>
  </si>
  <si>
    <t>OverallDimW</t>
  </si>
  <si>
    <t>OverallDimH</t>
  </si>
  <si>
    <t xml:space="preserve">Description_x000D_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</si>
</sst>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8">
    <numFmt numFmtId="43" formatCode="_(* #,##0.00_);_(* \(#,##0.00\);_(* &quot;-&quot;??_);_(@_)"/>
    <numFmt numFmtId="164" formatCode="_-* #,##0_-;\-* #,##0_-;_-* &quot;-&quot;_-;_-@_-"/>
    <numFmt numFmtId="165" formatCode="&quot;€&quot;\ #,##0.00_-;&quot;€&quot;\ #,##0.00\-"/>
    <numFmt numFmtId="166" formatCode="&quot;€&quot;\ #,##0.00_-;[Red]&quot;€&quot;\ #,##0.00\-"/>
    <numFmt numFmtId="167" formatCode="[$-409]d\-mmm\-yy;@"/>
    <numFmt numFmtId="168" formatCode="0.0"/>
    <numFmt numFmtId="169" formatCode="_-* #,##0\ _B_F_-;\-* #,##0\ _B_F_-;_-* &quot;-&quot;\ _B_F_-;_-@_-"/>
    <numFmt numFmtId="170" formatCode="_ * #,##0.00_ ;_ * \-#,##0.00_ ;_ * &quot;-&quot;??_ ;_ @_ "/>
    <numFmt numFmtId="171" formatCode="00.000"/>
    <numFmt numFmtId="172" formatCode="_(* #,##0.00_);_(* \(#,##0.00\);_(* \-??_);_(@_)"/>
    <numFmt numFmtId="173" formatCode="_([$€]* #,##0.00_);_([$€]* \(#,##0.00\);_([$€]* &quot;-&quot;??_);_(@_)"/>
    <numFmt numFmtId="174" formatCode="[$$-409]#,##0.00"/>
    <numFmt numFmtId="175" formatCode="#,##0\ &quot;DM&quot;;\-#,##0\ &quot;DM&quot;"/>
    <numFmt numFmtId="176" formatCode="0.000%"/>
    <numFmt numFmtId="177" formatCode="&quot;￥&quot;#,##0;&quot;￥&quot;\-#,##0"/>
    <numFmt numFmtId="178" formatCode="_-&quot;F&quot;* #,##0_-;\-&quot;F&quot;* #,##0_-;_-&quot;F&quot;* &quot;-&quot;_-;_-@_-"/>
    <numFmt numFmtId="179" formatCode="#,##0\ &quot;F&quot;;[Red]\-#,##0\ &quot;F&quot;"/>
    <numFmt numFmtId="180" formatCode="_-&quot;F&quot;* #,##0.00_-;\-&quot;F&quot;* #,##0.00_-;_-&quot;F&quot;* &quot;-&quot;??_-;_-@_-"/>
  </numFmts>
  <fonts count="35">
    <font>
      <sz val="11"/>
      <color theme="1"/>
      <name val="Calibri"/>
      <family val="2"/>
      <scheme val="minor"/>
    </font>
    <font>
      <sz val="10"/>
      <name val="Arial"/>
      <family val="2"/>
    </font>
    <font>
      <sz val="12"/>
      <name val="宋体"/>
    </font>
    <font>
      <sz val="11"/>
      <color indexed="8"/>
      <name val="Calibri"/>
      <family val="2"/>
    </font>
    <font>
      <sz val="11"/>
      <name val="VNI-Times"/>
    </font>
    <font>
      <b/>
      <sz val="12"/>
      <name val="Arial"/>
      <family val="2"/>
    </font>
    <font>
      <u/>
      <sz val="12"/>
      <color indexed="12"/>
      <name val="VNtimes new roman"/>
    </font>
    <font>
      <sz val="12"/>
      <name val="Arial"/>
      <family val="2"/>
    </font>
    <font>
      <sz val="14"/>
      <name val="뼻뮝"/>
      <family val="3"/>
    </font>
    <font>
      <sz val="12"/>
      <name val="바탕체"/>
      <family val="3"/>
    </font>
    <font>
      <sz val="12"/>
      <name val="뼻뮝"/>
      <family val="3"/>
    </font>
    <font>
      <b/>
      <sz val="9"/>
      <name val="Arial"/>
      <family val="2"/>
    </font>
    <font>
      <sz val="12"/>
      <name val="新細明體"/>
    </font>
    <font>
      <sz val="12"/>
      <name val="Courier"/>
      <family val="3"/>
    </font>
    <font>
      <sz val="11"/>
      <name val="돋움"/>
      <family val="3"/>
    </font>
    <font>
      <sz val="10"/>
      <name val="굴림체"/>
      <family val="3"/>
    </font>
    <font>
      <sz val="10"/>
      <name val=" "/>
      <family val="1"/>
    </font>
    <font>
      <sz val="12"/>
      <name val="Times New Roman"/>
      <family val="1"/>
    </font>
    <font>
      <sz val="11"/>
      <color theme="1"/>
      <name val="Calibri"/>
      <family val="2"/>
      <scheme val="minor"/>
    </font>
    <font>
      <u/>
      <sz val="8.25"/>
      <color theme="10"/>
      <name val="Calibri"/>
      <family val="2"/>
    </font>
    <font>
      <sz val="48"/>
      <name val="Avenir LT Std 55 Roman"/>
      <family val="2"/>
    </font>
    <font>
      <sz val="13"/>
      <color theme="1"/>
      <name val="Garamond"/>
      <family val="1"/>
    </font>
    <font>
      <b/>
      <sz val="13"/>
      <color theme="1"/>
      <name val="Garamond"/>
      <family val="1"/>
    </font>
    <font>
      <b/>
      <u/>
      <sz val="13"/>
      <name val="Garamond"/>
      <family val="1"/>
    </font>
    <font>
      <b/>
      <i/>
      <sz val="14"/>
      <name val="Garamond"/>
      <family val="1"/>
    </font>
    <font>
      <sz val="14"/>
      <name val="Garamond"/>
      <family val="1"/>
    </font>
    <font>
      <sz val="14"/>
      <color theme="1"/>
      <name val="Garamond"/>
      <family val="1"/>
    </font>
    <font>
      <b/>
      <sz val="14"/>
      <name val="Garamond"/>
      <family val="1"/>
    </font>
    <font>
      <b/>
      <sz val="14"/>
      <color theme="1"/>
      <name val="Garamond"/>
      <family val="1"/>
    </font>
    <font>
      <sz val="14"/>
      <color theme="1"/>
      <name val="Calibri"/>
      <family val="2"/>
      <scheme val="minor"/>
    </font>
    <font>
      <b/>
      <sz val="14"/>
      <color indexed="10"/>
      <name val="Garamond"/>
      <family val="1"/>
    </font>
    <font>
      <b/>
      <u/>
      <sz val="14"/>
      <name val="Garamond"/>
      <family val="1"/>
    </font>
    <font>
      <sz val="24"/>
      <name val="Avenir LT Std 55 Roman"/>
      <family val="2"/>
    </font>
    <font>
      <b/>
      <sz val="12"/>
      <name val="Garamond"/>
      <family val="1"/>
    </font>
    <font>
      <sz val="9"/>
      <color theme="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43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</borders>
  <cellStyleXfs count="109">
    <xf numFmtId="0" fontId="0" fillId="0" borderId="0"/>
    <xf numFmtId="169" fontId="2" fillId="0" borderId="0"/>
    <xf numFmtId="170" fontId="3" fillId="0" borderId="0"/>
    <xf numFmtId="170" fontId="3" fillId="0" borderId="0"/>
    <xf numFmtId="170" fontId="3" fillId="0" borderId="0"/>
    <xf numFmtId="170" fontId="3" fillId="0" borderId="0"/>
    <xf numFmtId="170" fontId="3" fillId="0" borderId="0"/>
    <xf numFmtId="170" fontId="3" fillId="0" borderId="0"/>
    <xf numFmtId="171" fontId="3" fillId="0" borderId="0"/>
    <xf numFmtId="171" fontId="3" fillId="0" borderId="0"/>
    <xf numFmtId="171" fontId="3" fillId="0" borderId="0"/>
    <xf numFmtId="171" fontId="18" fillId="0" borderId="0"/>
    <xf numFmtId="171" fontId="18" fillId="0" borderId="0"/>
    <xf numFmtId="43" fontId="4" fillId="0" borderId="0"/>
    <xf numFmtId="43" fontId="1" fillId="0" borderId="0"/>
    <xf numFmtId="0" fontId="1" fillId="0" borderId="0"/>
    <xf numFmtId="43" fontId="18" fillId="0" borderId="0"/>
    <xf numFmtId="171" fontId="18" fillId="0" borderId="0"/>
    <xf numFmtId="171" fontId="18" fillId="0" borderId="0"/>
    <xf numFmtId="171" fontId="18" fillId="0" borderId="0"/>
    <xf numFmtId="171" fontId="18" fillId="0" borderId="0"/>
    <xf numFmtId="171" fontId="18" fillId="0" borderId="0"/>
    <xf numFmtId="171" fontId="18" fillId="0" borderId="0"/>
    <xf numFmtId="171" fontId="18" fillId="0" borderId="0"/>
    <xf numFmtId="171" fontId="18" fillId="0" borderId="0"/>
    <xf numFmtId="171" fontId="18" fillId="0" borderId="0"/>
    <xf numFmtId="171" fontId="18" fillId="0" borderId="0"/>
    <xf numFmtId="172" fontId="1" fillId="0" borderId="0"/>
    <xf numFmtId="43" fontId="3" fillId="0" borderId="0"/>
    <xf numFmtId="166" fontId="3" fillId="0" borderId="0"/>
    <xf numFmtId="165" fontId="18" fillId="0" borderId="0"/>
    <xf numFmtId="43" fontId="3" fillId="0" borderId="0"/>
    <xf numFmtId="43" fontId="3" fillId="0" borderId="0"/>
    <xf numFmtId="166" fontId="3" fillId="0" borderId="0"/>
    <xf numFmtId="165" fontId="18" fillId="0" borderId="0"/>
    <xf numFmtId="170" fontId="3" fillId="0" borderId="0"/>
    <xf numFmtId="170" fontId="3" fillId="0" borderId="0"/>
    <xf numFmtId="166" fontId="3" fillId="0" borderId="0"/>
    <xf numFmtId="170" fontId="3" fillId="0" borderId="0"/>
    <xf numFmtId="170" fontId="3" fillId="0" borderId="0"/>
    <xf numFmtId="170" fontId="3" fillId="0" borderId="0"/>
    <xf numFmtId="171" fontId="3" fillId="0" borderId="0"/>
    <xf numFmtId="166" fontId="3" fillId="0" borderId="0"/>
    <xf numFmtId="171" fontId="3" fillId="0" borderId="0"/>
    <xf numFmtId="166" fontId="3" fillId="0" borderId="0"/>
    <xf numFmtId="171" fontId="3" fillId="0" borderId="0"/>
    <xf numFmtId="166" fontId="3" fillId="0" borderId="0"/>
    <xf numFmtId="166" fontId="3" fillId="0" borderId="0"/>
    <xf numFmtId="165" fontId="18" fillId="0" borderId="0"/>
    <xf numFmtId="168" fontId="3" fillId="0" borderId="0"/>
    <xf numFmtId="43" fontId="18" fillId="0" borderId="0"/>
    <xf numFmtId="43" fontId="3" fillId="0" borderId="0"/>
    <xf numFmtId="170" fontId="3" fillId="0" borderId="0"/>
    <xf numFmtId="170" fontId="3" fillId="0" borderId="0"/>
    <xf numFmtId="170" fontId="3" fillId="0" borderId="0"/>
    <xf numFmtId="173" fontId="1" fillId="0" borderId="0"/>
    <xf numFmtId="0" fontId="5" fillId="0" borderId="1">
      <alignment horizontal="left" vertical="center"/>
    </xf>
    <xf numFmtId="0" fontId="5" fillId="0" borderId="2">
      <alignment horizontal="left" vertical="center"/>
    </xf>
    <xf numFmtId="0" fontId="19" fillId="0" borderId="0">
      <alignment vertical="top"/>
      <protection locked="0"/>
    </xf>
    <xf numFmtId="0" fontId="6" fillId="0" borderId="0">
      <alignment vertical="top"/>
      <protection locked="0"/>
    </xf>
    <xf numFmtId="43" fontId="4" fillId="0" borderId="0"/>
    <xf numFmtId="0" fontId="7" fillId="0" borderId="0"/>
    <xf numFmtId="0" fontId="1" fillId="0" borderId="0"/>
    <xf numFmtId="0" fontId="1" fillId="0" borderId="0"/>
    <xf numFmtId="0" fontId="1" fillId="0" borderId="0"/>
    <xf numFmtId="169" fontId="1" fillId="0" borderId="0"/>
    <xf numFmtId="0" fontId="3" fillId="0" borderId="0"/>
    <xf numFmtId="0" fontId="18" fillId="0" borderId="0"/>
    <xf numFmtId="174" fontId="18" fillId="0" borderId="0"/>
    <xf numFmtId="169" fontId="1" fillId="0" borderId="0"/>
    <xf numFmtId="0" fontId="1" fillId="0" borderId="0"/>
    <xf numFmtId="0" fontId="3" fillId="0" borderId="0"/>
    <xf numFmtId="0" fontId="1" fillId="0" borderId="0"/>
    <xf numFmtId="169" fontId="18" fillId="0" borderId="0"/>
    <xf numFmtId="169" fontId="3" fillId="0" borderId="0"/>
    <xf numFmtId="0" fontId="1" fillId="0" borderId="0"/>
    <xf numFmtId="0" fontId="18" fillId="0" borderId="0"/>
    <xf numFmtId="0" fontId="1" fillId="0" borderId="0"/>
    <xf numFmtId="169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9" fontId="4" fillId="0" borderId="0"/>
    <xf numFmtId="0" fontId="18" fillId="0" borderId="0"/>
    <xf numFmtId="0" fontId="1" fillId="0" borderId="0"/>
    <xf numFmtId="169" fontId="1" fillId="0" borderId="0"/>
    <xf numFmtId="169" fontId="1" fillId="0" borderId="0"/>
    <xf numFmtId="0" fontId="16" fillId="0" borderId="0"/>
    <xf numFmtId="0" fontId="16" fillId="0" borderId="0"/>
    <xf numFmtId="0" fontId="17" fillId="0" borderId="0">
      <alignment vertical="center"/>
    </xf>
    <xf numFmtId="40" fontId="8" fillId="0" borderId="0"/>
    <xf numFmtId="38" fontId="8" fillId="0" borderId="0"/>
    <xf numFmtId="0" fontId="8" fillId="0" borderId="0"/>
    <xf numFmtId="0" fontId="8" fillId="0" borderId="0"/>
    <xf numFmtId="9" fontId="9" fillId="0" borderId="0"/>
    <xf numFmtId="0" fontId="10" fillId="0" borderId="0"/>
    <xf numFmtId="175" fontId="14" fillId="0" borderId="0"/>
    <xf numFmtId="176" fontId="14" fillId="0" borderId="0"/>
    <xf numFmtId="177" fontId="14" fillId="0" borderId="0"/>
    <xf numFmtId="171" fontId="14" fillId="0" borderId="0"/>
    <xf numFmtId="0" fontId="15" fillId="0" borderId="0"/>
    <xf numFmtId="0" fontId="11" fillId="0" borderId="0"/>
    <xf numFmtId="164" fontId="12" fillId="0" borderId="0"/>
    <xf numFmtId="40" fontId="13" fillId="0" borderId="0"/>
    <xf numFmtId="0" fontId="1" fillId="0" borderId="0"/>
    <xf numFmtId="178" fontId="12" fillId="0" borderId="0"/>
    <xf numFmtId="179" fontId="13" fillId="0" borderId="0"/>
    <xf numFmtId="180" fontId="12" fillId="0" borderId="0"/>
  </cellStyleXfs>
  <cellXfs count="158">
    <xf numFmtId="0" fontId="0" fillId="0" borderId="0" xfId="0" applyNumberFormat="1" applyFont="1" applyFill="1" applyBorder="1"/>
    <xf numFmtId="0" fontId="18" fillId="2" borderId="0" xfId="67" applyNumberFormat="1" applyFont="1" applyFill="1" applyBorder="1"/>
    <xf numFmtId="0" fontId="21" fillId="2" borderId="0" xfId="67" applyNumberFormat="1" applyFont="1" applyFill="1" applyBorder="1"/>
    <xf numFmtId="0" fontId="22" fillId="2" borderId="0" xfId="67" applyNumberFormat="1" applyFont="1" applyFill="1" applyBorder="1"/>
    <xf numFmtId="0" fontId="22" fillId="2" borderId="7" xfId="67" applyNumberFormat="1" applyFont="1" applyFill="1" applyBorder="1" applyAlignment="1">
      <alignment horizontal="left" vertical="center" wrapText="1"/>
    </xf>
    <xf numFmtId="0" fontId="23" fillId="2" borderId="0" xfId="82" applyNumberFormat="1" applyFont="1" applyFill="1" applyBorder="1" applyAlignment="1">
      <alignment wrapText="1"/>
    </xf>
    <xf numFmtId="0" fontId="26" fillId="2" borderId="0" xfId="67" applyNumberFormat="1" applyFont="1" applyFill="1" applyBorder="1"/>
    <xf numFmtId="0" fontId="26" fillId="2" borderId="3" xfId="67" applyNumberFormat="1" applyFont="1" applyFill="1" applyBorder="1" applyAlignment="1">
      <alignment wrapText="1"/>
    </xf>
    <xf numFmtId="0" fontId="26" fillId="2" borderId="0" xfId="67" applyNumberFormat="1" applyFont="1" applyFill="1" applyBorder="1" applyAlignment="1">
      <alignment wrapText="1"/>
    </xf>
    <xf numFmtId="0" fontId="31" fillId="2" borderId="0" xfId="82" applyNumberFormat="1" applyFont="1" applyFill="1" applyBorder="1" applyAlignment="1">
      <alignment wrapText="1"/>
    </xf>
    <xf numFmtId="0" fontId="32" fillId="2" borderId="0" xfId="82" applyNumberFormat="1" applyFont="1" applyFill="1" applyBorder="1" applyAlignment="1">
      <alignment vertical="center" wrapText="1"/>
    </xf>
    <xf numFmtId="0" fontId="27" fillId="2" borderId="0" xfId="82" applyNumberFormat="1" applyFont="1" applyFill="1" applyBorder="1" applyAlignment="1">
      <alignment vertical="center" wrapText="1"/>
    </xf>
    <xf numFmtId="0" fontId="29" fillId="2" borderId="0" xfId="67" applyNumberFormat="1" applyFont="1" applyFill="1" applyBorder="1" applyAlignment="1">
      <alignment wrapText="1"/>
    </xf>
    <xf numFmtId="0" fontId="25" fillId="2" borderId="0" xfId="67" applyNumberFormat="1" applyFont="1" applyFill="1" applyBorder="1" applyAlignment="1">
      <alignment vertical="center" wrapText="1"/>
    </xf>
    <xf numFmtId="0" fontId="20" fillId="2" borderId="0" xfId="82" applyNumberFormat="1" applyFont="1" applyFill="1" applyBorder="1" applyAlignment="1">
      <alignment vertical="center"/>
    </xf>
    <xf numFmtId="0" fontId="27" fillId="2" borderId="0" xfId="67" applyNumberFormat="1" applyFont="1" applyFill="1" applyBorder="1" applyAlignment="1">
      <alignment vertical="center" wrapText="1"/>
    </xf>
    <xf numFmtId="0" fontId="25" fillId="2" borderId="0" xfId="82" applyNumberFormat="1" applyFont="1" applyFill="1" applyBorder="1" applyAlignment="1">
      <alignment vertical="center" wrapText="1"/>
    </xf>
    <xf numFmtId="0" fontId="30" fillId="2" borderId="0" xfId="82" applyNumberFormat="1" applyFont="1" applyFill="1" applyBorder="1" applyAlignment="1">
      <alignment vertical="center" wrapText="1"/>
    </xf>
    <xf numFmtId="0" fontId="28" fillId="2" borderId="0" xfId="67" applyNumberFormat="1" applyFont="1" applyFill="1" applyBorder="1" applyAlignment="1">
      <alignment vertical="center" wrapText="1"/>
    </xf>
    <xf numFmtId="0" fontId="28" fillId="2" borderId="0" xfId="67" applyNumberFormat="1" applyFont="1" applyFill="1" applyBorder="1" applyAlignment="1">
      <alignment vertical="top" wrapText="1"/>
    </xf>
    <xf numFmtId="0" fontId="29" fillId="2" borderId="17" xfId="67" applyNumberFormat="1" applyFont="1" applyFill="1" applyBorder="1" applyAlignment="1">
      <alignment horizontal="center" wrapText="1"/>
    </xf>
    <xf numFmtId="0" fontId="22" fillId="2" borderId="0" xfId="67" applyNumberFormat="1" applyFont="1" applyFill="1" applyBorder="1" applyAlignment="1">
      <alignment horizontal="left" vertical="center" wrapText="1"/>
    </xf>
    <xf numFmtId="0" fontId="27" fillId="2" borderId="0" xfId="82" applyNumberFormat="1" applyFont="1" applyFill="1" applyBorder="1" applyAlignment="1">
      <alignment horizontal="left" vertical="center" wrapText="1"/>
    </xf>
    <xf numFmtId="0" fontId="18" fillId="2" borderId="17" xfId="67" applyNumberFormat="1" applyFont="1" applyFill="1" applyBorder="1"/>
    <xf numFmtId="0" fontId="34" fillId="0" borderId="0" xfId="0" applyNumberFormat="1" applyFont="1" applyFill="1" applyBorder="1"/>
    <xf numFmtId="0" fontId="28" fillId="2" borderId="9" xfId="67" applyNumberFormat="1" applyFont="1" applyFill="1" applyBorder="1" applyAlignment="1">
      <alignment horizontal="center" vertical="center" wrapText="1"/>
    </xf>
    <xf numFmtId="0" fontId="28" fillId="2" borderId="2" xfId="67" applyNumberFormat="1" applyFont="1" applyFill="1" applyBorder="1" applyAlignment="1">
      <alignment horizontal="center" vertical="center" wrapText="1"/>
    </xf>
    <xf numFmtId="0" fontId="28" fillId="2" borderId="23" xfId="67" applyNumberFormat="1" applyFont="1" applyFill="1" applyBorder="1" applyAlignment="1">
      <alignment horizontal="center" vertical="center" wrapText="1"/>
    </xf>
    <xf numFmtId="0" fontId="28" fillId="2" borderId="10" xfId="67" applyNumberFormat="1" applyFont="1" applyFill="1" applyBorder="1" applyAlignment="1">
      <alignment horizontal="center" vertical="center" wrapText="1"/>
    </xf>
    <xf numFmtId="0" fontId="26" fillId="2" borderId="36" xfId="67" applyNumberFormat="1" applyFont="1" applyFill="1" applyBorder="1" applyAlignment="1">
      <alignment horizontal="center" wrapText="1"/>
    </xf>
    <xf numFmtId="0" fontId="26" fillId="2" borderId="37" xfId="67" applyNumberFormat="1" applyFont="1" applyFill="1" applyBorder="1" applyAlignment="1">
      <alignment horizontal="center" wrapText="1"/>
    </xf>
    <xf numFmtId="0" fontId="26" fillId="2" borderId="38" xfId="67" applyNumberFormat="1" applyFont="1" applyFill="1" applyBorder="1" applyAlignment="1">
      <alignment horizontal="center" wrapText="1"/>
    </xf>
    <xf numFmtId="0" fontId="26" fillId="2" borderId="3" xfId="67" applyNumberFormat="1" applyFont="1" applyFill="1" applyBorder="1" applyAlignment="1">
      <alignment horizontal="center" wrapText="1"/>
    </xf>
    <xf numFmtId="0" fontId="26" fillId="2" borderId="0" xfId="67" applyNumberFormat="1" applyFont="1" applyFill="1" applyBorder="1" applyAlignment="1">
      <alignment horizontal="center" wrapText="1"/>
    </xf>
    <xf numFmtId="0" fontId="26" fillId="2" borderId="4" xfId="67" applyNumberFormat="1" applyFont="1" applyFill="1" applyBorder="1" applyAlignment="1">
      <alignment horizontal="center" wrapText="1"/>
    </xf>
    <xf numFmtId="0" fontId="26" fillId="2" borderId="16" xfId="67" applyNumberFormat="1" applyFont="1" applyFill="1" applyBorder="1" applyAlignment="1">
      <alignment horizontal="center" wrapText="1"/>
    </xf>
    <xf numFmtId="0" fontId="26" fillId="2" borderId="17" xfId="67" applyNumberFormat="1" applyFont="1" applyFill="1" applyBorder="1" applyAlignment="1">
      <alignment horizontal="center" wrapText="1"/>
    </xf>
    <xf numFmtId="0" fontId="26" fillId="2" borderId="41" xfId="67" applyNumberFormat="1" applyFont="1" applyFill="1" applyBorder="1" applyAlignment="1">
      <alignment horizontal="center" wrapText="1"/>
    </xf>
    <xf numFmtId="0" fontId="27" fillId="2" borderId="9" xfId="82" applyNumberFormat="1" applyFont="1" applyFill="1" applyBorder="1" applyAlignment="1">
      <alignment horizontal="center" vertical="center" wrapText="1"/>
    </xf>
    <xf numFmtId="0" fontId="27" fillId="2" borderId="10" xfId="82" applyNumberFormat="1" applyFont="1" applyFill="1" applyBorder="1" applyAlignment="1">
      <alignment horizontal="center" vertical="center" wrapText="1"/>
    </xf>
    <xf numFmtId="0" fontId="27" fillId="2" borderId="11" xfId="82" applyNumberFormat="1" applyFont="1" applyFill="1" applyBorder="1" applyAlignment="1">
      <alignment horizontal="center" vertical="center" wrapText="1"/>
    </xf>
    <xf numFmtId="0" fontId="27" fillId="2" borderId="13" xfId="82" applyNumberFormat="1" applyFont="1" applyFill="1" applyBorder="1" applyAlignment="1">
      <alignment horizontal="center" vertical="center" wrapText="1"/>
    </xf>
    <xf numFmtId="0" fontId="27" fillId="2" borderId="18" xfId="82" applyNumberFormat="1" applyFont="1" applyFill="1" applyBorder="1" applyAlignment="1">
      <alignment horizontal="center" vertical="center" wrapText="1"/>
    </xf>
    <xf numFmtId="0" fontId="27" fillId="2" borderId="19" xfId="82" applyNumberFormat="1" applyFont="1" applyFill="1" applyBorder="1" applyAlignment="1">
      <alignment horizontal="center" vertical="center" wrapText="1"/>
    </xf>
    <xf numFmtId="0" fontId="27" fillId="2" borderId="22" xfId="82" applyNumberFormat="1" applyFont="1" applyFill="1" applyBorder="1" applyAlignment="1">
      <alignment horizontal="center" vertical="center" wrapText="1"/>
    </xf>
    <xf numFmtId="0" fontId="27" fillId="2" borderId="8" xfId="82" applyNumberFormat="1" applyFont="1" applyFill="1" applyBorder="1" applyAlignment="1">
      <alignment horizontal="center" vertical="center" wrapText="1"/>
    </xf>
    <xf numFmtId="0" fontId="27" fillId="2" borderId="8" xfId="82" applyNumberFormat="1" applyFont="1" applyFill="1" applyBorder="1" applyAlignment="1">
      <alignment horizontal="left" vertical="center" wrapText="1"/>
    </xf>
    <xf numFmtId="0" fontId="26" fillId="2" borderId="30" xfId="67" applyNumberFormat="1" applyFont="1" applyFill="1" applyBorder="1" applyAlignment="1">
      <alignment horizontal="center" wrapText="1"/>
    </xf>
    <xf numFmtId="0" fontId="26" fillId="2" borderId="5" xfId="67" applyNumberFormat="1" applyFont="1" applyFill="1" applyBorder="1" applyAlignment="1">
      <alignment horizontal="center" wrapText="1"/>
    </xf>
    <xf numFmtId="0" fontId="26" fillId="2" borderId="6" xfId="67" applyNumberFormat="1" applyFont="1" applyFill="1" applyBorder="1" applyAlignment="1">
      <alignment horizontal="center" wrapText="1"/>
    </xf>
    <xf numFmtId="0" fontId="28" fillId="2" borderId="21" xfId="67" applyNumberFormat="1" applyFont="1" applyFill="1" applyBorder="1" applyAlignment="1">
      <alignment horizontal="center" vertical="top" wrapText="1"/>
    </xf>
    <xf numFmtId="0" fontId="28" fillId="2" borderId="19" xfId="67" applyNumberFormat="1" applyFont="1" applyFill="1" applyBorder="1" applyAlignment="1">
      <alignment horizontal="center" vertical="top" wrapText="1"/>
    </xf>
    <xf numFmtId="0" fontId="28" fillId="2" borderId="22" xfId="67" applyNumberFormat="1" applyFont="1" applyFill="1" applyBorder="1" applyAlignment="1">
      <alignment horizontal="center" vertical="top" wrapText="1"/>
    </xf>
    <xf numFmtId="0" fontId="28" fillId="2" borderId="32" xfId="67" applyNumberFormat="1" applyFont="1" applyFill="1" applyBorder="1" applyAlignment="1">
      <alignment horizontal="center" vertical="top" wrapText="1"/>
    </xf>
    <xf numFmtId="0" fontId="28" fillId="2" borderId="0" xfId="67" applyNumberFormat="1" applyFont="1" applyFill="1" applyBorder="1" applyAlignment="1">
      <alignment horizontal="center" vertical="top" wrapText="1"/>
    </xf>
    <xf numFmtId="0" fontId="28" fillId="2" borderId="4" xfId="67" applyNumberFormat="1" applyFont="1" applyFill="1" applyBorder="1" applyAlignment="1">
      <alignment horizontal="center" vertical="top" wrapText="1"/>
    </xf>
    <xf numFmtId="0" fontId="28" fillId="2" borderId="33" xfId="67" applyNumberFormat="1" applyFont="1" applyFill="1" applyBorder="1" applyAlignment="1">
      <alignment horizontal="center" vertical="top" wrapText="1"/>
    </xf>
    <xf numFmtId="0" fontId="28" fillId="2" borderId="17" xfId="67" applyNumberFormat="1" applyFont="1" applyFill="1" applyBorder="1" applyAlignment="1">
      <alignment horizontal="center" vertical="top" wrapText="1"/>
    </xf>
    <xf numFmtId="0" fontId="28" fillId="2" borderId="41" xfId="67" applyNumberFormat="1" applyFont="1" applyFill="1" applyBorder="1" applyAlignment="1">
      <alignment horizontal="center" vertical="top" wrapText="1"/>
    </xf>
    <xf numFmtId="0" fontId="28" fillId="2" borderId="18" xfId="67" applyNumberFormat="1" applyFont="1" applyFill="1" applyBorder="1" applyAlignment="1">
      <alignment horizontal="left" vertical="top" wrapText="1"/>
    </xf>
    <xf numFmtId="0" fontId="28" fillId="2" borderId="19" xfId="67" applyNumberFormat="1" applyFont="1" applyFill="1" applyBorder="1" applyAlignment="1">
      <alignment horizontal="left" vertical="top" wrapText="1"/>
    </xf>
    <xf numFmtId="0" fontId="28" fillId="2" borderId="20" xfId="67" applyNumberFormat="1" applyFont="1" applyFill="1" applyBorder="1" applyAlignment="1">
      <alignment horizontal="left" vertical="top" wrapText="1"/>
    </xf>
    <xf numFmtId="0" fontId="28" fillId="2" borderId="3" xfId="67" applyNumberFormat="1" applyFont="1" applyFill="1" applyBorder="1" applyAlignment="1">
      <alignment horizontal="left" vertical="top" wrapText="1"/>
    </xf>
    <xf numFmtId="0" fontId="28" fillId="2" borderId="0" xfId="67" applyNumberFormat="1" applyFont="1" applyFill="1" applyBorder="1" applyAlignment="1">
      <alignment horizontal="left" vertical="top" wrapText="1"/>
    </xf>
    <xf numFmtId="0" fontId="28" fillId="2" borderId="29" xfId="67" applyNumberFormat="1" applyFont="1" applyFill="1" applyBorder="1" applyAlignment="1">
      <alignment horizontal="left" vertical="top" wrapText="1"/>
    </xf>
    <xf numFmtId="0" fontId="28" fillId="2" borderId="16" xfId="67" applyNumberFormat="1" applyFont="1" applyFill="1" applyBorder="1" applyAlignment="1">
      <alignment horizontal="left" vertical="top" wrapText="1"/>
    </xf>
    <xf numFmtId="0" fontId="28" fillId="2" borderId="17" xfId="67" applyNumberFormat="1" applyFont="1" applyFill="1" applyBorder="1" applyAlignment="1">
      <alignment horizontal="left" vertical="top" wrapText="1"/>
    </xf>
    <xf numFmtId="0" fontId="28" fillId="2" borderId="31" xfId="67" applyNumberFormat="1" applyFont="1" applyFill="1" applyBorder="1" applyAlignment="1">
      <alignment horizontal="left" vertical="top" wrapText="1"/>
    </xf>
    <xf numFmtId="0" fontId="27" fillId="2" borderId="23" xfId="82" applyNumberFormat="1" applyFont="1" applyFill="1" applyBorder="1" applyAlignment="1">
      <alignment horizontal="left" vertical="center" wrapText="1"/>
    </xf>
    <xf numFmtId="0" fontId="27" fillId="2" borderId="7" xfId="82" applyNumberFormat="1" applyFont="1" applyFill="1" applyBorder="1" applyAlignment="1">
      <alignment horizontal="left" vertical="center" wrapText="1"/>
    </xf>
    <xf numFmtId="0" fontId="27" fillId="2" borderId="34" xfId="82" applyNumberFormat="1" applyFont="1" applyFill="1" applyBorder="1" applyAlignment="1">
      <alignment horizontal="left" vertical="center" wrapText="1"/>
    </xf>
    <xf numFmtId="0" fontId="27" fillId="2" borderId="25" xfId="82" applyNumberFormat="1" applyFont="1" applyFill="1" applyBorder="1" applyAlignment="1">
      <alignment horizontal="left" vertical="center" wrapText="1"/>
    </xf>
    <xf numFmtId="0" fontId="27" fillId="2" borderId="25" xfId="82" applyNumberFormat="1" applyFont="1" applyFill="1" applyBorder="1" applyAlignment="1">
      <alignment horizontal="center" vertical="center" wrapText="1"/>
    </xf>
    <xf numFmtId="0" fontId="25" fillId="2" borderId="8" xfId="82" applyNumberFormat="1" applyFont="1" applyFill="1" applyBorder="1" applyAlignment="1">
      <alignment horizontal="left" vertical="center" wrapText="1"/>
    </xf>
    <xf numFmtId="0" fontId="29" fillId="2" borderId="0" xfId="67" applyNumberFormat="1" applyFont="1" applyFill="1" applyBorder="1" applyAlignment="1">
      <alignment horizontal="center" wrapText="1"/>
    </xf>
    <xf numFmtId="0" fontId="32" fillId="2" borderId="27" xfId="82" applyNumberFormat="1" applyFont="1" applyFill="1" applyBorder="1" applyAlignment="1">
      <alignment horizontal="center" vertical="center" wrapText="1"/>
    </xf>
    <xf numFmtId="0" fontId="32" fillId="2" borderId="28" xfId="82" applyNumberFormat="1" applyFont="1" applyFill="1" applyBorder="1" applyAlignment="1">
      <alignment horizontal="center" vertical="center" wrapText="1"/>
    </xf>
    <xf numFmtId="0" fontId="32" fillId="2" borderId="8" xfId="82" applyNumberFormat="1" applyFont="1" applyFill="1" applyBorder="1" applyAlignment="1">
      <alignment horizontal="center" vertical="center" wrapText="1"/>
    </xf>
    <xf numFmtId="0" fontId="32" fillId="2" borderId="15" xfId="82" applyNumberFormat="1" applyFont="1" applyFill="1" applyBorder="1" applyAlignment="1">
      <alignment horizontal="center" vertical="center" wrapText="1"/>
    </xf>
    <xf numFmtId="0" fontId="32" fillId="2" borderId="25" xfId="82" applyNumberFormat="1" applyFont="1" applyFill="1" applyBorder="1" applyAlignment="1">
      <alignment horizontal="center" vertical="center" wrapText="1"/>
    </xf>
    <xf numFmtId="0" fontId="32" fillId="2" borderId="35" xfId="82" applyNumberFormat="1" applyFont="1" applyFill="1" applyBorder="1" applyAlignment="1">
      <alignment horizontal="center" vertical="center" wrapText="1"/>
    </xf>
    <xf numFmtId="0" fontId="18" fillId="2" borderId="8" xfId="67" applyNumberFormat="1" applyFont="1" applyFill="1" applyBorder="1" applyAlignment="1">
      <alignment horizontal="center"/>
    </xf>
    <xf numFmtId="0" fontId="32" fillId="2" borderId="36" xfId="82" applyNumberFormat="1" applyFont="1" applyFill="1" applyBorder="1" applyAlignment="1">
      <alignment horizontal="center" vertical="center" wrapText="1"/>
    </xf>
    <xf numFmtId="0" fontId="32" fillId="2" borderId="37" xfId="82" applyNumberFormat="1" applyFont="1" applyFill="1" applyBorder="1" applyAlignment="1">
      <alignment horizontal="center" vertical="center" wrapText="1"/>
    </xf>
    <xf numFmtId="0" fontId="32" fillId="2" borderId="38" xfId="82" applyNumberFormat="1" applyFont="1" applyFill="1" applyBorder="1" applyAlignment="1">
      <alignment horizontal="center" vertical="center" wrapText="1"/>
    </xf>
    <xf numFmtId="0" fontId="32" fillId="2" borderId="3" xfId="82" applyNumberFormat="1" applyFont="1" applyFill="1" applyBorder="1" applyAlignment="1">
      <alignment horizontal="center" vertical="center" wrapText="1"/>
    </xf>
    <xf numFmtId="0" fontId="32" fillId="2" borderId="0" xfId="82" applyNumberFormat="1" applyFont="1" applyFill="1" applyBorder="1" applyAlignment="1">
      <alignment horizontal="center" vertical="center" wrapText="1"/>
    </xf>
    <xf numFmtId="0" fontId="32" fillId="2" borderId="4" xfId="82" applyNumberFormat="1" applyFont="1" applyFill="1" applyBorder="1" applyAlignment="1">
      <alignment horizontal="center" vertical="center" wrapText="1"/>
    </xf>
    <xf numFmtId="0" fontId="20" fillId="2" borderId="0" xfId="82" applyNumberFormat="1" applyFont="1" applyFill="1" applyBorder="1" applyAlignment="1">
      <alignment horizontal="center" vertical="center"/>
    </xf>
    <xf numFmtId="0" fontId="25" fillId="2" borderId="15" xfId="82" applyNumberFormat="1" applyFont="1" applyFill="1" applyBorder="1" applyAlignment="1">
      <alignment horizontal="left" vertical="center" wrapText="1"/>
    </xf>
    <xf numFmtId="0" fontId="30" fillId="2" borderId="8" xfId="82" applyNumberFormat="1" applyFont="1" applyFill="1" applyBorder="1" applyAlignment="1">
      <alignment horizontal="center" vertical="center" wrapText="1"/>
    </xf>
    <xf numFmtId="0" fontId="30" fillId="2" borderId="15" xfId="82" applyNumberFormat="1" applyFont="1" applyFill="1" applyBorder="1" applyAlignment="1">
      <alignment horizontal="center" vertical="center" wrapText="1"/>
    </xf>
    <xf numFmtId="0" fontId="30" fillId="2" borderId="25" xfId="82" applyNumberFormat="1" applyFont="1" applyFill="1" applyBorder="1" applyAlignment="1">
      <alignment horizontal="center" vertical="center" wrapText="1"/>
    </xf>
    <xf numFmtId="0" fontId="30" fillId="2" borderId="35" xfId="82" applyNumberFormat="1" applyFont="1" applyFill="1" applyBorder="1" applyAlignment="1">
      <alignment horizontal="center" vertical="center" wrapText="1"/>
    </xf>
    <xf numFmtId="0" fontId="30" fillId="2" borderId="0" xfId="82" applyNumberFormat="1" applyFont="1" applyFill="1" applyBorder="1" applyAlignment="1">
      <alignment horizontal="center" vertical="center" wrapText="1"/>
    </xf>
    <xf numFmtId="0" fontId="30" fillId="2" borderId="7" xfId="82" applyNumberFormat="1" applyFont="1" applyFill="1" applyBorder="1" applyAlignment="1">
      <alignment horizontal="center" vertical="center" wrapText="1"/>
    </xf>
    <xf numFmtId="0" fontId="30" fillId="2" borderId="34" xfId="82" applyNumberFormat="1" applyFont="1" applyFill="1" applyBorder="1" applyAlignment="1">
      <alignment horizontal="center" vertical="center" wrapText="1"/>
    </xf>
    <xf numFmtId="0" fontId="27" fillId="2" borderId="26" xfId="82" applyNumberFormat="1" applyFont="1" applyFill="1" applyBorder="1" applyAlignment="1">
      <alignment horizontal="left" vertical="center" wrapText="1"/>
    </xf>
    <xf numFmtId="0" fontId="27" fillId="2" borderId="27" xfId="82" applyNumberFormat="1" applyFont="1" applyFill="1" applyBorder="1" applyAlignment="1">
      <alignment horizontal="left" vertical="center" wrapText="1"/>
    </xf>
    <xf numFmtId="0" fontId="25" fillId="2" borderId="27" xfId="82" applyNumberFormat="1" applyFont="1" applyFill="1" applyBorder="1" applyAlignment="1">
      <alignment horizontal="left" vertical="center" wrapText="1"/>
    </xf>
    <xf numFmtId="0" fontId="24" fillId="2" borderId="26" xfId="82" applyNumberFormat="1" applyFont="1" applyFill="1" applyBorder="1" applyAlignment="1">
      <alignment horizontal="center" wrapText="1"/>
    </xf>
    <xf numFmtId="0" fontId="24" fillId="2" borderId="27" xfId="82" applyNumberFormat="1" applyFont="1" applyFill="1" applyBorder="1" applyAlignment="1">
      <alignment horizontal="center" wrapText="1"/>
    </xf>
    <xf numFmtId="0" fontId="24" fillId="2" borderId="7" xfId="82" applyNumberFormat="1" applyFont="1" applyFill="1" applyBorder="1" applyAlignment="1">
      <alignment horizontal="center" wrapText="1"/>
    </xf>
    <xf numFmtId="0" fontId="24" fillId="2" borderId="8" xfId="82" applyNumberFormat="1" applyFont="1" applyFill="1" applyBorder="1" applyAlignment="1">
      <alignment horizontal="center" wrapText="1"/>
    </xf>
    <xf numFmtId="0" fontId="24" fillId="2" borderId="40" xfId="82" applyNumberFormat="1" applyFont="1" applyFill="1" applyBorder="1" applyAlignment="1">
      <alignment horizontal="center" wrapText="1"/>
    </xf>
    <xf numFmtId="0" fontId="24" fillId="2" borderId="24" xfId="82" applyNumberFormat="1" applyFont="1" applyFill="1" applyBorder="1" applyAlignment="1">
      <alignment horizontal="center" wrapText="1"/>
    </xf>
    <xf numFmtId="0" fontId="25" fillId="2" borderId="27" xfId="81" applyNumberFormat="1" applyFont="1" applyFill="1" applyBorder="1" applyAlignment="1">
      <alignment horizontal="center" wrapText="1"/>
    </xf>
    <xf numFmtId="0" fontId="25" fillId="2" borderId="39" xfId="81" applyNumberFormat="1" applyFont="1" applyFill="1" applyBorder="1" applyAlignment="1">
      <alignment horizontal="center" wrapText="1"/>
    </xf>
    <xf numFmtId="0" fontId="25" fillId="2" borderId="8" xfId="81" applyNumberFormat="1" applyFont="1" applyFill="1" applyBorder="1" applyAlignment="1">
      <alignment horizontal="center" wrapText="1"/>
    </xf>
    <xf numFmtId="0" fontId="25" fillId="2" borderId="9" xfId="81" applyNumberFormat="1" applyFont="1" applyFill="1" applyBorder="1" applyAlignment="1">
      <alignment horizontal="center" wrapText="1"/>
    </xf>
    <xf numFmtId="0" fontId="25" fillId="2" borderId="24" xfId="81" applyNumberFormat="1" applyFont="1" applyFill="1" applyBorder="1" applyAlignment="1">
      <alignment horizontal="center" wrapText="1"/>
    </xf>
    <xf numFmtId="0" fontId="25" fillId="2" borderId="21" xfId="81" applyNumberFormat="1" applyFont="1" applyFill="1" applyBorder="1" applyAlignment="1">
      <alignment horizontal="center" wrapText="1"/>
    </xf>
    <xf numFmtId="0" fontId="33" fillId="2" borderId="25" xfId="67" applyNumberFormat="1" applyFont="1" applyFill="1" applyBorder="1" applyAlignment="1">
      <alignment horizontal="left" vertical="center" wrapText="1"/>
    </xf>
    <xf numFmtId="0" fontId="25" fillId="2" borderId="11" xfId="67" applyNumberFormat="1" applyFont="1" applyFill="1" applyBorder="1" applyAlignment="1">
      <alignment horizontal="center" vertical="center" wrapText="1"/>
    </xf>
    <xf numFmtId="0" fontId="25" fillId="2" borderId="12" xfId="67" applyNumberFormat="1" applyFont="1" applyFill="1" applyBorder="1" applyAlignment="1">
      <alignment horizontal="center" vertical="center" wrapText="1"/>
    </xf>
    <xf numFmtId="0" fontId="25" fillId="2" borderId="13" xfId="67" applyNumberFormat="1" applyFont="1" applyFill="1" applyBorder="1" applyAlignment="1">
      <alignment horizontal="center" vertical="center" wrapText="1"/>
    </xf>
    <xf numFmtId="167" fontId="25" fillId="2" borderId="27" xfId="82" applyNumberFormat="1" applyFont="1" applyFill="1" applyBorder="1" applyAlignment="1">
      <alignment horizontal="left" vertical="center" wrapText="1"/>
    </xf>
    <xf numFmtId="167" fontId="27" fillId="2" borderId="27" xfId="82" applyNumberFormat="1" applyFont="1" applyFill="1" applyBorder="1" applyAlignment="1">
      <alignment horizontal="left" vertical="center" wrapText="1"/>
    </xf>
    <xf numFmtId="0" fontId="24" fillId="2" borderId="14" xfId="82" applyNumberFormat="1" applyFont="1" applyFill="1" applyBorder="1" applyAlignment="1">
      <alignment horizontal="center" vertical="center" wrapText="1"/>
    </xf>
    <xf numFmtId="0" fontId="29" fillId="2" borderId="18" xfId="67" applyNumberFormat="1" applyFont="1" applyFill="1" applyBorder="1" applyAlignment="1">
      <alignment horizontal="center" wrapText="1"/>
    </xf>
    <xf numFmtId="0" fontId="29" fillId="2" borderId="19" xfId="67" applyNumberFormat="1" applyFont="1" applyFill="1" applyBorder="1" applyAlignment="1">
      <alignment horizontal="center" wrapText="1"/>
    </xf>
    <xf numFmtId="0" fontId="29" fillId="2" borderId="22" xfId="67" applyNumberFormat="1" applyFont="1" applyFill="1" applyBorder="1" applyAlignment="1">
      <alignment horizontal="center" wrapText="1"/>
    </xf>
    <xf numFmtId="0" fontId="28" fillId="2" borderId="8" xfId="67" applyNumberFormat="1" applyFont="1" applyFill="1" applyBorder="1" applyAlignment="1">
      <alignment horizontal="center" vertical="center" wrapText="1"/>
    </xf>
    <xf numFmtId="0" fontId="28" fillId="2" borderId="0" xfId="67" applyNumberFormat="1" applyFont="1" applyFill="1" applyBorder="1" applyAlignment="1">
      <alignment horizontal="center" vertical="center" wrapText="1"/>
    </xf>
    <xf numFmtId="0" fontId="28" fillId="2" borderId="29" xfId="67" applyNumberFormat="1" applyFont="1" applyFill="1" applyBorder="1" applyAlignment="1">
      <alignment horizontal="center" vertical="center" wrapText="1"/>
    </xf>
    <xf numFmtId="0" fontId="24" fillId="2" borderId="3" xfId="82" applyNumberFormat="1" applyFont="1" applyFill="1" applyBorder="1" applyAlignment="1">
      <alignment horizontal="center" vertical="center" wrapText="1"/>
    </xf>
    <xf numFmtId="0" fontId="24" fillId="2" borderId="0" xfId="82" applyNumberFormat="1" applyFont="1" applyFill="1" applyBorder="1" applyAlignment="1">
      <alignment horizontal="center" vertical="center" wrapText="1"/>
    </xf>
    <xf numFmtId="167" fontId="25" fillId="2" borderId="28" xfId="82" applyNumberFormat="1" applyFont="1" applyFill="1" applyBorder="1" applyAlignment="1">
      <alignment horizontal="left" vertical="center" wrapText="1"/>
    </xf>
    <xf numFmtId="49" fontId="27" fillId="2" borderId="8" xfId="82" applyNumberFormat="1" applyFont="1" applyFill="1" applyBorder="1" applyAlignment="1">
      <alignment horizontal="center" vertical="center" wrapText="1"/>
    </xf>
    <xf numFmtId="0" fontId="27" fillId="2" borderId="0" xfId="67" applyNumberFormat="1" applyFont="1" applyFill="1" applyBorder="1" applyAlignment="1">
      <alignment horizontal="center" vertical="center" wrapText="1"/>
    </xf>
    <xf numFmtId="0" fontId="27" fillId="2" borderId="26" xfId="67" applyNumberFormat="1" applyFont="1" applyFill="1" applyBorder="1" applyAlignment="1">
      <alignment horizontal="left" vertical="center" wrapText="1"/>
    </xf>
    <xf numFmtId="0" fontId="27" fillId="2" borderId="27" xfId="67" applyNumberFormat="1" applyFont="1" applyFill="1" applyBorder="1" applyAlignment="1">
      <alignment horizontal="left" vertical="center" wrapText="1"/>
    </xf>
    <xf numFmtId="0" fontId="27" fillId="2" borderId="27" xfId="67" applyNumberFormat="1" applyFont="1" applyFill="1" applyBorder="1" applyAlignment="1">
      <alignment horizontal="center" vertical="center" wrapText="1"/>
    </xf>
    <xf numFmtId="0" fontId="27" fillId="2" borderId="28" xfId="67" applyNumberFormat="1" applyFont="1" applyFill="1" applyBorder="1" applyAlignment="1">
      <alignment horizontal="center" vertical="center" wrapText="1"/>
    </xf>
    <xf numFmtId="49" fontId="27" fillId="2" borderId="8" xfId="82" applyNumberFormat="1" applyFont="1" applyFill="1" applyBorder="1" applyAlignment="1">
      <alignment horizontal="left" vertical="center" wrapText="1"/>
    </xf>
    <xf numFmtId="167" fontId="27" fillId="2" borderId="42" xfId="82" applyNumberFormat="1" applyFont="1" applyFill="1" applyBorder="1" applyAlignment="1">
      <alignment horizontal="left" vertical="center" wrapText="1"/>
    </xf>
    <xf numFmtId="167" fontId="27" fillId="2" borderId="2" xfId="82" applyNumberFormat="1" applyFont="1" applyFill="1" applyBorder="1" applyAlignment="1">
      <alignment horizontal="left" vertical="center" wrapText="1"/>
    </xf>
    <xf numFmtId="167" fontId="27" fillId="2" borderId="23" xfId="82" applyNumberFormat="1" applyFont="1" applyFill="1" applyBorder="1" applyAlignment="1">
      <alignment horizontal="left" vertical="center" wrapText="1"/>
    </xf>
    <xf numFmtId="0" fontId="26" fillId="2" borderId="8" xfId="67" applyNumberFormat="1" applyFont="1" applyFill="1" applyBorder="1" applyAlignment="1">
      <alignment horizontal="left" vertical="center" wrapText="1"/>
    </xf>
    <xf numFmtId="0" fontId="28" fillId="2" borderId="7" xfId="67" applyNumberFormat="1" applyFont="1" applyFill="1" applyBorder="1" applyAlignment="1">
      <alignment horizontal="left" vertical="center" wrapText="1"/>
    </xf>
    <xf numFmtId="0" fontId="28" fillId="2" borderId="8" xfId="67" applyNumberFormat="1" applyFont="1" applyFill="1" applyBorder="1" applyAlignment="1">
      <alignment horizontal="left" vertical="center" wrapText="1"/>
    </xf>
    <xf numFmtId="0" fontId="27" fillId="2" borderId="7" xfId="82" applyNumberFormat="1" applyFont="1" applyFill="1" applyBorder="1" applyAlignment="1">
      <alignment horizontal="left" vertical="top" wrapText="1"/>
    </xf>
    <xf numFmtId="0" fontId="27" fillId="2" borderId="8" xfId="82" applyNumberFormat="1" applyFont="1" applyFill="1" applyBorder="1" applyAlignment="1">
      <alignment horizontal="left" vertical="top" wrapText="1"/>
    </xf>
    <xf numFmtId="0" fontId="25" fillId="2" borderId="8" xfId="82" applyNumberFormat="1" applyFont="1" applyFill="1" applyBorder="1" applyAlignment="1">
      <alignment horizontal="left" vertical="top" wrapText="1"/>
    </xf>
    <xf numFmtId="0" fontId="25" fillId="2" borderId="15" xfId="82" applyNumberFormat="1" applyFont="1" applyFill="1" applyBorder="1" applyAlignment="1">
      <alignment horizontal="left" vertical="top" wrapText="1"/>
    </xf>
    <xf numFmtId="0" fontId="29" fillId="2" borderId="25" xfId="67" applyNumberFormat="1" applyFont="1" applyFill="1" applyBorder="1" applyAlignment="1">
      <alignment horizontal="left" vertical="center"/>
    </xf>
    <xf numFmtId="0" fontId="25" fillId="2" borderId="9" xfId="82" applyNumberFormat="1" applyFont="1" applyFill="1" applyBorder="1" applyAlignment="1">
      <alignment horizontal="center" vertical="center" wrapText="1"/>
    </xf>
    <xf numFmtId="0" fontId="25" fillId="2" borderId="2" xfId="82" applyNumberFormat="1" applyFont="1" applyFill="1" applyBorder="1" applyAlignment="1">
      <alignment horizontal="center" vertical="center" wrapText="1"/>
    </xf>
    <xf numFmtId="0" fontId="25" fillId="2" borderId="10" xfId="82" applyNumberFormat="1" applyFont="1" applyFill="1" applyBorder="1" applyAlignment="1">
      <alignment horizontal="center" vertical="center" wrapText="1"/>
    </xf>
    <xf numFmtId="0" fontId="27" fillId="2" borderId="34" xfId="67" applyNumberFormat="1" applyFont="1" applyFill="1" applyBorder="1" applyAlignment="1">
      <alignment horizontal="left" vertical="center" wrapText="1"/>
    </xf>
    <xf numFmtId="0" fontId="27" fillId="2" borderId="25" xfId="67" applyNumberFormat="1" applyFont="1" applyFill="1" applyBorder="1" applyAlignment="1">
      <alignment horizontal="left" vertical="center" wrapText="1"/>
    </xf>
    <xf numFmtId="0" fontId="32" fillId="2" borderId="30" xfId="82" applyNumberFormat="1" applyFont="1" applyFill="1" applyBorder="1" applyAlignment="1">
      <alignment horizontal="center" vertical="center" wrapText="1"/>
    </xf>
    <xf numFmtId="0" fontId="32" fillId="2" borderId="5" xfId="82" applyNumberFormat="1" applyFont="1" applyFill="1" applyBorder="1" applyAlignment="1">
      <alignment horizontal="center" vertical="center" wrapText="1"/>
    </xf>
    <xf numFmtId="0" fontId="27" fillId="2" borderId="2" xfId="82" applyNumberFormat="1" applyFont="1" applyFill="1" applyBorder="1" applyAlignment="1">
      <alignment horizontal="left" vertical="center" wrapText="1"/>
    </xf>
    <xf numFmtId="0" fontId="25" fillId="2" borderId="9" xfId="82" applyNumberFormat="1" applyFont="1" applyFill="1" applyBorder="1" applyAlignment="1">
      <alignment horizontal="left" vertical="center" wrapText="1"/>
    </xf>
    <xf numFmtId="0" fontId="25" fillId="2" borderId="2" xfId="82" applyNumberFormat="1" applyFont="1" applyFill="1" applyBorder="1" applyAlignment="1">
      <alignment horizontal="left" vertical="center" wrapText="1"/>
    </xf>
    <xf numFmtId="0" fontId="25" fillId="2" borderId="23" xfId="82" applyNumberFormat="1" applyFont="1" applyFill="1" applyBorder="1" applyAlignment="1">
      <alignment horizontal="left" vertical="center" wrapText="1"/>
    </xf>
    <xf numFmtId="0" fontId="27" fillId="2" borderId="0" xfId="82" applyNumberFormat="1" applyFont="1" applyFill="1" applyBorder="1" applyAlignment="1">
      <alignment horizontal="center" vertical="center" wrapText="1"/>
    </xf>
  </cellXfs>
  <cellStyles count="109">
    <cellStyle name="_ET_STYLE_NoName_00_" xfId="1" xr:uid="{00000000-0005-0000-0000-000000000000}"/>
    <cellStyle name="Comma 10" xfId="2" xr:uid="{00000000-0005-0000-0000-000001000000}"/>
    <cellStyle name="Comma 11" xfId="3" xr:uid="{00000000-0005-0000-0000-000002000000}"/>
    <cellStyle name="Comma 12" xfId="4" xr:uid="{00000000-0005-0000-0000-000003000000}"/>
    <cellStyle name="Comma 13" xfId="5" xr:uid="{00000000-0005-0000-0000-000004000000}"/>
    <cellStyle name="Comma 14" xfId="6" xr:uid="{00000000-0005-0000-0000-000005000000}"/>
    <cellStyle name="Comma 14 2" xfId="7" xr:uid="{00000000-0005-0000-0000-000006000000}"/>
    <cellStyle name="Comma 15" xfId="8" xr:uid="{00000000-0005-0000-0000-000007000000}"/>
    <cellStyle name="Comma 16" xfId="9" xr:uid="{00000000-0005-0000-0000-000008000000}"/>
    <cellStyle name="Comma 17" xfId="10" xr:uid="{00000000-0005-0000-0000-000009000000}"/>
    <cellStyle name="Comma 18" xfId="11" xr:uid="{00000000-0005-0000-0000-00000A000000}"/>
    <cellStyle name="Comma 19" xfId="12" xr:uid="{00000000-0005-0000-0000-00000B000000}"/>
    <cellStyle name="Comma 2" xfId="13" xr:uid="{00000000-0005-0000-0000-00000C000000}"/>
    <cellStyle name="Comma 2 2" xfId="14" xr:uid="{00000000-0005-0000-0000-00000D000000}"/>
    <cellStyle name="Comma 2 3" xfId="15" xr:uid="{00000000-0005-0000-0000-00000E000000}"/>
    <cellStyle name="Comma 2 4" xfId="16" xr:uid="{00000000-0005-0000-0000-00000F000000}"/>
    <cellStyle name="Comma 20" xfId="17" xr:uid="{00000000-0005-0000-0000-000010000000}"/>
    <cellStyle name="Comma 21" xfId="18" xr:uid="{00000000-0005-0000-0000-000011000000}"/>
    <cellStyle name="Comma 22" xfId="19" xr:uid="{00000000-0005-0000-0000-000012000000}"/>
    <cellStyle name="Comma 23" xfId="20" xr:uid="{00000000-0005-0000-0000-000013000000}"/>
    <cellStyle name="Comma 24" xfId="21" xr:uid="{00000000-0005-0000-0000-000014000000}"/>
    <cellStyle name="Comma 25" xfId="22" xr:uid="{00000000-0005-0000-0000-000015000000}"/>
    <cellStyle name="Comma 26" xfId="23" xr:uid="{00000000-0005-0000-0000-000016000000}"/>
    <cellStyle name="Comma 27" xfId="24" xr:uid="{00000000-0005-0000-0000-000017000000}"/>
    <cellStyle name="Comma 28" xfId="25" xr:uid="{00000000-0005-0000-0000-000018000000}"/>
    <cellStyle name="Comma 29" xfId="26" xr:uid="{00000000-0005-0000-0000-000019000000}"/>
    <cellStyle name="Comma 3" xfId="27" xr:uid="{00000000-0005-0000-0000-00001A000000}"/>
    <cellStyle name="Comma 3 2" xfId="28" xr:uid="{00000000-0005-0000-0000-00001B000000}"/>
    <cellStyle name="Comma 3 3" xfId="29" xr:uid="{00000000-0005-0000-0000-00001C000000}"/>
    <cellStyle name="Comma 3 4" xfId="30" xr:uid="{00000000-0005-0000-0000-00001D000000}"/>
    <cellStyle name="Comma 4" xfId="31" xr:uid="{00000000-0005-0000-0000-00001E000000}"/>
    <cellStyle name="Comma 4 2" xfId="32" xr:uid="{00000000-0005-0000-0000-00001F000000}"/>
    <cellStyle name="Comma 4 2 2" xfId="33" xr:uid="{00000000-0005-0000-0000-000020000000}"/>
    <cellStyle name="Comma 4 3" xfId="34" xr:uid="{00000000-0005-0000-0000-000021000000}"/>
    <cellStyle name="Comma 5" xfId="35" xr:uid="{00000000-0005-0000-0000-000022000000}"/>
    <cellStyle name="Comma 5 2" xfId="36" xr:uid="{00000000-0005-0000-0000-000023000000}"/>
    <cellStyle name="Comma 5 2 2" xfId="37" xr:uid="{00000000-0005-0000-0000-000024000000}"/>
    <cellStyle name="Comma 5 2 3" xfId="38" xr:uid="{00000000-0005-0000-0000-000025000000}"/>
    <cellStyle name="Comma 5 3" xfId="39" xr:uid="{00000000-0005-0000-0000-000026000000}"/>
    <cellStyle name="Comma 5 3 2" xfId="40" xr:uid="{00000000-0005-0000-0000-000027000000}"/>
    <cellStyle name="Comma 5 4" xfId="41" xr:uid="{00000000-0005-0000-0000-000028000000}"/>
    <cellStyle name="Comma 5 4 2" xfId="42" xr:uid="{00000000-0005-0000-0000-000029000000}"/>
    <cellStyle name="Comma 5 5" xfId="43" xr:uid="{00000000-0005-0000-0000-00002A000000}"/>
    <cellStyle name="Comma 5 5 2" xfId="44" xr:uid="{00000000-0005-0000-0000-00002B000000}"/>
    <cellStyle name="Comma 5 6" xfId="45" xr:uid="{00000000-0005-0000-0000-00002C000000}"/>
    <cellStyle name="Comma 5 6 2" xfId="46" xr:uid="{00000000-0005-0000-0000-00002D000000}"/>
    <cellStyle name="Comma 5 7" xfId="47" xr:uid="{00000000-0005-0000-0000-00002E000000}"/>
    <cellStyle name="Comma 5 8" xfId="48" xr:uid="{00000000-0005-0000-0000-00002F000000}"/>
    <cellStyle name="Comma 5 9" xfId="49" xr:uid="{00000000-0005-0000-0000-000030000000}"/>
    <cellStyle name="Comma 6" xfId="50" xr:uid="{00000000-0005-0000-0000-000031000000}"/>
    <cellStyle name="Comma 6 2" xfId="51" xr:uid="{00000000-0005-0000-0000-000032000000}"/>
    <cellStyle name="Comma 7" xfId="52" xr:uid="{00000000-0005-0000-0000-000033000000}"/>
    <cellStyle name="Comma 8" xfId="53" xr:uid="{00000000-0005-0000-0000-000034000000}"/>
    <cellStyle name="Comma 9" xfId="54" xr:uid="{00000000-0005-0000-0000-000035000000}"/>
    <cellStyle name="Euro" xfId="55" xr:uid="{00000000-0005-0000-0000-000036000000}"/>
    <cellStyle name="Header1" xfId="56" xr:uid="{00000000-0005-0000-0000-000037000000}"/>
    <cellStyle name="Header2" xfId="57" xr:uid="{00000000-0005-0000-0000-000038000000}"/>
    <cellStyle name="Hyperlink 2" xfId="58" xr:uid="{00000000-0005-0000-0000-000039000000}"/>
    <cellStyle name="Hyperlink 3" xfId="59" xr:uid="{00000000-0005-0000-0000-00003A000000}"/>
    <cellStyle name="Komma 2" xfId="60" xr:uid="{00000000-0005-0000-0000-00003B000000}"/>
    <cellStyle name="n" xfId="61" xr:uid="{00000000-0005-0000-0000-00003C000000}"/>
    <cellStyle name="Normal" xfId="0" builtinId="0"/>
    <cellStyle name="Normal 11" xfId="62" xr:uid="{00000000-0005-0000-0000-00003E000000}"/>
    <cellStyle name="Normal 14" xfId="63" xr:uid="{00000000-0005-0000-0000-00003F000000}"/>
    <cellStyle name="Normal 15" xfId="64" xr:uid="{00000000-0005-0000-0000-000040000000}"/>
    <cellStyle name="Normal 2" xfId="65" xr:uid="{00000000-0005-0000-0000-000041000000}"/>
    <cellStyle name="Normal 2 2" xfId="66" xr:uid="{00000000-0005-0000-0000-000042000000}"/>
    <cellStyle name="Normal 2 3" xfId="67" xr:uid="{00000000-0005-0000-0000-000043000000}"/>
    <cellStyle name="Normal 2 4" xfId="68" xr:uid="{00000000-0005-0000-0000-000044000000}"/>
    <cellStyle name="Normal 2_SAPPORO SET 01-10-09" xfId="69" xr:uid="{00000000-0005-0000-0000-000045000000}"/>
    <cellStyle name="Normal 3" xfId="70" xr:uid="{00000000-0005-0000-0000-000046000000}"/>
    <cellStyle name="Normal 3 2" xfId="71" xr:uid="{00000000-0005-0000-0000-000047000000}"/>
    <cellStyle name="Normal 4" xfId="72" xr:uid="{00000000-0005-0000-0000-000048000000}"/>
    <cellStyle name="Normal 4 2" xfId="73" xr:uid="{00000000-0005-0000-0000-000049000000}"/>
    <cellStyle name="Normal 4 3" xfId="74" xr:uid="{00000000-0005-0000-0000-00004A000000}"/>
    <cellStyle name="Normal 5" xfId="75" xr:uid="{00000000-0005-0000-0000-00004B000000}"/>
    <cellStyle name="Normal 6" xfId="76" xr:uid="{00000000-0005-0000-0000-00004C000000}"/>
    <cellStyle name="Normal 7" xfId="77" xr:uid="{00000000-0005-0000-0000-00004D000000}"/>
    <cellStyle name="Normal 7 2" xfId="78" xr:uid="{00000000-0005-0000-0000-00004E000000}"/>
    <cellStyle name="Normal 8" xfId="79" xr:uid="{00000000-0005-0000-0000-00004F000000}"/>
    <cellStyle name="Normal 9" xfId="80" xr:uid="{00000000-0005-0000-0000-000050000000}"/>
    <cellStyle name="Normal_PI LAYOUT SAMPLE 2009_ 25-08-08 ngoc" xfId="81" xr:uid="{00000000-0005-0000-0000-000051000000}"/>
    <cellStyle name="Normal_PISICO FURNITURE OFFER 2005 - 2006 - 3" xfId="82" xr:uid="{00000000-0005-0000-0000-000052000000}"/>
    <cellStyle name="Standaard 2" xfId="83" xr:uid="{00000000-0005-0000-0000-000053000000}"/>
    <cellStyle name="Standaard 2 2" xfId="84" xr:uid="{00000000-0005-0000-0000-000054000000}"/>
    <cellStyle name="Standaard 3" xfId="85" xr:uid="{00000000-0005-0000-0000-000055000000}"/>
    <cellStyle name="Stijl 1" xfId="86" xr:uid="{00000000-0005-0000-0000-000056000000}"/>
    <cellStyle name="Style 1" xfId="87" xr:uid="{00000000-0005-0000-0000-000057000000}"/>
    <cellStyle name=" [0.00]_ Att. 1- Cover" xfId="88" xr:uid="{00000000-0005-0000-0000-000058000000}"/>
    <cellStyle name="_ Att. 1- Cover" xfId="89" xr:uid="{00000000-0005-0000-0000-000059000000}"/>
    <cellStyle name="?_ Att. 1- Cover" xfId="90" xr:uid="{00000000-0005-0000-0000-00005A000000}"/>
    <cellStyle name="똿뗦먛귟 [0.00]_PRODUCT DETAIL Q1" xfId="91" xr:uid="{00000000-0005-0000-0000-00005B000000}"/>
    <cellStyle name="똿뗦먛귟_PRODUCT DETAIL Q1" xfId="92" xr:uid="{00000000-0005-0000-0000-00005C000000}"/>
    <cellStyle name="믅됞 [0.00]_PRODUCT DETAIL Q1" xfId="93" xr:uid="{00000000-0005-0000-0000-00005D000000}"/>
    <cellStyle name="믅됞_PRODUCT DETAIL Q1" xfId="94" xr:uid="{00000000-0005-0000-0000-00005E000000}"/>
    <cellStyle name="백분율_95" xfId="95" xr:uid="{00000000-0005-0000-0000-00005F000000}"/>
    <cellStyle name="뷭?_BOOKSHIP" xfId="96" xr:uid="{00000000-0005-0000-0000-000060000000}"/>
    <cellStyle name="콤마 [0]_1202" xfId="97" xr:uid="{00000000-0005-0000-0000-000061000000}"/>
    <cellStyle name="콤마_1202" xfId="98" xr:uid="{00000000-0005-0000-0000-000062000000}"/>
    <cellStyle name="통화 [0]_1202" xfId="99" xr:uid="{00000000-0005-0000-0000-000063000000}"/>
    <cellStyle name="통화_1202" xfId="100" xr:uid="{00000000-0005-0000-0000-000064000000}"/>
    <cellStyle name="표준_(정보부문)월별인원계획" xfId="101" xr:uid="{00000000-0005-0000-0000-000065000000}"/>
    <cellStyle name="一般_99Q3647-ALL-CAS2" xfId="102" xr:uid="{00000000-0005-0000-0000-000066000000}"/>
    <cellStyle name="千分位[0]_Book1" xfId="103" xr:uid="{00000000-0005-0000-0000-000067000000}"/>
    <cellStyle name="千分位_99Q3647-ALL-CAS2" xfId="104" xr:uid="{00000000-0005-0000-0000-000068000000}"/>
    <cellStyle name="常规_Sheet1" xfId="105" xr:uid="{00000000-0005-0000-0000-000069000000}"/>
    <cellStyle name="貨幣 [0]_Book1" xfId="106" xr:uid="{00000000-0005-0000-0000-00006A000000}"/>
    <cellStyle name="貨幣[0]_BRE" xfId="107" xr:uid="{00000000-0005-0000-0000-00006B000000}"/>
    <cellStyle name="貨幣_Book1" xfId="108" xr:uid="{00000000-0005-0000-0000-00006C000000}"/>
  </cellStyles>
  <dxfs count="0"/>
  <tableStyles count="0" defaultTableStyle="TableStyleMedium9" defaultPivotStyle="PivotStyleLight16"/>
  <colors>
    <mruColors>
      <color rgb="FF99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222249</xdr:colOff>
      <xdr:row>1</xdr:row>
      <xdr:rowOff>347436</xdr:rowOff>
    </xdr:from>
    <xdr:to>
      <xdr:col>9</xdr:col>
      <xdr:colOff>308083</xdr:colOff>
      <xdr:row>4</xdr:row>
      <xdr:rowOff>61710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4916" y="1786769"/>
          <a:ext cx="4234500" cy="104777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>
    <pageSetUpPr fitToPage="1"/>
  </sheetPr>
  <dimension ref="A1:AH133"/>
  <sheetViews>
    <sheetView showGridLines="0" tabSelected="1" topLeftCell="A4" zoomScale="60" zoomScaleNormal="60" zoomScaleSheetLayoutView="55" zoomScalePageLayoutView="40" workbookViewId="0">
      <selection activeCell="T55" sqref="T55:V55"/>
    </sheetView>
  </sheetViews>
  <sheetFormatPr defaultColWidth="0" defaultRowHeight="15"/>
  <cols>
    <col min="1" max="1" width="7.5703125" style="1" customWidth="1"/>
    <col min="2" max="32" width="8.42578125" style="1" customWidth="1"/>
    <col min="33" max="34" width="7.5703125" style="1" customWidth="1"/>
    <col min="35" max="16384" width="0" style="1" hidden="1"/>
  </cols>
  <sheetData>
    <row r="1" spans="2:34" ht="113.45" customHeight="1" thickBot="1">
      <c r="B1" s="88" t="s">
        <v>0</v>
      </c>
      <c r="C1" s="88"/>
      <c r="D1" s="88"/>
      <c r="E1" s="88"/>
      <c r="F1" s="88"/>
      <c r="G1" s="88"/>
      <c r="H1" s="88"/>
      <c r="I1" s="88"/>
      <c r="J1" s="88"/>
      <c r="K1" s="88"/>
      <c r="L1" s="88"/>
      <c r="M1" s="88"/>
      <c r="N1" s="88"/>
      <c r="O1" s="88"/>
      <c r="P1" s="88"/>
      <c r="Q1" s="88"/>
      <c r="R1" s="88"/>
      <c r="S1" s="88"/>
      <c r="T1" s="88"/>
      <c r="U1" s="88"/>
      <c r="V1" s="88"/>
      <c r="W1" s="88"/>
      <c r="X1" s="88"/>
      <c r="Y1" s="88"/>
      <c r="Z1" s="88"/>
      <c r="AA1" s="88"/>
      <c r="AB1" s="88"/>
      <c r="AC1" s="88"/>
      <c r="AD1" s="88"/>
      <c r="AE1" s="88"/>
      <c r="AF1" s="88"/>
      <c r="AG1" s="88"/>
      <c r="AH1" s="14"/>
    </row>
    <row r="2" spans="2:34" ht="35.1" customHeight="1">
      <c r="B2" s="100"/>
      <c r="C2" s="101"/>
      <c r="D2" s="101"/>
      <c r="E2" s="101"/>
      <c r="F2" s="101"/>
      <c r="G2" s="101"/>
      <c r="H2" s="101"/>
      <c r="I2" s="101"/>
      <c r="J2" s="101"/>
      <c r="K2" s="101"/>
      <c r="L2" s="106"/>
      <c r="M2" s="106"/>
      <c r="N2" s="106"/>
      <c r="O2" s="106"/>
      <c r="P2" s="106"/>
      <c r="Q2" s="106"/>
      <c r="R2" s="106"/>
      <c r="S2" s="106"/>
      <c r="T2" s="106"/>
      <c r="U2" s="106"/>
      <c r="V2" s="107"/>
      <c r="W2" s="29"/>
      <c r="X2" s="30"/>
      <c r="Y2" s="30"/>
      <c r="Z2" s="30"/>
      <c r="AA2" s="30"/>
      <c r="AB2" s="30"/>
      <c r="AC2" s="30"/>
      <c r="AD2" s="30"/>
      <c r="AE2" s="30"/>
      <c r="AF2" s="30"/>
      <c r="AG2" s="31"/>
      <c r="AH2" s="8"/>
    </row>
    <row r="3" spans="2:34" ht="35.1" customHeight="1">
      <c r="B3" s="102"/>
      <c r="C3" s="103"/>
      <c r="D3" s="103"/>
      <c r="E3" s="103"/>
      <c r="F3" s="103"/>
      <c r="G3" s="103"/>
      <c r="H3" s="103"/>
      <c r="I3" s="103"/>
      <c r="J3" s="103"/>
      <c r="K3" s="103"/>
      <c r="L3" s="108"/>
      <c r="M3" s="108"/>
      <c r="N3" s="108"/>
      <c r="O3" s="108"/>
      <c r="P3" s="108"/>
      <c r="Q3" s="108"/>
      <c r="R3" s="108"/>
      <c r="S3" s="108"/>
      <c r="T3" s="108"/>
      <c r="U3" s="108"/>
      <c r="V3" s="109"/>
      <c r="W3" s="32"/>
      <c r="X3" s="33"/>
      <c r="Y3" s="33"/>
      <c r="Z3" s="33"/>
      <c r="AA3" s="33"/>
      <c r="AB3" s="33"/>
      <c r="AC3" s="33"/>
      <c r="AD3" s="33"/>
      <c r="AE3" s="33"/>
      <c r="AF3" s="33"/>
      <c r="AG3" s="34"/>
      <c r="AH3" s="8"/>
    </row>
    <row r="4" spans="2:34" ht="35.1" customHeight="1">
      <c r="B4" s="102"/>
      <c r="C4" s="103"/>
      <c r="D4" s="103"/>
      <c r="E4" s="103"/>
      <c r="F4" s="103"/>
      <c r="G4" s="103"/>
      <c r="H4" s="103"/>
      <c r="I4" s="103"/>
      <c r="J4" s="103"/>
      <c r="K4" s="103"/>
      <c r="L4" s="108"/>
      <c r="M4" s="108"/>
      <c r="N4" s="108"/>
      <c r="O4" s="108"/>
      <c r="P4" s="108"/>
      <c r="Q4" s="108"/>
      <c r="R4" s="108"/>
      <c r="S4" s="108"/>
      <c r="T4" s="108"/>
      <c r="U4" s="108"/>
      <c r="V4" s="109"/>
      <c r="W4" s="32"/>
      <c r="X4" s="33"/>
      <c r="Y4" s="33"/>
      <c r="Z4" s="33"/>
      <c r="AA4" s="33"/>
      <c r="AB4" s="33"/>
      <c r="AC4" s="33"/>
      <c r="AD4" s="33"/>
      <c r="AE4" s="33"/>
      <c r="AF4" s="33"/>
      <c r="AG4" s="34"/>
      <c r="AH4" s="8"/>
    </row>
    <row r="5" spans="2:34" ht="35.1" customHeight="1" thickBot="1">
      <c r="B5" s="104"/>
      <c r="C5" s="105"/>
      <c r="D5" s="105"/>
      <c r="E5" s="105"/>
      <c r="F5" s="105"/>
      <c r="G5" s="105"/>
      <c r="H5" s="105"/>
      <c r="I5" s="105"/>
      <c r="J5" s="105"/>
      <c r="K5" s="105"/>
      <c r="L5" s="110"/>
      <c r="M5" s="110"/>
      <c r="N5" s="110"/>
      <c r="O5" s="110"/>
      <c r="P5" s="110"/>
      <c r="Q5" s="110"/>
      <c r="R5" s="110"/>
      <c r="S5" s="110"/>
      <c r="T5" s="110"/>
      <c r="U5" s="110"/>
      <c r="V5" s="111"/>
      <c r="W5" s="32"/>
      <c r="X5" s="33"/>
      <c r="Y5" s="33"/>
      <c r="Z5" s="33"/>
      <c r="AA5" s="33"/>
      <c r="AB5" s="33"/>
      <c r="AC5" s="33"/>
      <c r="AD5" s="33"/>
      <c r="AE5" s="33"/>
      <c r="AF5" s="33"/>
      <c r="AG5" s="34"/>
      <c r="AH5" s="8"/>
    </row>
    <row r="6" spans="2:34" ht="35.1" customHeight="1">
      <c r="B6" s="97" t="s">
        <v>1</v>
      </c>
      <c r="C6" s="98"/>
      <c r="D6" s="98"/>
      <c r="E6" s="99" t="str">
        <f>IF(ISBLANK( PSRpt_FactoryOrderDetail_View!A2),PSRpt_Product_View!G2&amp;"",PSRpt_FactoryOrderDetail_View!G2&amp;"")</f>
        <v/>
      </c>
      <c r="F6" s="99"/>
      <c r="G6" s="99"/>
      <c r="H6" s="99"/>
      <c r="I6" s="99"/>
      <c r="J6" s="99"/>
      <c r="K6" s="99"/>
      <c r="L6" s="98" t="s">
        <v>2</v>
      </c>
      <c r="M6" s="98"/>
      <c r="N6" s="116">
        <f ca="1">NOW()</f>
        <v>43637.72197337963</v>
      </c>
      <c r="O6" s="116"/>
      <c r="P6" s="116"/>
      <c r="Q6" s="117" t="s">
        <v>4</v>
      </c>
      <c r="R6" s="117"/>
      <c r="S6" s="116"/>
      <c r="T6" s="116"/>
      <c r="U6" s="116"/>
      <c r="V6" s="127"/>
      <c r="W6" s="32"/>
      <c r="X6" s="33"/>
      <c r="Y6" s="33"/>
      <c r="Z6" s="33"/>
      <c r="AA6" s="33"/>
      <c r="AB6" s="33"/>
      <c r="AC6" s="33"/>
      <c r="AD6" s="33"/>
      <c r="AE6" s="33"/>
      <c r="AF6" s="33"/>
      <c r="AG6" s="34"/>
      <c r="AH6" s="8"/>
    </row>
    <row r="7" spans="2:34" ht="35.1" customHeight="1">
      <c r="B7" s="139" t="s">
        <v>23</v>
      </c>
      <c r="C7" s="140"/>
      <c r="D7" s="140"/>
      <c r="E7" s="138"/>
      <c r="F7" s="138"/>
      <c r="G7" s="138"/>
      <c r="H7" s="138"/>
      <c r="I7" s="138"/>
      <c r="J7" s="138"/>
      <c r="K7" s="138"/>
      <c r="L7" s="46" t="s">
        <v>3</v>
      </c>
      <c r="M7" s="46"/>
      <c r="N7" s="73" t="str">
        <f>IF(ISBLANK( PSRpt_FactoryOrderDetail_View!A2),PSRpt_Product_View!J2&amp;"",PSRpt_FactoryOrderDetail_View!J2&amp;"")</f>
        <v/>
      </c>
      <c r="O7" s="73"/>
      <c r="P7" s="73"/>
      <c r="Q7" s="73"/>
      <c r="R7" s="73"/>
      <c r="S7" s="73"/>
      <c r="T7" s="73"/>
      <c r="U7" s="73"/>
      <c r="V7" s="89"/>
      <c r="W7" s="32"/>
      <c r="X7" s="33"/>
      <c r="Y7" s="33"/>
      <c r="Z7" s="33"/>
      <c r="AA7" s="33"/>
      <c r="AB7" s="33"/>
      <c r="AC7" s="33"/>
      <c r="AD7" s="33"/>
      <c r="AE7" s="33"/>
      <c r="AF7" s="33"/>
      <c r="AG7" s="34"/>
      <c r="AH7" s="8"/>
    </row>
    <row r="8" spans="2:34" ht="35.1" customHeight="1">
      <c r="B8" s="135" t="s">
        <v>7</v>
      </c>
      <c r="C8" s="136"/>
      <c r="D8" s="137"/>
      <c r="E8" s="73" t="str">
        <f>IF(ISBLANK( PSRpt_FactoryOrderDetail_View!A2),PSRpt_Product_View!M2&amp;"",PSRpt_FactoryOrderDetail_View!M2&amp;"")</f>
        <v/>
      </c>
      <c r="F8" s="73"/>
      <c r="G8" s="73"/>
      <c r="H8" s="73"/>
      <c r="I8" s="73"/>
      <c r="J8" s="73"/>
      <c r="K8" s="73"/>
      <c r="L8" s="134" t="s">
        <v>6</v>
      </c>
      <c r="M8" s="134"/>
      <c r="N8" s="146" t="str">
        <f>IF(ISBLANK( PSRpt_FactoryOrderDetail_View!A2),PSRpt_Product_View!N2&amp;"",PSRpt_FactoryOrderDetail_View!N2&amp;"")</f>
        <v/>
      </c>
      <c r="O8" s="147"/>
      <c r="P8" s="147"/>
      <c r="Q8" s="128" t="s">
        <v>56</v>
      </c>
      <c r="R8" s="128"/>
      <c r="S8" s="146"/>
      <c r="T8" s="147"/>
      <c r="U8" s="147"/>
      <c r="V8" s="148"/>
      <c r="W8" s="32"/>
      <c r="X8" s="33"/>
      <c r="Y8" s="33"/>
      <c r="Z8" s="33"/>
      <c r="AA8" s="33"/>
      <c r="AB8" s="33"/>
      <c r="AC8" s="33"/>
      <c r="AD8" s="33"/>
      <c r="AE8" s="33"/>
      <c r="AF8" s="33"/>
      <c r="AG8" s="34"/>
      <c r="AH8" s="8"/>
    </row>
    <row r="9" spans="2:34" ht="35.1" customHeight="1">
      <c r="B9" s="141" t="s">
        <v>5</v>
      </c>
      <c r="C9" s="142"/>
      <c r="D9" s="142"/>
      <c r="E9" s="143" t="s">
        <v>127</v>
      </c>
      <c r="F9" s="143"/>
      <c r="G9" s="143"/>
      <c r="H9" s="143"/>
      <c r="I9" s="143"/>
      <c r="J9" s="143"/>
      <c r="K9" s="143"/>
      <c r="L9" s="143"/>
      <c r="M9" s="143"/>
      <c r="N9" s="143"/>
      <c r="O9" s="143"/>
      <c r="P9" s="143"/>
      <c r="Q9" s="143"/>
      <c r="R9" s="143"/>
      <c r="S9" s="143"/>
      <c r="T9" s="143"/>
      <c r="U9" s="143"/>
      <c r="V9" s="144"/>
      <c r="W9" s="32"/>
      <c r="X9" s="33"/>
      <c r="Y9" s="33"/>
      <c r="Z9" s="33"/>
      <c r="AA9" s="33"/>
      <c r="AB9" s="33"/>
      <c r="AC9" s="33"/>
      <c r="AD9" s="33"/>
      <c r="AE9" s="33"/>
      <c r="AF9" s="33"/>
      <c r="AG9" s="34"/>
      <c r="AH9" s="8"/>
    </row>
    <row r="10" spans="2:34" ht="35.1" customHeight="1">
      <c r="B10" s="141"/>
      <c r="C10" s="142"/>
      <c r="D10" s="142"/>
      <c r="E10" s="143"/>
      <c r="F10" s="143"/>
      <c r="G10" s="143"/>
      <c r="H10" s="143"/>
      <c r="I10" s="143"/>
      <c r="J10" s="143"/>
      <c r="K10" s="143"/>
      <c r="L10" s="143"/>
      <c r="M10" s="143"/>
      <c r="N10" s="143"/>
      <c r="O10" s="143"/>
      <c r="P10" s="143"/>
      <c r="Q10" s="143"/>
      <c r="R10" s="143"/>
      <c r="S10" s="143"/>
      <c r="T10" s="143"/>
      <c r="U10" s="143"/>
      <c r="V10" s="144"/>
      <c r="W10" s="32"/>
      <c r="X10" s="33"/>
      <c r="Y10" s="33"/>
      <c r="Z10" s="33"/>
      <c r="AA10" s="33"/>
      <c r="AB10" s="33"/>
      <c r="AC10" s="33"/>
      <c r="AD10" s="33"/>
      <c r="AE10" s="33"/>
      <c r="AF10" s="33"/>
      <c r="AG10" s="34"/>
      <c r="AH10" s="8"/>
    </row>
    <row r="11" spans="2:34" ht="35.1" customHeight="1">
      <c r="B11" s="141"/>
      <c r="C11" s="142"/>
      <c r="D11" s="142"/>
      <c r="E11" s="143"/>
      <c r="F11" s="143"/>
      <c r="G11" s="143"/>
      <c r="H11" s="143"/>
      <c r="I11" s="143"/>
      <c r="J11" s="143"/>
      <c r="K11" s="143"/>
      <c r="L11" s="143"/>
      <c r="M11" s="143"/>
      <c r="N11" s="143"/>
      <c r="O11" s="143"/>
      <c r="P11" s="143"/>
      <c r="Q11" s="143"/>
      <c r="R11" s="143"/>
      <c r="S11" s="143"/>
      <c r="T11" s="143"/>
      <c r="U11" s="143"/>
      <c r="V11" s="144"/>
      <c r="W11" s="32"/>
      <c r="X11" s="33"/>
      <c r="Y11" s="33"/>
      <c r="Z11" s="33"/>
      <c r="AA11" s="33"/>
      <c r="AB11" s="33"/>
      <c r="AC11" s="33"/>
      <c r="AD11" s="33"/>
      <c r="AE11" s="33"/>
      <c r="AF11" s="33"/>
      <c r="AG11" s="34"/>
      <c r="AH11" s="8"/>
    </row>
    <row r="12" spans="2:34" ht="35.1" customHeight="1" thickBot="1">
      <c r="B12" s="149" t="s">
        <v>33</v>
      </c>
      <c r="C12" s="150"/>
      <c r="D12" s="150"/>
      <c r="E12" s="145" t="str">
        <f>IF(ISBLANK( PSRpt_FactoryOrderDetail_View!A2),PSRpt_Product_View!O2&amp;"",PSRpt_FactoryOrderDetail_View!O2&amp;"")</f>
        <v/>
      </c>
      <c r="F12" s="145"/>
      <c r="G12" s="145"/>
      <c r="H12" s="145"/>
      <c r="I12" s="145"/>
      <c r="J12" s="145"/>
      <c r="K12" s="145"/>
      <c r="L12" s="112" t="s">
        <v>34</v>
      </c>
      <c r="M12" s="112"/>
      <c r="N12" s="113" t="str">
        <f>IF(ISBLANK( PSRpt_FactoryOrderDetail_View!A2),PSRpt_Product_View!P2&amp;"",PSRpt_FactoryOrderDetail_View!P2&amp;"")</f>
        <v/>
      </c>
      <c r="O12" s="114"/>
      <c r="P12" s="114"/>
      <c r="Q12" s="114"/>
      <c r="R12" s="114"/>
      <c r="S12" s="114"/>
      <c r="T12" s="114"/>
      <c r="U12" s="114"/>
      <c r="V12" s="115"/>
      <c r="W12" s="35"/>
      <c r="X12" s="36"/>
      <c r="Y12" s="36"/>
      <c r="Z12" s="36"/>
      <c r="AA12" s="36"/>
      <c r="AB12" s="36"/>
      <c r="AC12" s="36"/>
      <c r="AD12" s="36"/>
      <c r="AE12" s="36"/>
      <c r="AF12" s="36"/>
      <c r="AG12" s="37"/>
      <c r="AH12" s="8"/>
    </row>
    <row r="13" spans="2:34" ht="35.1" customHeight="1" thickBot="1">
      <c r="B13" s="129"/>
      <c r="C13" s="129"/>
      <c r="D13" s="129"/>
      <c r="E13" s="129"/>
      <c r="F13" s="129"/>
      <c r="G13" s="129"/>
      <c r="H13" s="129"/>
      <c r="I13" s="129"/>
      <c r="J13" s="129"/>
      <c r="K13" s="129"/>
      <c r="L13" s="129"/>
      <c r="M13" s="129"/>
      <c r="N13" s="129"/>
      <c r="O13" s="129"/>
      <c r="P13" s="129"/>
      <c r="Q13" s="129"/>
      <c r="R13" s="129"/>
      <c r="S13" s="129"/>
      <c r="T13" s="129"/>
      <c r="U13" s="129"/>
      <c r="V13" s="129"/>
      <c r="W13" s="129"/>
      <c r="X13" s="129"/>
      <c r="Y13" s="129"/>
      <c r="Z13" s="129"/>
      <c r="AA13" s="129"/>
      <c r="AB13" s="129"/>
      <c r="AC13" s="129"/>
      <c r="AD13" s="129"/>
      <c r="AE13" s="129"/>
      <c r="AF13" s="129"/>
      <c r="AG13" s="129"/>
      <c r="AH13" s="15"/>
    </row>
    <row r="14" spans="2:34" ht="35.1" customHeight="1">
      <c r="B14" s="130" t="s">
        <v>57</v>
      </c>
      <c r="C14" s="131"/>
      <c r="D14" s="131"/>
      <c r="E14" s="132"/>
      <c r="F14" s="132"/>
      <c r="G14" s="132"/>
      <c r="H14" s="132"/>
      <c r="I14" s="132"/>
      <c r="J14" s="132"/>
      <c r="K14" s="132"/>
      <c r="L14" s="132"/>
      <c r="M14" s="132"/>
      <c r="N14" s="132"/>
      <c r="O14" s="132"/>
      <c r="P14" s="132"/>
      <c r="Q14" s="132"/>
      <c r="R14" s="132"/>
      <c r="S14" s="132"/>
      <c r="T14" s="132"/>
      <c r="U14" s="132"/>
      <c r="V14" s="132"/>
      <c r="W14" s="132"/>
      <c r="X14" s="132"/>
      <c r="Y14" s="132"/>
      <c r="Z14" s="132"/>
      <c r="AA14" s="132"/>
      <c r="AB14" s="132"/>
      <c r="AC14" s="132"/>
      <c r="AD14" s="132"/>
      <c r="AE14" s="132"/>
      <c r="AF14" s="132"/>
      <c r="AG14" s="133"/>
      <c r="AH14" s="15"/>
    </row>
    <row r="15" spans="2:34" ht="35.1" customHeight="1">
      <c r="B15" s="69" t="s">
        <v>24</v>
      </c>
      <c r="C15" s="46"/>
      <c r="D15" s="46"/>
      <c r="E15" s="73" t="str">
        <f>IF(ISBLANK( PSRpt_FactoryOrderDetail_View!A2),PSRpt_Product_View!R2&amp;"",PSRpt_FactoryOrderDetail_View!R2&amp;"")</f>
        <v/>
      </c>
      <c r="F15" s="73"/>
      <c r="G15" s="73"/>
      <c r="H15" s="73"/>
      <c r="I15" s="73"/>
      <c r="J15" s="73"/>
      <c r="K15" s="73"/>
      <c r="L15" s="46" t="s">
        <v>27</v>
      </c>
      <c r="M15" s="46"/>
      <c r="N15" s="46"/>
      <c r="O15" s="73" t="str">
        <f>IF(ISBLANK( PSRpt_FactoryOrderDetail_View!A2),PSRpt_Product_View!W2&amp;"",PSRpt_FactoryOrderDetail_View!W2&amp;"")</f>
        <v/>
      </c>
      <c r="P15" s="73"/>
      <c r="Q15" s="73"/>
      <c r="R15" s="73"/>
      <c r="S15" s="73"/>
      <c r="T15" s="73"/>
      <c r="U15" s="73"/>
      <c r="V15" s="73"/>
      <c r="W15" s="46" t="s">
        <v>59</v>
      </c>
      <c r="X15" s="46"/>
      <c r="Y15" s="46"/>
      <c r="Z15" s="73"/>
      <c r="AA15" s="73"/>
      <c r="AB15" s="73"/>
      <c r="AC15" s="73"/>
      <c r="AD15" s="73"/>
      <c r="AE15" s="73"/>
      <c r="AF15" s="73"/>
      <c r="AG15" s="89"/>
      <c r="AH15" s="16"/>
    </row>
    <row r="16" spans="2:34" ht="35.1" customHeight="1">
      <c r="B16" s="69" t="s">
        <v>25</v>
      </c>
      <c r="C16" s="46"/>
      <c r="D16" s="46"/>
      <c r="E16" s="73" t="str">
        <f>IF(ISBLANK( PSRpt_FactoryOrderDetail_View!A2),PSRpt_Product_View!S2&amp;"",PSRpt_FactoryOrderDetail_View!S2&amp;"")</f>
        <v/>
      </c>
      <c r="F16" s="73"/>
      <c r="G16" s="73"/>
      <c r="H16" s="73"/>
      <c r="I16" s="73"/>
      <c r="J16" s="73"/>
      <c r="K16" s="73"/>
      <c r="L16" s="46" t="s">
        <v>28</v>
      </c>
      <c r="M16" s="46"/>
      <c r="N16" s="46"/>
      <c r="O16" s="73"/>
      <c r="P16" s="73"/>
      <c r="Q16" s="73"/>
      <c r="R16" s="73"/>
      <c r="S16" s="73"/>
      <c r="T16" s="73"/>
      <c r="U16" s="73"/>
      <c r="V16" s="73"/>
      <c r="W16" s="46" t="s">
        <v>60</v>
      </c>
      <c r="X16" s="46"/>
      <c r="Y16" s="46"/>
      <c r="Z16" s="73"/>
      <c r="AA16" s="73"/>
      <c r="AB16" s="73"/>
      <c r="AC16" s="73"/>
      <c r="AD16" s="73"/>
      <c r="AE16" s="73"/>
      <c r="AF16" s="73"/>
      <c r="AG16" s="89"/>
      <c r="AH16" s="16"/>
    </row>
    <row r="17" spans="2:34" ht="35.1" customHeight="1">
      <c r="B17" s="69" t="s">
        <v>26</v>
      </c>
      <c r="C17" s="46"/>
      <c r="D17" s="46"/>
      <c r="E17" s="73" t="str">
        <f>IF(ISBLANK( PSRpt_FactoryOrderDetail_View!A2),PSRpt_Product_View!T2&amp;"",PSRpt_FactoryOrderDetail_View!T2&amp;"")</f>
        <v/>
      </c>
      <c r="F17" s="73"/>
      <c r="G17" s="73"/>
      <c r="H17" s="73"/>
      <c r="I17" s="73"/>
      <c r="J17" s="73"/>
      <c r="K17" s="73"/>
      <c r="L17" s="46" t="s">
        <v>29</v>
      </c>
      <c r="M17" s="46"/>
      <c r="N17" s="46"/>
      <c r="O17" s="73" t="str">
        <f>IF(ISBLANK( PSRpt_FactoryOrderDetail_View!A2),PSRpt_Product_View!X2&amp;"",PSRpt_FactoryOrderDetail_View!X2&amp;"")</f>
        <v/>
      </c>
      <c r="P17" s="73"/>
      <c r="Q17" s="73"/>
      <c r="R17" s="73"/>
      <c r="S17" s="73"/>
      <c r="T17" s="73"/>
      <c r="U17" s="73"/>
      <c r="V17" s="73"/>
      <c r="W17" s="46" t="s">
        <v>61</v>
      </c>
      <c r="X17" s="46"/>
      <c r="Y17" s="46"/>
      <c r="Z17" s="73"/>
      <c r="AA17" s="73"/>
      <c r="AB17" s="73"/>
      <c r="AC17" s="73"/>
      <c r="AD17" s="73"/>
      <c r="AE17" s="73"/>
      <c r="AF17" s="73"/>
      <c r="AG17" s="89"/>
      <c r="AH17" s="16"/>
    </row>
    <row r="18" spans="2:34" ht="35.1" customHeight="1">
      <c r="B18" s="95"/>
      <c r="C18" s="90"/>
      <c r="D18" s="90"/>
      <c r="E18" s="90"/>
      <c r="F18" s="90"/>
      <c r="G18" s="90"/>
      <c r="H18" s="90"/>
      <c r="I18" s="90"/>
      <c r="J18" s="90"/>
      <c r="K18" s="90"/>
      <c r="L18" s="90"/>
      <c r="M18" s="90"/>
      <c r="N18" s="90"/>
      <c r="O18" s="90"/>
      <c r="P18" s="90"/>
      <c r="Q18" s="90"/>
      <c r="R18" s="90"/>
      <c r="S18" s="90"/>
      <c r="T18" s="90"/>
      <c r="U18" s="90"/>
      <c r="V18" s="90"/>
      <c r="W18" s="90"/>
      <c r="X18" s="90"/>
      <c r="Y18" s="90"/>
      <c r="Z18" s="90"/>
      <c r="AA18" s="90"/>
      <c r="AB18" s="90"/>
      <c r="AC18" s="90"/>
      <c r="AD18" s="90"/>
      <c r="AE18" s="90"/>
      <c r="AF18" s="90"/>
      <c r="AG18" s="91"/>
      <c r="AH18" s="17"/>
    </row>
    <row r="19" spans="2:34" ht="35.1" customHeight="1">
      <c r="B19" s="95"/>
      <c r="C19" s="90"/>
      <c r="D19" s="90"/>
      <c r="E19" s="90"/>
      <c r="F19" s="90"/>
      <c r="G19" s="90"/>
      <c r="H19" s="90"/>
      <c r="I19" s="90"/>
      <c r="J19" s="90"/>
      <c r="K19" s="90"/>
      <c r="L19" s="90"/>
      <c r="M19" s="90"/>
      <c r="N19" s="90"/>
      <c r="O19" s="90"/>
      <c r="P19" s="90"/>
      <c r="Q19" s="90"/>
      <c r="R19" s="90"/>
      <c r="S19" s="90"/>
      <c r="T19" s="90"/>
      <c r="U19" s="90"/>
      <c r="V19" s="90"/>
      <c r="W19" s="90"/>
      <c r="X19" s="90"/>
      <c r="Y19" s="90"/>
      <c r="Z19" s="90"/>
      <c r="AA19" s="90"/>
      <c r="AB19" s="90"/>
      <c r="AC19" s="90"/>
      <c r="AD19" s="90"/>
      <c r="AE19" s="90"/>
      <c r="AF19" s="90"/>
      <c r="AG19" s="91"/>
      <c r="AH19" s="17"/>
    </row>
    <row r="20" spans="2:34" ht="35.1" customHeight="1">
      <c r="B20" s="95"/>
      <c r="C20" s="90"/>
      <c r="D20" s="90"/>
      <c r="E20" s="90"/>
      <c r="F20" s="90"/>
      <c r="G20" s="90"/>
      <c r="H20" s="90"/>
      <c r="I20" s="90"/>
      <c r="J20" s="90"/>
      <c r="K20" s="90"/>
      <c r="L20" s="90"/>
      <c r="M20" s="90"/>
      <c r="N20" s="90"/>
      <c r="O20" s="90"/>
      <c r="P20" s="90"/>
      <c r="Q20" s="90"/>
      <c r="R20" s="90"/>
      <c r="S20" s="90"/>
      <c r="T20" s="90"/>
      <c r="U20" s="90"/>
      <c r="V20" s="90"/>
      <c r="W20" s="90"/>
      <c r="X20" s="90"/>
      <c r="Y20" s="90"/>
      <c r="Z20" s="90"/>
      <c r="AA20" s="90"/>
      <c r="AB20" s="90"/>
      <c r="AC20" s="90"/>
      <c r="AD20" s="90"/>
      <c r="AE20" s="90"/>
      <c r="AF20" s="90"/>
      <c r="AG20" s="91"/>
      <c r="AH20" s="17"/>
    </row>
    <row r="21" spans="2:34" ht="35.1" customHeight="1">
      <c r="B21" s="95"/>
      <c r="C21" s="90"/>
      <c r="D21" s="90"/>
      <c r="E21" s="90"/>
      <c r="F21" s="90"/>
      <c r="G21" s="90"/>
      <c r="H21" s="90"/>
      <c r="I21" s="90"/>
      <c r="J21" s="90"/>
      <c r="K21" s="90"/>
      <c r="L21" s="90"/>
      <c r="M21" s="90"/>
      <c r="N21" s="90"/>
      <c r="O21" s="90"/>
      <c r="P21" s="90"/>
      <c r="Q21" s="90"/>
      <c r="R21" s="90"/>
      <c r="S21" s="90"/>
      <c r="T21" s="90"/>
      <c r="U21" s="90"/>
      <c r="V21" s="90"/>
      <c r="W21" s="90"/>
      <c r="X21" s="90"/>
      <c r="Y21" s="90"/>
      <c r="Z21" s="90"/>
      <c r="AA21" s="90"/>
      <c r="AB21" s="90"/>
      <c r="AC21" s="90"/>
      <c r="AD21" s="90"/>
      <c r="AE21" s="90"/>
      <c r="AF21" s="90"/>
      <c r="AG21" s="91"/>
      <c r="AH21" s="17"/>
    </row>
    <row r="22" spans="2:34" ht="35.1" customHeight="1" thickBot="1">
      <c r="B22" s="96"/>
      <c r="C22" s="92"/>
      <c r="D22" s="92"/>
      <c r="E22" s="92"/>
      <c r="F22" s="92"/>
      <c r="G22" s="92"/>
      <c r="H22" s="92"/>
      <c r="I22" s="92"/>
      <c r="J22" s="92"/>
      <c r="K22" s="92"/>
      <c r="L22" s="92"/>
      <c r="M22" s="92"/>
      <c r="N22" s="92"/>
      <c r="O22" s="92"/>
      <c r="P22" s="92"/>
      <c r="Q22" s="92"/>
      <c r="R22" s="92"/>
      <c r="S22" s="92"/>
      <c r="T22" s="92"/>
      <c r="U22" s="92"/>
      <c r="V22" s="92"/>
      <c r="W22" s="92"/>
      <c r="X22" s="92"/>
      <c r="Y22" s="92"/>
      <c r="Z22" s="92"/>
      <c r="AA22" s="92"/>
      <c r="AB22" s="92"/>
      <c r="AC22" s="92"/>
      <c r="AD22" s="92"/>
      <c r="AE22" s="92"/>
      <c r="AF22" s="92"/>
      <c r="AG22" s="93"/>
      <c r="AH22" s="17"/>
    </row>
    <row r="23" spans="2:34" ht="35.1" customHeight="1" thickBot="1">
      <c r="B23" s="94"/>
      <c r="C23" s="94"/>
      <c r="D23" s="94"/>
      <c r="E23" s="94"/>
      <c r="F23" s="94"/>
      <c r="G23" s="94"/>
      <c r="H23" s="94"/>
      <c r="I23" s="94"/>
      <c r="J23" s="94"/>
      <c r="K23" s="94"/>
      <c r="L23" s="94"/>
      <c r="M23" s="94"/>
      <c r="N23" s="94"/>
      <c r="O23" s="94"/>
      <c r="P23" s="94"/>
      <c r="Q23" s="94"/>
      <c r="R23" s="94"/>
      <c r="S23" s="94"/>
      <c r="T23" s="94"/>
      <c r="U23" s="94"/>
      <c r="V23" s="94"/>
      <c r="W23" s="94"/>
      <c r="X23" s="94"/>
      <c r="Y23" s="94"/>
      <c r="Z23" s="94"/>
      <c r="AA23" s="94"/>
      <c r="AB23" s="94"/>
      <c r="AC23" s="94"/>
      <c r="AD23" s="94"/>
      <c r="AE23" s="94"/>
      <c r="AF23" s="94"/>
      <c r="AG23" s="94"/>
      <c r="AH23" s="17"/>
    </row>
    <row r="24" spans="2:34" ht="35.1" customHeight="1">
      <c r="B24" s="82" t="s">
        <v>8</v>
      </c>
      <c r="C24" s="83"/>
      <c r="D24" s="83"/>
      <c r="E24" s="83"/>
      <c r="F24" s="83"/>
      <c r="G24" s="83"/>
      <c r="H24" s="83"/>
      <c r="I24" s="83"/>
      <c r="J24" s="83"/>
      <c r="K24" s="83"/>
      <c r="L24" s="83"/>
      <c r="M24" s="83"/>
      <c r="N24" s="83"/>
      <c r="O24" s="83"/>
      <c r="P24" s="83"/>
      <c r="Q24" s="83"/>
      <c r="R24" s="83"/>
      <c r="S24" s="83"/>
      <c r="T24" s="83"/>
      <c r="U24" s="83"/>
      <c r="V24" s="83"/>
      <c r="W24" s="83"/>
      <c r="X24" s="83"/>
      <c r="Y24" s="83"/>
      <c r="Z24" s="83"/>
      <c r="AA24" s="83"/>
      <c r="AB24" s="83"/>
      <c r="AC24" s="83"/>
      <c r="AD24" s="83"/>
      <c r="AE24" s="83"/>
      <c r="AF24" s="83"/>
      <c r="AG24" s="84"/>
      <c r="AH24" s="10"/>
    </row>
    <row r="25" spans="2:34" ht="35.1" customHeight="1">
      <c r="B25" s="85"/>
      <c r="C25" s="86"/>
      <c r="D25" s="86"/>
      <c r="E25" s="86"/>
      <c r="F25" s="86"/>
      <c r="G25" s="86"/>
      <c r="H25" s="86"/>
      <c r="I25" s="86"/>
      <c r="J25" s="86"/>
      <c r="K25" s="86"/>
      <c r="L25" s="86"/>
      <c r="M25" s="86"/>
      <c r="N25" s="86"/>
      <c r="O25" s="86"/>
      <c r="P25" s="86"/>
      <c r="Q25" s="86"/>
      <c r="R25" s="86"/>
      <c r="S25" s="86"/>
      <c r="T25" s="86"/>
      <c r="U25" s="86"/>
      <c r="V25" s="86"/>
      <c r="W25" s="86"/>
      <c r="X25" s="86"/>
      <c r="Y25" s="86"/>
      <c r="Z25" s="86"/>
      <c r="AA25" s="86"/>
      <c r="AB25" s="86"/>
      <c r="AC25" s="86"/>
      <c r="AD25" s="86"/>
      <c r="AE25" s="86"/>
      <c r="AF25" s="86"/>
      <c r="AG25" s="87"/>
      <c r="AH25" s="10"/>
    </row>
    <row r="26" spans="2:34" ht="35.1" customHeight="1">
      <c r="B26" s="125" t="s">
        <v>37</v>
      </c>
      <c r="C26" s="126"/>
      <c r="D26" s="126"/>
      <c r="E26" s="126"/>
      <c r="F26" s="45" t="s">
        <v>9</v>
      </c>
      <c r="G26" s="45"/>
      <c r="H26" s="45" t="s">
        <v>10</v>
      </c>
      <c r="I26" s="45"/>
      <c r="J26" s="45" t="s">
        <v>11</v>
      </c>
      <c r="K26" s="45"/>
      <c r="L26" s="118" t="s">
        <v>32</v>
      </c>
      <c r="M26" s="118"/>
      <c r="N26" s="118"/>
      <c r="O26" s="118"/>
      <c r="P26" s="118"/>
      <c r="Q26" s="45" t="s">
        <v>9</v>
      </c>
      <c r="R26" s="45"/>
      <c r="S26" s="45" t="s">
        <v>10</v>
      </c>
      <c r="T26" s="45"/>
      <c r="U26" s="45" t="s">
        <v>11</v>
      </c>
      <c r="V26" s="45"/>
      <c r="W26" s="118" t="s">
        <v>44</v>
      </c>
      <c r="X26" s="118"/>
      <c r="Y26" s="118"/>
      <c r="Z26" s="118"/>
      <c r="AA26" s="118"/>
      <c r="AB26" s="45" t="s">
        <v>9</v>
      </c>
      <c r="AC26" s="45"/>
      <c r="AD26" s="45" t="s">
        <v>10</v>
      </c>
      <c r="AE26" s="45"/>
      <c r="AF26" s="38" t="s">
        <v>11</v>
      </c>
      <c r="AG26" s="39"/>
      <c r="AH26" s="11"/>
    </row>
    <row r="27" spans="2:34" ht="35.1" customHeight="1">
      <c r="B27" s="69" t="s">
        <v>38</v>
      </c>
      <c r="C27" s="46"/>
      <c r="D27" s="46"/>
      <c r="E27" s="46"/>
      <c r="F27" s="45" t="str">
        <f>PSRpt_ModelDetail_View!D2&amp;""</f>
        <v/>
      </c>
      <c r="G27" s="45"/>
      <c r="H27" s="45" t="str">
        <f>PSRpt_ModelDetail_View!E2&amp;""</f>
        <v/>
      </c>
      <c r="I27" s="45"/>
      <c r="J27" s="45" t="str">
        <f>PSRpt_ModelDetail_View!F2&amp;""</f>
        <v/>
      </c>
      <c r="K27" s="45"/>
      <c r="L27" s="46" t="s">
        <v>41</v>
      </c>
      <c r="M27" s="46"/>
      <c r="N27" s="46"/>
      <c r="O27" s="46"/>
      <c r="P27" s="46"/>
      <c r="Q27" s="45"/>
      <c r="R27" s="45"/>
      <c r="S27" s="45"/>
      <c r="T27" s="45"/>
      <c r="U27" s="45"/>
      <c r="V27" s="38"/>
      <c r="W27" s="46" t="s">
        <v>38</v>
      </c>
      <c r="X27" s="46"/>
      <c r="Y27" s="46"/>
      <c r="Z27" s="46"/>
      <c r="AA27" s="46"/>
      <c r="AB27" s="45" t="str">
        <f>PSRpt_ModelDetail_View!D3&amp;""</f>
        <v/>
      </c>
      <c r="AC27" s="45"/>
      <c r="AD27" s="45" t="str">
        <f>PSRpt_ModelDetail_View!E3&amp;""</f>
        <v/>
      </c>
      <c r="AE27" s="45"/>
      <c r="AF27" s="38" t="str">
        <f>PSRpt_ModelDetail_View!F3&amp;""</f>
        <v/>
      </c>
      <c r="AG27" s="39"/>
      <c r="AH27" s="11"/>
    </row>
    <row r="28" spans="2:34" ht="35.1" customHeight="1">
      <c r="B28" s="69" t="s">
        <v>39</v>
      </c>
      <c r="C28" s="46"/>
      <c r="D28" s="46"/>
      <c r="E28" s="46"/>
      <c r="F28" s="45" t="str">
        <f>PSRpt_ModelDetail_View!J2&amp;""</f>
        <v/>
      </c>
      <c r="G28" s="45"/>
      <c r="H28" s="45" t="str">
        <f>PSRpt_ModelDetail_View!K2&amp;""</f>
        <v/>
      </c>
      <c r="I28" s="45"/>
      <c r="J28" s="45" t="str">
        <f>PSRpt_ModelDetail_View!L2&amp;""</f>
        <v/>
      </c>
      <c r="K28" s="45"/>
      <c r="L28" s="46" t="s">
        <v>42</v>
      </c>
      <c r="M28" s="46"/>
      <c r="N28" s="46"/>
      <c r="O28" s="46"/>
      <c r="P28" s="46"/>
      <c r="Q28" s="45"/>
      <c r="R28" s="45"/>
      <c r="S28" s="45"/>
      <c r="T28" s="45"/>
      <c r="U28" s="45"/>
      <c r="V28" s="38"/>
      <c r="W28" s="46" t="s">
        <v>39</v>
      </c>
      <c r="X28" s="46"/>
      <c r="Y28" s="46"/>
      <c r="Z28" s="46"/>
      <c r="AA28" s="46"/>
      <c r="AB28" s="45" t="str">
        <f>PSRpt_ModelDetail_View!J3&amp;""</f>
        <v/>
      </c>
      <c r="AC28" s="45"/>
      <c r="AD28" s="45" t="str">
        <f>PSRpt_ModelDetail_View!K3&amp;""</f>
        <v/>
      </c>
      <c r="AE28" s="45"/>
      <c r="AF28" s="38" t="str">
        <f>PSRpt_ModelDetail_View!L3&amp;""</f>
        <v/>
      </c>
      <c r="AG28" s="39"/>
      <c r="AH28" s="11"/>
    </row>
    <row r="29" spans="2:34" ht="35.1" customHeight="1">
      <c r="B29" s="69" t="s">
        <v>40</v>
      </c>
      <c r="C29" s="46"/>
      <c r="D29" s="46"/>
      <c r="E29" s="46"/>
      <c r="F29" s="45" t="str">
        <f>PSRpt_ModelDetail_View!G2&amp;""</f>
        <v/>
      </c>
      <c r="G29" s="45"/>
      <c r="H29" s="45" t="str">
        <f>PSRpt_ModelDetail_View!H2&amp;""</f>
        <v/>
      </c>
      <c r="I29" s="45"/>
      <c r="J29" s="45" t="str">
        <f>PSRpt_ModelDetail_View!I2&amp;""</f>
        <v/>
      </c>
      <c r="K29" s="45"/>
      <c r="L29" s="46" t="s">
        <v>43</v>
      </c>
      <c r="M29" s="46"/>
      <c r="N29" s="46"/>
      <c r="O29" s="46"/>
      <c r="P29" s="46"/>
      <c r="Q29" s="45"/>
      <c r="R29" s="45"/>
      <c r="S29" s="45"/>
      <c r="T29" s="45"/>
      <c r="U29" s="45"/>
      <c r="V29" s="45"/>
      <c r="W29" s="46" t="s">
        <v>40</v>
      </c>
      <c r="X29" s="46"/>
      <c r="Y29" s="46"/>
      <c r="Z29" s="46"/>
      <c r="AA29" s="46"/>
      <c r="AB29" s="45" t="str">
        <f>PSRpt_ModelDetail_View!G3&amp;""</f>
        <v/>
      </c>
      <c r="AC29" s="45"/>
      <c r="AD29" s="45" t="str">
        <f>PSRpt_ModelDetail_View!H3&amp;""</f>
        <v/>
      </c>
      <c r="AE29" s="45"/>
      <c r="AF29" s="38" t="str">
        <f>PSRpt_ModelDetail_View!I3&amp;""</f>
        <v/>
      </c>
      <c r="AG29" s="39"/>
      <c r="AH29" s="11"/>
    </row>
    <row r="30" spans="2:34" ht="35.1" customHeight="1">
      <c r="B30" s="42"/>
      <c r="C30" s="43"/>
      <c r="D30" s="43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43"/>
      <c r="AB30" s="43"/>
      <c r="AC30" s="43"/>
      <c r="AD30" s="43"/>
      <c r="AE30" s="43"/>
      <c r="AF30" s="43"/>
      <c r="AG30" s="44"/>
      <c r="AH30" s="11"/>
    </row>
    <row r="31" spans="2:34" ht="35.1" customHeight="1">
      <c r="B31" s="125" t="s">
        <v>45</v>
      </c>
      <c r="C31" s="126"/>
      <c r="D31" s="126"/>
      <c r="E31" s="126"/>
      <c r="F31" s="45" t="s">
        <v>9</v>
      </c>
      <c r="G31" s="45"/>
      <c r="H31" s="45" t="s">
        <v>10</v>
      </c>
      <c r="I31" s="45"/>
      <c r="J31" s="45" t="s">
        <v>11</v>
      </c>
      <c r="K31" s="45"/>
      <c r="L31" s="118" t="s">
        <v>46</v>
      </c>
      <c r="M31" s="118"/>
      <c r="N31" s="118"/>
      <c r="O31" s="118"/>
      <c r="P31" s="118"/>
      <c r="Q31" s="45" t="s">
        <v>9</v>
      </c>
      <c r="R31" s="45"/>
      <c r="S31" s="45" t="s">
        <v>10</v>
      </c>
      <c r="T31" s="45"/>
      <c r="U31" s="45" t="s">
        <v>11</v>
      </c>
      <c r="V31" s="45"/>
      <c r="W31" s="118" t="s">
        <v>47</v>
      </c>
      <c r="X31" s="118"/>
      <c r="Y31" s="118"/>
      <c r="Z31" s="118"/>
      <c r="AA31" s="118"/>
      <c r="AB31" s="45" t="s">
        <v>9</v>
      </c>
      <c r="AC31" s="45"/>
      <c r="AD31" s="45" t="s">
        <v>10</v>
      </c>
      <c r="AE31" s="45"/>
      <c r="AF31" s="38" t="s">
        <v>11</v>
      </c>
      <c r="AG31" s="39"/>
      <c r="AH31" s="11"/>
    </row>
    <row r="32" spans="2:34" ht="35.1" customHeight="1">
      <c r="B32" s="69" t="s">
        <v>38</v>
      </c>
      <c r="C32" s="46"/>
      <c r="D32" s="46"/>
      <c r="E32" s="46"/>
      <c r="F32" s="45" t="str">
        <f>PSRpt_ModelDetail_View!D4&amp;""</f>
        <v/>
      </c>
      <c r="G32" s="45"/>
      <c r="H32" s="45" t="str">
        <f>PSRpt_ModelDetail_View!E4&amp;""</f>
        <v/>
      </c>
      <c r="I32" s="45"/>
      <c r="J32" s="45" t="str">
        <f>PSRpt_ModelDetail_View!F4&amp;""</f>
        <v/>
      </c>
      <c r="K32" s="45"/>
      <c r="L32" s="46" t="s">
        <v>38</v>
      </c>
      <c r="M32" s="46"/>
      <c r="N32" s="46"/>
      <c r="O32" s="46"/>
      <c r="P32" s="46"/>
      <c r="Q32" s="45" t="str">
        <f>PSRpt_ModelDetail_View!D5&amp;""</f>
        <v/>
      </c>
      <c r="R32" s="45"/>
      <c r="S32" s="45" t="str">
        <f>PSRpt_ModelDetail_View!E5&amp;""</f>
        <v/>
      </c>
      <c r="T32" s="45"/>
      <c r="U32" s="45" t="str">
        <f>PSRpt_ModelDetail_View!F5&amp;""</f>
        <v/>
      </c>
      <c r="V32" s="38"/>
      <c r="W32" s="46" t="s">
        <v>38</v>
      </c>
      <c r="X32" s="46"/>
      <c r="Y32" s="46"/>
      <c r="Z32" s="46"/>
      <c r="AA32" s="46"/>
      <c r="AB32" s="45" t="str">
        <f>PSRpt_ModelDetail_View!D6&amp;""</f>
        <v/>
      </c>
      <c r="AC32" s="45"/>
      <c r="AD32" s="45" t="str">
        <f>PSRpt_ModelDetail_View!E6&amp;""</f>
        <v/>
      </c>
      <c r="AE32" s="45"/>
      <c r="AF32" s="38" t="str">
        <f>PSRpt_ModelDetail_View!F6&amp;""</f>
        <v/>
      </c>
      <c r="AG32" s="39"/>
      <c r="AH32" s="11"/>
    </row>
    <row r="33" spans="2:34" ht="35.1" customHeight="1">
      <c r="B33" s="69" t="s">
        <v>39</v>
      </c>
      <c r="C33" s="46"/>
      <c r="D33" s="46"/>
      <c r="E33" s="46"/>
      <c r="F33" s="45" t="str">
        <f>PSRpt_ModelDetail_View!J4&amp;""</f>
        <v/>
      </c>
      <c r="G33" s="45"/>
      <c r="H33" s="45" t="str">
        <f>PSRpt_ModelDetail_View!K4&amp;""</f>
        <v/>
      </c>
      <c r="I33" s="45"/>
      <c r="J33" s="45" t="str">
        <f>PSRpt_ModelDetail_View!L4&amp;""</f>
        <v/>
      </c>
      <c r="K33" s="45"/>
      <c r="L33" s="46" t="s">
        <v>39</v>
      </c>
      <c r="M33" s="46"/>
      <c r="N33" s="46"/>
      <c r="O33" s="46"/>
      <c r="P33" s="46"/>
      <c r="Q33" s="45" t="str">
        <f>PSRpt_ModelDetail_View!J5&amp;""</f>
        <v/>
      </c>
      <c r="R33" s="45"/>
      <c r="S33" s="45" t="str">
        <f>PSRpt_ModelDetail_View!K5&amp;""</f>
        <v/>
      </c>
      <c r="T33" s="45"/>
      <c r="U33" s="45" t="str">
        <f>PSRpt_ModelDetail_View!L5&amp;""</f>
        <v/>
      </c>
      <c r="V33" s="38"/>
      <c r="W33" s="46" t="s">
        <v>39</v>
      </c>
      <c r="X33" s="46"/>
      <c r="Y33" s="46"/>
      <c r="Z33" s="46"/>
      <c r="AA33" s="46"/>
      <c r="AB33" s="45" t="str">
        <f>PSRpt_ModelDetail_View!J6&amp;""</f>
        <v/>
      </c>
      <c r="AC33" s="45"/>
      <c r="AD33" s="45" t="str">
        <f>PSRpt_ModelDetail_View!K6&amp;""</f>
        <v/>
      </c>
      <c r="AE33" s="45"/>
      <c r="AF33" s="38" t="str">
        <f>PSRpt_ModelDetail_View!L6&amp;""</f>
        <v/>
      </c>
      <c r="AG33" s="39"/>
      <c r="AH33" s="11"/>
    </row>
    <row r="34" spans="2:34" ht="35.1" customHeight="1">
      <c r="B34" s="69" t="s">
        <v>40</v>
      </c>
      <c r="C34" s="46"/>
      <c r="D34" s="46"/>
      <c r="E34" s="46"/>
      <c r="F34" s="45" t="str">
        <f>PSRpt_ModelDetail_View!G4&amp;""</f>
        <v/>
      </c>
      <c r="G34" s="45"/>
      <c r="H34" s="45" t="str">
        <f>PSRpt_ModelDetail_View!H4&amp;""</f>
        <v/>
      </c>
      <c r="I34" s="45"/>
      <c r="J34" s="45" t="str">
        <f>PSRpt_ModelDetail_View!I4&amp;""</f>
        <v/>
      </c>
      <c r="K34" s="45"/>
      <c r="L34" s="46" t="s">
        <v>40</v>
      </c>
      <c r="M34" s="46"/>
      <c r="N34" s="46"/>
      <c r="O34" s="46"/>
      <c r="P34" s="46"/>
      <c r="Q34" s="45" t="str">
        <f>PSRpt_ModelDetail_View!G5&amp;""</f>
        <v/>
      </c>
      <c r="R34" s="45"/>
      <c r="S34" s="45" t="str">
        <f>PSRpt_ModelDetail_View!H5&amp;""</f>
        <v/>
      </c>
      <c r="T34" s="45"/>
      <c r="U34" s="45" t="str">
        <f>PSRpt_ModelDetail_View!I5&amp;""</f>
        <v/>
      </c>
      <c r="V34" s="45"/>
      <c r="W34" s="46" t="s">
        <v>40</v>
      </c>
      <c r="X34" s="46"/>
      <c r="Y34" s="46"/>
      <c r="Z34" s="46"/>
      <c r="AA34" s="46"/>
      <c r="AB34" s="45" t="str">
        <f>PSRpt_ModelDetail_View!G6&amp;""</f>
        <v/>
      </c>
      <c r="AC34" s="45"/>
      <c r="AD34" s="45" t="str">
        <f>PSRpt_ModelDetail_View!H6&amp;""</f>
        <v/>
      </c>
      <c r="AE34" s="45"/>
      <c r="AF34" s="38" t="str">
        <f>PSRpt_ModelDetail_View!I6&amp;""</f>
        <v/>
      </c>
      <c r="AG34" s="39"/>
      <c r="AH34" s="11"/>
    </row>
    <row r="35" spans="2:34" ht="35.1" customHeight="1">
      <c r="B35" s="119"/>
      <c r="C35" s="120"/>
      <c r="D35" s="120"/>
      <c r="E35" s="120"/>
      <c r="F35" s="120"/>
      <c r="G35" s="120"/>
      <c r="H35" s="120"/>
      <c r="I35" s="120"/>
      <c r="J35" s="120"/>
      <c r="K35" s="120"/>
      <c r="L35" s="120"/>
      <c r="M35" s="120"/>
      <c r="N35" s="120"/>
      <c r="O35" s="120"/>
      <c r="P35" s="120"/>
      <c r="Q35" s="120"/>
      <c r="R35" s="120"/>
      <c r="S35" s="120"/>
      <c r="T35" s="120"/>
      <c r="U35" s="120"/>
      <c r="V35" s="120"/>
      <c r="W35" s="120"/>
      <c r="X35" s="120"/>
      <c r="Y35" s="120"/>
      <c r="Z35" s="120"/>
      <c r="AA35" s="120"/>
      <c r="AB35" s="120"/>
      <c r="AC35" s="120"/>
      <c r="AD35" s="120"/>
      <c r="AE35" s="120"/>
      <c r="AF35" s="120"/>
      <c r="AG35" s="121"/>
      <c r="AH35" s="12"/>
    </row>
    <row r="36" spans="2:34" ht="35.1" customHeight="1">
      <c r="B36" s="125" t="s">
        <v>48</v>
      </c>
      <c r="C36" s="126"/>
      <c r="D36" s="126"/>
      <c r="E36" s="126"/>
      <c r="F36" s="45" t="s">
        <v>9</v>
      </c>
      <c r="G36" s="45"/>
      <c r="H36" s="45" t="s">
        <v>10</v>
      </c>
      <c r="I36" s="45"/>
      <c r="J36" s="45" t="s">
        <v>11</v>
      </c>
      <c r="K36" s="45"/>
      <c r="L36" s="118" t="s">
        <v>49</v>
      </c>
      <c r="M36" s="118"/>
      <c r="N36" s="118"/>
      <c r="O36" s="118"/>
      <c r="P36" s="118"/>
      <c r="Q36" s="45" t="s">
        <v>9</v>
      </c>
      <c r="R36" s="45"/>
      <c r="S36" s="45" t="s">
        <v>10</v>
      </c>
      <c r="T36" s="45"/>
      <c r="U36" s="45" t="s">
        <v>11</v>
      </c>
      <c r="V36" s="45"/>
      <c r="W36" s="118" t="s">
        <v>50</v>
      </c>
      <c r="X36" s="118"/>
      <c r="Y36" s="118"/>
      <c r="Z36" s="118"/>
      <c r="AA36" s="118"/>
      <c r="AB36" s="45" t="s">
        <v>9</v>
      </c>
      <c r="AC36" s="45"/>
      <c r="AD36" s="45" t="s">
        <v>10</v>
      </c>
      <c r="AE36" s="45"/>
      <c r="AF36" s="38" t="s">
        <v>11</v>
      </c>
      <c r="AG36" s="39"/>
      <c r="AH36" s="11"/>
    </row>
    <row r="37" spans="2:34" ht="35.1" customHeight="1">
      <c r="B37" s="69" t="s">
        <v>38</v>
      </c>
      <c r="C37" s="46"/>
      <c r="D37" s="46"/>
      <c r="E37" s="46"/>
      <c r="F37" s="45" t="str">
        <f>PSRpt_ModelDetail_View!D7&amp;""</f>
        <v/>
      </c>
      <c r="G37" s="45"/>
      <c r="H37" s="45" t="str">
        <f>PSRpt_ModelDetail_View!E7&amp;""</f>
        <v/>
      </c>
      <c r="I37" s="45"/>
      <c r="J37" s="45" t="str">
        <f>PSRpt_ModelDetail_View!F7&amp;""</f>
        <v/>
      </c>
      <c r="K37" s="45"/>
      <c r="L37" s="46" t="s">
        <v>38</v>
      </c>
      <c r="M37" s="46"/>
      <c r="N37" s="46"/>
      <c r="O37" s="46"/>
      <c r="P37" s="46"/>
      <c r="Q37" s="45" t="str">
        <f>PSRpt_ModelDetail_View!D8&amp;""</f>
        <v/>
      </c>
      <c r="R37" s="45"/>
      <c r="S37" s="45" t="str">
        <f>PSRpt_ModelDetail_View!E8&amp;""</f>
        <v/>
      </c>
      <c r="T37" s="45"/>
      <c r="U37" s="45" t="str">
        <f>PSRpt_ModelDetail_View!F8&amp;""</f>
        <v/>
      </c>
      <c r="V37" s="38"/>
      <c r="W37" s="46" t="s">
        <v>38</v>
      </c>
      <c r="X37" s="46"/>
      <c r="Y37" s="46"/>
      <c r="Z37" s="46"/>
      <c r="AA37" s="46"/>
      <c r="AB37" s="45" t="str">
        <f>PSRpt_ModelDetail_View!D9&amp;""</f>
        <v/>
      </c>
      <c r="AC37" s="45"/>
      <c r="AD37" s="45" t="str">
        <f>PSRpt_ModelDetail_View!E9&amp;""</f>
        <v/>
      </c>
      <c r="AE37" s="45"/>
      <c r="AF37" s="38" t="str">
        <f>PSRpt_ModelDetail_View!F9&amp;""</f>
        <v/>
      </c>
      <c r="AG37" s="39"/>
      <c r="AH37" s="11"/>
    </row>
    <row r="38" spans="2:34" ht="35.1" customHeight="1">
      <c r="B38" s="69" t="s">
        <v>39</v>
      </c>
      <c r="C38" s="46"/>
      <c r="D38" s="46"/>
      <c r="E38" s="46"/>
      <c r="F38" s="45" t="str">
        <f>PSRpt_ModelDetail_View!J7&amp;""</f>
        <v/>
      </c>
      <c r="G38" s="45"/>
      <c r="H38" s="45" t="str">
        <f>PSRpt_ModelDetail_View!K7&amp;""</f>
        <v/>
      </c>
      <c r="I38" s="45"/>
      <c r="J38" s="45" t="str">
        <f>PSRpt_ModelDetail_View!L7&amp;""</f>
        <v/>
      </c>
      <c r="K38" s="45"/>
      <c r="L38" s="46" t="s">
        <v>39</v>
      </c>
      <c r="M38" s="46"/>
      <c r="N38" s="46"/>
      <c r="O38" s="46"/>
      <c r="P38" s="46"/>
      <c r="Q38" s="45" t="str">
        <f>PSRpt_ModelDetail_View!J8&amp;""</f>
        <v/>
      </c>
      <c r="R38" s="45"/>
      <c r="S38" s="45" t="str">
        <f>PSRpt_ModelDetail_View!K8&amp;""</f>
        <v/>
      </c>
      <c r="T38" s="45"/>
      <c r="U38" s="45" t="str">
        <f>PSRpt_ModelDetail_View!L8&amp;""</f>
        <v/>
      </c>
      <c r="V38" s="38"/>
      <c r="W38" s="46" t="s">
        <v>39</v>
      </c>
      <c r="X38" s="46"/>
      <c r="Y38" s="46"/>
      <c r="Z38" s="46"/>
      <c r="AA38" s="46"/>
      <c r="AB38" s="45" t="str">
        <f>PSRpt_ModelDetail_View!J9&amp;""</f>
        <v/>
      </c>
      <c r="AC38" s="45"/>
      <c r="AD38" s="45" t="str">
        <f>PSRpt_ModelDetail_View!K9&amp;""</f>
        <v/>
      </c>
      <c r="AE38" s="45"/>
      <c r="AF38" s="38" t="str">
        <f>PSRpt_ModelDetail_View!L9&amp;""</f>
        <v/>
      </c>
      <c r="AG38" s="39"/>
      <c r="AH38" s="11"/>
    </row>
    <row r="39" spans="2:34" ht="35.1" customHeight="1" thickBot="1">
      <c r="B39" s="70" t="s">
        <v>40</v>
      </c>
      <c r="C39" s="71"/>
      <c r="D39" s="71"/>
      <c r="E39" s="71"/>
      <c r="F39" s="72" t="str">
        <f>PSRpt_ModelDetail_View!G7&amp;""</f>
        <v/>
      </c>
      <c r="G39" s="72"/>
      <c r="H39" s="72" t="str">
        <f>PSRpt_ModelDetail_View!H7&amp;""</f>
        <v/>
      </c>
      <c r="I39" s="72"/>
      <c r="J39" s="72" t="str">
        <f>PSRpt_ModelDetail_View!I7&amp;""</f>
        <v/>
      </c>
      <c r="K39" s="72"/>
      <c r="L39" s="71" t="s">
        <v>40</v>
      </c>
      <c r="M39" s="71"/>
      <c r="N39" s="71"/>
      <c r="O39" s="71"/>
      <c r="P39" s="71"/>
      <c r="Q39" s="72" t="str">
        <f>PSRpt_ModelDetail_View!G8&amp;""</f>
        <v/>
      </c>
      <c r="R39" s="72"/>
      <c r="S39" s="72" t="str">
        <f>PSRpt_ModelDetail_View!H8&amp;""</f>
        <v/>
      </c>
      <c r="T39" s="72"/>
      <c r="U39" s="72" t="str">
        <f>PSRpt_ModelDetail_View!I8&amp;""</f>
        <v/>
      </c>
      <c r="V39" s="72"/>
      <c r="W39" s="71" t="s">
        <v>40</v>
      </c>
      <c r="X39" s="71"/>
      <c r="Y39" s="71"/>
      <c r="Z39" s="71"/>
      <c r="AA39" s="71"/>
      <c r="AB39" s="72" t="str">
        <f>PSRpt_ModelDetail_View!G9&amp;""</f>
        <v/>
      </c>
      <c r="AC39" s="72"/>
      <c r="AD39" s="72" t="str">
        <f>PSRpt_ModelDetail_View!H9&amp;""</f>
        <v/>
      </c>
      <c r="AE39" s="72"/>
      <c r="AF39" s="40" t="str">
        <f>PSRpt_ModelDetail_View!I9&amp;""</f>
        <v/>
      </c>
      <c r="AG39" s="41"/>
      <c r="AH39" s="11"/>
    </row>
    <row r="40" spans="2:34" ht="35.1" customHeight="1" thickBot="1">
      <c r="B40" s="157"/>
      <c r="C40" s="157"/>
      <c r="D40" s="157"/>
      <c r="E40" s="157"/>
      <c r="F40" s="157"/>
      <c r="G40" s="157"/>
      <c r="H40" s="157"/>
      <c r="I40" s="157"/>
      <c r="J40" s="157"/>
      <c r="K40" s="157"/>
      <c r="L40" s="157"/>
      <c r="M40" s="157"/>
      <c r="N40" s="157"/>
      <c r="O40" s="157"/>
      <c r="P40" s="157"/>
      <c r="Q40" s="157"/>
      <c r="R40" s="157"/>
      <c r="S40" s="157"/>
      <c r="T40" s="157"/>
      <c r="U40" s="157"/>
      <c r="V40" s="157"/>
      <c r="W40" s="157"/>
      <c r="X40" s="157"/>
      <c r="Y40" s="157"/>
      <c r="Z40" s="157"/>
      <c r="AA40" s="157"/>
      <c r="AB40" s="157"/>
      <c r="AC40" s="157"/>
      <c r="AD40" s="157"/>
      <c r="AE40" s="157"/>
      <c r="AF40" s="157"/>
      <c r="AG40" s="157"/>
      <c r="AH40" s="11"/>
    </row>
    <row r="41" spans="2:34" ht="35.1" customHeight="1">
      <c r="B41" s="82" t="s">
        <v>62</v>
      </c>
      <c r="C41" s="83"/>
      <c r="D41" s="83"/>
      <c r="E41" s="83"/>
      <c r="F41" s="83"/>
      <c r="G41" s="83"/>
      <c r="H41" s="83"/>
      <c r="I41" s="83"/>
      <c r="J41" s="83"/>
      <c r="K41" s="83"/>
      <c r="L41" s="83"/>
      <c r="M41" s="83"/>
      <c r="N41" s="83"/>
      <c r="O41" s="83"/>
      <c r="P41" s="83"/>
      <c r="Q41" s="83"/>
      <c r="R41" s="83"/>
      <c r="S41" s="83"/>
      <c r="T41" s="83"/>
      <c r="U41" s="83"/>
      <c r="V41" s="83"/>
      <c r="W41" s="75"/>
      <c r="X41" s="75"/>
      <c r="Y41" s="75"/>
      <c r="Z41" s="75"/>
      <c r="AA41" s="75"/>
      <c r="AB41" s="75"/>
      <c r="AC41" s="75"/>
      <c r="AD41" s="75"/>
      <c r="AE41" s="75"/>
      <c r="AF41" s="75"/>
      <c r="AG41" s="76"/>
      <c r="AH41" s="10"/>
    </row>
    <row r="42" spans="2:34" ht="35.1" customHeight="1">
      <c r="B42" s="151"/>
      <c r="C42" s="152"/>
      <c r="D42" s="152"/>
      <c r="E42" s="152"/>
      <c r="F42" s="152"/>
      <c r="G42" s="152"/>
      <c r="H42" s="152"/>
      <c r="I42" s="152"/>
      <c r="J42" s="152"/>
      <c r="K42" s="152"/>
      <c r="L42" s="152"/>
      <c r="M42" s="152"/>
      <c r="N42" s="152"/>
      <c r="O42" s="152"/>
      <c r="P42" s="152"/>
      <c r="Q42" s="152"/>
      <c r="R42" s="152"/>
      <c r="S42" s="152"/>
      <c r="T42" s="152"/>
      <c r="U42" s="152"/>
      <c r="V42" s="152"/>
      <c r="W42" s="77"/>
      <c r="X42" s="77"/>
      <c r="Y42" s="77"/>
      <c r="Z42" s="77"/>
      <c r="AA42" s="77"/>
      <c r="AB42" s="77"/>
      <c r="AC42" s="77"/>
      <c r="AD42" s="77"/>
      <c r="AE42" s="77"/>
      <c r="AF42" s="77"/>
      <c r="AG42" s="78"/>
      <c r="AH42" s="10"/>
    </row>
    <row r="43" spans="2:34" ht="35.1" customHeight="1">
      <c r="B43" s="69" t="s">
        <v>12</v>
      </c>
      <c r="C43" s="46"/>
      <c r="D43" s="46"/>
      <c r="E43" s="46"/>
      <c r="F43" s="81" t="str">
        <f>IF(ISBLANK( PSRpt_FactoryOrderDetail_View!A2),PSRpt_Product_View!AA2&amp;"",PSRpt_FactoryOrderDetail_View!AA2&amp;"")</f>
        <v/>
      </c>
      <c r="G43" s="81"/>
      <c r="H43" s="81"/>
      <c r="I43" s="81"/>
      <c r="J43" s="81"/>
      <c r="K43" s="81"/>
      <c r="L43" s="153" t="s">
        <v>30</v>
      </c>
      <c r="M43" s="153"/>
      <c r="N43" s="153"/>
      <c r="O43" s="68"/>
      <c r="P43" s="154" t="str">
        <f>IF(ISBLANK( PSRpt_FactoryOrderDetail_View!A2),PSRpt_Product_View!AG2&amp;"",PSRpt_FactoryOrderDetail_View!AG2&amp;"")</f>
        <v/>
      </c>
      <c r="Q43" s="155"/>
      <c r="R43" s="155"/>
      <c r="S43" s="155"/>
      <c r="T43" s="155"/>
      <c r="U43" s="155"/>
      <c r="V43" s="156"/>
      <c r="W43" s="77"/>
      <c r="X43" s="77"/>
      <c r="Y43" s="77"/>
      <c r="Z43" s="77"/>
      <c r="AA43" s="77"/>
      <c r="AB43" s="77"/>
      <c r="AC43" s="77"/>
      <c r="AD43" s="77"/>
      <c r="AE43" s="77"/>
      <c r="AF43" s="77"/>
      <c r="AG43" s="78"/>
      <c r="AH43" s="13"/>
    </row>
    <row r="44" spans="2:34" ht="35.1" customHeight="1">
      <c r="B44" s="69" t="s">
        <v>35</v>
      </c>
      <c r="C44" s="46"/>
      <c r="D44" s="46"/>
      <c r="E44" s="46"/>
      <c r="F44" s="81" t="str">
        <f>IF(ISBLANK( PSRpt_FactoryOrderDetail_View!A2),PSRpt_Product_View!AB2&amp;"",PSRpt_FactoryOrderDetail_View!AB2&amp;"")</f>
        <v/>
      </c>
      <c r="G44" s="81"/>
      <c r="H44" s="81"/>
      <c r="I44" s="81"/>
      <c r="J44" s="81"/>
      <c r="K44" s="81"/>
      <c r="L44" s="153" t="s">
        <v>31</v>
      </c>
      <c r="M44" s="153"/>
      <c r="N44" s="153"/>
      <c r="O44" s="68"/>
      <c r="P44" s="154" t="str">
        <f>IF(ISBLANK( PSRpt_FactoryOrderDetail_View!A2),PSRpt_Product_View!AH2&amp;"",PSRpt_FactoryOrderDetail_View!AH2&amp;"")</f>
        <v/>
      </c>
      <c r="Q44" s="155"/>
      <c r="R44" s="155"/>
      <c r="S44" s="155"/>
      <c r="T44" s="155"/>
      <c r="U44" s="155"/>
      <c r="V44" s="156"/>
      <c r="W44" s="77"/>
      <c r="X44" s="77"/>
      <c r="Y44" s="77"/>
      <c r="Z44" s="77"/>
      <c r="AA44" s="77"/>
      <c r="AB44" s="77"/>
      <c r="AC44" s="77"/>
      <c r="AD44" s="77"/>
      <c r="AE44" s="77"/>
      <c r="AF44" s="77"/>
      <c r="AG44" s="78"/>
      <c r="AH44" s="13"/>
    </row>
    <row r="45" spans="2:34" ht="35.1" customHeight="1">
      <c r="B45" s="69" t="s">
        <v>13</v>
      </c>
      <c r="C45" s="46"/>
      <c r="D45" s="46"/>
      <c r="E45" s="46"/>
      <c r="F45" s="81" t="str">
        <f>IF(ISBLANK( PSRpt_FactoryOrderDetail_View!A2),PSRpt_Product_View!AC2&amp;"",PSRpt_FactoryOrderDetail_View!AC2&amp;"")</f>
        <v/>
      </c>
      <c r="G45" s="81"/>
      <c r="H45" s="81"/>
      <c r="I45" s="81"/>
      <c r="J45" s="81"/>
      <c r="K45" s="81"/>
      <c r="L45" s="68" t="s">
        <v>58</v>
      </c>
      <c r="M45" s="46"/>
      <c r="N45" s="46"/>
      <c r="O45" s="46"/>
      <c r="P45" s="73" t="str">
        <f>IF(ISBLANK( PSRpt_FactoryOrderDetail_View!A2),PSRpt_Product_View!AI2&amp;"",PSRpt_FactoryOrderDetail_View!AI2&amp;"")</f>
        <v/>
      </c>
      <c r="Q45" s="73"/>
      <c r="R45" s="73"/>
      <c r="S45" s="73"/>
      <c r="T45" s="73"/>
      <c r="U45" s="73"/>
      <c r="V45" s="73"/>
      <c r="W45" s="77"/>
      <c r="X45" s="77"/>
      <c r="Y45" s="77"/>
      <c r="Z45" s="77"/>
      <c r="AA45" s="77"/>
      <c r="AB45" s="77"/>
      <c r="AC45" s="77"/>
      <c r="AD45" s="77"/>
      <c r="AE45" s="77"/>
      <c r="AF45" s="77"/>
      <c r="AG45" s="78"/>
      <c r="AH45" s="13"/>
    </row>
    <row r="46" spans="2:34" ht="35.1" customHeight="1">
      <c r="B46" s="69" t="s">
        <v>14</v>
      </c>
      <c r="C46" s="46"/>
      <c r="D46" s="46"/>
      <c r="E46" s="46"/>
      <c r="F46" s="45" t="str">
        <f>IF(ISBLANK( PSRpt_FactoryOrderDetail_View!A2),PSRpt_Product_View!AD2&amp;"",PSRpt_FactoryOrderDetail_View!AD2&amp;"")</f>
        <v/>
      </c>
      <c r="G46" s="45"/>
      <c r="H46" s="45"/>
      <c r="I46" s="45"/>
      <c r="J46" s="45"/>
      <c r="K46" s="45"/>
      <c r="P46" s="22"/>
      <c r="Q46" s="22"/>
      <c r="R46" s="22"/>
      <c r="S46" s="22"/>
      <c r="T46" s="22"/>
      <c r="U46" s="22"/>
      <c r="V46" s="22"/>
      <c r="W46" s="77"/>
      <c r="X46" s="77"/>
      <c r="Y46" s="77"/>
      <c r="Z46" s="77"/>
      <c r="AA46" s="77"/>
      <c r="AB46" s="77"/>
      <c r="AC46" s="77"/>
      <c r="AD46" s="77"/>
      <c r="AE46" s="77"/>
      <c r="AF46" s="77"/>
      <c r="AG46" s="78"/>
      <c r="AH46" s="13"/>
    </row>
    <row r="47" spans="2:34" ht="35.1" customHeight="1">
      <c r="B47" s="69" t="s">
        <v>36</v>
      </c>
      <c r="C47" s="46"/>
      <c r="D47" s="46"/>
      <c r="E47" s="46"/>
      <c r="F47" s="45" t="str">
        <f>IF(ISBLANK( PSRpt_FactoryOrderDetail_View!A2),PSRpt_Product_View!AE2&amp;"",PSRpt_FactoryOrderDetail_View!AE2&amp;"")</f>
        <v/>
      </c>
      <c r="G47" s="45"/>
      <c r="H47" s="45"/>
      <c r="I47" s="45"/>
      <c r="J47" s="45"/>
      <c r="K47" s="45"/>
      <c r="P47" s="22"/>
      <c r="Q47" s="22"/>
      <c r="R47" s="22"/>
      <c r="S47" s="22"/>
      <c r="T47" s="22"/>
      <c r="U47" s="22"/>
      <c r="V47" s="22"/>
      <c r="W47" s="77"/>
      <c r="X47" s="77"/>
      <c r="Y47" s="77"/>
      <c r="Z47" s="77"/>
      <c r="AA47" s="77"/>
      <c r="AB47" s="77"/>
      <c r="AC47" s="77"/>
      <c r="AD47" s="77"/>
      <c r="AE47" s="77"/>
      <c r="AF47" s="77"/>
      <c r="AG47" s="78"/>
      <c r="AH47" s="13"/>
    </row>
    <row r="48" spans="2:34" ht="35.1" customHeight="1" thickBot="1">
      <c r="B48" s="70" t="s">
        <v>15</v>
      </c>
      <c r="C48" s="71"/>
      <c r="D48" s="71"/>
      <c r="E48" s="71"/>
      <c r="F48" s="72" t="str">
        <f>IF(ISBLANK( PSRpt_FactoryOrderDetail_View!A2),PSRpt_Product_View!AF2&amp;"",PSRpt_FactoryOrderDetail_View!AF2&amp;"")</f>
        <v/>
      </c>
      <c r="G48" s="72"/>
      <c r="H48" s="72"/>
      <c r="I48" s="72"/>
      <c r="J48" s="72"/>
      <c r="K48" s="72"/>
      <c r="L48" s="23"/>
      <c r="M48" s="23"/>
      <c r="N48" s="23"/>
      <c r="O48" s="23"/>
      <c r="P48" s="20"/>
      <c r="Q48" s="20"/>
      <c r="R48" s="20"/>
      <c r="S48" s="20"/>
      <c r="T48" s="20"/>
      <c r="U48" s="20"/>
      <c r="V48" s="20"/>
      <c r="W48" s="79"/>
      <c r="X48" s="79"/>
      <c r="Y48" s="79"/>
      <c r="Z48" s="79"/>
      <c r="AA48" s="79"/>
      <c r="AB48" s="79"/>
      <c r="AC48" s="79"/>
      <c r="AD48" s="79"/>
      <c r="AE48" s="79"/>
      <c r="AF48" s="79"/>
      <c r="AG48" s="80"/>
      <c r="AH48" s="12"/>
    </row>
    <row r="49" spans="1:34" ht="35.1" customHeight="1" thickBot="1">
      <c r="B49" s="74"/>
      <c r="C49" s="74"/>
      <c r="D49" s="74"/>
      <c r="E49" s="74"/>
      <c r="F49" s="74"/>
      <c r="G49" s="74"/>
      <c r="H49" s="74"/>
      <c r="I49" s="74"/>
      <c r="J49" s="74"/>
      <c r="K49" s="74"/>
      <c r="L49" s="74"/>
      <c r="M49" s="74"/>
      <c r="N49" s="74"/>
      <c r="O49" s="74"/>
      <c r="P49" s="74"/>
      <c r="Q49" s="74"/>
      <c r="R49" s="74"/>
      <c r="S49" s="74"/>
      <c r="T49" s="74"/>
      <c r="U49" s="74"/>
      <c r="V49" s="74"/>
      <c r="W49" s="74"/>
      <c r="X49" s="74"/>
      <c r="Y49" s="74"/>
      <c r="Z49" s="74"/>
      <c r="AA49" s="74"/>
      <c r="AB49" s="74"/>
      <c r="AC49" s="74"/>
      <c r="AD49" s="74"/>
      <c r="AE49" s="74"/>
      <c r="AF49" s="74"/>
      <c r="AG49" s="74"/>
      <c r="AH49" s="12"/>
    </row>
    <row r="50" spans="1:34" ht="35.1" customHeight="1">
      <c r="B50" s="82" t="s">
        <v>51</v>
      </c>
      <c r="C50" s="83"/>
      <c r="D50" s="83"/>
      <c r="E50" s="83"/>
      <c r="F50" s="83"/>
      <c r="G50" s="83"/>
      <c r="H50" s="83"/>
      <c r="I50" s="83"/>
      <c r="J50" s="83"/>
      <c r="K50" s="83"/>
      <c r="L50" s="83"/>
      <c r="M50" s="83"/>
      <c r="N50" s="83"/>
      <c r="O50" s="83"/>
      <c r="P50" s="83"/>
      <c r="Q50" s="83"/>
      <c r="R50" s="83"/>
      <c r="S50" s="83"/>
      <c r="T50" s="83"/>
      <c r="U50" s="83"/>
      <c r="V50" s="83"/>
      <c r="W50" s="83"/>
      <c r="X50" s="83"/>
      <c r="Y50" s="83"/>
      <c r="Z50" s="83"/>
      <c r="AA50" s="83"/>
      <c r="AB50" s="83"/>
      <c r="AC50" s="83"/>
      <c r="AD50" s="83"/>
      <c r="AE50" s="83"/>
      <c r="AF50" s="83"/>
      <c r="AG50" s="84"/>
      <c r="AH50" s="10"/>
    </row>
    <row r="51" spans="1:34" ht="35.1" customHeight="1">
      <c r="B51" s="85"/>
      <c r="C51" s="86"/>
      <c r="D51" s="86"/>
      <c r="E51" s="86"/>
      <c r="F51" s="86"/>
      <c r="G51" s="86"/>
      <c r="H51" s="86"/>
      <c r="I51" s="86"/>
      <c r="J51" s="86"/>
      <c r="K51" s="86"/>
      <c r="L51" s="86"/>
      <c r="M51" s="86"/>
      <c r="N51" s="86"/>
      <c r="O51" s="86"/>
      <c r="P51" s="86"/>
      <c r="Q51" s="86"/>
      <c r="R51" s="86"/>
      <c r="S51" s="86"/>
      <c r="T51" s="86"/>
      <c r="U51" s="86"/>
      <c r="V51" s="86"/>
      <c r="W51" s="86"/>
      <c r="X51" s="86"/>
      <c r="Y51" s="86"/>
      <c r="Z51" s="86"/>
      <c r="AA51" s="86"/>
      <c r="AB51" s="86"/>
      <c r="AC51" s="86"/>
      <c r="AD51" s="86"/>
      <c r="AE51" s="86"/>
      <c r="AF51" s="86"/>
      <c r="AG51" s="87"/>
      <c r="AH51" s="10"/>
    </row>
    <row r="52" spans="1:34" ht="35.1" customHeight="1">
      <c r="A52" s="8"/>
      <c r="B52" s="7"/>
      <c r="C52" s="122" t="s">
        <v>52</v>
      </c>
      <c r="D52" s="122"/>
      <c r="E52" s="122"/>
      <c r="F52" s="122"/>
      <c r="G52" s="122"/>
      <c r="H52" s="122"/>
      <c r="I52" s="122"/>
      <c r="J52" s="122"/>
      <c r="K52" s="122"/>
      <c r="L52" s="123"/>
      <c r="M52" s="124"/>
      <c r="N52" s="122" t="s">
        <v>16</v>
      </c>
      <c r="O52" s="122"/>
      <c r="P52" s="122"/>
      <c r="Q52" s="122" t="s">
        <v>53</v>
      </c>
      <c r="R52" s="122"/>
      <c r="S52" s="122"/>
      <c r="T52" s="122" t="s">
        <v>54</v>
      </c>
      <c r="U52" s="122"/>
      <c r="V52" s="122"/>
      <c r="W52" s="123"/>
      <c r="X52" s="123"/>
      <c r="Y52" s="25" t="s">
        <v>17</v>
      </c>
      <c r="Z52" s="26"/>
      <c r="AA52" s="26"/>
      <c r="AB52" s="26"/>
      <c r="AC52" s="26"/>
      <c r="AD52" s="26"/>
      <c r="AE52" s="26"/>
      <c r="AF52" s="26"/>
      <c r="AG52" s="28"/>
      <c r="AH52" s="18"/>
    </row>
    <row r="53" spans="1:34" ht="35.1" customHeight="1">
      <c r="A53" s="8"/>
      <c r="B53" s="7"/>
      <c r="C53" s="45" t="s">
        <v>9</v>
      </c>
      <c r="D53" s="45"/>
      <c r="E53" s="45"/>
      <c r="F53" s="45" t="s">
        <v>10</v>
      </c>
      <c r="G53" s="45"/>
      <c r="H53" s="45"/>
      <c r="I53" s="122" t="s">
        <v>11</v>
      </c>
      <c r="J53" s="122"/>
      <c r="K53" s="122"/>
      <c r="L53" s="123"/>
      <c r="M53" s="124"/>
      <c r="N53" s="122"/>
      <c r="O53" s="122"/>
      <c r="P53" s="122"/>
      <c r="Q53" s="122"/>
      <c r="R53" s="122"/>
      <c r="S53" s="122"/>
      <c r="T53" s="122"/>
      <c r="U53" s="122"/>
      <c r="V53" s="122"/>
      <c r="W53" s="123"/>
      <c r="X53" s="123"/>
      <c r="Y53" s="122" t="s">
        <v>18</v>
      </c>
      <c r="Z53" s="122"/>
      <c r="AA53" s="122"/>
      <c r="AB53" s="122" t="s">
        <v>19</v>
      </c>
      <c r="AC53" s="122"/>
      <c r="AD53" s="122"/>
      <c r="AE53" s="25" t="s">
        <v>20</v>
      </c>
      <c r="AF53" s="26"/>
      <c r="AG53" s="28"/>
      <c r="AH53" s="18"/>
    </row>
    <row r="54" spans="1:34" ht="35.1" customHeight="1">
      <c r="A54" s="21"/>
      <c r="B54" s="4" t="s">
        <v>21</v>
      </c>
      <c r="C54" s="25" t="str">
        <f>PSRpt_ModelPiece_View!F2&amp;""</f>
        <v/>
      </c>
      <c r="D54" s="26"/>
      <c r="E54" s="27"/>
      <c r="F54" s="25" t="str">
        <f>PSRpt_ModelPiece_View!G2&amp;""</f>
        <v/>
      </c>
      <c r="G54" s="26"/>
      <c r="H54" s="27"/>
      <c r="I54" s="25" t="str">
        <f>PSRpt_ModelPiece_View!H2&amp;""</f>
        <v/>
      </c>
      <c r="J54" s="26"/>
      <c r="K54" s="27"/>
      <c r="L54" s="123"/>
      <c r="M54" s="124"/>
      <c r="N54" s="25" t="str">
        <f>PSRpt_ModelPiece_View!P2&amp;""</f>
        <v/>
      </c>
      <c r="O54" s="26"/>
      <c r="P54" s="27"/>
      <c r="Q54" s="25"/>
      <c r="R54" s="26"/>
      <c r="S54" s="27"/>
      <c r="T54" s="25">
        <f>PSRpt_ModelPiece_View!R2</f>
        <v>0</v>
      </c>
      <c r="U54" s="26"/>
      <c r="V54" s="27"/>
      <c r="W54" s="123"/>
      <c r="X54" s="123"/>
      <c r="Y54" s="25" t="str">
        <f>PSRpt_ModelPiece_View!L2&amp;""</f>
        <v/>
      </c>
      <c r="Z54" s="26"/>
      <c r="AA54" s="27"/>
      <c r="AB54" s="25" t="str">
        <f>PSRpt_ModelPiece_View!M2&amp;""</f>
        <v/>
      </c>
      <c r="AC54" s="26"/>
      <c r="AD54" s="27"/>
      <c r="AE54" s="25" t="str">
        <f>PSRpt_ModelPiece_View!N2&amp;""</f>
        <v/>
      </c>
      <c r="AF54" s="26"/>
      <c r="AG54" s="28"/>
      <c r="AH54" s="8"/>
    </row>
    <row r="55" spans="1:34" ht="35.1" customHeight="1">
      <c r="A55" s="21"/>
      <c r="B55" s="4" t="s">
        <v>22</v>
      </c>
      <c r="C55" s="25" t="str">
        <f>PSRpt_ModelPiece_View!C2&amp;""</f>
        <v/>
      </c>
      <c r="D55" s="26"/>
      <c r="E55" s="27"/>
      <c r="F55" s="25" t="str">
        <f>PSRpt_ModelPiece_View!D2&amp;""</f>
        <v/>
      </c>
      <c r="G55" s="26"/>
      <c r="H55" s="27"/>
      <c r="I55" s="25" t="str">
        <f>PSRpt_ModelPiece_View!E2&amp;""</f>
        <v/>
      </c>
      <c r="J55" s="26"/>
      <c r="K55" s="27"/>
      <c r="L55" s="123"/>
      <c r="M55" s="124"/>
      <c r="N55" s="25" t="str">
        <f>PSRpt_ModelPiece_View!O2&amp;""</f>
        <v/>
      </c>
      <c r="O55" s="26"/>
      <c r="P55" s="27"/>
      <c r="Q55" s="25"/>
      <c r="R55" s="26"/>
      <c r="S55" s="27"/>
      <c r="T55" s="25">
        <f>PSRpt_ModelPiece_View!Q2</f>
        <v>0</v>
      </c>
      <c r="U55" s="26"/>
      <c r="V55" s="27"/>
      <c r="W55" s="123"/>
      <c r="X55" s="123"/>
      <c r="Y55" s="25" t="str">
        <f>PSRpt_ModelPiece_View!I2&amp;""</f>
        <v/>
      </c>
      <c r="Z55" s="26"/>
      <c r="AA55" s="27"/>
      <c r="AB55" s="25" t="str">
        <f>PSRpt_ModelPiece_View!J2&amp;""</f>
        <v/>
      </c>
      <c r="AC55" s="26"/>
      <c r="AD55" s="27"/>
      <c r="AE55" s="25" t="str">
        <f>PSRpt_ModelPiece_View!K2&amp;""</f>
        <v/>
      </c>
      <c r="AF55" s="26"/>
      <c r="AG55" s="28"/>
      <c r="AH55" s="8"/>
    </row>
    <row r="56" spans="1:34" ht="35.1" customHeight="1">
      <c r="B56" s="47"/>
      <c r="C56" s="48"/>
      <c r="D56" s="48"/>
      <c r="E56" s="48"/>
      <c r="F56" s="48"/>
      <c r="G56" s="48"/>
      <c r="H56" s="48"/>
      <c r="I56" s="48"/>
      <c r="J56" s="48"/>
      <c r="K56" s="48"/>
      <c r="L56" s="48"/>
      <c r="M56" s="48"/>
      <c r="N56" s="48"/>
      <c r="O56" s="48"/>
      <c r="P56" s="48"/>
      <c r="Q56" s="48"/>
      <c r="R56" s="48"/>
      <c r="S56" s="48"/>
      <c r="T56" s="48"/>
      <c r="U56" s="48"/>
      <c r="V56" s="48"/>
      <c r="W56" s="48"/>
      <c r="X56" s="48"/>
      <c r="Y56" s="48"/>
      <c r="Z56" s="48"/>
      <c r="AA56" s="48"/>
      <c r="AB56" s="48"/>
      <c r="AC56" s="48"/>
      <c r="AD56" s="48"/>
      <c r="AE56" s="48"/>
      <c r="AF56" s="48"/>
      <c r="AG56" s="49"/>
      <c r="AH56" s="8"/>
    </row>
    <row r="57" spans="1:34" ht="35.1" customHeight="1">
      <c r="B57" s="59" t="s">
        <v>55</v>
      </c>
      <c r="C57" s="60"/>
      <c r="D57" s="61"/>
      <c r="E57" s="50"/>
      <c r="F57" s="51"/>
      <c r="G57" s="51"/>
      <c r="H57" s="51"/>
      <c r="I57" s="51"/>
      <c r="J57" s="51"/>
      <c r="K57" s="51"/>
      <c r="L57" s="51"/>
      <c r="M57" s="51"/>
      <c r="N57" s="51"/>
      <c r="O57" s="51"/>
      <c r="P57" s="51"/>
      <c r="Q57" s="51"/>
      <c r="R57" s="51"/>
      <c r="S57" s="51"/>
      <c r="T57" s="51"/>
      <c r="U57" s="51"/>
      <c r="V57" s="51"/>
      <c r="W57" s="51"/>
      <c r="X57" s="51"/>
      <c r="Y57" s="51"/>
      <c r="Z57" s="51"/>
      <c r="AA57" s="51"/>
      <c r="AB57" s="51"/>
      <c r="AC57" s="51"/>
      <c r="AD57" s="51"/>
      <c r="AE57" s="51"/>
      <c r="AF57" s="51"/>
      <c r="AG57" s="52"/>
      <c r="AH57" s="19"/>
    </row>
    <row r="58" spans="1:34" ht="35.1" customHeight="1">
      <c r="B58" s="62"/>
      <c r="C58" s="63"/>
      <c r="D58" s="64"/>
      <c r="E58" s="53"/>
      <c r="F58" s="54"/>
      <c r="G58" s="54"/>
      <c r="H58" s="54"/>
      <c r="I58" s="54"/>
      <c r="J58" s="54"/>
      <c r="K58" s="54"/>
      <c r="L58" s="54"/>
      <c r="M58" s="54"/>
      <c r="N58" s="54"/>
      <c r="O58" s="54"/>
      <c r="P58" s="54"/>
      <c r="Q58" s="54"/>
      <c r="R58" s="54"/>
      <c r="S58" s="54"/>
      <c r="T58" s="54"/>
      <c r="U58" s="54"/>
      <c r="V58" s="54"/>
      <c r="W58" s="54"/>
      <c r="X58" s="54"/>
      <c r="Y58" s="54"/>
      <c r="Z58" s="54"/>
      <c r="AA58" s="54"/>
      <c r="AB58" s="54"/>
      <c r="AC58" s="54"/>
      <c r="AD58" s="54"/>
      <c r="AE58" s="54"/>
      <c r="AF58" s="54"/>
      <c r="AG58" s="55"/>
      <c r="AH58" s="19"/>
    </row>
    <row r="59" spans="1:34" ht="35.1" customHeight="1">
      <c r="B59" s="62"/>
      <c r="C59" s="63"/>
      <c r="D59" s="64"/>
      <c r="E59" s="53"/>
      <c r="F59" s="54"/>
      <c r="G59" s="54"/>
      <c r="H59" s="54"/>
      <c r="I59" s="54"/>
      <c r="J59" s="54"/>
      <c r="K59" s="54"/>
      <c r="L59" s="54"/>
      <c r="M59" s="54"/>
      <c r="N59" s="54"/>
      <c r="O59" s="54"/>
      <c r="P59" s="54"/>
      <c r="Q59" s="54"/>
      <c r="R59" s="54"/>
      <c r="S59" s="54"/>
      <c r="T59" s="54"/>
      <c r="U59" s="54"/>
      <c r="V59" s="54"/>
      <c r="W59" s="54"/>
      <c r="X59" s="54"/>
      <c r="Y59" s="54"/>
      <c r="Z59" s="54"/>
      <c r="AA59" s="54"/>
      <c r="AB59" s="54"/>
      <c r="AC59" s="54"/>
      <c r="AD59" s="54"/>
      <c r="AE59" s="54"/>
      <c r="AF59" s="54"/>
      <c r="AG59" s="55"/>
      <c r="AH59" s="19"/>
    </row>
    <row r="60" spans="1:34" ht="35.1" customHeight="1" thickBot="1">
      <c r="B60" s="65"/>
      <c r="C60" s="66"/>
      <c r="D60" s="67"/>
      <c r="E60" s="56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7"/>
      <c r="W60" s="57"/>
      <c r="X60" s="57"/>
      <c r="Y60" s="57"/>
      <c r="Z60" s="57"/>
      <c r="AA60" s="57"/>
      <c r="AB60" s="57"/>
      <c r="AC60" s="57"/>
      <c r="AD60" s="57"/>
      <c r="AE60" s="57"/>
      <c r="AF60" s="57"/>
      <c r="AG60" s="58"/>
      <c r="AH60" s="19"/>
    </row>
    <row r="61" spans="1:34" ht="19.5" customHeight="1">
      <c r="A61" s="9"/>
      <c r="B61" s="9"/>
      <c r="C61" s="9"/>
      <c r="D61" s="9"/>
      <c r="E61" s="9"/>
      <c r="F61" s="9"/>
      <c r="G61" s="9"/>
      <c r="H61" s="9"/>
      <c r="I61" s="9"/>
      <c r="J61" s="9"/>
      <c r="K61" s="9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</row>
    <row r="62" spans="1:34" ht="19.5" customHeight="1">
      <c r="A62" s="9"/>
      <c r="B62" s="9"/>
      <c r="C62" s="9"/>
      <c r="D62" s="9"/>
      <c r="E62" s="9"/>
      <c r="F62" s="9"/>
      <c r="G62" s="9"/>
      <c r="H62" s="9"/>
      <c r="I62" s="9"/>
      <c r="J62" s="9"/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</row>
    <row r="63" spans="1:34" ht="19.5" customHeight="1">
      <c r="A63" s="9"/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</row>
    <row r="64" spans="1:34" ht="19.5" customHeight="1">
      <c r="A64" s="5"/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</row>
    <row r="65" spans="1:34" ht="19.5" customHeight="1">
      <c r="A65" s="5"/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</row>
    <row r="66" spans="1:34" ht="19.5" customHeight="1">
      <c r="A66" s="5"/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</row>
    <row r="67" spans="1:34" ht="19.5" customHeight="1">
      <c r="A67" s="5"/>
      <c r="B67" s="5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</row>
    <row r="68" spans="1:34" ht="19.5" customHeight="1">
      <c r="A68" s="5"/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2"/>
      <c r="Y68" s="3"/>
      <c r="Z68" s="2"/>
      <c r="AA68" s="2"/>
      <c r="AB68" s="2"/>
      <c r="AC68" s="2"/>
      <c r="AD68" s="2"/>
      <c r="AE68" s="2"/>
      <c r="AF68" s="2"/>
      <c r="AG68" s="2"/>
      <c r="AH68" s="2"/>
    </row>
    <row r="69" spans="1:34" ht="19.5" customHeight="1">
      <c r="A69" s="5"/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2"/>
      <c r="Y69" s="3"/>
      <c r="Z69" s="2"/>
      <c r="AA69" s="2"/>
      <c r="AB69" s="2"/>
      <c r="AC69" s="2"/>
      <c r="AD69" s="2"/>
      <c r="AE69" s="2"/>
      <c r="AF69" s="2"/>
      <c r="AG69" s="2"/>
      <c r="AH69" s="2"/>
    </row>
    <row r="70" spans="1:34" ht="19.5" customHeight="1">
      <c r="A70" s="5"/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</row>
    <row r="71" spans="1:34" ht="19.5" customHeight="1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</row>
    <row r="72" spans="1:34" ht="19.5" customHeight="1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</row>
    <row r="73" spans="1:34" ht="19.5" customHeight="1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</row>
    <row r="74" spans="1:34" ht="19.5" customHeight="1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</row>
    <row r="75" spans="1:34" ht="19.5" customHeight="1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</row>
    <row r="76" spans="1:34" ht="19.5" customHeight="1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</row>
    <row r="77" spans="1:34" ht="19.5" customHeight="1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</row>
    <row r="78" spans="1:34" ht="19.5" customHeight="1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</row>
    <row r="79" spans="1:34" ht="19.5" customHeight="1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</row>
    <row r="80" spans="1:34" ht="19.5" customHeight="1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</row>
    <row r="81" spans="1:34" ht="19.5" customHeight="1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</row>
    <row r="82" spans="1:34" ht="19.5" customHeight="1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</row>
    <row r="83" spans="1:34" ht="19.5" customHeight="1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</row>
    <row r="84" spans="1:34" ht="19.5" customHeight="1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</row>
    <row r="85" spans="1:34" ht="19.5" customHeight="1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</row>
    <row r="86" spans="1:34" ht="19.5" customHeight="1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</row>
    <row r="87" spans="1:34" ht="19.5" customHeight="1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</row>
    <row r="88" spans="1:34" ht="19.5" customHeight="1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</row>
    <row r="89" spans="1:34" ht="19.5" customHeight="1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</row>
    <row r="90" spans="1:34" ht="19.5" customHeight="1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</row>
    <row r="91" spans="1:34" ht="19.5" customHeight="1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  <c r="AF91" s="2"/>
      <c r="AG91" s="2"/>
      <c r="AH91" s="2"/>
    </row>
    <row r="92" spans="1:34" ht="19.5" customHeight="1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</row>
    <row r="93" spans="1:34" ht="19.5" customHeight="1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  <c r="AG93" s="2"/>
      <c r="AH93" s="2"/>
    </row>
    <row r="94" spans="1:34" ht="19.5" customHeight="1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  <c r="AF94" s="2"/>
      <c r="AG94" s="2"/>
      <c r="AH94" s="2"/>
    </row>
    <row r="95" spans="1:34" ht="19.5" customHeight="1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  <c r="AE95" s="2"/>
      <c r="AF95" s="2"/>
      <c r="AG95" s="2"/>
      <c r="AH95" s="2"/>
    </row>
    <row r="96" spans="1:34" ht="19.5" customHeight="1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  <c r="AE96" s="2"/>
      <c r="AF96" s="2"/>
      <c r="AG96" s="2"/>
      <c r="AH96" s="2"/>
    </row>
    <row r="97" spans="1:34" ht="19.5" customHeight="1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  <c r="AE97" s="2"/>
      <c r="AF97" s="2"/>
      <c r="AG97" s="2"/>
      <c r="AH97" s="2"/>
    </row>
    <row r="98" spans="1:34" ht="19.5" customHeight="1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"/>
      <c r="AG98" s="2"/>
      <c r="AH98" s="2"/>
    </row>
    <row r="99" spans="1:34" ht="19.5" customHeight="1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"/>
      <c r="AG99" s="2"/>
      <c r="AH99" s="2"/>
    </row>
    <row r="100" spans="1:34" ht="19.5" customHeight="1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  <c r="AG100" s="2"/>
      <c r="AH100" s="2"/>
    </row>
    <row r="101" spans="1:34" ht="19.5" customHeight="1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</row>
    <row r="102" spans="1:34" ht="19.5" customHeight="1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</row>
    <row r="103" spans="1:34" ht="19.5" customHeight="1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  <c r="AE103" s="2"/>
      <c r="AF103" s="2"/>
      <c r="AG103" s="2"/>
      <c r="AH103" s="2"/>
    </row>
    <row r="104" spans="1:34" ht="19.5" customHeight="1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  <c r="AE104" s="2"/>
      <c r="AF104" s="2"/>
      <c r="AG104" s="2"/>
      <c r="AH104" s="2"/>
    </row>
    <row r="105" spans="1:34" ht="19.5" customHeight="1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  <c r="AE105" s="2"/>
      <c r="AF105" s="2"/>
      <c r="AG105" s="2"/>
      <c r="AH105" s="2"/>
    </row>
    <row r="106" spans="1:34" ht="19.5" customHeight="1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  <c r="AE106" s="2"/>
      <c r="AF106" s="2"/>
      <c r="AG106" s="2"/>
      <c r="AH106" s="2"/>
    </row>
    <row r="107" spans="1:34" ht="19.5" customHeight="1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  <c r="AE107" s="2"/>
      <c r="AF107" s="2"/>
      <c r="AG107" s="2"/>
      <c r="AH107" s="2"/>
    </row>
    <row r="108" spans="1:34" ht="19.5" customHeight="1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</row>
    <row r="109" spans="1:34" ht="19.5" customHeight="1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F109" s="2"/>
      <c r="AG109" s="2"/>
      <c r="AH109" s="2"/>
    </row>
    <row r="110" spans="1:34" ht="19.5" customHeight="1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  <c r="AE110" s="2"/>
      <c r="AF110" s="2"/>
      <c r="AG110" s="2"/>
      <c r="AH110" s="2"/>
    </row>
    <row r="111" spans="1:34" ht="19.5" customHeight="1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F111" s="2"/>
      <c r="AG111" s="2"/>
      <c r="AH111" s="2"/>
    </row>
    <row r="112" spans="1:34" ht="19.5" customHeight="1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</row>
    <row r="113" spans="1:34" ht="19.5" customHeight="1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</row>
    <row r="114" spans="1:34" ht="19.5" customHeight="1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  <c r="AE114" s="2"/>
      <c r="AF114" s="2"/>
      <c r="AG114" s="2"/>
      <c r="AH114" s="2"/>
    </row>
    <row r="115" spans="1:34" ht="19.5" customHeight="1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  <c r="AG115" s="2"/>
      <c r="AH115" s="2"/>
    </row>
    <row r="116" spans="1:34" ht="19.5" customHeight="1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  <c r="AE116" s="2"/>
      <c r="AF116" s="2"/>
      <c r="AG116" s="2"/>
      <c r="AH116" s="2"/>
    </row>
    <row r="117" spans="1:34" ht="19.5" customHeight="1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  <c r="AD117" s="2"/>
      <c r="AE117" s="2"/>
      <c r="AF117" s="2"/>
      <c r="AG117" s="2"/>
      <c r="AH117" s="2"/>
    </row>
    <row r="118" spans="1:34" ht="19.5" customHeight="1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2"/>
      <c r="AH118" s="2"/>
    </row>
    <row r="119" spans="1:34" ht="19.5" customHeight="1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  <c r="AE119" s="2"/>
      <c r="AF119" s="2"/>
      <c r="AG119" s="2"/>
      <c r="AH119" s="2"/>
    </row>
    <row r="120" spans="1:34" ht="19.5" customHeight="1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"/>
      <c r="AF120" s="2"/>
      <c r="AG120" s="2"/>
      <c r="AH120" s="2"/>
    </row>
    <row r="121" spans="1:34" ht="16.5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</row>
    <row r="122" spans="1:34" ht="16.5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</row>
    <row r="123" spans="1:34" ht="16.5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"/>
    </row>
    <row r="124" spans="1:34" ht="16.5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</row>
    <row r="125" spans="1:34" ht="16.5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  <c r="AG125" s="2"/>
      <c r="AH125" s="2"/>
    </row>
    <row r="126" spans="1:34" ht="16.5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  <c r="AD126" s="2"/>
      <c r="AE126" s="2"/>
      <c r="AF126" s="2"/>
      <c r="AG126" s="2"/>
      <c r="AH126" s="2"/>
    </row>
    <row r="127" spans="1:34" ht="16.5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/>
      <c r="AE127" s="2"/>
      <c r="AF127" s="2"/>
      <c r="AG127" s="2"/>
      <c r="AH127" s="2"/>
    </row>
    <row r="128" spans="1:34" ht="16.5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  <c r="AE128" s="2"/>
      <c r="AF128" s="2"/>
      <c r="AG128" s="2"/>
      <c r="AH128" s="2"/>
    </row>
    <row r="129" spans="1:34" ht="16.5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</row>
    <row r="130" spans="1:34" ht="16.5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"/>
      <c r="AH130" s="2"/>
    </row>
    <row r="131" spans="1:34" ht="16.5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  <c r="AE131" s="2"/>
      <c r="AF131" s="2"/>
      <c r="AG131" s="2"/>
      <c r="AH131" s="2"/>
    </row>
    <row r="132" spans="1:34" ht="16.5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  <c r="AE132" s="2"/>
      <c r="AF132" s="2"/>
      <c r="AG132" s="2"/>
      <c r="AH132" s="2"/>
    </row>
    <row r="133" spans="1:34" ht="16.5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  <c r="AE133" s="2"/>
      <c r="AF133" s="2"/>
      <c r="AG133" s="2"/>
      <c r="AH133" s="2"/>
    </row>
  </sheetData>
  <mergeCells count="255">
    <mergeCell ref="AB39:AC39"/>
    <mergeCell ref="AD39:AE39"/>
    <mergeCell ref="L44:O44"/>
    <mergeCell ref="B43:E43"/>
    <mergeCell ref="B44:E44"/>
    <mergeCell ref="L43:O43"/>
    <mergeCell ref="P43:V43"/>
    <mergeCell ref="P44:V44"/>
    <mergeCell ref="B40:AG40"/>
    <mergeCell ref="B39:E39"/>
    <mergeCell ref="F39:G39"/>
    <mergeCell ref="H39:I39"/>
    <mergeCell ref="AB36:AC36"/>
    <mergeCell ref="AD36:AE36"/>
    <mergeCell ref="Q37:R37"/>
    <mergeCell ref="S37:T37"/>
    <mergeCell ref="U37:V37"/>
    <mergeCell ref="W37:AA37"/>
    <mergeCell ref="AB37:AC37"/>
    <mergeCell ref="AD37:AE37"/>
    <mergeCell ref="Q38:R38"/>
    <mergeCell ref="S38:T38"/>
    <mergeCell ref="U38:V38"/>
    <mergeCell ref="W38:AA38"/>
    <mergeCell ref="AB38:AC38"/>
    <mergeCell ref="B46:E46"/>
    <mergeCell ref="B47:E47"/>
    <mergeCell ref="Q36:R36"/>
    <mergeCell ref="S36:T36"/>
    <mergeCell ref="U36:V36"/>
    <mergeCell ref="W36:AA36"/>
    <mergeCell ref="J39:K39"/>
    <mergeCell ref="L39:P39"/>
    <mergeCell ref="Q39:R39"/>
    <mergeCell ref="S39:T39"/>
    <mergeCell ref="U39:V39"/>
    <mergeCell ref="W39:AA39"/>
    <mergeCell ref="H38:I38"/>
    <mergeCell ref="J38:K38"/>
    <mergeCell ref="F36:G36"/>
    <mergeCell ref="H36:I36"/>
    <mergeCell ref="J36:K36"/>
    <mergeCell ref="B41:V42"/>
    <mergeCell ref="B38:E38"/>
    <mergeCell ref="F37:G37"/>
    <mergeCell ref="H37:I37"/>
    <mergeCell ref="J37:K37"/>
    <mergeCell ref="F38:G38"/>
    <mergeCell ref="F45:K45"/>
    <mergeCell ref="AD33:AE33"/>
    <mergeCell ref="B34:E34"/>
    <mergeCell ref="F34:G34"/>
    <mergeCell ref="H34:I34"/>
    <mergeCell ref="J34:K34"/>
    <mergeCell ref="L34:P34"/>
    <mergeCell ref="Q34:R34"/>
    <mergeCell ref="S34:T34"/>
    <mergeCell ref="U34:V34"/>
    <mergeCell ref="W34:AA34"/>
    <mergeCell ref="AB34:AC34"/>
    <mergeCell ref="AD34:AE34"/>
    <mergeCell ref="Q33:R33"/>
    <mergeCell ref="S33:T33"/>
    <mergeCell ref="U33:V33"/>
    <mergeCell ref="W33:AA33"/>
    <mergeCell ref="AB33:AC33"/>
    <mergeCell ref="B33:E33"/>
    <mergeCell ref="F33:G33"/>
    <mergeCell ref="H33:I33"/>
    <mergeCell ref="J33:K33"/>
    <mergeCell ref="L33:P33"/>
    <mergeCell ref="E8:K8"/>
    <mergeCell ref="N8:P8"/>
    <mergeCell ref="S8:V8"/>
    <mergeCell ref="B12:D12"/>
    <mergeCell ref="B15:D15"/>
    <mergeCell ref="E15:K15"/>
    <mergeCell ref="AB32:AC32"/>
    <mergeCell ref="AD32:AE32"/>
    <mergeCell ref="Q31:R31"/>
    <mergeCell ref="S31:T31"/>
    <mergeCell ref="U31:V31"/>
    <mergeCell ref="W31:AA31"/>
    <mergeCell ref="AB31:AC31"/>
    <mergeCell ref="B31:E31"/>
    <mergeCell ref="F31:G31"/>
    <mergeCell ref="H31:I31"/>
    <mergeCell ref="J31:K31"/>
    <mergeCell ref="L31:P31"/>
    <mergeCell ref="AD31:AE31"/>
    <mergeCell ref="Q32:R32"/>
    <mergeCell ref="S32:T32"/>
    <mergeCell ref="U32:V32"/>
    <mergeCell ref="W32:AA32"/>
    <mergeCell ref="B29:E29"/>
    <mergeCell ref="F29:G29"/>
    <mergeCell ref="H29:I29"/>
    <mergeCell ref="B32:E32"/>
    <mergeCell ref="F32:G32"/>
    <mergeCell ref="H32:I32"/>
    <mergeCell ref="J32:K32"/>
    <mergeCell ref="L32:P32"/>
    <mergeCell ref="S6:V6"/>
    <mergeCell ref="B17:D17"/>
    <mergeCell ref="E17:K17"/>
    <mergeCell ref="L15:N15"/>
    <mergeCell ref="Q8:R8"/>
    <mergeCell ref="B13:AG13"/>
    <mergeCell ref="B14:D14"/>
    <mergeCell ref="E14:AG14"/>
    <mergeCell ref="W17:Y17"/>
    <mergeCell ref="Z17:AG17"/>
    <mergeCell ref="L8:M8"/>
    <mergeCell ref="B8:D8"/>
    <mergeCell ref="E7:K7"/>
    <mergeCell ref="B7:D7"/>
    <mergeCell ref="B9:D11"/>
    <mergeCell ref="E9:V11"/>
    <mergeCell ref="E12:K12"/>
    <mergeCell ref="B28:E28"/>
    <mergeCell ref="Q27:R27"/>
    <mergeCell ref="S27:T27"/>
    <mergeCell ref="U27:V27"/>
    <mergeCell ref="H28:I28"/>
    <mergeCell ref="B27:E27"/>
    <mergeCell ref="F26:G26"/>
    <mergeCell ref="H26:I26"/>
    <mergeCell ref="J26:K26"/>
    <mergeCell ref="F27:G27"/>
    <mergeCell ref="H27:I27"/>
    <mergeCell ref="J27:K27"/>
    <mergeCell ref="B26:E26"/>
    <mergeCell ref="L27:P27"/>
    <mergeCell ref="F28:G28"/>
    <mergeCell ref="L28:P28"/>
    <mergeCell ref="J28:K28"/>
    <mergeCell ref="B35:AG35"/>
    <mergeCell ref="Q52:S53"/>
    <mergeCell ref="T52:V53"/>
    <mergeCell ref="W52:X55"/>
    <mergeCell ref="L52:M55"/>
    <mergeCell ref="I53:K53"/>
    <mergeCell ref="F53:H53"/>
    <mergeCell ref="C52:K52"/>
    <mergeCell ref="C53:E53"/>
    <mergeCell ref="AB53:AD53"/>
    <mergeCell ref="Y53:AA53"/>
    <mergeCell ref="N52:P53"/>
    <mergeCell ref="AF36:AG36"/>
    <mergeCell ref="AD38:AE38"/>
    <mergeCell ref="L36:P36"/>
    <mergeCell ref="L37:P37"/>
    <mergeCell ref="L38:P38"/>
    <mergeCell ref="B36:E36"/>
    <mergeCell ref="B37:E37"/>
    <mergeCell ref="AE53:AG53"/>
    <mergeCell ref="Y52:AG52"/>
    <mergeCell ref="Q54:S54"/>
    <mergeCell ref="Q55:S55"/>
    <mergeCell ref="T54:V54"/>
    <mergeCell ref="N6:P6"/>
    <mergeCell ref="Q6:R6"/>
    <mergeCell ref="AB26:AC26"/>
    <mergeCell ref="AD26:AE26"/>
    <mergeCell ref="AB28:AC28"/>
    <mergeCell ref="AD28:AE28"/>
    <mergeCell ref="AB29:AC29"/>
    <mergeCell ref="AB27:AC27"/>
    <mergeCell ref="AD27:AE27"/>
    <mergeCell ref="L26:P26"/>
    <mergeCell ref="U28:V28"/>
    <mergeCell ref="W27:AA27"/>
    <mergeCell ref="W26:AA26"/>
    <mergeCell ref="Q26:R26"/>
    <mergeCell ref="S26:T26"/>
    <mergeCell ref="U26:V26"/>
    <mergeCell ref="Q28:R28"/>
    <mergeCell ref="S28:T28"/>
    <mergeCell ref="AD29:AE29"/>
    <mergeCell ref="W28:AA28"/>
    <mergeCell ref="W29:AA29"/>
    <mergeCell ref="L7:M7"/>
    <mergeCell ref="N7:V7"/>
    <mergeCell ref="B1:AG1"/>
    <mergeCell ref="Z15:AG15"/>
    <mergeCell ref="Z16:AG16"/>
    <mergeCell ref="W18:AG22"/>
    <mergeCell ref="B23:AG23"/>
    <mergeCell ref="B24:AG25"/>
    <mergeCell ref="W15:Y15"/>
    <mergeCell ref="W16:Y16"/>
    <mergeCell ref="B18:K22"/>
    <mergeCell ref="L18:V22"/>
    <mergeCell ref="L16:N16"/>
    <mergeCell ref="L17:N17"/>
    <mergeCell ref="B16:D16"/>
    <mergeCell ref="E16:K16"/>
    <mergeCell ref="O17:V17"/>
    <mergeCell ref="O15:V15"/>
    <mergeCell ref="O16:V16"/>
    <mergeCell ref="B6:D6"/>
    <mergeCell ref="E6:K6"/>
    <mergeCell ref="B2:K5"/>
    <mergeCell ref="L2:V5"/>
    <mergeCell ref="L6:M6"/>
    <mergeCell ref="L12:M12"/>
    <mergeCell ref="N12:V12"/>
    <mergeCell ref="B56:AG56"/>
    <mergeCell ref="E57:AG60"/>
    <mergeCell ref="B57:D60"/>
    <mergeCell ref="L45:O45"/>
    <mergeCell ref="B45:E45"/>
    <mergeCell ref="B48:E48"/>
    <mergeCell ref="F46:K46"/>
    <mergeCell ref="F47:K47"/>
    <mergeCell ref="F48:K48"/>
    <mergeCell ref="C54:E54"/>
    <mergeCell ref="C55:E55"/>
    <mergeCell ref="F54:H54"/>
    <mergeCell ref="F55:H55"/>
    <mergeCell ref="I54:K54"/>
    <mergeCell ref="I55:K55"/>
    <mergeCell ref="N54:P54"/>
    <mergeCell ref="N55:P55"/>
    <mergeCell ref="P45:V45"/>
    <mergeCell ref="B49:AG49"/>
    <mergeCell ref="W41:AG48"/>
    <mergeCell ref="F43:K43"/>
    <mergeCell ref="F44:K44"/>
    <mergeCell ref="T55:V55"/>
    <mergeCell ref="B50:AG51"/>
    <mergeCell ref="Y54:AA54"/>
    <mergeCell ref="Y55:AA55"/>
    <mergeCell ref="AB54:AD54"/>
    <mergeCell ref="AB55:AD55"/>
    <mergeCell ref="AE54:AG54"/>
    <mergeCell ref="AE55:AG55"/>
    <mergeCell ref="W2:AG12"/>
    <mergeCell ref="AF37:AG37"/>
    <mergeCell ref="AF38:AG38"/>
    <mergeCell ref="AF39:AG39"/>
    <mergeCell ref="AF26:AG26"/>
    <mergeCell ref="AF27:AG27"/>
    <mergeCell ref="AF28:AG28"/>
    <mergeCell ref="AF29:AG29"/>
    <mergeCell ref="B30:AG30"/>
    <mergeCell ref="AF31:AG31"/>
    <mergeCell ref="AF32:AG32"/>
    <mergeCell ref="AF33:AG33"/>
    <mergeCell ref="AF34:AG34"/>
    <mergeCell ref="Q29:R29"/>
    <mergeCell ref="S29:T29"/>
    <mergeCell ref="U29:V29"/>
    <mergeCell ref="L29:P29"/>
    <mergeCell ref="J29:K29"/>
  </mergeCells>
  <printOptions horizontalCentered="1" verticalCentered="1"/>
  <pageMargins left="0.23622047244094491" right="0.23622047244094491" top="0.19685039370078741" bottom="0.19685039370078741" header="0" footer="0"/>
  <pageSetup paperSize="9" scale="34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G1"/>
  <sheetViews>
    <sheetView topLeftCell="AN1" workbookViewId="0">
      <selection activeCell="BG1" sqref="BG1"/>
    </sheetView>
  </sheetViews>
  <sheetFormatPr defaultRowHeight="11.25"/>
  <cols>
    <col min="1" max="1" width="8.85546875" style="24" bestFit="1" customWidth="1"/>
    <col min="2" max="2" width="17.42578125" style="24" bestFit="1" customWidth="1"/>
    <col min="3" max="3" width="12.85546875" style="24" bestFit="1" customWidth="1"/>
    <col min="4" max="4" width="8.85546875" style="24" bestFit="1" customWidth="1"/>
    <col min="5" max="5" width="7.28515625" style="24" bestFit="1" customWidth="1"/>
    <col min="6" max="6" width="7.5703125" style="24" bestFit="1" customWidth="1"/>
    <col min="7" max="7" width="7.7109375" style="24" bestFit="1" customWidth="1"/>
    <col min="8" max="8" width="10" style="24" bestFit="1" customWidth="1"/>
    <col min="9" max="9" width="15.7109375" style="24" bestFit="1" customWidth="1"/>
    <col min="10" max="10" width="9.85546875" style="24" bestFit="1" customWidth="1"/>
    <col min="11" max="11" width="9.5703125" style="24" bestFit="1" customWidth="1"/>
    <col min="12" max="12" width="20.42578125" style="24" bestFit="1" customWidth="1"/>
    <col min="13" max="14" width="9" style="24" bestFit="1" customWidth="1"/>
    <col min="15" max="15" width="10.85546875" style="24" bestFit="1" customWidth="1"/>
    <col min="16" max="16" width="9.5703125" style="24" bestFit="1" customWidth="1"/>
    <col min="17" max="17" width="19.5703125" style="24" bestFit="1" customWidth="1"/>
    <col min="18" max="18" width="9.28515625" style="24" bestFit="1" customWidth="1"/>
    <col min="19" max="19" width="13.42578125" style="24" bestFit="1" customWidth="1"/>
    <col min="20" max="20" width="13.28515625" style="24" bestFit="1" customWidth="1"/>
    <col min="21" max="21" width="21" style="24" bestFit="1" customWidth="1"/>
    <col min="22" max="22" width="26.85546875" style="24" bestFit="1" customWidth="1"/>
    <col min="23" max="23" width="12.28515625" style="24" bestFit="1" customWidth="1"/>
    <col min="24" max="24" width="16.28515625" style="24" bestFit="1" customWidth="1"/>
    <col min="25" max="25" width="24.140625" style="24" bestFit="1" customWidth="1"/>
    <col min="26" max="26" width="30" style="24" bestFit="1" customWidth="1"/>
    <col min="27" max="27" width="16.85546875" style="24" bestFit="1" customWidth="1"/>
    <col min="28" max="28" width="16.42578125" style="24" bestFit="1" customWidth="1"/>
    <col min="29" max="29" width="14.5703125" style="24" bestFit="1" customWidth="1"/>
    <col min="30" max="30" width="16.85546875" style="24" bestFit="1" customWidth="1"/>
    <col min="31" max="31" width="16.42578125" style="24" bestFit="1" customWidth="1"/>
    <col min="32" max="32" width="14.5703125" style="24" bestFit="1" customWidth="1"/>
    <col min="33" max="33" width="13.5703125" style="24" bestFit="1" customWidth="1"/>
    <col min="34" max="34" width="13.42578125" style="24" bestFit="1" customWidth="1"/>
    <col min="35" max="35" width="9.42578125" style="24" bestFit="1" customWidth="1"/>
    <col min="36" max="36" width="25.140625" style="24" bestFit="1" customWidth="1"/>
    <col min="37" max="37" width="31" style="24" bestFit="1" customWidth="1"/>
    <col min="38" max="38" width="10.42578125" style="24" bestFit="1" customWidth="1"/>
    <col min="39" max="39" width="10.7109375" style="24" bestFit="1" customWidth="1"/>
    <col min="40" max="40" width="11.28515625" style="24" bestFit="1" customWidth="1"/>
    <col min="41" max="41" width="11.42578125" style="24" bestFit="1" customWidth="1"/>
    <col min="42" max="42" width="11.7109375" style="24" bestFit="1" customWidth="1"/>
    <col min="43" max="43" width="12.28515625" style="24" bestFit="1" customWidth="1"/>
    <col min="44" max="46" width="11.5703125" style="24" bestFit="1" customWidth="1"/>
    <col min="47" max="49" width="12.5703125" style="24" bestFit="1" customWidth="1"/>
    <col min="50" max="50" width="11.140625" style="24" bestFit="1" customWidth="1"/>
    <col min="51" max="51" width="12.140625" style="24" bestFit="1" customWidth="1"/>
    <col min="52" max="52" width="14.42578125" style="24" bestFit="1" customWidth="1"/>
    <col min="53" max="53" width="15.28515625" style="24" bestFit="1" customWidth="1"/>
    <col min="54" max="54" width="14.7109375" style="24" bestFit="1" customWidth="1"/>
    <col min="55" max="55" width="14.42578125" style="24" bestFit="1" customWidth="1"/>
    <col min="56" max="56" width="15.28515625" style="24" bestFit="1" customWidth="1"/>
    <col min="57" max="57" width="14.7109375" style="24" bestFit="1" customWidth="1"/>
    <col min="58" max="58" width="17.42578125" style="24" bestFit="1" customWidth="1"/>
    <col min="59" max="59" width="18.42578125" style="24" bestFit="1" customWidth="1"/>
    <col min="60" max="60" width="20.85546875" style="24" bestFit="1" customWidth="1"/>
    <col min="61" max="61" width="12.28515625" style="24" bestFit="1" customWidth="1"/>
    <col min="62" max="62" width="7.7109375" style="24" bestFit="1" customWidth="1"/>
    <col min="63" max="63" width="7.5703125" style="24" bestFit="1" customWidth="1"/>
    <col min="64" max="64" width="19.140625" style="24" bestFit="1" customWidth="1"/>
    <col min="65" max="16384" width="9.140625" style="24"/>
  </cols>
  <sheetData>
    <row r="1" spans="1:59">
      <c r="A1" s="24" t="s">
        <v>63</v>
      </c>
      <c r="B1" s="24" t="s">
        <v>64</v>
      </c>
      <c r="C1" s="24" t="s">
        <v>65</v>
      </c>
      <c r="D1" s="24" t="s">
        <v>66</v>
      </c>
      <c r="E1" s="24" t="s">
        <v>67</v>
      </c>
      <c r="F1" s="24" t="s">
        <v>68</v>
      </c>
      <c r="G1" s="24" t="s">
        <v>69</v>
      </c>
      <c r="H1" s="24" t="s">
        <v>70</v>
      </c>
      <c r="I1" s="24" t="s">
        <v>71</v>
      </c>
      <c r="J1" s="24" t="s">
        <v>72</v>
      </c>
      <c r="K1" s="24" t="s">
        <v>73</v>
      </c>
      <c r="L1" s="24" t="s">
        <v>74</v>
      </c>
      <c r="M1" s="24" t="s">
        <v>75</v>
      </c>
      <c r="N1" s="24" t="s">
        <v>76</v>
      </c>
      <c r="O1" s="24" t="s">
        <v>77</v>
      </c>
      <c r="P1" s="24" t="s">
        <v>78</v>
      </c>
      <c r="Q1" s="24" t="s">
        <v>79</v>
      </c>
      <c r="R1" s="24" t="s">
        <v>80</v>
      </c>
      <c r="S1" s="24" t="s">
        <v>81</v>
      </c>
      <c r="T1" s="24" t="s">
        <v>82</v>
      </c>
      <c r="U1" s="24" t="s">
        <v>83</v>
      </c>
      <c r="V1" s="24" t="s">
        <v>84</v>
      </c>
      <c r="W1" s="24" t="s">
        <v>85</v>
      </c>
      <c r="X1" s="24" t="s">
        <v>86</v>
      </c>
      <c r="Y1" s="24" t="s">
        <v>87</v>
      </c>
      <c r="Z1" s="24" t="s">
        <v>88</v>
      </c>
      <c r="AA1" s="24" t="s">
        <v>89</v>
      </c>
      <c r="AB1" s="24" t="s">
        <v>90</v>
      </c>
      <c r="AC1" s="24" t="s">
        <v>91</v>
      </c>
      <c r="AD1" s="24" t="s">
        <v>92</v>
      </c>
      <c r="AE1" s="24" t="s">
        <v>93</v>
      </c>
      <c r="AF1" s="24" t="s">
        <v>94</v>
      </c>
      <c r="AG1" s="24" t="s">
        <v>95</v>
      </c>
      <c r="AH1" s="24" t="s">
        <v>96</v>
      </c>
      <c r="AI1" s="24" t="s">
        <v>97</v>
      </c>
      <c r="AJ1" s="24" t="s">
        <v>98</v>
      </c>
      <c r="AK1" s="24" t="s">
        <v>99</v>
      </c>
      <c r="AL1" s="24" t="s">
        <v>100</v>
      </c>
      <c r="AM1" s="24" t="s">
        <v>101</v>
      </c>
      <c r="AN1" s="24" t="s">
        <v>102</v>
      </c>
      <c r="AO1" s="24" t="s">
        <v>103</v>
      </c>
      <c r="AP1" s="24" t="s">
        <v>104</v>
      </c>
      <c r="AQ1" s="24" t="s">
        <v>105</v>
      </c>
      <c r="AR1" s="24" t="s">
        <v>106</v>
      </c>
      <c r="AS1" s="24" t="s">
        <v>107</v>
      </c>
      <c r="AT1" s="24" t="s">
        <v>108</v>
      </c>
      <c r="AU1" s="24" t="s">
        <v>109</v>
      </c>
      <c r="AV1" s="24" t="s">
        <v>110</v>
      </c>
      <c r="AW1" s="24" t="s">
        <v>111</v>
      </c>
      <c r="AX1" s="24" t="s">
        <v>112</v>
      </c>
      <c r="AY1" s="24" t="s">
        <v>113</v>
      </c>
      <c r="AZ1" s="24" t="s">
        <v>114</v>
      </c>
      <c r="BA1" s="24" t="s">
        <v>115</v>
      </c>
      <c r="BB1" s="24" t="s">
        <v>116</v>
      </c>
      <c r="BC1" s="24" t="s">
        <v>117</v>
      </c>
      <c r="BD1" s="24" t="s">
        <v>118</v>
      </c>
      <c r="BE1" s="24" t="s">
        <v>119</v>
      </c>
      <c r="BF1" s="24" t="s">
        <v>120</v>
      </c>
      <c r="BG1" s="24" t="s">
        <v>121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C1"/>
  <sheetViews>
    <sheetView workbookViewId="0">
      <selection activeCell="C16" sqref="C16"/>
    </sheetView>
  </sheetViews>
  <sheetFormatPr defaultRowHeight="11.25"/>
  <cols>
    <col min="1" max="1" width="8.85546875" style="24" bestFit="1" customWidth="1"/>
    <col min="2" max="2" width="7.28515625" style="24" bestFit="1" customWidth="1"/>
    <col min="3" max="3" width="15.85546875" style="24" bestFit="1" customWidth="1"/>
    <col min="4" max="16384" width="9.140625" style="24"/>
  </cols>
  <sheetData>
    <row r="1" spans="1:3">
      <c r="A1" s="24" t="s">
        <v>63</v>
      </c>
      <c r="B1" s="24" t="s">
        <v>67</v>
      </c>
      <c r="C1" s="24" t="s">
        <v>122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L1"/>
  <sheetViews>
    <sheetView workbookViewId="0">
      <selection activeCell="E10" sqref="E10"/>
    </sheetView>
  </sheetViews>
  <sheetFormatPr defaultRowHeight="11.25"/>
  <cols>
    <col min="1" max="1" width="8.85546875" style="24" bestFit="1" customWidth="1"/>
    <col min="2" max="2" width="7.28515625" style="24" bestFit="1" customWidth="1"/>
    <col min="3" max="3" width="11.28515625" style="24" bestFit="1" customWidth="1"/>
    <col min="4" max="4" width="9.85546875" style="24" bestFit="1" customWidth="1"/>
    <col min="5" max="5" width="10.7109375" style="24" bestFit="1" customWidth="1"/>
    <col min="6" max="6" width="10.140625" style="24" bestFit="1" customWidth="1"/>
    <col min="7" max="7" width="14.42578125" style="24" bestFit="1" customWidth="1"/>
    <col min="8" max="8" width="15.28515625" style="24" bestFit="1" customWidth="1"/>
    <col min="9" max="9" width="14.7109375" style="24" bestFit="1" customWidth="1"/>
    <col min="10" max="10" width="14.42578125" style="24" bestFit="1" customWidth="1"/>
    <col min="11" max="11" width="15.28515625" style="24" bestFit="1" customWidth="1"/>
    <col min="12" max="12" width="14.7109375" style="24" bestFit="1" customWidth="1"/>
    <col min="13" max="16384" width="9.140625" style="24"/>
  </cols>
  <sheetData>
    <row r="1" spans="1:12">
      <c r="A1" s="24" t="s">
        <v>63</v>
      </c>
      <c r="B1" s="24" t="s">
        <v>67</v>
      </c>
      <c r="C1" s="24" t="s">
        <v>123</v>
      </c>
      <c r="D1" s="24" t="s">
        <v>124</v>
      </c>
      <c r="E1" s="24" t="s">
        <v>125</v>
      </c>
      <c r="F1" s="24" t="s">
        <v>126</v>
      </c>
      <c r="G1" s="24" t="s">
        <v>114</v>
      </c>
      <c r="H1" s="24" t="s">
        <v>115</v>
      </c>
      <c r="I1" s="24" t="s">
        <v>116</v>
      </c>
      <c r="J1" s="24" t="s">
        <v>117</v>
      </c>
      <c r="K1" s="24" t="s">
        <v>118</v>
      </c>
      <c r="L1" s="24" t="s">
        <v>119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R1"/>
  <sheetViews>
    <sheetView workbookViewId="0">
      <selection activeCell="H31" sqref="H31"/>
    </sheetView>
  </sheetViews>
  <sheetFormatPr defaultRowHeight="11.25"/>
  <cols>
    <col min="1" max="1" width="8.85546875" style="24" bestFit="1" customWidth="1"/>
    <col min="2" max="2" width="7.28515625" style="24" bestFit="1" customWidth="1"/>
    <col min="3" max="3" width="10.42578125" style="24" bestFit="1" customWidth="1"/>
    <col min="4" max="4" width="11.28515625" style="24" bestFit="1" customWidth="1"/>
    <col min="5" max="5" width="10.7109375" style="24" bestFit="1" customWidth="1"/>
    <col min="6" max="6" width="11.42578125" style="24" bestFit="1" customWidth="1"/>
    <col min="7" max="7" width="12.28515625" style="24" bestFit="1" customWidth="1"/>
    <col min="8" max="8" width="11.7109375" style="24" bestFit="1" customWidth="1"/>
    <col min="9" max="11" width="11.5703125" style="24" bestFit="1" customWidth="1"/>
    <col min="12" max="14" width="12.5703125" style="24" bestFit="1" customWidth="1"/>
    <col min="15" max="15" width="11.140625" style="24" bestFit="1" customWidth="1"/>
    <col min="16" max="16" width="12.140625" style="24" bestFit="1" customWidth="1"/>
    <col min="17" max="17" width="17.42578125" style="24" bestFit="1" customWidth="1"/>
    <col min="18" max="18" width="18.42578125" style="24" bestFit="1" customWidth="1"/>
    <col min="19" max="16384" width="9.140625" style="24"/>
  </cols>
  <sheetData>
    <row r="1" spans="1:18">
      <c r="A1" s="24" t="s">
        <v>63</v>
      </c>
      <c r="B1" s="24" t="s">
        <v>67</v>
      </c>
      <c r="C1" s="24" t="s">
        <v>100</v>
      </c>
      <c r="D1" s="24" t="s">
        <v>102</v>
      </c>
      <c r="E1" s="24" t="s">
        <v>101</v>
      </c>
      <c r="F1" s="24" t="s">
        <v>103</v>
      </c>
      <c r="G1" s="24" t="s">
        <v>105</v>
      </c>
      <c r="H1" s="24" t="s">
        <v>104</v>
      </c>
      <c r="I1" s="24" t="s">
        <v>106</v>
      </c>
      <c r="J1" s="24" t="s">
        <v>107</v>
      </c>
      <c r="K1" s="24" t="s">
        <v>108</v>
      </c>
      <c r="L1" s="24" t="s">
        <v>109</v>
      </c>
      <c r="M1" s="24" t="s">
        <v>110</v>
      </c>
      <c r="N1" s="24" t="s">
        <v>111</v>
      </c>
      <c r="O1" s="24" t="s">
        <v>112</v>
      </c>
      <c r="P1" s="24" t="s">
        <v>113</v>
      </c>
      <c r="Q1" s="24" t="s">
        <v>120</v>
      </c>
      <c r="R1" s="24" t="s">
        <v>121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BG1"/>
  <sheetViews>
    <sheetView workbookViewId="0">
      <selection activeCell="D13" sqref="D13"/>
    </sheetView>
  </sheetViews>
  <sheetFormatPr defaultRowHeight="11.25"/>
  <cols>
    <col min="1" max="1" width="8.85546875" style="24" bestFit="1" customWidth="1"/>
    <col min="2" max="2" width="17.42578125" style="24" bestFit="1" customWidth="1"/>
    <col min="3" max="3" width="12.85546875" style="24" bestFit="1" customWidth="1"/>
    <col min="4" max="4" width="8.85546875" style="24" bestFit="1" customWidth="1"/>
    <col min="5" max="5" width="7.28515625" style="24" bestFit="1" customWidth="1"/>
    <col min="6" max="6" width="7.5703125" style="24" bestFit="1" customWidth="1"/>
    <col min="7" max="7" width="7.7109375" style="24" bestFit="1" customWidth="1"/>
    <col min="8" max="8" width="10" style="24" bestFit="1" customWidth="1"/>
    <col min="9" max="9" width="15.7109375" style="24" bestFit="1" customWidth="1"/>
    <col min="10" max="10" width="9.85546875" style="24" bestFit="1" customWidth="1"/>
    <col min="11" max="11" width="9.5703125" style="24" bestFit="1" customWidth="1"/>
    <col min="12" max="12" width="20.42578125" style="24" bestFit="1" customWidth="1"/>
    <col min="13" max="14" width="9" style="24" bestFit="1" customWidth="1"/>
    <col min="15" max="15" width="10.85546875" style="24" bestFit="1" customWidth="1"/>
    <col min="16" max="16" width="9.5703125" style="24" bestFit="1" customWidth="1"/>
    <col min="17" max="17" width="19.5703125" style="24" bestFit="1" customWidth="1"/>
    <col min="18" max="18" width="9.28515625" style="24" bestFit="1" customWidth="1"/>
    <col min="19" max="19" width="13.42578125" style="24" bestFit="1" customWidth="1"/>
    <col min="20" max="20" width="13.28515625" style="24" bestFit="1" customWidth="1"/>
    <col min="21" max="21" width="21" style="24" bestFit="1" customWidth="1"/>
    <col min="22" max="22" width="26.85546875" style="24" bestFit="1" customWidth="1"/>
    <col min="23" max="23" width="12.28515625" style="24" bestFit="1" customWidth="1"/>
    <col min="24" max="24" width="16.28515625" style="24" bestFit="1" customWidth="1"/>
    <col min="25" max="25" width="24.140625" style="24" bestFit="1" customWidth="1"/>
    <col min="26" max="26" width="30" style="24" bestFit="1" customWidth="1"/>
    <col min="27" max="27" width="16.85546875" style="24" bestFit="1" customWidth="1"/>
    <col min="28" max="28" width="16.42578125" style="24" bestFit="1" customWidth="1"/>
    <col min="29" max="29" width="14.5703125" style="24" bestFit="1" customWidth="1"/>
    <col min="30" max="30" width="16.85546875" style="24" bestFit="1" customWidth="1"/>
    <col min="31" max="31" width="16.42578125" style="24" bestFit="1" customWidth="1"/>
    <col min="32" max="32" width="14.5703125" style="24" bestFit="1" customWidth="1"/>
    <col min="33" max="33" width="13.5703125" style="24" bestFit="1" customWidth="1"/>
    <col min="34" max="34" width="13.42578125" style="24" bestFit="1" customWidth="1"/>
    <col min="35" max="35" width="9.42578125" style="24" bestFit="1" customWidth="1"/>
    <col min="36" max="36" width="25.140625" style="24" bestFit="1" customWidth="1"/>
    <col min="37" max="37" width="31" style="24" bestFit="1" customWidth="1"/>
    <col min="38" max="38" width="10.42578125" style="24" bestFit="1" customWidth="1"/>
    <col min="39" max="39" width="10.7109375" style="24" bestFit="1" customWidth="1"/>
    <col min="40" max="40" width="11.28515625" style="24" bestFit="1" customWidth="1"/>
    <col min="41" max="41" width="11.42578125" style="24" bestFit="1" customWidth="1"/>
    <col min="42" max="42" width="11.7109375" style="24" bestFit="1" customWidth="1"/>
    <col min="43" max="43" width="12.28515625" style="24" bestFit="1" customWidth="1"/>
    <col min="44" max="46" width="11.5703125" style="24" bestFit="1" customWidth="1"/>
    <col min="47" max="49" width="12.5703125" style="24" bestFit="1" customWidth="1"/>
    <col min="50" max="50" width="11.140625" style="24" bestFit="1" customWidth="1"/>
    <col min="51" max="51" width="12.140625" style="24" bestFit="1" customWidth="1"/>
    <col min="52" max="52" width="14.42578125" style="24" bestFit="1" customWidth="1"/>
    <col min="53" max="53" width="15.28515625" style="24" bestFit="1" customWidth="1"/>
    <col min="54" max="54" width="14.7109375" style="24" bestFit="1" customWidth="1"/>
    <col min="55" max="55" width="14.42578125" style="24" bestFit="1" customWidth="1"/>
    <col min="56" max="56" width="15.28515625" style="24" bestFit="1" customWidth="1"/>
    <col min="57" max="57" width="14.7109375" style="24" bestFit="1" customWidth="1"/>
    <col min="58" max="58" width="17.42578125" style="24" bestFit="1" customWidth="1"/>
    <col min="59" max="59" width="18.42578125" style="24" bestFit="1" customWidth="1"/>
    <col min="60" max="16384" width="9.140625" style="24"/>
  </cols>
  <sheetData>
    <row r="1" spans="1:59">
      <c r="A1" s="24" t="s">
        <v>63</v>
      </c>
      <c r="B1" s="24" t="s">
        <v>64</v>
      </c>
      <c r="C1" s="24" t="s">
        <v>65</v>
      </c>
      <c r="D1" s="24" t="s">
        <v>66</v>
      </c>
      <c r="E1" s="24" t="s">
        <v>67</v>
      </c>
      <c r="F1" s="24" t="s">
        <v>68</v>
      </c>
      <c r="G1" s="24" t="s">
        <v>69</v>
      </c>
      <c r="H1" s="24" t="s">
        <v>70</v>
      </c>
      <c r="I1" s="24" t="s">
        <v>71</v>
      </c>
      <c r="J1" s="24" t="s">
        <v>72</v>
      </c>
      <c r="K1" s="24" t="s">
        <v>73</v>
      </c>
      <c r="L1" s="24" t="s">
        <v>74</v>
      </c>
      <c r="M1" s="24" t="s">
        <v>75</v>
      </c>
      <c r="N1" s="24" t="s">
        <v>76</v>
      </c>
      <c r="O1" s="24" t="s">
        <v>77</v>
      </c>
      <c r="P1" s="24" t="s">
        <v>78</v>
      </c>
      <c r="Q1" s="24" t="s">
        <v>79</v>
      </c>
      <c r="R1" s="24" t="s">
        <v>80</v>
      </c>
      <c r="S1" s="24" t="s">
        <v>81</v>
      </c>
      <c r="T1" s="24" t="s">
        <v>82</v>
      </c>
      <c r="U1" s="24" t="s">
        <v>83</v>
      </c>
      <c r="V1" s="24" t="s">
        <v>84</v>
      </c>
      <c r="W1" s="24" t="s">
        <v>85</v>
      </c>
      <c r="X1" s="24" t="s">
        <v>86</v>
      </c>
      <c r="Y1" s="24" t="s">
        <v>87</v>
      </c>
      <c r="Z1" s="24" t="s">
        <v>88</v>
      </c>
      <c r="AA1" s="24" t="s">
        <v>89</v>
      </c>
      <c r="AB1" s="24" t="s">
        <v>90</v>
      </c>
      <c r="AC1" s="24" t="s">
        <v>91</v>
      </c>
      <c r="AD1" s="24" t="s">
        <v>92</v>
      </c>
      <c r="AE1" s="24" t="s">
        <v>93</v>
      </c>
      <c r="AF1" s="24" t="s">
        <v>94</v>
      </c>
      <c r="AG1" s="24" t="s">
        <v>95</v>
      </c>
      <c r="AH1" s="24" t="s">
        <v>96</v>
      </c>
      <c r="AI1" s="24" t="s">
        <v>97</v>
      </c>
      <c r="AJ1" s="24" t="s">
        <v>98</v>
      </c>
      <c r="AK1" s="24" t="s">
        <v>99</v>
      </c>
      <c r="AL1" s="24" t="s">
        <v>100</v>
      </c>
      <c r="AM1" s="24" t="s">
        <v>101</v>
      </c>
      <c r="AN1" s="24" t="s">
        <v>102</v>
      </c>
      <c r="AO1" s="24" t="s">
        <v>103</v>
      </c>
      <c r="AP1" s="24" t="s">
        <v>104</v>
      </c>
      <c r="AQ1" s="24" t="s">
        <v>105</v>
      </c>
      <c r="AR1" s="24" t="s">
        <v>106</v>
      </c>
      <c r="AS1" s="24" t="s">
        <v>107</v>
      </c>
      <c r="AT1" s="24" t="s">
        <v>108</v>
      </c>
      <c r="AU1" s="24" t="s">
        <v>109</v>
      </c>
      <c r="AV1" s="24" t="s">
        <v>110</v>
      </c>
      <c r="AW1" s="24" t="s">
        <v>111</v>
      </c>
      <c r="AX1" s="24" t="s">
        <v>112</v>
      </c>
      <c r="AY1" s="24" t="s">
        <v>113</v>
      </c>
      <c r="AZ1" s="24" t="s">
        <v>114</v>
      </c>
      <c r="BA1" s="24" t="s">
        <v>115</v>
      </c>
      <c r="BB1" s="24" t="s">
        <v>116</v>
      </c>
      <c r="BC1" s="24" t="s">
        <v>117</v>
      </c>
      <c r="BD1" s="24" t="s">
        <v>118</v>
      </c>
      <c r="BE1" s="24" t="s">
        <v>119</v>
      </c>
      <c r="BF1" s="24" t="s">
        <v>120</v>
      </c>
      <c r="BG1" s="24" t="s">
        <v>121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PS</vt:lpstr>
      <vt:lpstr>PSRpt_Product_View</vt:lpstr>
      <vt:lpstr>PSRpt_ProductDescription_View</vt:lpstr>
      <vt:lpstr>PSRpt_ModelDetail_View</vt:lpstr>
      <vt:lpstr>PSRpt_ModelPiece_View</vt:lpstr>
      <vt:lpstr>PSRpt_FactoryOrderDetail_View</vt:lpstr>
      <vt:lpstr>PS!Print_Area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Chung</dc:creator>
  <cp:lastModifiedBy>AuVietSoft</cp:lastModifiedBy>
  <cp:lastPrinted>2018-12-19T07:30:59Z</cp:lastPrinted>
  <dcterms:created xsi:type="dcterms:W3CDTF">2010-07-30T10:46:36Z</dcterms:created>
  <dcterms:modified xsi:type="dcterms:W3CDTF">2019-06-21T10:19:49Z</dcterms:modified>
</cp:coreProperties>
</file>