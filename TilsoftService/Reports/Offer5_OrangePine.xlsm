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\TILSOFTv1\SOLUTION\TilsoftService\Reports\"/>
    </mc:Choice>
  </mc:AlternateContent>
  <bookViews>
    <workbookView xWindow="0" yWindow="0" windowWidth="28800" windowHeight="12105"/>
  </bookViews>
  <sheets>
    <sheet name="Offer" sheetId="5" r:id="rId1"/>
    <sheet name="ParamTable" sheetId="9" state="hidden" r:id="rId2"/>
    <sheet name="PrintHeader" sheetId="8" state="hidden" r:id="rId3"/>
    <sheet name="PrintDetail" sheetId="10" state="hidden" r:id="rId4"/>
    <sheet name="ModelPieceReport" sheetId="11" state="hidden" r:id="rId5"/>
    <sheet name="TEMPLATE_PS" sheetId="4" state="hidden" r:id="rId6"/>
  </sheets>
  <functionGroups builtInGroupCount="18"/>
  <definedNames>
    <definedName name="_xlnm._FilterDatabase" localSheetId="0" hidden="1">Offer!$A$10:$AC$11</definedName>
    <definedName name="_xlnm.Print_Area" localSheetId="0">Offer!$A$1:$AC$11</definedName>
    <definedName name="_xlnm.Print_Area" localSheetId="5">TEMPLATE_PS!$A$1:$Z$52</definedName>
    <definedName name="_xlnm.Print_Titles" localSheetId="0">Offer!$7:$9</definedName>
  </definedNames>
  <calcPr calcId="152511"/>
</workbook>
</file>

<file path=xl/calcChain.xml><?xml version="1.0" encoding="utf-8"?>
<calcChain xmlns="http://schemas.openxmlformats.org/spreadsheetml/2006/main">
  <c r="V11" i="5" l="1"/>
  <c r="W11" i="5"/>
  <c r="U11" i="5"/>
  <c r="T11" i="5"/>
  <c r="AC11" i="5"/>
  <c r="D1" i="5"/>
  <c r="X6" i="5" l="1"/>
  <c r="X5" i="5" l="1"/>
  <c r="X4" i="5"/>
  <c r="X3" i="5"/>
  <c r="X2" i="5" l="1"/>
  <c r="X1" i="5"/>
  <c r="H6" i="5"/>
  <c r="H5" i="5"/>
  <c r="H4" i="5"/>
  <c r="H3" i="5"/>
  <c r="H2" i="5"/>
  <c r="H1" i="5"/>
  <c r="X49" i="4" l="1"/>
  <c r="Q49" i="4"/>
  <c r="P49" i="4"/>
  <c r="O49" i="4"/>
  <c r="I49" i="4"/>
  <c r="G49" i="4"/>
  <c r="E49" i="4"/>
  <c r="W43" i="4"/>
  <c r="T43" i="4"/>
  <c r="T21" i="4"/>
  <c r="X11" i="4"/>
  <c r="T11" i="4"/>
  <c r="B11" i="4"/>
  <c r="D9" i="4"/>
  <c r="D8" i="4"/>
  <c r="K6" i="4"/>
  <c r="U5" i="4"/>
  <c r="K5" i="4"/>
  <c r="U4" i="4"/>
  <c r="K4" i="4"/>
  <c r="U3" i="4"/>
  <c r="K3" i="4"/>
  <c r="U2" i="4"/>
  <c r="K2" i="4"/>
  <c r="B2" i="4"/>
  <c r="AB11" i="5"/>
  <c r="AA11" i="5"/>
  <c r="Y11" i="5"/>
  <c r="X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B11" i="5"/>
  <c r="A11" i="5"/>
  <c r="AA9" i="5"/>
  <c r="AA8" i="5"/>
  <c r="Z11" i="5" l="1"/>
</calcChain>
</file>

<file path=xl/connections.xml><?xml version="1.0" encoding="utf-8"?>
<connections xmlns="http://schemas.openxmlformats.org/spreadsheetml/2006/main">
  <connection id="1" name="00012013GARTENCENTER AUGSBURGRL" type="4" refreshedVersion="0" background="1">
    <webPr xml="1" sourceData="1" url="C:\Documents and Settings\rdeleijser\Local Settings\Temp\00012013GARTENCENTER AUGSBURGRL.xml" htmlTables="1" htmlFormat="all"/>
  </connection>
  <connection id="2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<sst xmlns="http://schemas.openxmlformats.org/spreadsheetml/2006/main" count="179" uniqueCount="170">
  <si>
    <t>OfferID</t>
  </si>
  <si>
    <t>RowIndex</t>
  </si>
  <si>
    <t>FileLocation</t>
  </si>
  <si>
    <t>FileGardenLocation</t>
  </si>
  <si>
    <t>Collection</t>
  </si>
  <si>
    <t>RangeName</t>
  </si>
  <si>
    <t>ArticleCode</t>
  </si>
  <si>
    <t>ModelNM</t>
  </si>
  <si>
    <t>FrameMaterialNM</t>
  </si>
  <si>
    <t>MaterialNM</t>
  </si>
  <si>
    <t>MaterialTypeNM</t>
  </si>
  <si>
    <t>MaterialColorNM</t>
  </si>
  <si>
    <t>SubMaterialNM</t>
  </si>
  <si>
    <t>SubMaterialColorNM</t>
  </si>
  <si>
    <t>SeatCushionNM</t>
  </si>
  <si>
    <t>BackCushionNM</t>
  </si>
  <si>
    <t>CushionColorNM</t>
  </si>
  <si>
    <t>FSCText</t>
  </si>
  <si>
    <t>UseFSCLabel</t>
  </si>
  <si>
    <t>OverallDimL</t>
  </si>
  <si>
    <t>OverallDimW</t>
  </si>
  <si>
    <t>OverallDimH</t>
  </si>
  <si>
    <t>Quantity</t>
  </si>
  <si>
    <t>Qnt40HC</t>
  </si>
  <si>
    <t>FinalPrice</t>
  </si>
  <si>
    <t>Remark</t>
  </si>
  <si>
    <t>FileLocation_FullSize</t>
  </si>
  <si>
    <t>FileGardenLocation_FullSize</t>
  </si>
  <si>
    <t>ModelID</t>
  </si>
  <si>
    <t>NO</t>
  </si>
  <si>
    <t>LogoImage</t>
  </si>
  <si>
    <t>ClientNM</t>
  </si>
  <si>
    <t>ContactPersonName</t>
  </si>
  <si>
    <t>Mobile</t>
  </si>
  <si>
    <t>Email</t>
  </si>
  <si>
    <t>ContractPersonName</t>
  </si>
  <si>
    <t>Address</t>
  </si>
  <si>
    <t>LogoImagePath</t>
  </si>
  <si>
    <t>PaymentTermNM</t>
  </si>
  <si>
    <t>DeliveryTermNM</t>
  </si>
  <si>
    <t>DeliveryTimeNM</t>
  </si>
  <si>
    <t>LDS</t>
  </si>
  <si>
    <t>PODName</t>
  </si>
  <si>
    <t>OfferDate</t>
  </si>
  <si>
    <t>Currency</t>
  </si>
  <si>
    <t>SaleNM</t>
  </si>
  <si>
    <t>OfferVersion</t>
  </si>
  <si>
    <t>ValidUntil</t>
  </si>
  <si>
    <t>ForwarderNM</t>
  </si>
  <si>
    <t>ForwarderContactPerson</t>
  </si>
  <si>
    <t>ForwarderContactPersonPhone</t>
  </si>
  <si>
    <t>ForwarderContactPersonEmail</t>
  </si>
  <si>
    <t>ForwarderContractNo</t>
  </si>
  <si>
    <t>ForwarderFollowupBySale</t>
  </si>
  <si>
    <t>ForwarderFollowupByLogistics</t>
  </si>
  <si>
    <t>PackagingStandard</t>
  </si>
  <si>
    <t>PackagingSpecial</t>
  </si>
  <si>
    <t>PackagingNote</t>
  </si>
  <si>
    <t>PackagingFollowupBySale</t>
  </si>
  <si>
    <t>LabelingStandard</t>
  </si>
  <si>
    <t>LabelingSpecial</t>
  </si>
  <si>
    <t>LabelingNote</t>
  </si>
  <si>
    <t>LabelingFollowupBySale</t>
  </si>
  <si>
    <t>PutInProductionDirectly</t>
  </si>
  <si>
    <t>PutInProductionAfterSign</t>
  </si>
  <si>
    <t>PutInProductionAfterDP</t>
  </si>
  <si>
    <t>PutInProductionAfterLC</t>
  </si>
  <si>
    <t>PutInProductionRemark</t>
  </si>
  <si>
    <t>QntIn20DC</t>
  </si>
  <si>
    <t>QntIn40DC</t>
  </si>
  <si>
    <t>QntIn40HC</t>
  </si>
  <si>
    <t>PartialQnt</t>
  </si>
  <si>
    <t>QntRemark</t>
  </si>
  <si>
    <t>OfferUD</t>
  </si>
  <si>
    <t>IsSendEmail</t>
  </si>
  <si>
    <t>Customer:</t>
  </si>
  <si>
    <t>Date:</t>
  </si>
  <si>
    <t>Contactperson:</t>
  </si>
  <si>
    <t>Currency:</t>
  </si>
  <si>
    <t>Phone:</t>
  </si>
  <si>
    <t>Payment terms:</t>
  </si>
  <si>
    <t>Email:</t>
  </si>
  <si>
    <t>Delivery terms:</t>
  </si>
  <si>
    <t>Sales person:</t>
  </si>
  <si>
    <t>Version:</t>
  </si>
  <si>
    <t>Offer ref. :</t>
  </si>
  <si>
    <t>Prices valid until:</t>
  </si>
  <si>
    <t>PICTURE</t>
  </si>
  <si>
    <t>PICTURE 2 (OPTIONAL)</t>
  </si>
  <si>
    <t>COLLECTION</t>
  </si>
  <si>
    <t>RANGE</t>
  </si>
  <si>
    <t>CODE</t>
  </si>
  <si>
    <t>DESCRIPTION</t>
  </si>
  <si>
    <t>FRAME</t>
  </si>
  <si>
    <t>MATERIAL</t>
  </si>
  <si>
    <t>MATERIAL 
TYPE</t>
  </si>
  <si>
    <t>COLOR MATERIAL</t>
  </si>
  <si>
    <t>SUB MATERIAL</t>
  </si>
  <si>
    <t>SUB MATERIAL COLOR</t>
  </si>
  <si>
    <t>SEAT CUSHION</t>
  </si>
  <si>
    <t>BACK CUSHION</t>
  </si>
  <si>
    <t>FABRIC COLOR</t>
  </si>
  <si>
    <t>FSC CLAIM</t>
  </si>
  <si>
    <t>FSC LABEL</t>
  </si>
  <si>
    <t>PRODUCT SIZE IN CM</t>
  </si>
  <si>
    <t>ORDER
QNT</t>
  </si>
  <si>
    <t>QNT/ CONT</t>
  </si>
  <si>
    <t>ORDER IN CONT</t>
  </si>
  <si>
    <t>PRICE IN</t>
  </si>
  <si>
    <t>REMARKS</t>
  </si>
  <si>
    <t>L</t>
  </si>
  <si>
    <t>W</t>
  </si>
  <si>
    <t>H</t>
  </si>
  <si>
    <t>40HC</t>
  </si>
  <si>
    <t>ns1:RowIndex</t>
  </si>
  <si>
    <t>ns1:FileLocation</t>
  </si>
  <si>
    <t>ns1:FileGardenLocation</t>
  </si>
  <si>
    <t>ns1:Collection</t>
  </si>
  <si>
    <t>ns1:RangeName</t>
  </si>
  <si>
    <t>ns1:ArticleCode</t>
  </si>
  <si>
    <t>ns1:ModelNM</t>
  </si>
  <si>
    <t>ns1:MaterialNM</t>
  </si>
  <si>
    <t>Column3</t>
  </si>
  <si>
    <t>ns1:MaterialTypeNM</t>
  </si>
  <si>
    <t>ns1:MaterialColorNM</t>
  </si>
  <si>
    <t>Column5</t>
  </si>
  <si>
    <t>Column4</t>
  </si>
  <si>
    <t>Column43</t>
  </si>
  <si>
    <t>Column42</t>
  </si>
  <si>
    <t>Column422</t>
  </si>
  <si>
    <t>Column2</t>
  </si>
  <si>
    <t>Column1</t>
  </si>
  <si>
    <t>Column12</t>
  </si>
  <si>
    <t>Column13</t>
  </si>
  <si>
    <t>ns1:OverallDimL</t>
  </si>
  <si>
    <t>ns1:OverallDimW</t>
  </si>
  <si>
    <t>ns1:OverallDimH</t>
  </si>
  <si>
    <t>ns1:Qnt40HC</t>
  </si>
  <si>
    <t>Column6</t>
  </si>
  <si>
    <t>Column7</t>
  </si>
  <si>
    <t>ns1:FinalPrice</t>
  </si>
  <si>
    <t>ns1:Remark</t>
  </si>
  <si>
    <t>ns1:ModelID</t>
  </si>
  <si>
    <t>ModelPieceID</t>
  </si>
  <si>
    <t>ProductTypeNM</t>
  </si>
  <si>
    <t>COMPANY NAME</t>
  </si>
  <si>
    <t>DATE</t>
  </si>
  <si>
    <t>ADDRESS</t>
  </si>
  <si>
    <t>OFFERNO</t>
  </si>
  <si>
    <t>ZIPCODE</t>
  </si>
  <si>
    <t>PLACE</t>
  </si>
  <si>
    <t>OFFER VALID UNTIL</t>
  </si>
  <si>
    <t>COUNTRY</t>
  </si>
  <si>
    <t>ACCOUNTMANAGER</t>
  </si>
  <si>
    <t>TELEPHONE NUMBER</t>
  </si>
  <si>
    <t>ART. DESCRIPTION:</t>
  </si>
  <si>
    <t>MATERIAL COLOR</t>
  </si>
  <si>
    <t>CUSHION COLOR</t>
  </si>
  <si>
    <t>ART. CODE:</t>
  </si>
  <si>
    <t>MEASUREMENTS</t>
  </si>
  <si>
    <t>LENGTH</t>
  </si>
  <si>
    <t>WIDTH</t>
  </si>
  <si>
    <t>HEIGHT</t>
  </si>
  <si>
    <t>LOADABILITY</t>
  </si>
  <si>
    <t>20FT</t>
  </si>
  <si>
    <t>40DC</t>
  </si>
  <si>
    <t>EUROFAR INT. BV.</t>
  </si>
  <si>
    <t>THE NETHERLANDS</t>
  </si>
  <si>
    <t>TEL +31 (0)13-5446193</t>
  </si>
  <si>
    <t>1x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</si>
</sst>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43" formatCode="_(* #,##0.00_);_(* \(#,##0.00\);_(* &quot;-&quot;??_);_(@_)"/>
    <numFmt numFmtId="164" formatCode="_ * #,##0.00_ ;_ * \-#,##0.00_ ;_ * &quot;-&quot;??_ ;_ @_ "/>
    <numFmt numFmtId="165" formatCode="&quot;€&quot;\ #,##0.00_-;&quot;€&quot;\ #,##0.00\-"/>
    <numFmt numFmtId="166" formatCode="&quot;€&quot;\ #,##0.00_-;[Red]&quot;€&quot;\ #,##0.00\-"/>
    <numFmt numFmtId="167" formatCode="_-* #,##0.00_-;_-* #,##0.00\-;_-* &quot;-&quot;??_-;_-@_-"/>
    <numFmt numFmtId="168" formatCode="_-* #,##0\ _B_F_-;\-* #,##0\ _B_F_-;_-* &quot;-&quot;\ _B_F_-;_-@_-"/>
    <numFmt numFmtId="169" formatCode="_(* #,##0_);_(* \(#,##0\);_(* &quot;-&quot;??_);_(@_)"/>
    <numFmt numFmtId="170" formatCode="0.0"/>
    <numFmt numFmtId="171" formatCode="&quot;$&quot;#,##0.00"/>
    <numFmt numFmtId="172" formatCode="_-* #,##0\ _B_F_-;\-* #,##0\ _B_F_-;_-* &quot;- &quot;_B_F_-;_-@_-"/>
    <numFmt numFmtId="173" formatCode="00.000"/>
    <numFmt numFmtId="174" formatCode="_(* #,##0.00_);_(* \(#,##0.00\);_(* \-??_);_(@_)"/>
    <numFmt numFmtId="175" formatCode="_([$€]* #,##0.00_);_([$€]* \(#,##0.00\);_([$€]* &quot;-&quot;??_);_(@_)"/>
    <numFmt numFmtId="176" formatCode="[$$-409]#,##0.00"/>
    <numFmt numFmtId="177" formatCode="#,##0\ &quot;DM&quot;;\-#,##0\ &quot;DM&quot;"/>
    <numFmt numFmtId="178" formatCode="0.000%"/>
    <numFmt numFmtId="179" formatCode="&quot;￥&quot;#,##0;&quot;￥&quot;\-#,##0"/>
    <numFmt numFmtId="180" formatCode="_-* #,##0_-;\-* #,##0_-;_-* &quot;-&quot;_-;_-@_-"/>
    <numFmt numFmtId="181" formatCode="_-&quot;F&quot;* #,##0_-;\-&quot;F&quot;* #,##0_-;_-&quot;F&quot;* &quot;-&quot;_-;_-@_-"/>
    <numFmt numFmtId="182" formatCode="#,##0\ &quot;F&quot;;[Red]\-#,##0\ &quot;F&quot;"/>
    <numFmt numFmtId="183" formatCode="_-&quot;F&quot;* #,##0.00_-;\-&quot;F&quot;* #,##0.00_-;_-&quot;F&quot;* &quot;-&quot;??_-;_-@_-"/>
    <numFmt numFmtId="184" formatCode="[$-409]d\-mmm\-yy;@"/>
    <numFmt numFmtId="185" formatCode="[$$-413]\ 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sz val="12"/>
      <name val="宋体"/>
    </font>
    <font>
      <b/>
      <sz val="12"/>
      <name val="Arial"/>
      <family val="2"/>
    </font>
    <font>
      <u/>
      <sz val="8.25"/>
      <color theme="10"/>
      <name val="Calibri"/>
      <family val="2"/>
    </font>
    <font>
      <u/>
      <sz val="12"/>
      <color indexed="12"/>
      <name val="VNtimes new roman"/>
    </font>
    <font>
      <sz val="12"/>
      <name val="Arial"/>
      <family val="2"/>
    </font>
    <font>
      <sz val="10"/>
      <name val=" "/>
      <family val="1"/>
    </font>
    <font>
      <sz val="12"/>
      <name val="Times New Roman"/>
      <family val="1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1"/>
      <name val="돋움"/>
      <family val="3"/>
    </font>
    <font>
      <sz val="10"/>
      <name val="굴림체"/>
      <family val="3"/>
    </font>
    <font>
      <b/>
      <sz val="9"/>
      <name val="Arial"/>
      <family val="2"/>
    </font>
    <font>
      <sz val="12"/>
      <name val="新細明體"/>
    </font>
    <font>
      <sz val="12"/>
      <name val="Courier"/>
      <family val="3"/>
    </font>
    <font>
      <sz val="8"/>
      <color theme="1"/>
      <name val="Calibri"/>
      <family val="2"/>
      <scheme val="minor"/>
    </font>
    <font>
      <u/>
      <sz val="12.65"/>
      <color theme="10"/>
      <name val="Calibri"/>
      <family val="2"/>
    </font>
    <font>
      <u/>
      <sz val="9"/>
      <color theme="10"/>
      <name val="Calibri"/>
      <family val="2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32"/>
      <name val="Verdana"/>
      <family val="2"/>
    </font>
    <font>
      <sz val="32"/>
      <color theme="0"/>
      <name val="Verdana"/>
      <family val="2"/>
    </font>
    <font>
      <sz val="32"/>
      <color indexed="8"/>
      <name val="Calibri"/>
      <family val="2"/>
    </font>
    <font>
      <sz val="32"/>
      <name val="Verdana"/>
      <family val="2"/>
    </font>
    <font>
      <b/>
      <sz val="32"/>
      <color rgb="FF00B0F0"/>
      <name val="Verdana"/>
      <family val="2"/>
    </font>
    <font>
      <b/>
      <sz val="32"/>
      <color rgb="FF00B0F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0">
    <xf numFmtId="0" fontId="0" fillId="0" borderId="0"/>
    <xf numFmtId="168" fontId="5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3" fontId="2" fillId="0" borderId="0"/>
    <xf numFmtId="173" fontId="2" fillId="0" borderId="0"/>
    <xf numFmtId="173" fontId="2" fillId="0" borderId="0"/>
    <xf numFmtId="173" fontId="1" fillId="0" borderId="0"/>
    <xf numFmtId="173" fontId="1" fillId="0" borderId="0"/>
    <xf numFmtId="167" fontId="3" fillId="0" borderId="0"/>
    <xf numFmtId="43" fontId="3" fillId="0" borderId="0"/>
    <xf numFmtId="0" fontId="3" fillId="0" borderId="0"/>
    <xf numFmtId="4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3" fontId="1" fillId="0" borderId="0"/>
    <xf numFmtId="174" fontId="3" fillId="0" borderId="0"/>
    <xf numFmtId="43" fontId="2" fillId="0" borderId="0"/>
    <xf numFmtId="166" fontId="2" fillId="0" borderId="0"/>
    <xf numFmtId="165" fontId="1" fillId="0" borderId="0"/>
    <xf numFmtId="43" fontId="2" fillId="0" borderId="0"/>
    <xf numFmtId="43" fontId="2" fillId="0" borderId="0"/>
    <xf numFmtId="166" fontId="2" fillId="0" borderId="0"/>
    <xf numFmtId="165" fontId="1" fillId="0" borderId="0"/>
    <xf numFmtId="164" fontId="2" fillId="0" borderId="0"/>
    <xf numFmtId="164" fontId="2" fillId="0" borderId="0"/>
    <xf numFmtId="166" fontId="2" fillId="0" borderId="0"/>
    <xf numFmtId="164" fontId="2" fillId="0" borderId="0"/>
    <xf numFmtId="164" fontId="2" fillId="0" borderId="0"/>
    <xf numFmtId="164" fontId="2" fillId="0" borderId="0"/>
    <xf numFmtId="173" fontId="2" fillId="0" borderId="0"/>
    <xf numFmtId="166" fontId="2" fillId="0" borderId="0"/>
    <xf numFmtId="173" fontId="2" fillId="0" borderId="0"/>
    <xf numFmtId="166" fontId="2" fillId="0" borderId="0"/>
    <xf numFmtId="173" fontId="2" fillId="0" borderId="0"/>
    <xf numFmtId="166" fontId="2" fillId="0" borderId="0"/>
    <xf numFmtId="166" fontId="2" fillId="0" borderId="0"/>
    <xf numFmtId="165" fontId="1" fillId="0" borderId="0"/>
    <xf numFmtId="170" fontId="2" fillId="0" borderId="0"/>
    <xf numFmtId="43" fontId="1" fillId="0" borderId="0"/>
    <xf numFmtId="43" fontId="2" fillId="0" borderId="0"/>
    <xf numFmtId="164" fontId="2" fillId="0" borderId="0"/>
    <xf numFmtId="164" fontId="2" fillId="0" borderId="0"/>
    <xf numFmtId="164" fontId="2" fillId="0" borderId="0"/>
    <xf numFmtId="175" fontId="3" fillId="0" borderId="0"/>
    <xf numFmtId="172" fontId="3" fillId="0" borderId="0"/>
    <xf numFmtId="0" fontId="6" fillId="0" borderId="15">
      <alignment horizontal="left" vertical="center"/>
    </xf>
    <xf numFmtId="0" fontId="6" fillId="0" borderId="7">
      <alignment horizontal="left" vertical="center"/>
    </xf>
    <xf numFmtId="0" fontId="21" fillId="0" borderId="0">
      <alignment vertical="top"/>
      <protection locked="0"/>
    </xf>
    <xf numFmtId="0" fontId="7" fillId="0" borderId="0">
      <alignment vertical="top"/>
      <protection locked="0"/>
    </xf>
    <xf numFmtId="0" fontId="8" fillId="0" borderId="0">
      <alignment vertical="top"/>
      <protection locked="0"/>
    </xf>
    <xf numFmtId="43" fontId="4" fillId="0" borderId="0"/>
    <xf numFmtId="0" fontId="9" fillId="0" borderId="0"/>
    <xf numFmtId="0" fontId="3" fillId="0" borderId="0"/>
    <xf numFmtId="0" fontId="3" fillId="0" borderId="0"/>
    <xf numFmtId="0" fontId="3" fillId="0" borderId="0"/>
    <xf numFmtId="168" fontId="3" fillId="0" borderId="0"/>
    <xf numFmtId="0" fontId="2" fillId="0" borderId="0"/>
    <xf numFmtId="0" fontId="1" fillId="0" borderId="0"/>
    <xf numFmtId="176" fontId="1" fillId="0" borderId="0"/>
    <xf numFmtId="168" fontId="3" fillId="0" borderId="0"/>
    <xf numFmtId="0" fontId="3" fillId="0" borderId="0"/>
    <xf numFmtId="0" fontId="2" fillId="0" borderId="0"/>
    <xf numFmtId="0" fontId="3" fillId="0" borderId="0"/>
    <xf numFmtId="168" fontId="1" fillId="0" borderId="0"/>
    <xf numFmtId="168" fontId="2" fillId="0" borderId="0"/>
    <xf numFmtId="0" fontId="3" fillId="0" borderId="0"/>
    <xf numFmtId="0" fontId="1" fillId="0" borderId="0"/>
    <xf numFmtId="0" fontId="3" fillId="0" borderId="0"/>
    <xf numFmtId="168" fontId="1" fillId="0" borderId="0"/>
    <xf numFmtId="0" fontId="3" fillId="0" borderId="0"/>
    <xf numFmtId="0" fontId="3" fillId="0" borderId="0"/>
    <xf numFmtId="0" fontId="2" fillId="0" borderId="0"/>
    <xf numFmtId="168" fontId="4" fillId="0" borderId="0"/>
    <xf numFmtId="0" fontId="3" fillId="0" borderId="0"/>
    <xf numFmtId="168" fontId="3" fillId="0" borderId="0"/>
    <xf numFmtId="168" fontId="3" fillId="0" borderId="0"/>
    <xf numFmtId="0" fontId="3" fillId="0" borderId="0"/>
    <xf numFmtId="0" fontId="10" fillId="0" borderId="0"/>
    <xf numFmtId="0" fontId="10" fillId="0" borderId="0"/>
    <xf numFmtId="0" fontId="11" fillId="0" borderId="0">
      <alignment vertical="center"/>
    </xf>
    <xf numFmtId="40" fontId="12" fillId="0" borderId="0"/>
    <xf numFmtId="38" fontId="12" fillId="0" borderId="0"/>
    <xf numFmtId="0" fontId="12" fillId="0" borderId="0"/>
    <xf numFmtId="0" fontId="12" fillId="0" borderId="0"/>
    <xf numFmtId="9" fontId="13" fillId="0" borderId="0"/>
    <xf numFmtId="0" fontId="14" fillId="0" borderId="0"/>
    <xf numFmtId="177" fontId="15" fillId="0" borderId="0"/>
    <xf numFmtId="178" fontId="15" fillId="0" borderId="0"/>
    <xf numFmtId="179" fontId="15" fillId="0" borderId="0"/>
    <xf numFmtId="173" fontId="15" fillId="0" borderId="0"/>
    <xf numFmtId="0" fontId="16" fillId="0" borderId="0"/>
    <xf numFmtId="0" fontId="17" fillId="0" borderId="0"/>
    <xf numFmtId="180" fontId="18" fillId="0" borderId="0"/>
    <xf numFmtId="40" fontId="19" fillId="0" borderId="0"/>
    <xf numFmtId="0" fontId="3" fillId="0" borderId="0"/>
    <xf numFmtId="181" fontId="18" fillId="0" borderId="0"/>
    <xf numFmtId="182" fontId="19" fillId="0" borderId="0"/>
    <xf numFmtId="183" fontId="18" fillId="0" borderId="0"/>
  </cellStyleXfs>
  <cellXfs count="152">
    <xf numFmtId="0" fontId="0" fillId="0" borderId="0" xfId="0" applyNumberFormat="1" applyFont="1" applyFill="1" applyBorder="1"/>
    <xf numFmtId="0" fontId="20" fillId="0" borderId="0" xfId="0" applyNumberFormat="1" applyFont="1" applyFill="1" applyBorder="1"/>
    <xf numFmtId="0" fontId="22" fillId="0" borderId="0" xfId="59" applyNumberFormat="1" applyFont="1" applyFill="1" applyBorder="1" applyAlignment="1" applyProtection="1">
      <alignment horizontal="right"/>
    </xf>
    <xf numFmtId="0" fontId="20" fillId="0" borderId="9" xfId="0" applyNumberFormat="1" applyFont="1" applyFill="1" applyBorder="1" applyAlignment="1">
      <alignment vertical="center"/>
    </xf>
    <xf numFmtId="0" fontId="20" fillId="0" borderId="1" xfId="0" applyNumberFormat="1" applyFont="1" applyFill="1" applyBorder="1" applyAlignment="1">
      <alignment vertical="center"/>
    </xf>
    <xf numFmtId="0" fontId="20" fillId="0" borderId="0" xfId="0" applyNumberFormat="1" applyFont="1" applyFill="1" applyBorder="1"/>
    <xf numFmtId="0" fontId="20" fillId="0" borderId="4" xfId="0" applyNumberFormat="1" applyFont="1" applyFill="1" applyBorder="1" applyAlignment="1">
      <alignment vertical="center"/>
    </xf>
    <xf numFmtId="0" fontId="20" fillId="0" borderId="12" xfId="0" applyNumberFormat="1" applyFont="1" applyFill="1" applyBorder="1" applyAlignment="1">
      <alignment vertical="center"/>
    </xf>
    <xf numFmtId="49" fontId="20" fillId="0" borderId="0" xfId="0" applyNumberFormat="1" applyFont="1" applyFill="1" applyBorder="1"/>
    <xf numFmtId="0" fontId="20" fillId="0" borderId="1" xfId="0" applyNumberFormat="1" applyFont="1" applyFill="1" applyBorder="1" applyAlignment="1">
      <alignment horizontal="center" vertical="center"/>
    </xf>
    <xf numFmtId="0" fontId="20" fillId="0" borderId="10" xfId="0" applyNumberFormat="1" applyFont="1" applyFill="1" applyBorder="1" applyAlignment="1">
      <alignment vertical="center"/>
    </xf>
    <xf numFmtId="0" fontId="20" fillId="0" borderId="9" xfId="0" applyNumberFormat="1" applyFont="1" applyFill="1" applyBorder="1"/>
    <xf numFmtId="0" fontId="20" fillId="0" borderId="1" xfId="0" applyNumberFormat="1" applyFont="1" applyFill="1" applyBorder="1"/>
    <xf numFmtId="0" fontId="20" fillId="0" borderId="10" xfId="0" applyNumberFormat="1" applyFont="1" applyFill="1" applyBorder="1"/>
    <xf numFmtId="0" fontId="20" fillId="0" borderId="11" xfId="0" applyNumberFormat="1" applyFont="1" applyFill="1" applyBorder="1"/>
    <xf numFmtId="0" fontId="20" fillId="0" borderId="0" xfId="0" applyNumberFormat="1" applyFont="1" applyFill="1" applyBorder="1" applyAlignment="1">
      <alignment horizontal="center"/>
    </xf>
    <xf numFmtId="0" fontId="20" fillId="0" borderId="2" xfId="0" applyNumberFormat="1" applyFont="1" applyFill="1" applyBorder="1"/>
    <xf numFmtId="0" fontId="20" fillId="0" borderId="11" xfId="0" applyNumberFormat="1" applyFont="1" applyFill="1" applyBorder="1"/>
    <xf numFmtId="0" fontId="20" fillId="0" borderId="0" xfId="0" applyNumberFormat="1" applyFont="1" applyFill="1" applyBorder="1"/>
    <xf numFmtId="0" fontId="20" fillId="0" borderId="0" xfId="0" applyNumberFormat="1" applyFont="1" applyFill="1" applyBorder="1" applyAlignment="1">
      <alignment vertical="center"/>
    </xf>
    <xf numFmtId="0" fontId="20" fillId="0" borderId="2" xfId="0" applyNumberFormat="1" applyFont="1" applyFill="1" applyBorder="1"/>
    <xf numFmtId="0" fontId="20" fillId="0" borderId="2" xfId="0" applyNumberFormat="1" applyFont="1" applyFill="1" applyBorder="1" applyAlignment="1">
      <alignment horizontal="left" vertical="center"/>
    </xf>
    <xf numFmtId="0" fontId="20" fillId="0" borderId="4" xfId="0" applyNumberFormat="1" applyFont="1" applyFill="1" applyBorder="1"/>
    <xf numFmtId="0" fontId="20" fillId="0" borderId="12" xfId="0" applyNumberFormat="1" applyFont="1" applyFill="1" applyBorder="1"/>
    <xf numFmtId="0" fontId="20" fillId="0" borderId="12" xfId="0" applyNumberFormat="1" applyFont="1" applyFill="1" applyBorder="1" applyAlignment="1">
      <alignment horizontal="center"/>
    </xf>
    <xf numFmtId="0" fontId="20" fillId="0" borderId="5" xfId="0" applyNumberFormat="1" applyFont="1" applyFill="1" applyBorder="1"/>
    <xf numFmtId="0" fontId="20" fillId="0" borderId="4" xfId="0" applyNumberFormat="1" applyFont="1" applyFill="1" applyBorder="1"/>
    <xf numFmtId="0" fontId="20" fillId="0" borderId="12" xfId="0" applyNumberFormat="1" applyFont="1" applyFill="1" applyBorder="1"/>
    <xf numFmtId="0" fontId="20" fillId="0" borderId="5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0" fontId="20" fillId="0" borderId="12" xfId="0" applyNumberFormat="1" applyFont="1" applyFill="1" applyBorder="1" applyAlignment="1">
      <alignment horizontal="left" vertical="center"/>
    </xf>
    <xf numFmtId="0" fontId="20" fillId="0" borderId="5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vertical="center"/>
    </xf>
    <xf numFmtId="0" fontId="25" fillId="0" borderId="0" xfId="0" applyNumberFormat="1" applyFont="1" applyFill="1" applyBorder="1"/>
    <xf numFmtId="0" fontId="26" fillId="0" borderId="0" xfId="83" applyNumberFormat="1" applyFont="1" applyFill="1" applyBorder="1" applyAlignment="1">
      <alignment horizontal="center" wrapText="1"/>
    </xf>
    <xf numFmtId="0" fontId="26" fillId="0" borderId="0" xfId="83" applyNumberFormat="1" applyFont="1" applyFill="1" applyBorder="1" applyAlignment="1">
      <alignment wrapText="1"/>
    </xf>
    <xf numFmtId="0" fontId="26" fillId="0" borderId="0" xfId="83" applyNumberFormat="1" applyFont="1" applyFill="1" applyBorder="1" applyAlignment="1">
      <alignment wrapText="1"/>
    </xf>
    <xf numFmtId="0" fontId="28" fillId="0" borderId="0" xfId="83" applyNumberFormat="1" applyFont="1" applyFill="1" applyBorder="1" applyAlignment="1">
      <alignment wrapText="1"/>
    </xf>
    <xf numFmtId="171" fontId="28" fillId="0" borderId="0" xfId="83" applyNumberFormat="1" applyFont="1" applyFill="1" applyBorder="1" applyAlignment="1">
      <alignment wrapText="1"/>
    </xf>
    <xf numFmtId="185" fontId="28" fillId="0" borderId="0" xfId="83" applyNumberFormat="1" applyFont="1" applyFill="1" applyBorder="1" applyAlignment="1">
      <alignment wrapText="1"/>
    </xf>
    <xf numFmtId="0" fontId="26" fillId="3" borderId="3" xfId="86" quotePrefix="1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vertical="center" wrapText="1"/>
    </xf>
    <xf numFmtId="168" fontId="26" fillId="3" borderId="3" xfId="86" applyNumberFormat="1" applyFont="1" applyFill="1" applyBorder="1" applyAlignment="1">
      <alignment horizontal="center" vertical="center"/>
    </xf>
    <xf numFmtId="168" fontId="26" fillId="3" borderId="3" xfId="86" applyNumberFormat="1" applyFont="1" applyFill="1" applyBorder="1" applyAlignment="1">
      <alignment horizontal="center" vertical="center" wrapText="1"/>
    </xf>
    <xf numFmtId="169" fontId="26" fillId="3" borderId="3" xfId="13" applyNumberFormat="1" applyFont="1" applyFill="1" applyBorder="1" applyAlignment="1">
      <alignment horizontal="center" vertical="center" wrapText="1"/>
    </xf>
    <xf numFmtId="168" fontId="30" fillId="3" borderId="3" xfId="86" applyNumberFormat="1" applyFont="1" applyFill="1" applyBorder="1" applyAlignment="1">
      <alignment horizontal="center" vertical="center"/>
    </xf>
    <xf numFmtId="168" fontId="30" fillId="3" borderId="3" xfId="86" quotePrefix="1" applyNumberFormat="1" applyFont="1" applyFill="1" applyBorder="1" applyAlignment="1">
      <alignment horizontal="center" vertical="center"/>
    </xf>
    <xf numFmtId="0" fontId="26" fillId="0" borderId="3" xfId="83" applyNumberFormat="1" applyFont="1" applyFill="1" applyBorder="1" applyAlignment="1">
      <alignment horizontal="center" vertical="center" wrapText="1"/>
    </xf>
    <xf numFmtId="49" fontId="29" fillId="0" borderId="3" xfId="83" applyNumberFormat="1" applyFont="1" applyFill="1" applyBorder="1" applyAlignment="1">
      <alignment horizontal="center" vertical="center" wrapText="1"/>
    </xf>
    <xf numFmtId="0" fontId="29" fillId="0" borderId="3" xfId="83" applyNumberFormat="1" applyFont="1" applyFill="1" applyBorder="1" applyAlignment="1">
      <alignment horizontal="center" vertical="center" wrapText="1"/>
    </xf>
    <xf numFmtId="168" fontId="26" fillId="3" borderId="3" xfId="86" applyNumberFormat="1" applyFont="1" applyFill="1" applyBorder="1" applyAlignment="1">
      <alignment horizontal="center" vertical="center" wrapText="1"/>
    </xf>
    <xf numFmtId="49" fontId="26" fillId="0" borderId="13" xfId="83" applyNumberFormat="1" applyFont="1" applyFill="1" applyBorder="1" applyAlignment="1">
      <alignment vertical="center" wrapText="1"/>
    </xf>
    <xf numFmtId="49" fontId="26" fillId="0" borderId="14" xfId="83" applyNumberFormat="1" applyFont="1" applyFill="1" applyBorder="1" applyAlignment="1">
      <alignment vertical="center" wrapText="1"/>
    </xf>
    <xf numFmtId="49" fontId="26" fillId="0" borderId="16" xfId="83" applyNumberFormat="1" applyFont="1" applyFill="1" applyBorder="1" applyAlignment="1">
      <alignment vertical="center" wrapText="1"/>
    </xf>
    <xf numFmtId="49" fontId="26" fillId="0" borderId="10" xfId="83" applyNumberFormat="1" applyFont="1" applyFill="1" applyBorder="1" applyAlignment="1">
      <alignment vertical="center" wrapText="1"/>
    </xf>
    <xf numFmtId="49" fontId="26" fillId="0" borderId="2" xfId="83" applyNumberFormat="1" applyFont="1" applyFill="1" applyBorder="1" applyAlignment="1">
      <alignment vertical="center" wrapText="1"/>
    </xf>
    <xf numFmtId="49" fontId="26" fillId="0" borderId="5" xfId="83" applyNumberFormat="1" applyFont="1" applyFill="1" applyBorder="1" applyAlignment="1">
      <alignment vertical="center" wrapText="1"/>
    </xf>
    <xf numFmtId="0" fontId="26" fillId="0" borderId="3" xfId="83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horizontal="left" vertical="center" wrapText="1"/>
    </xf>
    <xf numFmtId="168" fontId="31" fillId="3" borderId="3" xfId="86" applyNumberFormat="1" applyFont="1" applyFill="1" applyBorder="1" applyAlignment="1">
      <alignment horizontal="center" vertical="center"/>
    </xf>
    <xf numFmtId="0" fontId="26" fillId="0" borderId="3" xfId="83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horizontal="left" vertical="center" wrapText="1"/>
    </xf>
    <xf numFmtId="168" fontId="26" fillId="3" borderId="3" xfId="86" applyNumberFormat="1" applyFont="1" applyFill="1" applyBorder="1" applyAlignment="1">
      <alignment horizontal="center" vertical="center" wrapText="1"/>
    </xf>
    <xf numFmtId="0" fontId="28" fillId="3" borderId="11" xfId="83" applyNumberFormat="1" applyFont="1" applyFill="1" applyBorder="1" applyAlignment="1">
      <alignment horizontal="center" wrapText="1"/>
    </xf>
    <xf numFmtId="0" fontId="28" fillId="3" borderId="4" xfId="83" applyNumberFormat="1" applyFont="1" applyFill="1" applyBorder="1" applyAlignment="1">
      <alignment horizontal="center" wrapText="1"/>
    </xf>
    <xf numFmtId="168" fontId="26" fillId="3" borderId="3" xfId="86" applyNumberFormat="1" applyFont="1" applyFill="1" applyBorder="1" applyAlignment="1">
      <alignment horizontal="center" vertical="center"/>
    </xf>
    <xf numFmtId="0" fontId="26" fillId="3" borderId="3" xfId="86" applyNumberFormat="1" applyFont="1" applyFill="1" applyBorder="1" applyAlignment="1">
      <alignment horizontal="center" vertical="center" wrapText="1"/>
    </xf>
    <xf numFmtId="0" fontId="26" fillId="3" borderId="13" xfId="86" applyNumberFormat="1" applyFont="1" applyFill="1" applyBorder="1" applyAlignment="1">
      <alignment horizontal="center" vertical="center" wrapText="1"/>
    </xf>
    <xf numFmtId="0" fontId="26" fillId="3" borderId="14" xfId="86" applyNumberFormat="1" applyFont="1" applyFill="1" applyBorder="1" applyAlignment="1">
      <alignment horizontal="center" vertical="center" wrapText="1"/>
    </xf>
    <xf numFmtId="0" fontId="26" fillId="3" borderId="16" xfId="86" applyNumberFormat="1" applyFont="1" applyFill="1" applyBorder="1" applyAlignment="1">
      <alignment horizontal="center" vertical="center" wrapText="1"/>
    </xf>
    <xf numFmtId="0" fontId="27" fillId="2" borderId="8" xfId="83" applyNumberFormat="1" applyFont="1" applyFill="1" applyBorder="1" applyAlignment="1">
      <alignment horizontal="left" vertical="center" wrapText="1"/>
    </xf>
    <xf numFmtId="0" fontId="27" fillId="2" borderId="3" xfId="83" applyNumberFormat="1" applyFont="1" applyFill="1" applyBorder="1" applyAlignment="1">
      <alignment horizontal="left" vertical="center" wrapText="1"/>
    </xf>
    <xf numFmtId="0" fontId="27" fillId="0" borderId="3" xfId="83" applyNumberFormat="1" applyFont="1" applyFill="1" applyBorder="1" applyAlignment="1">
      <alignment horizontal="center" vertical="center" wrapText="1"/>
    </xf>
    <xf numFmtId="0" fontId="26" fillId="0" borderId="3" xfId="83" applyNumberFormat="1" applyFont="1" applyFill="1" applyBorder="1" applyAlignment="1">
      <alignment horizontal="center" vertical="center" wrapText="1"/>
    </xf>
    <xf numFmtId="168" fontId="26" fillId="3" borderId="16" xfId="86" applyNumberFormat="1" applyFont="1" applyFill="1" applyBorder="1" applyAlignment="1">
      <alignment horizontal="center" vertical="center" wrapText="1"/>
    </xf>
    <xf numFmtId="0" fontId="26" fillId="0" borderId="6" xfId="83" applyNumberFormat="1" applyFont="1" applyFill="1" applyBorder="1" applyAlignment="1">
      <alignment horizontal="left" vertical="center" wrapText="1"/>
    </xf>
    <xf numFmtId="0" fontId="26" fillId="0" borderId="8" xfId="83" applyNumberFormat="1" applyFont="1" applyFill="1" applyBorder="1" applyAlignment="1">
      <alignment horizontal="left" vertical="center" wrapText="1"/>
    </xf>
    <xf numFmtId="169" fontId="26" fillId="3" borderId="9" xfId="13" applyNumberFormat="1" applyFont="1" applyFill="1" applyBorder="1" applyAlignment="1">
      <alignment horizontal="center" vertical="center" wrapText="1"/>
    </xf>
    <xf numFmtId="169" fontId="26" fillId="3" borderId="1" xfId="13" applyNumberFormat="1" applyFont="1" applyFill="1" applyBorder="1" applyAlignment="1">
      <alignment horizontal="center" vertical="center" wrapText="1"/>
    </xf>
    <xf numFmtId="169" fontId="26" fillId="3" borderId="10" xfId="13" applyNumberFormat="1" applyFont="1" applyFill="1" applyBorder="1" applyAlignment="1">
      <alignment horizontal="center" vertical="center" wrapText="1"/>
    </xf>
    <xf numFmtId="169" fontId="26" fillId="3" borderId="4" xfId="13" applyNumberFormat="1" applyFont="1" applyFill="1" applyBorder="1" applyAlignment="1">
      <alignment horizontal="center" vertical="center" wrapText="1"/>
    </xf>
    <xf numFmtId="169" fontId="26" fillId="3" borderId="12" xfId="13" applyNumberFormat="1" applyFont="1" applyFill="1" applyBorder="1" applyAlignment="1">
      <alignment horizontal="center" vertical="center" wrapText="1"/>
    </xf>
    <xf numFmtId="169" fontId="26" fillId="3" borderId="5" xfId="13" applyNumberFormat="1" applyFont="1" applyFill="1" applyBorder="1" applyAlignment="1">
      <alignment horizontal="center" vertical="center" wrapText="1"/>
    </xf>
    <xf numFmtId="168" fontId="26" fillId="3" borderId="6" xfId="86" applyNumberFormat="1" applyFont="1" applyFill="1" applyBorder="1" applyAlignment="1">
      <alignment horizontal="center" vertical="center"/>
    </xf>
    <xf numFmtId="168" fontId="26" fillId="3" borderId="8" xfId="86" applyNumberFormat="1" applyFont="1" applyFill="1" applyBorder="1" applyAlignment="1">
      <alignment horizontal="center" vertical="center"/>
    </xf>
    <xf numFmtId="0" fontId="24" fillId="0" borderId="9" xfId="0" applyNumberFormat="1" applyFont="1" applyFill="1" applyBorder="1" applyAlignment="1">
      <alignment horizontal="center" vertical="center"/>
    </xf>
    <xf numFmtId="0" fontId="24" fillId="0" borderId="1" xfId="0" applyNumberFormat="1" applyFont="1" applyFill="1" applyBorder="1" applyAlignment="1">
      <alignment horizontal="center" vertical="center"/>
    </xf>
    <xf numFmtId="0" fontId="24" fillId="0" borderId="11" xfId="0" applyNumberFormat="1" applyFont="1" applyFill="1" applyBorder="1" applyAlignment="1">
      <alignment horizontal="center" vertical="center"/>
    </xf>
    <xf numFmtId="0" fontId="24" fillId="0" borderId="0" xfId="0" applyNumberFormat="1" applyFont="1" applyFill="1" applyBorder="1" applyAlignment="1">
      <alignment horizontal="center" vertical="center"/>
    </xf>
    <xf numFmtId="0" fontId="24" fillId="0" borderId="4" xfId="0" applyNumberFormat="1" applyFont="1" applyFill="1" applyBorder="1" applyAlignment="1">
      <alignment horizontal="center" vertical="center"/>
    </xf>
    <xf numFmtId="0" fontId="24" fillId="0" borderId="12" xfId="0" applyNumberFormat="1" applyFont="1" applyFill="1" applyBorder="1" applyAlignment="1">
      <alignment horizontal="center" vertical="center"/>
    </xf>
    <xf numFmtId="185" fontId="24" fillId="0" borderId="1" xfId="0" applyNumberFormat="1" applyFont="1" applyFill="1" applyBorder="1" applyAlignment="1">
      <alignment horizontal="right" vertical="center"/>
    </xf>
    <xf numFmtId="185" fontId="24" fillId="0" borderId="10" xfId="0" applyNumberFormat="1" applyFont="1" applyFill="1" applyBorder="1" applyAlignment="1">
      <alignment horizontal="right" vertical="center"/>
    </xf>
    <xf numFmtId="185" fontId="24" fillId="0" borderId="0" xfId="0" applyNumberFormat="1" applyFont="1" applyFill="1" applyBorder="1" applyAlignment="1">
      <alignment horizontal="right" vertical="center"/>
    </xf>
    <xf numFmtId="185" fontId="24" fillId="0" borderId="2" xfId="0" applyNumberFormat="1" applyFont="1" applyFill="1" applyBorder="1" applyAlignment="1">
      <alignment horizontal="right" vertical="center"/>
    </xf>
    <xf numFmtId="185" fontId="24" fillId="0" borderId="12" xfId="0" applyNumberFormat="1" applyFont="1" applyFill="1" applyBorder="1" applyAlignment="1">
      <alignment horizontal="right" vertical="center"/>
    </xf>
    <xf numFmtId="185" fontId="24" fillId="0" borderId="5" xfId="0" applyNumberFormat="1" applyFont="1" applyFill="1" applyBorder="1" applyAlignment="1">
      <alignment horizontal="right" vertical="center"/>
    </xf>
    <xf numFmtId="49" fontId="20" fillId="0" borderId="11" xfId="0" applyNumberFormat="1" applyFont="1" applyFill="1" applyBorder="1" applyAlignment="1">
      <alignment horizontal="left" vertical="center"/>
    </xf>
    <xf numFmtId="49" fontId="20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 applyAlignment="1">
      <alignment horizontal="left" vertical="center"/>
    </xf>
    <xf numFmtId="0" fontId="23" fillId="0" borderId="9" xfId="0" applyNumberFormat="1" applyFont="1" applyFill="1" applyBorder="1" applyAlignment="1">
      <alignment horizontal="center" vertical="center"/>
    </xf>
    <xf numFmtId="0" fontId="23" fillId="0" borderId="1" xfId="0" applyNumberFormat="1" applyFont="1" applyFill="1" applyBorder="1" applyAlignment="1">
      <alignment horizontal="center" vertical="center"/>
    </xf>
    <xf numFmtId="0" fontId="23" fillId="0" borderId="10" xfId="0" applyNumberFormat="1" applyFont="1" applyFill="1" applyBorder="1" applyAlignment="1">
      <alignment horizontal="center" vertical="center"/>
    </xf>
    <xf numFmtId="0" fontId="23" fillId="0" borderId="11" xfId="0" applyNumberFormat="1" applyFont="1" applyFill="1" applyBorder="1" applyAlignment="1">
      <alignment horizontal="center" vertical="center"/>
    </xf>
    <xf numFmtId="0" fontId="23" fillId="0" borderId="0" xfId="0" applyNumberFormat="1" applyFont="1" applyFill="1" applyBorder="1" applyAlignment="1">
      <alignment horizontal="center" vertical="center"/>
    </xf>
    <xf numFmtId="0" fontId="23" fillId="0" borderId="2" xfId="0" applyNumberFormat="1" applyFont="1" applyFill="1" applyBorder="1" applyAlignment="1">
      <alignment horizontal="center" vertical="center"/>
    </xf>
    <xf numFmtId="0" fontId="23" fillId="0" borderId="4" xfId="0" applyNumberFormat="1" applyFont="1" applyFill="1" applyBorder="1" applyAlignment="1">
      <alignment horizontal="center" vertical="center"/>
    </xf>
    <xf numFmtId="0" fontId="23" fillId="0" borderId="12" xfId="0" applyNumberFormat="1" applyFont="1" applyFill="1" applyBorder="1" applyAlignment="1">
      <alignment horizontal="center" vertical="center"/>
    </xf>
    <xf numFmtId="0" fontId="23" fillId="0" borderId="5" xfId="0" applyNumberFormat="1" applyFont="1" applyFill="1" applyBorder="1" applyAlignment="1">
      <alignment horizontal="center" vertical="center"/>
    </xf>
    <xf numFmtId="0" fontId="20" fillId="0" borderId="9" xfId="0" applyNumberFormat="1" applyFont="1" applyFill="1" applyBorder="1" applyAlignment="1">
      <alignment horizontal="center"/>
    </xf>
    <xf numFmtId="0" fontId="20" fillId="0" borderId="10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0" fontId="20" fillId="0" borderId="2" xfId="0" applyNumberFormat="1" applyFont="1" applyFill="1" applyBorder="1" applyAlignment="1">
      <alignment horizontal="center"/>
    </xf>
    <xf numFmtId="0" fontId="20" fillId="0" borderId="4" xfId="0" applyNumberFormat="1" applyFont="1" applyFill="1" applyBorder="1" applyAlignment="1">
      <alignment horizontal="center"/>
    </xf>
    <xf numFmtId="0" fontId="20" fillId="0" borderId="5" xfId="0" applyNumberFormat="1" applyFont="1" applyFill="1" applyBorder="1" applyAlignment="1">
      <alignment horizontal="center"/>
    </xf>
    <xf numFmtId="0" fontId="23" fillId="0" borderId="9" xfId="0" applyNumberFormat="1" applyFont="1" applyFill="1" applyBorder="1" applyAlignment="1">
      <alignment horizontal="left" vertical="top"/>
    </xf>
    <xf numFmtId="0" fontId="23" fillId="0" borderId="1" xfId="0" applyNumberFormat="1" applyFont="1" applyFill="1" applyBorder="1" applyAlignment="1">
      <alignment horizontal="left" vertical="top"/>
    </xf>
    <xf numFmtId="0" fontId="23" fillId="0" borderId="10" xfId="0" applyNumberFormat="1" applyFont="1" applyFill="1" applyBorder="1" applyAlignment="1">
      <alignment horizontal="left" vertical="top"/>
    </xf>
    <xf numFmtId="0" fontId="23" fillId="0" borderId="11" xfId="0" applyNumberFormat="1" applyFont="1" applyFill="1" applyBorder="1" applyAlignment="1">
      <alignment horizontal="left" vertical="top"/>
    </xf>
    <xf numFmtId="0" fontId="23" fillId="0" borderId="0" xfId="0" applyNumberFormat="1" applyFont="1" applyFill="1" applyBorder="1" applyAlignment="1">
      <alignment horizontal="left" vertical="top"/>
    </xf>
    <xf numFmtId="0" fontId="23" fillId="0" borderId="2" xfId="0" applyNumberFormat="1" applyFont="1" applyFill="1" applyBorder="1" applyAlignment="1">
      <alignment horizontal="left" vertical="top"/>
    </xf>
    <xf numFmtId="0" fontId="23" fillId="0" borderId="4" xfId="0" applyNumberFormat="1" applyFont="1" applyFill="1" applyBorder="1" applyAlignment="1">
      <alignment horizontal="left" vertical="top"/>
    </xf>
    <xf numFmtId="0" fontId="23" fillId="0" borderId="12" xfId="0" applyNumberFormat="1" applyFont="1" applyFill="1" applyBorder="1" applyAlignment="1">
      <alignment horizontal="left" vertical="top"/>
    </xf>
    <xf numFmtId="0" fontId="23" fillId="0" borderId="5" xfId="0" applyNumberFormat="1" applyFont="1" applyFill="1" applyBorder="1" applyAlignment="1">
      <alignment horizontal="left" vertical="top"/>
    </xf>
    <xf numFmtId="0" fontId="20" fillId="0" borderId="9" xfId="0" applyNumberFormat="1" applyFont="1" applyFill="1" applyBorder="1" applyAlignment="1">
      <alignment horizontal="center" vertical="center"/>
    </xf>
    <xf numFmtId="0" fontId="20" fillId="0" borderId="10" xfId="0" applyNumberFormat="1" applyFont="1" applyFill="1" applyBorder="1" applyAlignment="1">
      <alignment horizontal="center" vertical="center"/>
    </xf>
    <xf numFmtId="0" fontId="20" fillId="0" borderId="4" xfId="0" applyNumberFormat="1" applyFont="1" applyFill="1" applyBorder="1" applyAlignment="1">
      <alignment horizontal="center" vertical="center"/>
    </xf>
    <xf numFmtId="0" fontId="20" fillId="0" borderId="5" xfId="0" applyNumberFormat="1" applyFont="1" applyFill="1" applyBorder="1" applyAlignment="1">
      <alignment horizontal="center" vertical="center"/>
    </xf>
    <xf numFmtId="0" fontId="20" fillId="0" borderId="12" xfId="0" applyNumberFormat="1" applyFont="1" applyFill="1" applyBorder="1" applyAlignment="1">
      <alignment horizontal="left" vertical="center"/>
    </xf>
    <xf numFmtId="0" fontId="20" fillId="0" borderId="5" xfId="0" applyNumberFormat="1" applyFont="1" applyFill="1" applyBorder="1" applyAlignment="1">
      <alignment horizontal="left" vertical="center"/>
    </xf>
    <xf numFmtId="0" fontId="20" fillId="0" borderId="3" xfId="0" applyNumberFormat="1" applyFont="1" applyFill="1" applyBorder="1" applyAlignment="1">
      <alignment horizontal="left" vertical="center"/>
    </xf>
    <xf numFmtId="0" fontId="20" fillId="0" borderId="11" xfId="0" applyNumberFormat="1" applyFont="1" applyFill="1" applyBorder="1" applyAlignment="1">
      <alignment horizontal="left" vertical="center"/>
    </xf>
    <xf numFmtId="0" fontId="20" fillId="0" borderId="2" xfId="0" applyNumberFormat="1" applyFont="1" applyFill="1" applyBorder="1" applyAlignment="1">
      <alignment horizontal="left" vertical="center"/>
    </xf>
    <xf numFmtId="0" fontId="20" fillId="0" borderId="6" xfId="0" applyNumberFormat="1" applyFont="1" applyFill="1" applyBorder="1" applyAlignment="1">
      <alignment horizontal="left" vertical="center"/>
    </xf>
    <xf numFmtId="0" fontId="20" fillId="0" borderId="8" xfId="0" applyNumberFormat="1" applyFont="1" applyFill="1" applyBorder="1" applyAlignment="1">
      <alignment horizontal="left" vertical="center"/>
    </xf>
    <xf numFmtId="0" fontId="20" fillId="0" borderId="1" xfId="0" applyNumberFormat="1" applyFont="1" applyFill="1" applyBorder="1" applyAlignment="1">
      <alignment horizontal="left" vertical="center"/>
    </xf>
    <xf numFmtId="0" fontId="20" fillId="0" borderId="10" xfId="0" applyNumberFormat="1" applyFont="1" applyFill="1" applyBorder="1" applyAlignment="1">
      <alignment horizontal="left" vertical="center"/>
    </xf>
    <xf numFmtId="0" fontId="20" fillId="0" borderId="1" xfId="0" applyNumberFormat="1" applyFont="1" applyFill="1" applyBorder="1" applyAlignment="1">
      <alignment horizontal="center"/>
    </xf>
    <xf numFmtId="0" fontId="20" fillId="0" borderId="0" xfId="0" applyNumberFormat="1" applyFont="1" applyFill="1" applyBorder="1" applyAlignment="1">
      <alignment horizontal="center"/>
    </xf>
    <xf numFmtId="0" fontId="20" fillId="0" borderId="12" xfId="0" applyNumberFormat="1" applyFont="1" applyFill="1" applyBorder="1" applyAlignment="1">
      <alignment horizontal="center"/>
    </xf>
    <xf numFmtId="0" fontId="20" fillId="0" borderId="9" xfId="0" applyNumberFormat="1" applyFont="1" applyFill="1" applyBorder="1" applyAlignment="1">
      <alignment horizontal="left" vertical="center"/>
    </xf>
    <xf numFmtId="184" fontId="20" fillId="0" borderId="9" xfId="0" applyNumberFormat="1" applyFont="1" applyFill="1" applyBorder="1" applyAlignment="1">
      <alignment horizontal="left" vertical="center"/>
    </xf>
    <xf numFmtId="184" fontId="20" fillId="0" borderId="1" xfId="0" applyNumberFormat="1" applyFont="1" applyFill="1" applyBorder="1" applyAlignment="1">
      <alignment horizontal="left" vertical="center"/>
    </xf>
    <xf numFmtId="184" fontId="20" fillId="0" borderId="10" xfId="0" applyNumberFormat="1" applyFont="1" applyFill="1" applyBorder="1" applyAlignment="1">
      <alignment horizontal="left" vertical="center"/>
    </xf>
    <xf numFmtId="0" fontId="20" fillId="0" borderId="11" xfId="0" applyNumberFormat="1" applyFont="1" applyFill="1" applyBorder="1" applyAlignment="1">
      <alignment horizontal="left" vertical="center" wrapText="1"/>
    </xf>
    <xf numFmtId="0" fontId="20" fillId="0" borderId="0" xfId="0" applyNumberFormat="1" applyFont="1" applyFill="1" applyBorder="1" applyAlignment="1">
      <alignment horizontal="left" vertical="center" wrapText="1"/>
    </xf>
    <xf numFmtId="0" fontId="20" fillId="0" borderId="2" xfId="0" applyNumberFormat="1" applyFont="1" applyFill="1" applyBorder="1" applyAlignment="1">
      <alignment horizontal="left" vertical="center" wrapText="1"/>
    </xf>
    <xf numFmtId="0" fontId="20" fillId="0" borderId="4" xfId="0" applyNumberFormat="1" applyFont="1" applyFill="1" applyBorder="1" applyAlignment="1">
      <alignment horizontal="left" vertical="center"/>
    </xf>
    <xf numFmtId="184" fontId="20" fillId="0" borderId="11" xfId="0" applyNumberFormat="1" applyFont="1" applyFill="1" applyBorder="1" applyAlignment="1">
      <alignment horizontal="left" vertical="center"/>
    </xf>
    <xf numFmtId="184" fontId="20" fillId="0" borderId="0" xfId="0" applyNumberFormat="1" applyFont="1" applyFill="1" applyBorder="1" applyAlignment="1">
      <alignment horizontal="left" vertical="center"/>
    </xf>
    <xf numFmtId="184" fontId="20" fillId="0" borderId="2" xfId="0" applyNumberFormat="1" applyFont="1" applyFill="1" applyBorder="1" applyAlignment="1">
      <alignment horizontal="left" vertical="center"/>
    </xf>
  </cellXfs>
  <cellStyles count="110">
    <cellStyle name="_ET_STYLE_NoName_00_" xfId="1"/>
    <cellStyle name="Comma 10" xfId="2"/>
    <cellStyle name="Comma 11" xfId="3"/>
    <cellStyle name="Comma 12" xfId="4"/>
    <cellStyle name="Comma 13" xfId="5"/>
    <cellStyle name="Comma 14" xfId="6"/>
    <cellStyle name="Comma 14 2" xfId="7"/>
    <cellStyle name="Comma 15" xfId="8"/>
    <cellStyle name="Comma 16" xfId="9"/>
    <cellStyle name="Comma 17" xfId="10"/>
    <cellStyle name="Comma 18" xfId="11"/>
    <cellStyle name="Comma 19" xfId="12"/>
    <cellStyle name="Comma 2" xfId="13"/>
    <cellStyle name="Comma 2 2" xfId="14"/>
    <cellStyle name="Comma 2 3" xfId="15"/>
    <cellStyle name="Comma 2 4" xfId="16"/>
    <cellStyle name="Comma 20" xfId="17"/>
    <cellStyle name="Comma 21" xfId="18"/>
    <cellStyle name="Comma 22" xfId="19"/>
    <cellStyle name="Comma 23" xfId="20"/>
    <cellStyle name="Comma 24" xfId="21"/>
    <cellStyle name="Comma 25" xfId="22"/>
    <cellStyle name="Comma 26" xfId="23"/>
    <cellStyle name="Comma 27" xfId="24"/>
    <cellStyle name="Comma 28" xfId="25"/>
    <cellStyle name="Comma 29" xfId="26"/>
    <cellStyle name="Comma 3" xfId="27"/>
    <cellStyle name="Comma 3 2" xfId="28"/>
    <cellStyle name="Comma 3 3" xfId="29"/>
    <cellStyle name="Comma 3 4" xfId="30"/>
    <cellStyle name="Comma 4" xfId="31"/>
    <cellStyle name="Comma 4 2" xfId="32"/>
    <cellStyle name="Comma 4 2 2" xfId="33"/>
    <cellStyle name="Comma 4 3" xfId="34"/>
    <cellStyle name="Comma 5" xfId="35"/>
    <cellStyle name="Comma 5 2" xfId="36"/>
    <cellStyle name="Comma 5 2 2" xfId="37"/>
    <cellStyle name="Comma 5 2 3" xfId="38"/>
    <cellStyle name="Comma 5 3" xfId="39"/>
    <cellStyle name="Comma 5 3 2" xfId="40"/>
    <cellStyle name="Comma 5 4" xfId="41"/>
    <cellStyle name="Comma 5 4 2" xfId="42"/>
    <cellStyle name="Comma 5 5" xfId="43"/>
    <cellStyle name="Comma 5 5 2" xfId="44"/>
    <cellStyle name="Comma 5 6" xfId="45"/>
    <cellStyle name="Comma 5 6 2" xfId="46"/>
    <cellStyle name="Comma 5 7" xfId="47"/>
    <cellStyle name="Comma 5 8" xfId="48"/>
    <cellStyle name="Comma 5 9" xfId="49"/>
    <cellStyle name="Comma 6" xfId="50"/>
    <cellStyle name="Comma 6 2" xfId="51"/>
    <cellStyle name="Comma 7" xfId="52"/>
    <cellStyle name="Comma 8" xfId="53"/>
    <cellStyle name="Comma 9" xfId="54"/>
    <cellStyle name="Euro" xfId="55"/>
    <cellStyle name="Excel Built-in Normal" xfId="56"/>
    <cellStyle name="Header1" xfId="57"/>
    <cellStyle name="Header2" xfId="58"/>
    <cellStyle name="Hyperlink" xfId="59" builtinId="8"/>
    <cellStyle name="Hyperlink 2" xfId="60"/>
    <cellStyle name="Hyperlink 3" xfId="61"/>
    <cellStyle name="Komma 2" xfId="62"/>
    <cellStyle name="n" xfId="63"/>
    <cellStyle name="Normal" xfId="0" builtinId="0"/>
    <cellStyle name="Normal 11" xfId="64"/>
    <cellStyle name="Normal 14" xfId="65"/>
    <cellStyle name="Normal 15" xfId="66"/>
    <cellStyle name="Normal 2" xfId="67"/>
    <cellStyle name="Normal 2 2" xfId="68"/>
    <cellStyle name="Normal 2 3" xfId="69"/>
    <cellStyle name="Normal 2 4" xfId="70"/>
    <cellStyle name="Normal 2_SAPPORO SET 01-10-09" xfId="71"/>
    <cellStyle name="Normal 3" xfId="72"/>
    <cellStyle name="Normal 3 2" xfId="73"/>
    <cellStyle name="Normal 4" xfId="74"/>
    <cellStyle name="Normal 4 2" xfId="75"/>
    <cellStyle name="Normal 4 3" xfId="76"/>
    <cellStyle name="Normal 5" xfId="77"/>
    <cellStyle name="Normal 6" xfId="78"/>
    <cellStyle name="Normal 7" xfId="79"/>
    <cellStyle name="Normal 7 2" xfId="80"/>
    <cellStyle name="Normal 8" xfId="81"/>
    <cellStyle name="Normal 9" xfId="82"/>
    <cellStyle name="Standaard 2" xfId="83"/>
    <cellStyle name="Standaard 2 2" xfId="84"/>
    <cellStyle name="Standaard 3" xfId="85"/>
    <cellStyle name="Standaard_STANDAARD LAY-OUT SAMPLES 2009" xfId="86"/>
    <cellStyle name="Stijl 1" xfId="87"/>
    <cellStyle name="Style 1" xfId="88"/>
    <cellStyle name=" [0.00]_ Att. 1- Cover" xfId="89"/>
    <cellStyle name="_ Att. 1- Cover" xfId="90"/>
    <cellStyle name="?_ Att. 1- Cover" xfId="91"/>
    <cellStyle name="똿뗦먛귟 [0.00]_PRODUCT DETAIL Q1" xfId="92"/>
    <cellStyle name="똿뗦먛귟_PRODUCT DETAIL Q1" xfId="93"/>
    <cellStyle name="믅됞 [0.00]_PRODUCT DETAIL Q1" xfId="94"/>
    <cellStyle name="믅됞_PRODUCT DETAIL Q1" xfId="95"/>
    <cellStyle name="백분율_95" xfId="96"/>
    <cellStyle name="뷭?_BOOKSHIP" xfId="97"/>
    <cellStyle name="콤마 [0]_1202" xfId="98"/>
    <cellStyle name="콤마_1202" xfId="99"/>
    <cellStyle name="통화 [0]_1202" xfId="100"/>
    <cellStyle name="통화_1202" xfId="101"/>
    <cellStyle name="표준_(정보부문)월별인원계획" xfId="102"/>
    <cellStyle name="一般_99Q3647-ALL-CAS2" xfId="103"/>
    <cellStyle name="千分位[0]_Book1" xfId="104"/>
    <cellStyle name="千分位_99Q3647-ALL-CAS2" xfId="105"/>
    <cellStyle name="常规_Sheet1" xfId="106"/>
    <cellStyle name="貨幣 [0]_Book1" xfId="107"/>
    <cellStyle name="貨幣[0]_BRE" xfId="108"/>
    <cellStyle name="貨幣_Book1" xfId="109"/>
  </cellStyles>
  <dxfs count="0"/>
  <tableStyles count="0" defaultTableStyle="TableStyleMedium9" defaultPivotStyle="PivotStyleLight16"/>
  <colors>
    <mruColors>
      <color rgb="FF00B0F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609600</xdr:rowOff>
    </xdr:from>
    <xdr:to>
      <xdr:col>1</xdr:col>
      <xdr:colOff>7810503</xdr:colOff>
      <xdr:row>5</xdr:row>
      <xdr:rowOff>38101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0" y="609600"/>
          <a:ext cx="7429503" cy="28575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59532</xdr:colOff>
      <xdr:row>46</xdr:row>
      <xdr:rowOff>17860</xdr:rowOff>
    </xdr:from>
    <xdr:to>
      <xdr:col>22</xdr:col>
      <xdr:colOff>295275</xdr:colOff>
      <xdr:row>49</xdr:row>
      <xdr:rowOff>95250</xdr:rowOff>
    </xdr:to>
    <xdr:pic>
      <xdr:nvPicPr>
        <xdr:cNvPr id="2" name="Picture 7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403307" y="5713810"/>
          <a:ext cx="1578820" cy="45175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30"/>
  <sheetViews>
    <sheetView showZeros="0" tabSelected="1" view="pageBreakPreview" zoomScale="25" zoomScaleNormal="100" zoomScaleSheetLayoutView="25" workbookViewId="0">
      <selection sqref="A1:A6"/>
    </sheetView>
  </sheetViews>
  <sheetFormatPr defaultColWidth="9.140625" defaultRowHeight="42"/>
  <cols>
    <col min="1" max="1" width="13.85546875" style="38" customWidth="1"/>
    <col min="2" max="2" width="124.28515625" style="38" customWidth="1"/>
    <col min="3" max="3" width="93.140625" style="38" hidden="1" customWidth="1"/>
    <col min="4" max="4" width="44.28515625" style="38" customWidth="1"/>
    <col min="5" max="5" width="35.7109375" style="38" customWidth="1"/>
    <col min="6" max="6" width="112.7109375" style="38" customWidth="1"/>
    <col min="7" max="7" width="60.7109375" style="38" customWidth="1"/>
    <col min="8" max="16" width="38.85546875" style="38" customWidth="1"/>
    <col min="17" max="17" width="29.140625" style="38" customWidth="1"/>
    <col min="18" max="19" width="25.5703125" style="38" customWidth="1"/>
    <col min="20" max="20" width="41" style="38" customWidth="1"/>
    <col min="21" max="21" width="34.7109375" style="38" customWidth="1"/>
    <col min="22" max="22" width="36.5703125" style="38" customWidth="1"/>
    <col min="23" max="23" width="38.7109375" style="38" customWidth="1"/>
    <col min="24" max="24" width="35.42578125" style="38" customWidth="1"/>
    <col min="25" max="25" width="42.42578125" style="38" customWidth="1"/>
    <col min="26" max="26" width="34.140625" style="38" customWidth="1"/>
    <col min="27" max="27" width="45.7109375" style="38" customWidth="1"/>
    <col min="28" max="28" width="73.85546875" style="38" customWidth="1"/>
    <col min="29" max="29" width="72.5703125" style="38" hidden="1" customWidth="1"/>
    <col min="30" max="30" width="159.28515625" style="38" customWidth="1"/>
    <col min="31" max="32" width="27.5703125" style="38" customWidth="1"/>
    <col min="33" max="33" width="27.5703125" style="39" customWidth="1"/>
    <col min="34" max="34" width="21.42578125" style="38" customWidth="1"/>
    <col min="35" max="35" width="9.140625" style="38" customWidth="1"/>
    <col min="36" max="36" width="10" style="38" bestFit="1" customWidth="1"/>
    <col min="37" max="38" width="9.140625" style="38" customWidth="1"/>
    <col min="39" max="16384" width="9.140625" style="38"/>
  </cols>
  <sheetData>
    <row r="1" spans="1:36" s="37" customFormat="1" ht="52.5" customHeight="1">
      <c r="A1" s="73"/>
      <c r="B1" s="74"/>
      <c r="C1" s="74"/>
      <c r="D1" s="74">
        <f>PrintHeader!B2</f>
        <v>0</v>
      </c>
      <c r="E1" s="74"/>
      <c r="F1" s="74"/>
      <c r="G1" s="42" t="s">
        <v>75</v>
      </c>
      <c r="H1" s="62">
        <f>PrintHeader!C2</f>
        <v>0</v>
      </c>
      <c r="I1" s="62"/>
      <c r="J1" s="62"/>
      <c r="K1" s="62"/>
      <c r="L1" s="62"/>
      <c r="M1" s="62"/>
      <c r="N1" s="62"/>
      <c r="O1" s="62"/>
      <c r="P1" s="62"/>
      <c r="Q1" s="76"/>
      <c r="R1" s="52"/>
      <c r="S1" s="55"/>
      <c r="T1" s="55"/>
      <c r="U1" s="77" t="s">
        <v>76</v>
      </c>
      <c r="V1" s="62"/>
      <c r="W1" s="62"/>
      <c r="X1" s="62">
        <f>PrintHeader!O2</f>
        <v>0</v>
      </c>
      <c r="Y1" s="62"/>
      <c r="Z1" s="62"/>
      <c r="AA1" s="62"/>
      <c r="AB1" s="62"/>
      <c r="AC1" s="35"/>
      <c r="AD1" s="35"/>
      <c r="AE1" s="36"/>
    </row>
    <row r="2" spans="1:36" s="37" customFormat="1" ht="52.5" customHeight="1">
      <c r="A2" s="73"/>
      <c r="B2" s="74"/>
      <c r="C2" s="74"/>
      <c r="D2" s="74"/>
      <c r="E2" s="74"/>
      <c r="F2" s="74"/>
      <c r="G2" s="42" t="s">
        <v>77</v>
      </c>
      <c r="H2" s="62">
        <f>PrintHeader!D2</f>
        <v>0</v>
      </c>
      <c r="I2" s="62"/>
      <c r="J2" s="62"/>
      <c r="K2" s="62"/>
      <c r="L2" s="62"/>
      <c r="M2" s="62"/>
      <c r="N2" s="62"/>
      <c r="O2" s="62"/>
      <c r="P2" s="62"/>
      <c r="Q2" s="76"/>
      <c r="R2" s="53"/>
      <c r="S2" s="56"/>
      <c r="T2" s="56"/>
      <c r="U2" s="77" t="s">
        <v>78</v>
      </c>
      <c r="V2" s="62"/>
      <c r="W2" s="62"/>
      <c r="X2" s="62">
        <f>PrintHeader!P2</f>
        <v>0</v>
      </c>
      <c r="Y2" s="62"/>
      <c r="Z2" s="62"/>
      <c r="AA2" s="62"/>
      <c r="AB2" s="62"/>
      <c r="AC2" s="35"/>
      <c r="AD2" s="35"/>
      <c r="AE2" s="36"/>
    </row>
    <row r="3" spans="1:36" s="37" customFormat="1" ht="52.5" customHeight="1">
      <c r="A3" s="73"/>
      <c r="B3" s="74"/>
      <c r="C3" s="74"/>
      <c r="D3" s="74"/>
      <c r="E3" s="74"/>
      <c r="F3" s="74"/>
      <c r="G3" s="42" t="s">
        <v>79</v>
      </c>
      <c r="H3" s="62">
        <f>PrintHeader!E2</f>
        <v>0</v>
      </c>
      <c r="I3" s="62"/>
      <c r="J3" s="62"/>
      <c r="K3" s="62"/>
      <c r="L3" s="62"/>
      <c r="M3" s="62"/>
      <c r="N3" s="62"/>
      <c r="O3" s="62"/>
      <c r="P3" s="62"/>
      <c r="Q3" s="76"/>
      <c r="R3" s="53"/>
      <c r="S3" s="56"/>
      <c r="T3" s="56"/>
      <c r="U3" s="77" t="s">
        <v>80</v>
      </c>
      <c r="V3" s="62"/>
      <c r="W3" s="62"/>
      <c r="X3" s="62">
        <f>PrintHeader!J2</f>
        <v>0</v>
      </c>
      <c r="Y3" s="62"/>
      <c r="Z3" s="62"/>
      <c r="AA3" s="62"/>
      <c r="AB3" s="62"/>
      <c r="AC3" s="35"/>
      <c r="AD3" s="35"/>
      <c r="AE3" s="36"/>
    </row>
    <row r="4" spans="1:36" s="37" customFormat="1" ht="52.5" customHeight="1">
      <c r="A4" s="73"/>
      <c r="B4" s="74"/>
      <c r="C4" s="74"/>
      <c r="D4" s="74"/>
      <c r="E4" s="74"/>
      <c r="F4" s="74"/>
      <c r="G4" s="42" t="s">
        <v>81</v>
      </c>
      <c r="H4" s="62">
        <f>PrintHeader!F2</f>
        <v>0</v>
      </c>
      <c r="I4" s="62"/>
      <c r="J4" s="62"/>
      <c r="K4" s="62"/>
      <c r="L4" s="62"/>
      <c r="M4" s="62"/>
      <c r="N4" s="62"/>
      <c r="O4" s="62"/>
      <c r="P4" s="62"/>
      <c r="Q4" s="76"/>
      <c r="R4" s="53"/>
      <c r="S4" s="56"/>
      <c r="T4" s="56"/>
      <c r="U4" s="77" t="s">
        <v>82</v>
      </c>
      <c r="V4" s="62"/>
      <c r="W4" s="62"/>
      <c r="X4" s="62">
        <f>PrintHeader!K2</f>
        <v>0</v>
      </c>
      <c r="Y4" s="62"/>
      <c r="Z4" s="62"/>
      <c r="AA4" s="62"/>
      <c r="AB4" s="62"/>
      <c r="AC4" s="35"/>
      <c r="AD4" s="35"/>
      <c r="AE4" s="36"/>
    </row>
    <row r="5" spans="1:36" s="37" customFormat="1" ht="52.5" customHeight="1">
      <c r="A5" s="73"/>
      <c r="B5" s="74"/>
      <c r="C5" s="74"/>
      <c r="D5" s="74"/>
      <c r="E5" s="74"/>
      <c r="F5" s="74"/>
      <c r="G5" s="42" t="s">
        <v>83</v>
      </c>
      <c r="H5" s="62">
        <f>PrintHeader!Q2</f>
        <v>0</v>
      </c>
      <c r="I5" s="62"/>
      <c r="J5" s="62"/>
      <c r="K5" s="62"/>
      <c r="L5" s="62"/>
      <c r="M5" s="62"/>
      <c r="N5" s="62"/>
      <c r="O5" s="62"/>
      <c r="P5" s="62"/>
      <c r="Q5" s="76"/>
      <c r="R5" s="53"/>
      <c r="S5" s="56"/>
      <c r="T5" s="56"/>
      <c r="U5" s="77" t="s">
        <v>84</v>
      </c>
      <c r="V5" s="62"/>
      <c r="W5" s="62"/>
      <c r="X5" s="62">
        <f>PrintHeader!R2</f>
        <v>0</v>
      </c>
      <c r="Y5" s="62"/>
      <c r="Z5" s="62"/>
      <c r="AA5" s="62"/>
      <c r="AB5" s="62"/>
      <c r="AC5" s="35"/>
      <c r="AD5" s="35"/>
      <c r="AE5" s="36"/>
    </row>
    <row r="6" spans="1:36" s="37" customFormat="1" ht="52.5" customHeight="1">
      <c r="A6" s="73"/>
      <c r="B6" s="74"/>
      <c r="C6" s="74"/>
      <c r="D6" s="74"/>
      <c r="E6" s="74"/>
      <c r="F6" s="74"/>
      <c r="G6" s="42" t="s">
        <v>85</v>
      </c>
      <c r="H6" s="62">
        <f>PrintHeader!AS2</f>
        <v>0</v>
      </c>
      <c r="I6" s="62"/>
      <c r="J6" s="62"/>
      <c r="K6" s="62"/>
      <c r="L6" s="62"/>
      <c r="M6" s="62"/>
      <c r="N6" s="62"/>
      <c r="O6" s="62"/>
      <c r="P6" s="62"/>
      <c r="Q6" s="76"/>
      <c r="R6" s="54"/>
      <c r="S6" s="57"/>
      <c r="T6" s="57"/>
      <c r="U6" s="71" t="s">
        <v>86</v>
      </c>
      <c r="V6" s="72"/>
      <c r="W6" s="72"/>
      <c r="X6" s="62">
        <f>PrintHeader!S2</f>
        <v>0</v>
      </c>
      <c r="Y6" s="62"/>
      <c r="Z6" s="62"/>
      <c r="AA6" s="62"/>
      <c r="AB6" s="62"/>
      <c r="AC6" s="35"/>
      <c r="AD6" s="35"/>
      <c r="AE6" s="36"/>
      <c r="AF6" s="36"/>
      <c r="AG6" s="36"/>
      <c r="AH6" s="36"/>
      <c r="AI6" s="36"/>
      <c r="AJ6" s="36"/>
    </row>
    <row r="7" spans="1:36" ht="52.5" customHeight="1">
      <c r="A7" s="66" t="s">
        <v>29</v>
      </c>
      <c r="B7" s="66" t="s">
        <v>87</v>
      </c>
      <c r="C7" s="66" t="s">
        <v>88</v>
      </c>
      <c r="D7" s="66" t="s">
        <v>89</v>
      </c>
      <c r="E7" s="66" t="s">
        <v>90</v>
      </c>
      <c r="F7" s="66" t="s">
        <v>91</v>
      </c>
      <c r="G7" s="66" t="s">
        <v>92</v>
      </c>
      <c r="H7" s="63" t="s">
        <v>93</v>
      </c>
      <c r="I7" s="63" t="s">
        <v>94</v>
      </c>
      <c r="J7" s="63" t="s">
        <v>95</v>
      </c>
      <c r="K7" s="63" t="s">
        <v>96</v>
      </c>
      <c r="L7" s="63" t="s">
        <v>97</v>
      </c>
      <c r="M7" s="63" t="s">
        <v>98</v>
      </c>
      <c r="N7" s="63" t="s">
        <v>99</v>
      </c>
      <c r="O7" s="63" t="s">
        <v>100</v>
      </c>
      <c r="P7" s="63" t="s">
        <v>101</v>
      </c>
      <c r="Q7" s="63" t="s">
        <v>102</v>
      </c>
      <c r="R7" s="75" t="s">
        <v>103</v>
      </c>
      <c r="S7" s="78" t="s">
        <v>104</v>
      </c>
      <c r="T7" s="79"/>
      <c r="U7" s="79"/>
      <c r="V7" s="79"/>
      <c r="W7" s="80"/>
      <c r="X7" s="68" t="s">
        <v>105</v>
      </c>
      <c r="Y7" s="67" t="s">
        <v>106</v>
      </c>
      <c r="Z7" s="68" t="s">
        <v>107</v>
      </c>
      <c r="AA7" s="44" t="s">
        <v>108</v>
      </c>
      <c r="AB7" s="66" t="s">
        <v>109</v>
      </c>
      <c r="AC7" s="64"/>
      <c r="AG7" s="38"/>
    </row>
    <row r="8" spans="1:36" ht="67.5" customHeight="1">
      <c r="A8" s="66"/>
      <c r="B8" s="66"/>
      <c r="C8" s="66"/>
      <c r="D8" s="66"/>
      <c r="E8" s="66"/>
      <c r="F8" s="66"/>
      <c r="G8" s="66"/>
      <c r="H8" s="63"/>
      <c r="I8" s="63"/>
      <c r="J8" s="66"/>
      <c r="K8" s="63"/>
      <c r="L8" s="63"/>
      <c r="M8" s="63"/>
      <c r="N8" s="63"/>
      <c r="O8" s="63"/>
      <c r="P8" s="63"/>
      <c r="Q8" s="63"/>
      <c r="R8" s="63"/>
      <c r="S8" s="81"/>
      <c r="T8" s="82"/>
      <c r="U8" s="82"/>
      <c r="V8" s="82"/>
      <c r="W8" s="83"/>
      <c r="X8" s="69"/>
      <c r="Y8" s="67"/>
      <c r="Z8" s="69"/>
      <c r="AA8" s="51">
        <f>X2</f>
        <v>0</v>
      </c>
      <c r="AB8" s="66"/>
      <c r="AC8" s="64"/>
      <c r="AG8" s="38"/>
    </row>
    <row r="9" spans="1:36" ht="58.5" customHeight="1">
      <c r="A9" s="66"/>
      <c r="B9" s="66"/>
      <c r="C9" s="66"/>
      <c r="D9" s="66"/>
      <c r="E9" s="66"/>
      <c r="F9" s="66"/>
      <c r="G9" s="66"/>
      <c r="H9" s="63"/>
      <c r="I9" s="63"/>
      <c r="J9" s="66"/>
      <c r="K9" s="63"/>
      <c r="L9" s="63"/>
      <c r="M9" s="63"/>
      <c r="N9" s="63"/>
      <c r="O9" s="63"/>
      <c r="P9" s="63"/>
      <c r="Q9" s="63"/>
      <c r="R9" s="63"/>
      <c r="S9" s="84" t="s">
        <v>92</v>
      </c>
      <c r="T9" s="85"/>
      <c r="U9" s="45" t="s">
        <v>110</v>
      </c>
      <c r="V9" s="45" t="s">
        <v>111</v>
      </c>
      <c r="W9" s="45" t="s">
        <v>112</v>
      </c>
      <c r="X9" s="70"/>
      <c r="Y9" s="41" t="s">
        <v>113</v>
      </c>
      <c r="Z9" s="70"/>
      <c r="AA9" s="43">
        <f>X4</f>
        <v>0</v>
      </c>
      <c r="AB9" s="66"/>
      <c r="AC9" s="65"/>
      <c r="AG9" s="38"/>
    </row>
    <row r="10" spans="1:36" ht="34.5" customHeight="1">
      <c r="A10" s="46" t="s">
        <v>114</v>
      </c>
      <c r="B10" s="46" t="s">
        <v>115</v>
      </c>
      <c r="C10" s="46" t="s">
        <v>116</v>
      </c>
      <c r="D10" s="46" t="s">
        <v>117</v>
      </c>
      <c r="E10" s="46" t="s">
        <v>118</v>
      </c>
      <c r="F10" s="46" t="s">
        <v>119</v>
      </c>
      <c r="G10" s="46" t="s">
        <v>120</v>
      </c>
      <c r="H10" s="46" t="s">
        <v>121</v>
      </c>
      <c r="I10" s="46" t="s">
        <v>122</v>
      </c>
      <c r="J10" s="46" t="s">
        <v>123</v>
      </c>
      <c r="K10" s="46" t="s">
        <v>124</v>
      </c>
      <c r="L10" s="46" t="s">
        <v>125</v>
      </c>
      <c r="M10" s="46" t="s">
        <v>126</v>
      </c>
      <c r="N10" s="46" t="s">
        <v>127</v>
      </c>
      <c r="O10" s="46" t="s">
        <v>128</v>
      </c>
      <c r="P10" s="46" t="s">
        <v>129</v>
      </c>
      <c r="Q10" s="46" t="s">
        <v>130</v>
      </c>
      <c r="R10" s="46" t="s">
        <v>131</v>
      </c>
      <c r="S10" s="46" t="s">
        <v>132</v>
      </c>
      <c r="T10" s="46" t="s">
        <v>133</v>
      </c>
      <c r="U10" s="46" t="s">
        <v>134</v>
      </c>
      <c r="V10" s="46" t="s">
        <v>135</v>
      </c>
      <c r="W10" s="46" t="s">
        <v>136</v>
      </c>
      <c r="X10" s="47" t="s">
        <v>137</v>
      </c>
      <c r="Y10" s="47" t="s">
        <v>138</v>
      </c>
      <c r="Z10" s="47" t="s">
        <v>139</v>
      </c>
      <c r="AA10" s="46" t="s">
        <v>140</v>
      </c>
      <c r="AB10" s="46" t="s">
        <v>141</v>
      </c>
      <c r="AC10" s="60" t="s">
        <v>142</v>
      </c>
      <c r="AG10" s="38"/>
    </row>
    <row r="11" spans="1:36" ht="357.75" customHeight="1">
      <c r="A11" s="48">
        <f>PrintDetail!B2</f>
        <v>0</v>
      </c>
      <c r="B11" s="58">
        <f>PrintDetail!C2</f>
        <v>0</v>
      </c>
      <c r="C11" s="49"/>
      <c r="D11" s="58">
        <f>PrintDetail!E2</f>
        <v>0</v>
      </c>
      <c r="E11" s="50">
        <f>PrintDetail!F2</f>
        <v>0</v>
      </c>
      <c r="F11" s="50">
        <f>PrintDetail!G2</f>
        <v>0</v>
      </c>
      <c r="G11" s="50">
        <f>PrintDetail!H2</f>
        <v>0</v>
      </c>
      <c r="H11" s="50">
        <f>PrintDetail!I2</f>
        <v>0</v>
      </c>
      <c r="I11" s="50">
        <f>PrintDetail!J2</f>
        <v>0</v>
      </c>
      <c r="J11" s="50">
        <f>PrintDetail!K2</f>
        <v>0</v>
      </c>
      <c r="K11" s="50">
        <f>PrintDetail!L2</f>
        <v>0</v>
      </c>
      <c r="L11" s="50">
        <f>PrintDetail!M2</f>
        <v>0</v>
      </c>
      <c r="M11" s="50">
        <f>PrintDetail!N2</f>
        <v>0</v>
      </c>
      <c r="N11" s="50">
        <f>PrintDetail!O2</f>
        <v>0</v>
      </c>
      <c r="O11" s="50">
        <f>PrintDetail!P2</f>
        <v>0</v>
      </c>
      <c r="P11" s="50">
        <f>PrintDetail!Q2</f>
        <v>0</v>
      </c>
      <c r="Q11" s="50">
        <f>PrintDetail!R2</f>
        <v>0</v>
      </c>
      <c r="R11" s="50">
        <f>PrintDetail!S2</f>
        <v>0</v>
      </c>
      <c r="S11" s="61" t="s">
        <v>169</v>
      </c>
      <c r="T11" s="59">
        <f>PrintDetail!AD2</f>
        <v>0</v>
      </c>
      <c r="U11" s="50">
        <f>PrintDetail!T2</f>
        <v>0</v>
      </c>
      <c r="V11" s="50">
        <f>PrintDetail!U2</f>
        <v>0</v>
      </c>
      <c r="W11" s="50">
        <f>PrintDetail!V2</f>
        <v>0</v>
      </c>
      <c r="X11" s="50">
        <f>PrintDetail!W2</f>
        <v>0</v>
      </c>
      <c r="Y11" s="50">
        <f>PrintDetail!X2</f>
        <v>0</v>
      </c>
      <c r="Z11" s="50" t="e">
        <f>X11/Y11</f>
        <v>#DIV/0!</v>
      </c>
      <c r="AA11" s="50">
        <f>PrintDetail!Y2</f>
        <v>0</v>
      </c>
      <c r="AB11" s="50">
        <f>PrintDetail!Z2</f>
        <v>0</v>
      </c>
      <c r="AC11" s="50">
        <f>PrintDetail!AC2</f>
        <v>0</v>
      </c>
      <c r="AE11" s="39"/>
      <c r="AG11" s="38"/>
    </row>
    <row r="12" spans="1:36" ht="408.95" customHeight="1">
      <c r="AB12" s="40"/>
      <c r="AC12" s="40"/>
    </row>
    <row r="13" spans="1:36" ht="408.95" customHeight="1">
      <c r="AB13" s="40"/>
      <c r="AC13" s="40"/>
    </row>
    <row r="14" spans="1:36" ht="408.95" customHeight="1">
      <c r="AB14" s="40"/>
      <c r="AC14" s="40"/>
    </row>
    <row r="15" spans="1:36" ht="408.95" customHeight="1">
      <c r="AB15" s="40"/>
      <c r="AC15" s="40"/>
    </row>
    <row r="16" spans="1:36" ht="408.95" customHeight="1"/>
    <row r="17" ht="408.95" customHeight="1"/>
    <row r="18" ht="408.95" customHeight="1"/>
    <row r="19" ht="408.95" customHeight="1"/>
    <row r="20" ht="408.95" customHeight="1"/>
    <row r="21" ht="408.95" customHeight="1"/>
    <row r="22" ht="408.95" customHeight="1"/>
    <row r="23" ht="408.95" customHeight="1"/>
    <row r="24" ht="408.95" customHeight="1"/>
    <row r="25" ht="408.95" customHeight="1"/>
    <row r="26" ht="408.95" customHeight="1"/>
    <row r="27" ht="408.95" customHeight="1"/>
    <row r="28" ht="408.95" customHeight="1"/>
    <row r="29" ht="408.95" customHeight="1"/>
    <row r="30" ht="408.95" customHeight="1"/>
    <row r="31" ht="408.95" customHeight="1"/>
    <row r="32" ht="408.95" customHeight="1"/>
    <row r="33" ht="408.95" customHeight="1"/>
    <row r="34" ht="408.95" customHeight="1"/>
    <row r="35" ht="408.95" customHeight="1"/>
    <row r="36" ht="408.95" customHeight="1"/>
    <row r="37" ht="408.95" customHeight="1"/>
    <row r="38" ht="408.95" customHeight="1"/>
    <row r="39" ht="408.95" customHeight="1"/>
    <row r="40" ht="408.95" customHeight="1"/>
    <row r="41" ht="408.95" customHeight="1"/>
    <row r="42" ht="408.95" customHeight="1"/>
    <row r="43" ht="408.95" customHeight="1"/>
    <row r="44" ht="408.95" customHeight="1"/>
    <row r="45" ht="408.95" customHeight="1"/>
    <row r="46" ht="408.95" customHeight="1"/>
    <row r="47" ht="408.95" customHeight="1"/>
    <row r="48" ht="408.95" customHeight="1"/>
    <row r="49" ht="408.95" customHeight="1"/>
    <row r="50" ht="408.95" customHeight="1"/>
    <row r="51" ht="408.95" customHeight="1"/>
    <row r="52" ht="408.95" customHeight="1"/>
    <row r="53" ht="408.95" customHeight="1"/>
    <row r="54" ht="408.95" customHeight="1"/>
    <row r="55" ht="408.95" customHeight="1"/>
    <row r="56" ht="408.95" customHeight="1"/>
    <row r="57" ht="408.95" customHeight="1"/>
    <row r="58" ht="408.95" customHeight="1"/>
    <row r="59" ht="408.95" customHeight="1"/>
    <row r="60" ht="408.95" customHeight="1"/>
    <row r="61" ht="408.95" customHeight="1"/>
    <row r="62" ht="408.95" customHeight="1"/>
    <row r="63" ht="408.95" customHeight="1"/>
    <row r="64" ht="408.95" customHeight="1"/>
    <row r="65" ht="408.95" customHeight="1"/>
    <row r="66" ht="408.95" customHeight="1"/>
    <row r="67" ht="408.95" customHeight="1"/>
    <row r="68" ht="408.95" customHeight="1"/>
    <row r="69" ht="408.95" customHeight="1"/>
    <row r="70" ht="408.95" customHeight="1"/>
    <row r="71" ht="408.95" customHeight="1"/>
    <row r="72" ht="408.95" customHeight="1"/>
    <row r="73" ht="408.95" customHeight="1"/>
    <row r="74" ht="408.95" customHeight="1"/>
    <row r="75" ht="408.95" customHeight="1"/>
    <row r="76" ht="408.95" customHeight="1"/>
    <row r="77" ht="408.95" customHeight="1"/>
    <row r="78" ht="408.95" customHeight="1"/>
    <row r="79" ht="408.95" customHeight="1"/>
    <row r="80" ht="408.95" customHeight="1"/>
    <row r="81" ht="408.95" customHeight="1"/>
    <row r="82" ht="408.95" customHeight="1"/>
    <row r="83" ht="408.95" customHeight="1"/>
    <row r="84" ht="408.95" customHeight="1"/>
    <row r="85" ht="408.95" customHeight="1"/>
    <row r="86" ht="408.95" customHeight="1"/>
    <row r="87" ht="408.95" customHeight="1"/>
    <row r="88" ht="408.95" customHeight="1"/>
    <row r="89" ht="408.95" customHeight="1"/>
    <row r="90" ht="408.95" customHeight="1"/>
    <row r="91" ht="408.95" customHeight="1"/>
    <row r="92" ht="408.95" customHeight="1"/>
    <row r="93" ht="408.95" customHeight="1"/>
    <row r="94" ht="408.95" customHeight="1"/>
    <row r="95" ht="408.95" customHeight="1"/>
    <row r="96" ht="408.95" customHeight="1"/>
    <row r="97" ht="408.95" customHeight="1"/>
    <row r="98" ht="408.95" customHeight="1"/>
    <row r="99" ht="408.95" customHeight="1"/>
    <row r="100" ht="408.95" customHeight="1"/>
    <row r="101" ht="408.95" customHeight="1"/>
    <row r="102" ht="408.95" customHeight="1"/>
    <row r="103" ht="408.95" customHeight="1"/>
    <row r="104" ht="408.95" customHeight="1"/>
    <row r="105" ht="408.95" customHeight="1"/>
    <row r="106" ht="408.95" customHeight="1"/>
    <row r="107" ht="408.95" customHeight="1"/>
    <row r="108" ht="408.95" customHeight="1"/>
    <row r="109" ht="408.95" customHeight="1"/>
    <row r="110" ht="408.95" customHeight="1"/>
    <row r="111" ht="408.95" customHeight="1"/>
    <row r="112" ht="408.95" customHeight="1"/>
    <row r="113" ht="408.95" customHeight="1"/>
    <row r="114" ht="408.95" customHeight="1"/>
    <row r="115" ht="408.95" customHeight="1"/>
    <row r="116" ht="408.95" customHeight="1"/>
    <row r="117" ht="408.95" customHeight="1"/>
    <row r="118" ht="408.95" customHeight="1"/>
    <row r="119" ht="408.95" customHeight="1"/>
    <row r="120" ht="408.95" customHeight="1"/>
    <row r="121" ht="408.95" customHeight="1"/>
    <row r="122" ht="408.95" customHeight="1"/>
    <row r="123" ht="408.95" customHeight="1"/>
    <row r="124" ht="408.95" customHeight="1"/>
    <row r="125" ht="408.95" customHeight="1"/>
    <row r="126" ht="408.95" customHeight="1"/>
    <row r="127" ht="408.95" customHeight="1"/>
    <row r="128" ht="408.95" customHeight="1"/>
    <row r="129" ht="408.95" customHeight="1"/>
    <row r="130" ht="408.95" customHeight="1"/>
    <row r="131" ht="408.95" customHeight="1"/>
    <row r="132" ht="408.95" customHeight="1"/>
    <row r="133" ht="408.95" customHeight="1"/>
    <row r="134" ht="408.95" customHeight="1"/>
    <row r="135" ht="408.95" customHeight="1"/>
    <row r="136" ht="408.95" customHeight="1"/>
    <row r="137" ht="408.95" customHeight="1"/>
    <row r="138" ht="408.95" customHeight="1"/>
    <row r="139" ht="408.95" customHeight="1"/>
    <row r="140" ht="408.95" customHeight="1"/>
    <row r="141" ht="408.95" customHeight="1"/>
    <row r="142" ht="408.95" customHeight="1"/>
    <row r="143" ht="408.95" customHeight="1"/>
    <row r="144" ht="408.95" customHeight="1"/>
    <row r="145" ht="408.95" customHeight="1"/>
    <row r="146" ht="408.95" customHeight="1"/>
    <row r="147" ht="408.95" customHeight="1"/>
    <row r="148" ht="408.95" customHeight="1"/>
    <row r="149" ht="408.95" customHeight="1"/>
    <row r="150" ht="408.95" customHeight="1"/>
    <row r="151" ht="408.95" customHeight="1"/>
    <row r="152" ht="408.95" customHeight="1"/>
    <row r="153" ht="408.95" customHeight="1"/>
    <row r="154" ht="408.95" customHeight="1"/>
    <row r="155" ht="408.95" customHeight="1"/>
    <row r="156" ht="408.95" customHeight="1"/>
    <row r="157" ht="408.95" customHeight="1"/>
    <row r="158" ht="408.95" customHeight="1"/>
    <row r="159" ht="408.95" customHeight="1"/>
    <row r="160" ht="408.95" customHeight="1"/>
    <row r="161" ht="408.95" customHeight="1"/>
    <row r="162" ht="408.95" customHeight="1"/>
    <row r="163" ht="408.95" customHeight="1"/>
    <row r="164" ht="408.95" customHeight="1"/>
    <row r="165" ht="408.95" customHeight="1"/>
    <row r="166" ht="408.95" customHeight="1"/>
    <row r="167" ht="408.95" customHeight="1"/>
    <row r="168" ht="408.95" customHeight="1"/>
    <row r="169" ht="408.95" customHeight="1"/>
    <row r="170" ht="408.95" customHeight="1"/>
    <row r="171" ht="408.95" customHeight="1"/>
    <row r="172" ht="408.95" customHeight="1"/>
    <row r="173" ht="408.95" customHeight="1"/>
    <row r="174" ht="408.95" customHeight="1"/>
    <row r="175" ht="408.95" customHeight="1"/>
    <row r="176" ht="408.95" customHeight="1"/>
    <row r="177" ht="408.95" customHeight="1"/>
    <row r="178" ht="408.95" customHeight="1"/>
    <row r="179" ht="408.95" customHeight="1"/>
    <row r="180" ht="408.95" customHeight="1"/>
    <row r="181" ht="408.95" customHeight="1"/>
    <row r="182" ht="408.95" customHeight="1"/>
    <row r="183" ht="408.95" customHeight="1"/>
    <row r="184" ht="408.95" customHeight="1"/>
    <row r="185" ht="408.95" customHeight="1"/>
    <row r="186" ht="408.95" customHeight="1"/>
    <row r="187" ht="408.95" customHeight="1"/>
    <row r="188" ht="408.95" customHeight="1"/>
    <row r="189" ht="408.95" customHeight="1"/>
    <row r="190" ht="408.95" customHeight="1"/>
    <row r="191" ht="408.95" customHeight="1"/>
    <row r="192" ht="408.95" customHeight="1"/>
    <row r="193" ht="408.95" customHeight="1"/>
    <row r="194" ht="408.95" customHeight="1"/>
    <row r="195" ht="408.95" customHeight="1"/>
    <row r="196" ht="408.95" customHeight="1"/>
    <row r="197" ht="408.95" customHeight="1"/>
    <row r="198" ht="408.95" customHeight="1"/>
    <row r="199" ht="408.95" customHeight="1"/>
    <row r="200" ht="408.95" customHeight="1"/>
    <row r="201" ht="408.95" customHeight="1"/>
    <row r="202" ht="408.95" customHeight="1"/>
    <row r="203" ht="408.95" customHeight="1"/>
    <row r="204" ht="408.95" customHeight="1"/>
    <row r="205" ht="408.95" customHeight="1"/>
    <row r="206" ht="408.95" customHeight="1"/>
    <row r="207" ht="408.95" customHeight="1"/>
    <row r="208" ht="408.95" customHeight="1"/>
    <row r="209" ht="408.95" customHeight="1"/>
    <row r="210" ht="408.95" customHeight="1"/>
    <row r="211" ht="408.95" customHeight="1"/>
    <row r="212" ht="408.95" customHeight="1"/>
    <row r="213" ht="408.95" customHeight="1"/>
    <row r="214" ht="408.95" customHeight="1"/>
    <row r="215" ht="408.95" customHeight="1"/>
    <row r="216" ht="408.95" customHeight="1"/>
    <row r="217" ht="408.95" customHeight="1"/>
    <row r="218" ht="408.95" customHeight="1"/>
    <row r="219" ht="408.95" customHeight="1"/>
    <row r="220" ht="408.95" customHeight="1"/>
    <row r="221" ht="408.95" customHeight="1"/>
    <row r="222" ht="408.95" customHeight="1"/>
    <row r="223" ht="408.95" customHeight="1"/>
    <row r="224" ht="408.95" customHeight="1"/>
    <row r="225" ht="408.95" customHeight="1"/>
    <row r="226" ht="408.95" customHeight="1"/>
    <row r="227" ht="408.95" customHeight="1"/>
    <row r="228" ht="408.95" customHeight="1"/>
    <row r="229" ht="408.95" customHeight="1"/>
    <row r="230" ht="408.95" customHeight="1"/>
    <row r="231" ht="408.95" customHeight="1"/>
    <row r="232" ht="408.95" customHeight="1"/>
    <row r="233" ht="408.95" customHeight="1"/>
    <row r="234" ht="408.95" customHeight="1"/>
    <row r="235" ht="408.95" customHeight="1"/>
    <row r="236" ht="408.95" customHeight="1"/>
    <row r="237" ht="408.95" customHeight="1"/>
    <row r="238" ht="408.95" customHeight="1"/>
    <row r="239" ht="408.95" customHeight="1"/>
    <row r="240" ht="408.95" customHeight="1"/>
    <row r="241" ht="408.95" customHeight="1"/>
    <row r="242" ht="408.95" customHeight="1"/>
    <row r="243" ht="408.95" customHeight="1"/>
    <row r="244" ht="408.95" customHeight="1"/>
    <row r="245" ht="408.95" customHeight="1"/>
    <row r="246" ht="408.95" customHeight="1"/>
    <row r="247" ht="408.95" customHeight="1"/>
    <row r="248" ht="408.95" customHeight="1"/>
    <row r="249" ht="408.95" customHeight="1"/>
    <row r="250" ht="408.95" customHeight="1"/>
    <row r="251" ht="408.95" customHeight="1"/>
    <row r="252" ht="408.95" customHeight="1"/>
    <row r="253" ht="408.95" customHeight="1"/>
    <row r="254" ht="408.95" customHeight="1"/>
    <row r="255" ht="408.95" customHeight="1"/>
    <row r="256" ht="408.95" customHeight="1"/>
    <row r="257" ht="408.95" customHeight="1"/>
    <row r="258" ht="408.95" customHeight="1"/>
    <row r="259" ht="408.95" customHeight="1"/>
    <row r="260" ht="408.95" customHeight="1"/>
    <row r="261" ht="408.95" customHeight="1"/>
    <row r="262" ht="408.95" customHeight="1"/>
    <row r="263" ht="408.95" customHeight="1"/>
    <row r="264" ht="408.95" customHeight="1"/>
    <row r="265" ht="408.95" customHeight="1"/>
    <row r="266" ht="408.95" customHeight="1"/>
    <row r="267" ht="408.95" customHeight="1"/>
    <row r="268" ht="408.95" customHeight="1"/>
    <row r="269" ht="408.95" customHeight="1"/>
    <row r="270" ht="408.95" customHeight="1"/>
    <row r="271" ht="408.95" customHeight="1"/>
    <row r="272" ht="408.95" customHeight="1"/>
    <row r="273" ht="408.95" customHeight="1"/>
    <row r="274" ht="408.95" customHeight="1"/>
    <row r="275" ht="408.95" customHeight="1"/>
    <row r="276" ht="408.95" customHeight="1"/>
    <row r="277" ht="408.95" customHeight="1"/>
    <row r="278" ht="408.95" customHeight="1"/>
    <row r="279" ht="408.95" customHeight="1"/>
    <row r="280" ht="408.95" customHeight="1"/>
    <row r="281" ht="408.95" customHeight="1"/>
    <row r="282" ht="408.95" customHeight="1"/>
    <row r="283" ht="408.95" customHeight="1"/>
    <row r="284" ht="408.95" customHeight="1"/>
    <row r="285" ht="408.95" customHeight="1"/>
    <row r="286" ht="408.95" customHeight="1"/>
    <row r="287" ht="408.95" customHeight="1"/>
    <row r="288" ht="408.95" customHeight="1"/>
    <row r="289" ht="408.95" customHeight="1"/>
    <row r="290" ht="408.95" customHeight="1"/>
    <row r="291" ht="408.95" customHeight="1"/>
    <row r="292" ht="408.95" customHeight="1"/>
    <row r="293" ht="408.95" customHeight="1"/>
    <row r="294" ht="408.95" customHeight="1"/>
    <row r="295" ht="408.95" customHeight="1"/>
    <row r="296" ht="408.95" customHeight="1"/>
    <row r="297" ht="408.95" customHeight="1"/>
    <row r="298" ht="408.95" customHeight="1"/>
    <row r="299" ht="408.95" customHeight="1"/>
    <row r="300" ht="408.95" customHeight="1"/>
    <row r="301" ht="408.95" customHeight="1"/>
    <row r="302" ht="408.95" customHeight="1"/>
    <row r="303" ht="408.95" customHeight="1"/>
    <row r="304" ht="408.95" customHeight="1"/>
    <row r="305" ht="408.95" customHeight="1"/>
    <row r="306" ht="408.95" customHeight="1"/>
    <row r="307" ht="408.95" customHeight="1"/>
    <row r="308" ht="408.95" customHeight="1"/>
    <row r="309" ht="408.95" customHeight="1"/>
    <row r="310" ht="408.95" customHeight="1"/>
    <row r="311" ht="408.95" customHeight="1"/>
    <row r="312" ht="408.95" customHeight="1"/>
    <row r="313" ht="408.95" customHeight="1"/>
    <row r="314" ht="408.95" customHeight="1"/>
    <row r="315" ht="408.95" customHeight="1"/>
    <row r="316" ht="408.95" customHeight="1"/>
    <row r="317" ht="408.95" customHeight="1"/>
    <row r="318" ht="408.95" customHeight="1"/>
    <row r="319" ht="408.95" customHeight="1"/>
    <row r="320" ht="408.95" customHeight="1"/>
    <row r="321" ht="408.95" customHeight="1"/>
    <row r="322" ht="408.95" customHeight="1"/>
    <row r="323" ht="408.95" customHeight="1"/>
    <row r="324" ht="408.95" customHeight="1"/>
    <row r="325" ht="408.95" customHeight="1"/>
    <row r="326" ht="408.95" customHeight="1"/>
    <row r="327" ht="408.95" customHeight="1"/>
    <row r="328" ht="408.95" customHeight="1"/>
    <row r="329" ht="408.95" customHeight="1"/>
    <row r="330" ht="408.95" customHeight="1"/>
    <row r="331" ht="408.95" customHeight="1"/>
    <row r="332" ht="408.95" customHeight="1"/>
    <row r="333" ht="408.95" customHeight="1"/>
    <row r="334" ht="408.95" customHeight="1"/>
    <row r="335" ht="408.95" customHeight="1"/>
    <row r="336" ht="408.95" customHeight="1"/>
    <row r="337" ht="408.95" customHeight="1"/>
    <row r="338" ht="408.95" customHeight="1"/>
    <row r="339" ht="408.95" customHeight="1"/>
    <row r="340" ht="408.95" customHeight="1"/>
    <row r="341" ht="408.95" customHeight="1"/>
    <row r="342" ht="408.95" customHeight="1"/>
    <row r="343" ht="408.95" customHeight="1"/>
    <row r="344" ht="408.95" customHeight="1"/>
    <row r="345" ht="408.95" customHeight="1"/>
    <row r="346" ht="408.95" customHeight="1"/>
    <row r="347" ht="408.95" customHeight="1"/>
    <row r="348" ht="408.95" customHeight="1"/>
    <row r="349" ht="408.95" customHeight="1"/>
    <row r="350" ht="408.95" customHeight="1"/>
    <row r="351" ht="408.95" customHeight="1"/>
    <row r="352" ht="408.95" customHeight="1"/>
    <row r="353" ht="408.95" customHeight="1"/>
    <row r="354" ht="408.95" customHeight="1"/>
    <row r="355" ht="408.95" customHeight="1"/>
    <row r="356" ht="408.95" customHeight="1"/>
    <row r="357" ht="408.95" customHeight="1"/>
    <row r="358" ht="408.95" customHeight="1"/>
    <row r="359" ht="408.95" customHeight="1"/>
    <row r="360" ht="408.95" customHeight="1"/>
    <row r="361" ht="408.95" customHeight="1"/>
    <row r="362" ht="408.95" customHeight="1"/>
    <row r="363" ht="408.95" customHeight="1"/>
    <row r="364" ht="408.95" customHeight="1"/>
    <row r="365" ht="408.95" customHeight="1"/>
    <row r="366" ht="408.95" customHeight="1"/>
    <row r="367" ht="408.95" customHeight="1"/>
    <row r="368" ht="408.95" customHeight="1"/>
    <row r="369" spans="33:33" ht="408.95" customHeight="1"/>
    <row r="370" spans="33:33" ht="408.95" customHeight="1"/>
    <row r="371" spans="33:33" ht="408.95" customHeight="1"/>
    <row r="372" spans="33:33" ht="408.95" customHeight="1"/>
    <row r="373" spans="33:33" ht="408.95" customHeight="1"/>
    <row r="374" spans="33:33" ht="408.95" customHeight="1"/>
    <row r="375" spans="33:33" ht="408.95" customHeight="1"/>
    <row r="376" spans="33:33" ht="408.95" customHeight="1"/>
    <row r="377" spans="33:33" ht="408.95" customHeight="1"/>
    <row r="378" spans="33:33" ht="408.95" customHeight="1">
      <c r="AG378" s="38"/>
    </row>
    <row r="379" spans="33:33" ht="408.95" customHeight="1">
      <c r="AG379" s="38"/>
    </row>
    <row r="380" spans="33:33" ht="408.95" customHeight="1">
      <c r="AG380" s="38"/>
    </row>
    <row r="381" spans="33:33" ht="408.95" customHeight="1">
      <c r="AG381" s="38"/>
    </row>
    <row r="382" spans="33:33" ht="408.95" customHeight="1">
      <c r="AG382" s="38"/>
    </row>
    <row r="383" spans="33:33" ht="408.95" customHeight="1">
      <c r="AG383" s="38"/>
    </row>
    <row r="384" spans="33:33" ht="408.95" customHeight="1">
      <c r="AG384" s="38"/>
    </row>
    <row r="385" spans="33:33" ht="408.95" customHeight="1">
      <c r="AG385" s="38"/>
    </row>
    <row r="386" spans="33:33" ht="408.95" customHeight="1">
      <c r="AG386" s="38"/>
    </row>
    <row r="387" spans="33:33" ht="408.95" customHeight="1">
      <c r="AG387" s="38"/>
    </row>
    <row r="388" spans="33:33" ht="408.95" customHeight="1">
      <c r="AG388" s="38"/>
    </row>
    <row r="389" spans="33:33" ht="408.95" customHeight="1">
      <c r="AG389" s="38"/>
    </row>
    <row r="390" spans="33:33" ht="408.95" customHeight="1">
      <c r="AG390" s="38"/>
    </row>
    <row r="391" spans="33:33" ht="408.95" customHeight="1">
      <c r="AG391" s="38"/>
    </row>
    <row r="392" spans="33:33" ht="408.95" customHeight="1">
      <c r="AG392" s="38"/>
    </row>
    <row r="393" spans="33:33" ht="408.95" customHeight="1">
      <c r="AG393" s="38"/>
    </row>
    <row r="394" spans="33:33" ht="408.95" customHeight="1">
      <c r="AG394" s="38"/>
    </row>
    <row r="395" spans="33:33" ht="408.95" customHeight="1">
      <c r="AG395" s="38"/>
    </row>
    <row r="396" spans="33:33" ht="408.95" customHeight="1">
      <c r="AG396" s="38"/>
    </row>
    <row r="397" spans="33:33" ht="408.95" customHeight="1">
      <c r="AG397" s="38"/>
    </row>
    <row r="398" spans="33:33" ht="408.95" customHeight="1">
      <c r="AG398" s="38"/>
    </row>
    <row r="399" spans="33:33">
      <c r="AG399" s="38"/>
    </row>
    <row r="400" spans="33:33">
      <c r="AG400" s="38"/>
    </row>
    <row r="401" spans="33:33">
      <c r="AG401" s="38"/>
    </row>
    <row r="402" spans="33:33">
      <c r="AG402" s="38"/>
    </row>
    <row r="403" spans="33:33">
      <c r="AG403" s="38"/>
    </row>
    <row r="404" spans="33:33">
      <c r="AG404" s="38"/>
    </row>
    <row r="405" spans="33:33">
      <c r="AG405" s="38"/>
    </row>
    <row r="406" spans="33:33">
      <c r="AG406" s="38"/>
    </row>
    <row r="407" spans="33:33">
      <c r="AG407" s="38"/>
    </row>
    <row r="408" spans="33:33">
      <c r="AG408" s="38"/>
    </row>
    <row r="409" spans="33:33">
      <c r="AG409" s="38"/>
    </row>
    <row r="410" spans="33:33">
      <c r="AG410" s="38"/>
    </row>
    <row r="411" spans="33:33">
      <c r="AG411" s="38"/>
    </row>
    <row r="412" spans="33:33">
      <c r="AG412" s="38"/>
    </row>
    <row r="413" spans="33:33">
      <c r="AG413" s="38"/>
    </row>
    <row r="414" spans="33:33">
      <c r="AG414" s="38"/>
    </row>
    <row r="415" spans="33:33">
      <c r="AG415" s="38"/>
    </row>
    <row r="416" spans="33:33">
      <c r="AG416" s="38"/>
    </row>
    <row r="417" spans="33:33">
      <c r="AG417" s="38"/>
    </row>
    <row r="418" spans="33:33">
      <c r="AG418" s="38"/>
    </row>
    <row r="419" spans="33:33">
      <c r="AG419" s="38"/>
    </row>
    <row r="420" spans="33:33">
      <c r="AG420" s="38"/>
    </row>
    <row r="421" spans="33:33">
      <c r="AG421" s="38"/>
    </row>
    <row r="422" spans="33:33">
      <c r="AG422" s="38"/>
    </row>
    <row r="423" spans="33:33">
      <c r="AG423" s="38"/>
    </row>
    <row r="424" spans="33:33">
      <c r="AG424" s="38"/>
    </row>
    <row r="425" spans="33:33">
      <c r="AG425" s="38"/>
    </row>
    <row r="426" spans="33:33">
      <c r="AG426" s="38"/>
    </row>
    <row r="427" spans="33:33">
      <c r="AG427" s="38"/>
    </row>
    <row r="428" spans="33:33">
      <c r="AG428" s="38"/>
    </row>
    <row r="429" spans="33:33">
      <c r="AG429" s="38"/>
    </row>
    <row r="430" spans="33:33">
      <c r="AG430" s="38"/>
    </row>
  </sheetData>
  <mergeCells count="47">
    <mergeCell ref="H6:Q6"/>
    <mergeCell ref="N7:N9"/>
    <mergeCell ref="O7:O9"/>
    <mergeCell ref="P7:P9"/>
    <mergeCell ref="U1:W1"/>
    <mergeCell ref="U2:W2"/>
    <mergeCell ref="U3:W3"/>
    <mergeCell ref="U4:W4"/>
    <mergeCell ref="U5:W5"/>
    <mergeCell ref="H1:Q1"/>
    <mergeCell ref="H2:Q2"/>
    <mergeCell ref="H3:Q3"/>
    <mergeCell ref="H4:Q4"/>
    <mergeCell ref="H5:Q5"/>
    <mergeCell ref="S7:W8"/>
    <mergeCell ref="S9:T9"/>
    <mergeCell ref="U6:W6"/>
    <mergeCell ref="A1:A6"/>
    <mergeCell ref="J7:J9"/>
    <mergeCell ref="K7:K9"/>
    <mergeCell ref="G7:G9"/>
    <mergeCell ref="A7:A9"/>
    <mergeCell ref="B7:B9"/>
    <mergeCell ref="C7:C9"/>
    <mergeCell ref="E7:E9"/>
    <mergeCell ref="C1:C6"/>
    <mergeCell ref="B1:B6"/>
    <mergeCell ref="D7:D9"/>
    <mergeCell ref="D1:F6"/>
    <mergeCell ref="F7:F9"/>
    <mergeCell ref="H7:H9"/>
    <mergeCell ref="R7:R9"/>
    <mergeCell ref="Q7:Q9"/>
    <mergeCell ref="I7:I9"/>
    <mergeCell ref="L7:L9"/>
    <mergeCell ref="M7:M9"/>
    <mergeCell ref="AC7:AC9"/>
    <mergeCell ref="AB7:AB9"/>
    <mergeCell ref="Y7:Y8"/>
    <mergeCell ref="X7:X9"/>
    <mergeCell ref="Z7:Z9"/>
    <mergeCell ref="X6:AB6"/>
    <mergeCell ref="X1:AB1"/>
    <mergeCell ref="X2:AB2"/>
    <mergeCell ref="X3:AB3"/>
    <mergeCell ref="X4:AB4"/>
    <mergeCell ref="X5:AB5"/>
  </mergeCells>
  <pageMargins left="0" right="0" top="0.23622047244094491" bottom="0.23622047244094491" header="0" footer="0"/>
  <pageSetup paperSize="9" scale="11" fitToWidth="0" fitToHeight="0" orientation="landscape" r:id="rId1"/>
  <headerFooter alignWithMargins="0">
    <oddFooter>&amp;C&amp;26Page &amp;30&amp;P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/>
  <cols>
    <col min="1" max="1" width="11.7109375" bestFit="1" customWidth="1"/>
  </cols>
  <sheetData>
    <row r="1" spans="1:1">
      <c r="A1" t="s">
        <v>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1"/>
  <sheetViews>
    <sheetView topLeftCell="AE1" workbookViewId="0">
      <selection activeCell="A2" sqref="A2"/>
    </sheetView>
  </sheetViews>
  <sheetFormatPr defaultRowHeight="15"/>
  <cols>
    <col min="1" max="1" width="7.5703125" bestFit="1" customWidth="1"/>
    <col min="2" max="2" width="10.5703125" bestFit="1" customWidth="1"/>
    <col min="3" max="3" width="15.5703125" bestFit="1" customWidth="1"/>
    <col min="4" max="4" width="19.42578125" bestFit="1" customWidth="1"/>
    <col min="8" max="8" width="31" bestFit="1" customWidth="1"/>
    <col min="9" max="9" width="14.7109375" bestFit="1" customWidth="1"/>
    <col min="10" max="10" width="30.42578125" bestFit="1" customWidth="1"/>
    <col min="11" max="11" width="16.28515625" bestFit="1" customWidth="1"/>
    <col min="12" max="12" width="16.140625" bestFit="1" customWidth="1"/>
    <col min="14" max="14" width="10.140625" bestFit="1" customWidth="1"/>
    <col min="15" max="15" width="10.7109375" bestFit="1" customWidth="1"/>
    <col min="18" max="18" width="12.5703125" bestFit="1" customWidth="1"/>
    <col min="19" max="19" width="9.85546875" bestFit="1" customWidth="1"/>
    <col min="20" max="20" width="13.42578125" bestFit="1" customWidth="1"/>
    <col min="21" max="21" width="23.42578125" bestFit="1" customWidth="1"/>
    <col min="22" max="22" width="29.28515625" bestFit="1" customWidth="1"/>
    <col min="23" max="23" width="28.42578125" bestFit="1" customWidth="1"/>
    <col min="24" max="24" width="20.42578125" bestFit="1" customWidth="1"/>
    <col min="25" max="25" width="24.7109375" bestFit="1" customWidth="1"/>
    <col min="26" max="26" width="28.5703125" bestFit="1" customWidth="1"/>
    <col min="27" max="27" width="17.85546875" bestFit="1" customWidth="1"/>
    <col min="28" max="28" width="16.140625" bestFit="1" customWidth="1"/>
    <col min="29" max="29" width="14.28515625" bestFit="1" customWidth="1"/>
    <col min="30" max="30" width="24.28515625" bestFit="1" customWidth="1"/>
    <col min="31" max="31" width="16.42578125" bestFit="1" customWidth="1"/>
    <col min="32" max="32" width="14.85546875" bestFit="1" customWidth="1"/>
    <col min="33" max="33" width="12.85546875" bestFit="1" customWidth="1"/>
    <col min="34" max="34" width="23" bestFit="1" customWidth="1"/>
    <col min="35" max="35" width="22.7109375" bestFit="1" customWidth="1"/>
    <col min="36" max="36" width="24.140625" bestFit="1" customWidth="1"/>
    <col min="37" max="37" width="22.85546875" bestFit="1" customWidth="1"/>
    <col min="38" max="38" width="22.42578125" bestFit="1" customWidth="1"/>
    <col min="39" max="39" width="22.5703125" bestFit="1" customWidth="1"/>
    <col min="40" max="42" width="10.42578125" bestFit="1" customWidth="1"/>
    <col min="43" max="43" width="10" bestFit="1" customWidth="1"/>
    <col min="44" max="44" width="11" bestFit="1" customWidth="1"/>
    <col min="45" max="45" width="28.5703125" bestFit="1" customWidth="1"/>
  </cols>
  <sheetData>
    <row r="1" spans="1:45">
      <c r="A1" t="s">
        <v>0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  <c r="W1" t="s">
        <v>51</v>
      </c>
      <c r="X1" t="s">
        <v>52</v>
      </c>
      <c r="Y1" t="s">
        <v>53</v>
      </c>
      <c r="Z1" t="s">
        <v>54</v>
      </c>
      <c r="AA1" t="s">
        <v>55</v>
      </c>
      <c r="AB1" t="s">
        <v>56</v>
      </c>
      <c r="AC1" t="s">
        <v>57</v>
      </c>
      <c r="AD1" t="s">
        <v>58</v>
      </c>
      <c r="AE1" t="s">
        <v>59</v>
      </c>
      <c r="AF1" t="s">
        <v>60</v>
      </c>
      <c r="AG1" t="s">
        <v>61</v>
      </c>
      <c r="AH1" t="s">
        <v>62</v>
      </c>
      <c r="AI1" t="s">
        <v>63</v>
      </c>
      <c r="AJ1" t="s">
        <v>64</v>
      </c>
      <c r="AK1" t="s">
        <v>65</v>
      </c>
      <c r="AL1" t="s">
        <v>66</v>
      </c>
      <c r="AM1" t="s">
        <v>67</v>
      </c>
      <c r="AN1" t="s">
        <v>68</v>
      </c>
      <c r="AO1" t="s">
        <v>69</v>
      </c>
      <c r="AP1" t="s">
        <v>70</v>
      </c>
      <c r="AQ1" t="s">
        <v>71</v>
      </c>
      <c r="AR1" t="s">
        <v>72</v>
      </c>
      <c r="AS1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"/>
  <sheetViews>
    <sheetView topLeftCell="K1" workbookViewId="0">
      <selection activeCell="A2" sqref="A2"/>
    </sheetView>
  </sheetViews>
  <sheetFormatPr defaultRowHeight="15"/>
  <cols>
    <col min="2" max="2" width="9.85546875" bestFit="1" customWidth="1"/>
    <col min="3" max="3" width="38.140625" customWidth="1"/>
    <col min="12" max="12" width="16.42578125" bestFit="1" customWidth="1"/>
    <col min="13" max="13" width="15" bestFit="1" customWidth="1"/>
    <col min="14" max="14" width="33.42578125" bestFit="1" customWidth="1"/>
    <col min="15" max="15" width="15.28515625" bestFit="1" customWidth="1"/>
    <col min="20" max="20" width="11.85546875" bestFit="1" customWidth="1"/>
    <col min="21" max="21" width="12.85546875" bestFit="1" customWidth="1"/>
    <col min="22" max="22" width="12.28515625" bestFit="1" customWidth="1"/>
    <col min="27" max="27" width="19.85546875" bestFit="1" customWidth="1"/>
    <col min="28" max="28" width="26.5703125" bestFit="1" customWidth="1"/>
    <col min="29" max="29" width="10" bestFit="1" customWidth="1"/>
    <col min="30" max="30" width="15.42578125" bestFit="1" customWidth="1"/>
  </cols>
  <sheetData>
    <row r="1" spans="1:3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144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"/>
  <sheetViews>
    <sheetView workbookViewId="0">
      <selection activeCell="A2" sqref="A2"/>
    </sheetView>
  </sheetViews>
  <sheetFormatPr defaultRowHeight="15"/>
  <cols>
    <col min="1" max="1" width="13.5703125" bestFit="1" customWidth="1"/>
    <col min="2" max="2" width="8.5703125" bestFit="1" customWidth="1"/>
    <col min="3" max="3" width="11.85546875" bestFit="1" customWidth="1"/>
    <col min="4" max="4" width="12.85546875" bestFit="1" customWidth="1"/>
    <col min="5" max="5" width="12.28515625" bestFit="1" customWidth="1"/>
    <col min="6" max="6" width="8.7109375" bestFit="1" customWidth="1"/>
    <col min="7" max="7" width="15.42578125" bestFit="1" customWidth="1"/>
  </cols>
  <sheetData>
    <row r="1" spans="1:7">
      <c r="A1" t="s">
        <v>143</v>
      </c>
      <c r="B1" t="s">
        <v>28</v>
      </c>
      <c r="C1" t="s">
        <v>19</v>
      </c>
      <c r="D1" t="s">
        <v>20</v>
      </c>
      <c r="E1" t="s">
        <v>21</v>
      </c>
      <c r="F1" t="s">
        <v>22</v>
      </c>
      <c r="G1" t="s">
        <v>144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100"/>
  <sheetViews>
    <sheetView showGridLines="0" showZeros="0" view="pageBreakPreview" topLeftCell="A19" zoomScale="115" zoomScaleSheetLayoutView="115" workbookViewId="0"/>
  </sheetViews>
  <sheetFormatPr defaultRowHeight="15"/>
  <cols>
    <col min="1" max="2" width="5.7109375" customWidth="1"/>
    <col min="3" max="3" width="7.28515625" customWidth="1"/>
    <col min="4" max="19" width="5.7109375" customWidth="1"/>
    <col min="20" max="21" width="7.7109375" customWidth="1"/>
    <col min="22" max="23" width="4.7109375" customWidth="1"/>
    <col min="24" max="25" width="7.7109375" customWidth="1"/>
    <col min="26" max="37" width="5.7109375" customWidth="1"/>
  </cols>
  <sheetData>
    <row r="1" spans="1:25" ht="9.9499999999999993" customHeight="1">
      <c r="A1" s="3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</row>
    <row r="2" spans="1:25" ht="9.9499999999999993" customHeight="1">
      <c r="A2" s="1"/>
      <c r="B2" s="110" t="str">
        <f>IFERROR(VLOOKUP(A1,#REF!, 6, FALSE), "[NONE]")</f>
        <v>[NONE]</v>
      </c>
      <c r="C2" s="138"/>
      <c r="D2" s="138"/>
      <c r="E2" s="138"/>
      <c r="F2" s="138"/>
      <c r="G2" s="111"/>
      <c r="H2" s="131" t="s">
        <v>145</v>
      </c>
      <c r="I2" s="131"/>
      <c r="J2" s="131"/>
      <c r="K2" s="141" t="str">
        <f>IFERROR(VLOOKUP(A1,#REF!, 7, FALSE), "")</f>
        <v/>
      </c>
      <c r="L2" s="136"/>
      <c r="M2" s="136"/>
      <c r="N2" s="136"/>
      <c r="O2" s="136"/>
      <c r="P2" s="136"/>
      <c r="Q2" s="136"/>
      <c r="R2" s="137"/>
      <c r="S2" s="134" t="s">
        <v>146</v>
      </c>
      <c r="T2" s="135"/>
      <c r="U2" s="142" t="str">
        <f>IFERROR(VLOOKUP(A1,#REF!, 12, FALSE), "")</f>
        <v/>
      </c>
      <c r="V2" s="143"/>
      <c r="W2" s="143"/>
      <c r="X2" s="143"/>
      <c r="Y2" s="144"/>
    </row>
    <row r="3" spans="1:25" ht="9.9499999999999993" customHeight="1">
      <c r="A3" s="1"/>
      <c r="B3" s="112"/>
      <c r="C3" s="139"/>
      <c r="D3" s="139"/>
      <c r="E3" s="139"/>
      <c r="F3" s="139"/>
      <c r="G3" s="113"/>
      <c r="H3" s="131" t="s">
        <v>147</v>
      </c>
      <c r="I3" s="131"/>
      <c r="J3" s="131"/>
      <c r="K3" s="145" t="str">
        <f>IFERROR(VLOOKUP(A1,#REF!, 8, FALSE), "")</f>
        <v/>
      </c>
      <c r="L3" s="146"/>
      <c r="M3" s="146"/>
      <c r="N3" s="146"/>
      <c r="O3" s="146"/>
      <c r="P3" s="146"/>
      <c r="Q3" s="146"/>
      <c r="R3" s="147"/>
      <c r="S3" s="134" t="s">
        <v>148</v>
      </c>
      <c r="T3" s="135"/>
      <c r="U3" s="132" t="str">
        <f>IFERROR(VLOOKUP(A1,#REF!, 13, FALSE), "")</f>
        <v/>
      </c>
      <c r="V3" s="100"/>
      <c r="W3" s="100"/>
      <c r="X3" s="100"/>
      <c r="Y3" s="133"/>
    </row>
    <row r="4" spans="1:25" ht="9.9499999999999993" customHeight="1">
      <c r="A4" s="1"/>
      <c r="B4" s="112"/>
      <c r="C4" s="139"/>
      <c r="D4" s="139"/>
      <c r="E4" s="139"/>
      <c r="F4" s="139"/>
      <c r="G4" s="113"/>
      <c r="H4" s="131" t="s">
        <v>149</v>
      </c>
      <c r="I4" s="131" t="s">
        <v>150</v>
      </c>
      <c r="J4" s="131"/>
      <c r="K4" s="132" t="str">
        <f>IFERROR(VLOOKUP(A1,#REF!, 9, FALSE), "")</f>
        <v/>
      </c>
      <c r="L4" s="100"/>
      <c r="M4" s="100"/>
      <c r="N4" s="100"/>
      <c r="O4" s="100"/>
      <c r="P4" s="100"/>
      <c r="Q4" s="100"/>
      <c r="R4" s="133"/>
      <c r="S4" s="134" t="s">
        <v>151</v>
      </c>
      <c r="T4" s="135"/>
      <c r="U4" s="149" t="str">
        <f>IFERROR(VLOOKUP(A1,#REF!, 14, FALSE), "")</f>
        <v/>
      </c>
      <c r="V4" s="150"/>
      <c r="W4" s="150"/>
      <c r="X4" s="150"/>
      <c r="Y4" s="151"/>
    </row>
    <row r="5" spans="1:25" ht="9.9499999999999993" customHeight="1">
      <c r="A5" s="1"/>
      <c r="B5" s="112"/>
      <c r="C5" s="139"/>
      <c r="D5" s="139"/>
      <c r="E5" s="139"/>
      <c r="F5" s="139"/>
      <c r="G5" s="113"/>
      <c r="H5" s="131" t="s">
        <v>152</v>
      </c>
      <c r="I5" s="131"/>
      <c r="J5" s="131"/>
      <c r="K5" s="132" t="str">
        <f>IFERROR(VLOOKUP(A1,#REF!, 10, FALSE), "")</f>
        <v/>
      </c>
      <c r="L5" s="100"/>
      <c r="M5" s="100"/>
      <c r="N5" s="100"/>
      <c r="O5" s="100"/>
      <c r="P5" s="100"/>
      <c r="Q5" s="100"/>
      <c r="R5" s="133"/>
      <c r="S5" s="134" t="s">
        <v>153</v>
      </c>
      <c r="T5" s="135"/>
      <c r="U5" s="132" t="str">
        <f>IFERROR(VLOOKUP(A1,#REF!, 15, FALSE), "")</f>
        <v/>
      </c>
      <c r="V5" s="100"/>
      <c r="W5" s="100"/>
      <c r="X5" s="100"/>
      <c r="Y5" s="133"/>
    </row>
    <row r="6" spans="1:25" ht="9.9499999999999993" customHeight="1">
      <c r="A6" s="1"/>
      <c r="B6" s="114"/>
      <c r="C6" s="140"/>
      <c r="D6" s="140"/>
      <c r="E6" s="140"/>
      <c r="F6" s="140"/>
      <c r="G6" s="115"/>
      <c r="H6" s="131" t="s">
        <v>154</v>
      </c>
      <c r="I6" s="131"/>
      <c r="J6" s="131"/>
      <c r="K6" s="148" t="str">
        <f>IFERROR(VLOOKUP(A1,#REF!, 11, FALSE), "")</f>
        <v/>
      </c>
      <c r="L6" s="129"/>
      <c r="M6" s="129"/>
      <c r="N6" s="129"/>
      <c r="O6" s="129"/>
      <c r="P6" s="129"/>
      <c r="Q6" s="129"/>
      <c r="R6" s="130"/>
      <c r="S6" s="134"/>
      <c r="T6" s="135"/>
      <c r="U6" s="30"/>
      <c r="V6" s="30"/>
      <c r="W6" s="30"/>
      <c r="X6" s="30"/>
      <c r="Y6" s="31"/>
    </row>
    <row r="7" spans="1:25" ht="9.9499999999999993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9.9499999999999993" customHeight="1">
      <c r="A8" s="1"/>
      <c r="B8" s="3" t="s">
        <v>155</v>
      </c>
      <c r="C8" s="4"/>
      <c r="D8" s="136" t="str">
        <f>IFERROR(VLOOKUP(A1,#REF!, 16, FALSE), "")</f>
        <v/>
      </c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7"/>
      <c r="S8" s="1"/>
      <c r="T8" s="125" t="s">
        <v>156</v>
      </c>
      <c r="U8" s="126"/>
      <c r="V8" s="1"/>
      <c r="W8" s="5"/>
      <c r="X8" s="125" t="s">
        <v>157</v>
      </c>
      <c r="Y8" s="126"/>
    </row>
    <row r="9" spans="1:25" ht="9.9499999999999993" customHeight="1">
      <c r="A9" s="1"/>
      <c r="B9" s="6" t="s">
        <v>158</v>
      </c>
      <c r="C9" s="7"/>
      <c r="D9" s="129" t="str">
        <f>IFERROR(VLOOKUP(A1,#REF!, 17, FALSE), "")</f>
        <v/>
      </c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30"/>
      <c r="S9" s="1"/>
      <c r="T9" s="127"/>
      <c r="U9" s="128"/>
      <c r="V9" s="1"/>
      <c r="W9" s="5"/>
      <c r="X9" s="127"/>
      <c r="Y9" s="128"/>
    </row>
    <row r="10" spans="1:25" ht="9.9499999999999993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"/>
      <c r="X10" s="1"/>
      <c r="Y10" s="1"/>
    </row>
    <row r="11" spans="1:25" ht="9.9499999999999993" customHeight="1">
      <c r="A11" s="1"/>
      <c r="B11" s="101" t="str">
        <f>IFERROR(VLOOKUP(A1,#REF!, 18, FALSE), "[NONE]")</f>
        <v>[NONE]</v>
      </c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3"/>
      <c r="S11" s="1"/>
      <c r="T11" s="110" t="str">
        <f>IFERROR(VLOOKUP(A1,#REF!, 19, FALSE), "[NONE]")</f>
        <v>[NONE]</v>
      </c>
      <c r="U11" s="111"/>
      <c r="V11" s="1"/>
      <c r="W11" s="5"/>
      <c r="X11" s="110" t="str">
        <f>IFERROR(VLOOKUP(A1,#REF!, 20, FALSE), "[NONE]")</f>
        <v>[NONE]</v>
      </c>
      <c r="Y11" s="111"/>
    </row>
    <row r="12" spans="1:25" ht="9.9499999999999993" customHeight="1">
      <c r="A12" s="1"/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6"/>
      <c r="S12" s="1"/>
      <c r="T12" s="112"/>
      <c r="U12" s="113"/>
      <c r="V12" s="1"/>
      <c r="W12" s="5"/>
      <c r="X12" s="112"/>
      <c r="Y12" s="113"/>
    </row>
    <row r="13" spans="1:25" ht="9.9499999999999993" customHeight="1">
      <c r="A13" s="1"/>
      <c r="B13" s="104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6"/>
      <c r="S13" s="1"/>
      <c r="T13" s="112"/>
      <c r="U13" s="113"/>
      <c r="V13" s="1"/>
      <c r="W13" s="5"/>
      <c r="X13" s="112"/>
      <c r="Y13" s="113"/>
    </row>
    <row r="14" spans="1:25" ht="9.9499999999999993" customHeight="1">
      <c r="A14" s="1"/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6"/>
      <c r="S14" s="1"/>
      <c r="T14" s="112"/>
      <c r="U14" s="113"/>
      <c r="V14" s="1"/>
      <c r="W14" s="5"/>
      <c r="X14" s="112"/>
      <c r="Y14" s="113"/>
    </row>
    <row r="15" spans="1:25" ht="9.9499999999999993" customHeight="1">
      <c r="A15" s="1"/>
      <c r="B15" s="104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6"/>
      <c r="S15" s="1"/>
      <c r="T15" s="112"/>
      <c r="U15" s="113"/>
      <c r="V15" s="1"/>
      <c r="W15" s="5"/>
      <c r="X15" s="112"/>
      <c r="Y15" s="113"/>
    </row>
    <row r="16" spans="1:25" ht="9.9499999999999993" customHeight="1">
      <c r="A16" s="1"/>
      <c r="B16" s="104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6"/>
      <c r="S16" s="1"/>
      <c r="T16" s="112"/>
      <c r="U16" s="113"/>
      <c r="V16" s="1"/>
      <c r="W16" s="5"/>
      <c r="X16" s="112"/>
      <c r="Y16" s="113"/>
    </row>
    <row r="17" spans="1:25" ht="9.9499999999999993" customHeight="1">
      <c r="A17" s="1"/>
      <c r="B17" s="104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6"/>
      <c r="S17" s="1"/>
      <c r="T17" s="114"/>
      <c r="U17" s="115"/>
      <c r="V17" s="1"/>
      <c r="W17" s="5"/>
      <c r="X17" s="114"/>
      <c r="Y17" s="115"/>
    </row>
    <row r="18" spans="1:25" ht="9.9499999999999993" customHeight="1">
      <c r="A18" s="1"/>
      <c r="B18" s="104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6"/>
      <c r="S18" s="1"/>
      <c r="T18" s="1"/>
      <c r="U18" s="1"/>
      <c r="V18" s="1"/>
      <c r="W18" s="1"/>
      <c r="X18" s="1"/>
      <c r="Y18" s="1"/>
    </row>
    <row r="19" spans="1:25" ht="9.9499999999999993" customHeight="1">
      <c r="A19" s="1"/>
      <c r="B19" s="104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6"/>
      <c r="S19" s="1"/>
      <c r="T19" s="1"/>
      <c r="U19" s="1"/>
      <c r="V19" s="1"/>
      <c r="W19" s="1"/>
      <c r="X19" s="1"/>
      <c r="Y19" s="1"/>
    </row>
    <row r="20" spans="1:25" ht="9.9499999999999993" customHeight="1">
      <c r="A20" s="1"/>
      <c r="B20" s="104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6"/>
      <c r="S20" s="1"/>
      <c r="T20" s="1"/>
      <c r="U20" s="1"/>
      <c r="V20" s="1"/>
      <c r="W20" s="1"/>
      <c r="X20" s="1"/>
      <c r="Y20" s="1"/>
    </row>
    <row r="21" spans="1:25" ht="9.9499999999999993" customHeight="1">
      <c r="A21" s="1"/>
      <c r="B21" s="104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6"/>
      <c r="S21" s="1"/>
      <c r="T21" s="116" t="str">
        <f>IFERROR(VLOOKUP(A1,#REF!, 22, FALSE), "")</f>
        <v/>
      </c>
      <c r="U21" s="117"/>
      <c r="V21" s="117"/>
      <c r="W21" s="117"/>
      <c r="X21" s="117"/>
      <c r="Y21" s="118"/>
    </row>
    <row r="22" spans="1:25" ht="9.9499999999999993" customHeight="1">
      <c r="A22" s="1"/>
      <c r="B22" s="104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6"/>
      <c r="S22" s="1"/>
      <c r="T22" s="119"/>
      <c r="U22" s="120"/>
      <c r="V22" s="120"/>
      <c r="W22" s="120"/>
      <c r="X22" s="120"/>
      <c r="Y22" s="121"/>
    </row>
    <row r="23" spans="1:25" ht="9.9499999999999993" customHeight="1">
      <c r="A23" s="1"/>
      <c r="B23" s="104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6"/>
      <c r="S23" s="1"/>
      <c r="T23" s="119"/>
      <c r="U23" s="120"/>
      <c r="V23" s="120"/>
      <c r="W23" s="120"/>
      <c r="X23" s="120"/>
      <c r="Y23" s="121"/>
    </row>
    <row r="24" spans="1:25" ht="9.9499999999999993" customHeight="1">
      <c r="A24" s="1"/>
      <c r="B24" s="104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6"/>
      <c r="S24" s="1"/>
      <c r="T24" s="119"/>
      <c r="U24" s="120"/>
      <c r="V24" s="120"/>
      <c r="W24" s="120"/>
      <c r="X24" s="120"/>
      <c r="Y24" s="121"/>
    </row>
    <row r="25" spans="1:25" ht="9.9499999999999993" customHeight="1">
      <c r="A25" s="1"/>
      <c r="B25" s="104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6"/>
      <c r="S25" s="1"/>
      <c r="T25" s="119"/>
      <c r="U25" s="120"/>
      <c r="V25" s="120"/>
      <c r="W25" s="120"/>
      <c r="X25" s="120"/>
      <c r="Y25" s="121"/>
    </row>
    <row r="26" spans="1:25" ht="9.9499999999999993" customHeight="1">
      <c r="A26" s="1"/>
      <c r="B26" s="104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6"/>
      <c r="S26" s="1"/>
      <c r="T26" s="119"/>
      <c r="U26" s="120"/>
      <c r="V26" s="120"/>
      <c r="W26" s="120"/>
      <c r="X26" s="120"/>
      <c r="Y26" s="121"/>
    </row>
    <row r="27" spans="1:25" ht="9.9499999999999993" customHeight="1">
      <c r="A27" s="1"/>
      <c r="B27" s="104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6"/>
      <c r="S27" s="1"/>
      <c r="T27" s="119"/>
      <c r="U27" s="120"/>
      <c r="V27" s="120"/>
      <c r="W27" s="120"/>
      <c r="X27" s="120"/>
      <c r="Y27" s="121"/>
    </row>
    <row r="28" spans="1:25" ht="9.9499999999999993" customHeight="1">
      <c r="A28" s="1"/>
      <c r="B28" s="104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6"/>
      <c r="S28" s="1"/>
      <c r="T28" s="119"/>
      <c r="U28" s="120"/>
      <c r="V28" s="120"/>
      <c r="W28" s="120"/>
      <c r="X28" s="120"/>
      <c r="Y28" s="121"/>
    </row>
    <row r="29" spans="1:25" ht="9.9499999999999993" customHeight="1">
      <c r="A29" s="1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6"/>
      <c r="S29" s="1"/>
      <c r="T29" s="119"/>
      <c r="U29" s="120"/>
      <c r="V29" s="120"/>
      <c r="W29" s="120"/>
      <c r="X29" s="120"/>
      <c r="Y29" s="121"/>
    </row>
    <row r="30" spans="1:25" ht="9.9499999999999993" customHeight="1">
      <c r="A30" s="1"/>
      <c r="B30" s="104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6"/>
      <c r="S30" s="1"/>
      <c r="T30" s="119"/>
      <c r="U30" s="120"/>
      <c r="V30" s="120"/>
      <c r="W30" s="120"/>
      <c r="X30" s="120"/>
      <c r="Y30" s="121"/>
    </row>
    <row r="31" spans="1:25" ht="9.9499999999999993" customHeight="1">
      <c r="A31" s="1"/>
      <c r="B31" s="104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6"/>
      <c r="S31" s="1"/>
      <c r="T31" s="119"/>
      <c r="U31" s="120"/>
      <c r="V31" s="120"/>
      <c r="W31" s="120"/>
      <c r="X31" s="120"/>
      <c r="Y31" s="121"/>
    </row>
    <row r="32" spans="1:25" ht="9.9499999999999993" customHeight="1">
      <c r="A32" s="1"/>
      <c r="B32" s="104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6"/>
      <c r="S32" s="1"/>
      <c r="T32" s="119"/>
      <c r="U32" s="120"/>
      <c r="V32" s="120"/>
      <c r="W32" s="120"/>
      <c r="X32" s="120"/>
      <c r="Y32" s="121"/>
    </row>
    <row r="33" spans="1:25" ht="9.9499999999999993" customHeight="1">
      <c r="A33" s="1"/>
      <c r="B33" s="104"/>
      <c r="C33" s="105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6"/>
      <c r="S33" s="1"/>
      <c r="T33" s="119"/>
      <c r="U33" s="120"/>
      <c r="V33" s="120"/>
      <c r="W33" s="120"/>
      <c r="X33" s="120"/>
      <c r="Y33" s="121"/>
    </row>
    <row r="34" spans="1:25" ht="9.9499999999999993" customHeight="1">
      <c r="A34" s="1"/>
      <c r="B34" s="104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6"/>
      <c r="S34" s="1"/>
      <c r="T34" s="119"/>
      <c r="U34" s="120"/>
      <c r="V34" s="120"/>
      <c r="W34" s="120"/>
      <c r="X34" s="120"/>
      <c r="Y34" s="121"/>
    </row>
    <row r="35" spans="1:25" ht="9.9499999999999993" customHeight="1">
      <c r="A35" s="1"/>
      <c r="B35" s="104"/>
      <c r="C35" s="105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6"/>
      <c r="S35" s="1"/>
      <c r="T35" s="119"/>
      <c r="U35" s="120"/>
      <c r="V35" s="120"/>
      <c r="W35" s="120"/>
      <c r="X35" s="120"/>
      <c r="Y35" s="121"/>
    </row>
    <row r="36" spans="1:25" ht="9.9499999999999993" customHeight="1">
      <c r="A36" s="1"/>
      <c r="B36" s="104"/>
      <c r="C36" s="105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6"/>
      <c r="S36" s="1"/>
      <c r="T36" s="119"/>
      <c r="U36" s="120"/>
      <c r="V36" s="120"/>
      <c r="W36" s="120"/>
      <c r="X36" s="120"/>
      <c r="Y36" s="121"/>
    </row>
    <row r="37" spans="1:25" ht="9.9499999999999993" customHeight="1">
      <c r="A37" s="1"/>
      <c r="B37" s="104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6"/>
      <c r="S37" s="1"/>
      <c r="T37" s="119"/>
      <c r="U37" s="120"/>
      <c r="V37" s="120"/>
      <c r="W37" s="120"/>
      <c r="X37" s="120"/>
      <c r="Y37" s="121"/>
    </row>
    <row r="38" spans="1:25" ht="9.9499999999999993" customHeight="1">
      <c r="A38" s="1"/>
      <c r="B38" s="104"/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6"/>
      <c r="S38" s="1"/>
      <c r="T38" s="119"/>
      <c r="U38" s="120"/>
      <c r="V38" s="120"/>
      <c r="W38" s="120"/>
      <c r="X38" s="120"/>
      <c r="Y38" s="121"/>
    </row>
    <row r="39" spans="1:25" ht="9.9499999999999993" customHeight="1">
      <c r="A39" s="1"/>
      <c r="B39" s="104"/>
      <c r="C39" s="105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6"/>
      <c r="S39" s="1"/>
      <c r="T39" s="119"/>
      <c r="U39" s="120"/>
      <c r="V39" s="120"/>
      <c r="W39" s="120"/>
      <c r="X39" s="120"/>
      <c r="Y39" s="121"/>
    </row>
    <row r="40" spans="1:25" ht="9.9499999999999993" customHeight="1">
      <c r="A40" s="1"/>
      <c r="B40" s="104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6"/>
      <c r="S40" s="1"/>
      <c r="T40" s="119"/>
      <c r="U40" s="120"/>
      <c r="V40" s="120"/>
      <c r="W40" s="120"/>
      <c r="X40" s="120"/>
      <c r="Y40" s="121"/>
    </row>
    <row r="41" spans="1:25" ht="9.9499999999999993" customHeight="1">
      <c r="A41" s="1"/>
      <c r="B41" s="107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9"/>
      <c r="S41" s="1"/>
      <c r="T41" s="122"/>
      <c r="U41" s="123"/>
      <c r="V41" s="123"/>
      <c r="W41" s="123"/>
      <c r="X41" s="123"/>
      <c r="Y41" s="124"/>
    </row>
    <row r="42" spans="1:25" ht="9.9499999999999993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9.9499999999999993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8"/>
      <c r="S43" s="1"/>
      <c r="T43" s="86" t="str">
        <f>IF(Offer!$AA$2="USD", "FOB PRICE", "DDP PRICE")</f>
        <v>DDP PRICE</v>
      </c>
      <c r="U43" s="87"/>
      <c r="V43" s="87"/>
      <c r="W43" s="92" t="str">
        <f>IFERROR(VLOOKUP(A1,#REF!, 21, FALSE), "")</f>
        <v/>
      </c>
      <c r="X43" s="92"/>
      <c r="Y43" s="93"/>
    </row>
    <row r="44" spans="1:25" ht="9.9499999999999993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8"/>
      <c r="S44" s="1"/>
      <c r="T44" s="88"/>
      <c r="U44" s="89"/>
      <c r="V44" s="89"/>
      <c r="W44" s="94"/>
      <c r="X44" s="94"/>
      <c r="Y44" s="95"/>
    </row>
    <row r="45" spans="1:25" ht="9.9499999999999993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90"/>
      <c r="U45" s="91"/>
      <c r="V45" s="91"/>
      <c r="W45" s="96"/>
      <c r="X45" s="96"/>
      <c r="Y45" s="97"/>
    </row>
    <row r="46" spans="1:25" ht="9.9499999999999993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9.9499999999999993" customHeight="1">
      <c r="A47" s="1"/>
      <c r="B47" s="3" t="s">
        <v>159</v>
      </c>
      <c r="C47" s="4"/>
      <c r="D47" s="4"/>
      <c r="E47" s="9" t="s">
        <v>160</v>
      </c>
      <c r="F47" s="9"/>
      <c r="G47" s="9" t="s">
        <v>161</v>
      </c>
      <c r="H47" s="9"/>
      <c r="I47" s="9" t="s">
        <v>162</v>
      </c>
      <c r="J47" s="4"/>
      <c r="K47" s="4"/>
      <c r="L47" s="4"/>
      <c r="M47" s="4" t="s">
        <v>163</v>
      </c>
      <c r="N47" s="4"/>
      <c r="O47" s="9" t="s">
        <v>164</v>
      </c>
      <c r="P47" s="9" t="s">
        <v>165</v>
      </c>
      <c r="Q47" s="9" t="s">
        <v>113</v>
      </c>
      <c r="R47" s="10"/>
      <c r="S47" s="1"/>
      <c r="T47" s="11"/>
      <c r="U47" s="12"/>
      <c r="V47" s="12"/>
      <c r="W47" s="12"/>
      <c r="X47" s="4" t="s">
        <v>166</v>
      </c>
      <c r="Y47" s="13"/>
    </row>
    <row r="48" spans="1:25" ht="9.9499999999999993" customHeight="1">
      <c r="A48" s="1"/>
      <c r="B48" s="14"/>
      <c r="C48" s="5"/>
      <c r="D48" s="5"/>
      <c r="E48" s="15"/>
      <c r="F48" s="15"/>
      <c r="G48" s="15"/>
      <c r="H48" s="15"/>
      <c r="I48" s="15"/>
      <c r="J48" s="5"/>
      <c r="K48" s="5"/>
      <c r="L48" s="5"/>
      <c r="M48" s="5"/>
      <c r="N48" s="5"/>
      <c r="O48" s="15"/>
      <c r="P48" s="15"/>
      <c r="Q48" s="15"/>
      <c r="R48" s="16"/>
      <c r="S48" s="1"/>
      <c r="T48" s="17"/>
      <c r="U48" s="18"/>
      <c r="V48" s="18"/>
      <c r="W48" s="18"/>
      <c r="X48" s="19" t="s">
        <v>167</v>
      </c>
      <c r="Y48" s="20"/>
    </row>
    <row r="49" spans="1:25" ht="9.9499999999999993" customHeight="1">
      <c r="A49" s="1"/>
      <c r="B49" s="98"/>
      <c r="C49" s="99"/>
      <c r="D49" s="99"/>
      <c r="E49" s="100" t="str">
        <f>IFERROR(VLOOKUP(A1,#REF!, 23, FALSE), "")</f>
        <v/>
      </c>
      <c r="F49" s="100"/>
      <c r="G49" s="100" t="str">
        <f>IFERROR(VLOOKUP(A1,#REF!, 24, FALSE), "")</f>
        <v/>
      </c>
      <c r="H49" s="100"/>
      <c r="I49" s="100" t="str">
        <f>IFERROR(VLOOKUP(A1,#REF!, 25, FALSE), "")</f>
        <v/>
      </c>
      <c r="J49" s="100"/>
      <c r="K49" s="32"/>
      <c r="L49" s="32"/>
      <c r="M49" s="100"/>
      <c r="N49" s="100"/>
      <c r="O49" s="32" t="str">
        <f>IFERROR(VLOOKUP(A1,#REF!, 26, FALSE), "")</f>
        <v/>
      </c>
      <c r="P49" s="32" t="str">
        <f>IFERROR(VLOOKUP(A1,#REF!, 27, FALSE), "")</f>
        <v/>
      </c>
      <c r="Q49" s="32" t="str">
        <f>IFERROR(VLOOKUP(A1,#REF!, 28, FALSE), "")</f>
        <v/>
      </c>
      <c r="R49" s="21"/>
      <c r="S49" s="1"/>
      <c r="T49" s="17"/>
      <c r="U49" s="18"/>
      <c r="V49" s="18"/>
      <c r="W49" s="18"/>
      <c r="X49" s="33" t="str">
        <f>IFERROR(VLOOKUP(A1,#REF!, 29, FALSE), "")</f>
        <v/>
      </c>
      <c r="Y49" s="20"/>
    </row>
    <row r="50" spans="1:25" ht="9.9499999999999993" customHeight="1">
      <c r="A50" s="1"/>
      <c r="B50" s="22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4"/>
      <c r="P50" s="24"/>
      <c r="Q50" s="24"/>
      <c r="R50" s="25"/>
      <c r="S50" s="1"/>
      <c r="T50" s="26"/>
      <c r="U50" s="27"/>
      <c r="V50" s="27"/>
      <c r="W50" s="27"/>
      <c r="X50" s="7" t="s">
        <v>168</v>
      </c>
      <c r="Y50" s="28"/>
    </row>
    <row r="51" spans="1:25" ht="9.9499999999999993" customHeight="1">
      <c r="X51" s="29"/>
    </row>
    <row r="52" spans="1:25" ht="9.9499999999999993" customHeight="1"/>
    <row r="53" spans="1:25" ht="9.9499999999999993" customHeight="1"/>
    <row r="54" spans="1:25" ht="9.9499999999999993" customHeight="1"/>
    <row r="55" spans="1:25" ht="9.9499999999999993" customHeight="1"/>
    <row r="56" spans="1:25" ht="9.9499999999999993" customHeight="1"/>
    <row r="57" spans="1:25" ht="9.9499999999999993" customHeight="1"/>
    <row r="58" spans="1:25" ht="9.9499999999999993" customHeight="1"/>
    <row r="59" spans="1:25" ht="9.9499999999999993" customHeight="1"/>
    <row r="60" spans="1:25" ht="9.9499999999999993" customHeight="1"/>
    <row r="61" spans="1:25" ht="9.9499999999999993" customHeight="1"/>
    <row r="62" spans="1:25" ht="9.9499999999999993" customHeight="1"/>
    <row r="63" spans="1:25" ht="9.9499999999999993" customHeight="1"/>
    <row r="64" spans="1:25" ht="9.9499999999999993" customHeight="1"/>
    <row r="65" ht="9.9499999999999993" customHeight="1"/>
    <row r="66" ht="9.9499999999999993" customHeight="1"/>
    <row r="67" ht="9.9499999999999993" customHeight="1"/>
    <row r="68" ht="9.9499999999999993" customHeight="1"/>
    <row r="69" ht="9.9499999999999993" customHeight="1"/>
    <row r="70" ht="9.9499999999999993" customHeight="1"/>
    <row r="71" ht="9.9499999999999993" customHeight="1"/>
    <row r="72" ht="9.9499999999999993" customHeight="1"/>
    <row r="73" ht="9.9499999999999993" customHeight="1"/>
    <row r="74" ht="9.9499999999999993" customHeight="1"/>
    <row r="75" ht="9.9499999999999993" customHeight="1"/>
    <row r="76" ht="9.9499999999999993" customHeight="1"/>
    <row r="77" ht="9.9499999999999993" customHeight="1"/>
    <row r="78" ht="9.9499999999999993" customHeight="1"/>
    <row r="79" ht="9.9499999999999993" customHeight="1"/>
    <row r="80" ht="9.9499999999999993" customHeight="1"/>
    <row r="81" ht="9.9499999999999993" customHeight="1"/>
    <row r="82" ht="9.9499999999999993" customHeight="1"/>
    <row r="83" ht="9.9499999999999993" customHeight="1"/>
    <row r="84" ht="9.9499999999999993" customHeight="1"/>
    <row r="85" ht="9.9499999999999993" customHeight="1"/>
    <row r="86" ht="9.9499999999999993" customHeight="1"/>
    <row r="87" ht="9.9499999999999993" customHeight="1"/>
    <row r="88" ht="9.9499999999999993" customHeight="1"/>
    <row r="89" ht="9.9499999999999993" customHeight="1"/>
    <row r="90" ht="9.9499999999999993" customHeight="1"/>
    <row r="91" ht="9.9499999999999993" customHeight="1"/>
    <row r="92" ht="9.9499999999999993" customHeight="1"/>
    <row r="93" ht="9.9499999999999993" customHeight="1"/>
    <row r="94" ht="9.9499999999999993" customHeight="1"/>
    <row r="95" ht="9.9499999999999993" customHeight="1"/>
    <row r="96" ht="9.9499999999999993" customHeight="1"/>
    <row r="97" ht="9.9499999999999993" customHeight="1"/>
    <row r="98" ht="9.9499999999999993" customHeight="1"/>
    <row r="99" ht="9.9499999999999993" customHeight="1"/>
    <row r="100" ht="9.9499999999999993" customHeight="1"/>
  </sheetData>
  <mergeCells count="35">
    <mergeCell ref="S3:T3"/>
    <mergeCell ref="U3:Y3"/>
    <mergeCell ref="H4:J4"/>
    <mergeCell ref="K4:R4"/>
    <mergeCell ref="S4:T4"/>
    <mergeCell ref="U4:Y4"/>
    <mergeCell ref="H5:J5"/>
    <mergeCell ref="K5:R5"/>
    <mergeCell ref="S5:T5"/>
    <mergeCell ref="U5:Y5"/>
    <mergeCell ref="D8:R8"/>
    <mergeCell ref="T8:U9"/>
    <mergeCell ref="B2:G6"/>
    <mergeCell ref="H2:J2"/>
    <mergeCell ref="K2:R2"/>
    <mergeCell ref="S2:T2"/>
    <mergeCell ref="U2:Y2"/>
    <mergeCell ref="H3:J3"/>
    <mergeCell ref="K3:R3"/>
    <mergeCell ref="H6:J6"/>
    <mergeCell ref="K6:R6"/>
    <mergeCell ref="S6:T6"/>
    <mergeCell ref="B11:R41"/>
    <mergeCell ref="T11:U17"/>
    <mergeCell ref="X11:Y17"/>
    <mergeCell ref="T21:Y41"/>
    <mergeCell ref="X8:Y9"/>
    <mergeCell ref="D9:R9"/>
    <mergeCell ref="T43:V45"/>
    <mergeCell ref="W43:Y45"/>
    <mergeCell ref="B49:D49"/>
    <mergeCell ref="E49:F49"/>
    <mergeCell ref="G49:H49"/>
    <mergeCell ref="I49:J49"/>
    <mergeCell ref="M49:N49"/>
  </mergeCells>
  <pageMargins left="0.25" right="0.25" top="0.75" bottom="0.75" header="0.3" footer="0.3"/>
  <pageSetup paperSize="9" scale="91" orientation="landscape" r:id="rId1"/>
  <headerFooter>
    <oddHeader>&amp;LEUROFAR INTERNATIONAL BV&amp;CPagina &amp;P&amp;R&amp;D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Offer</vt:lpstr>
      <vt:lpstr>ParamTable</vt:lpstr>
      <vt:lpstr>PrintHeader</vt:lpstr>
      <vt:lpstr>PrintDetail</vt:lpstr>
      <vt:lpstr>ModelPieceReport</vt:lpstr>
      <vt:lpstr>TEMPLATE_PS</vt:lpstr>
      <vt:lpstr>Offer!Print_Area</vt:lpstr>
      <vt:lpstr>TEMPLATE_PS!Print_Area</vt:lpstr>
      <vt:lpstr>Offer!Print_Titles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AuvietSoft</cp:lastModifiedBy>
  <cp:lastPrinted>2015-10-23T13:42:11Z</cp:lastPrinted>
  <dcterms:created xsi:type="dcterms:W3CDTF">2011-06-02T03:49:45Z</dcterms:created>
  <dcterms:modified xsi:type="dcterms:W3CDTF">2019-08-07T02:18:52Z</dcterms:modified>
</cp:coreProperties>
</file>