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tabRatio="718"/>
  </bookViews>
  <sheets>
    <sheet name="EurofarPriceOverview" sheetId="1" r:id="rId1"/>
    <sheet name="MI" sheetId="4" r:id="rId2"/>
    <sheet name="MarginCustomer" sheetId="5" r:id="rId3"/>
    <sheet name="MarginConclusion " sheetId="11" r:id="rId4"/>
    <sheet name="Supplier" sheetId="6" r:id="rId5"/>
    <sheet name="Data1" sheetId="2" r:id="rId6"/>
    <sheet name="Data2" sheetId="3" r:id="rId7"/>
    <sheet name="Data3" sheetId="7" r:id="rId8"/>
    <sheet name="Data4" sheetId="9" r:id="rId9"/>
    <sheet name="Data5" sheetId="8" r:id="rId10"/>
    <sheet name="Data6" sheetId="10" r:id="rId11"/>
    <sheet name="CA" sheetId="13" r:id="rId12"/>
    <sheet name="CB" sheetId="14" r:id="rId13"/>
  </sheets>
  <definedNames>
    <definedName name="_xlnm._FilterDatabase" localSheetId="11" hidden="1">CA!$A$3:$P$3</definedName>
    <definedName name="_xlnm._FilterDatabase" localSheetId="12" hidden="1">CB!$A$3:$P$3</definedName>
    <definedName name="_xlnm._FilterDatabase" localSheetId="0" hidden="1">EurofarPriceOverview!$A$6:$BN$7</definedName>
    <definedName name="_xlnm._FilterDatabase" localSheetId="2" hidden="1">MarginCustomer!$A$4:$AF$4</definedName>
    <definedName name="_xlnm._FilterDatabase" localSheetId="4" hidden="1">Supplier!$A$4:$Q$4</definedName>
  </definedNames>
  <calcPr calcId="162913"/>
</workbook>
</file>

<file path=xl/calcChain.xml><?xml version="1.0" encoding="utf-8"?>
<calcChain xmlns="http://schemas.openxmlformats.org/spreadsheetml/2006/main">
  <c r="BL7" i="1" l="1"/>
  <c r="BK7" i="1"/>
  <c r="BJ7" i="1"/>
  <c r="W4" i="11" l="1"/>
  <c r="Y4" i="11"/>
  <c r="Y2" i="11" s="1"/>
  <c r="X4" i="11"/>
  <c r="X2" i="11"/>
  <c r="Y5" i="5"/>
  <c r="Y3" i="5" s="1"/>
  <c r="X5" i="5"/>
  <c r="X2" i="5" s="1"/>
  <c r="X3" i="5"/>
  <c r="BJ5" i="1"/>
  <c r="BJ4" i="1"/>
  <c r="BK5" i="1"/>
  <c r="BL5" i="1"/>
  <c r="BL4" i="1"/>
  <c r="W2" i="11"/>
  <c r="Y2" i="5" l="1"/>
  <c r="BK4" i="1"/>
  <c r="W5" i="5" l="1"/>
  <c r="W3" i="5" l="1"/>
  <c r="W2" i="5"/>
  <c r="P4" i="14" l="1"/>
  <c r="O4" i="14"/>
  <c r="O2" i="14" s="1"/>
  <c r="M4" i="14"/>
  <c r="F4" i="14"/>
  <c r="E4" i="14"/>
  <c r="D4" i="14"/>
  <c r="D2" i="14" s="1"/>
  <c r="C4" i="14"/>
  <c r="C42" i="11" s="1"/>
  <c r="B4" i="14"/>
  <c r="B42" i="11" s="1"/>
  <c r="A4" i="14"/>
  <c r="P2" i="14"/>
  <c r="M2" i="14"/>
  <c r="F2" i="14"/>
  <c r="G4" i="14" s="1"/>
  <c r="D42" i="11" s="1"/>
  <c r="P4" i="13"/>
  <c r="P2" i="13" s="1"/>
  <c r="O4" i="13"/>
  <c r="M4" i="13"/>
  <c r="M2" i="13" s="1"/>
  <c r="F4" i="13"/>
  <c r="F2" i="13" s="1"/>
  <c r="E4" i="13"/>
  <c r="D4" i="13"/>
  <c r="D2" i="13" s="1"/>
  <c r="C4" i="13"/>
  <c r="B4" i="13"/>
  <c r="B30" i="11" s="1"/>
  <c r="A4" i="13"/>
  <c r="O2" i="13"/>
  <c r="P5" i="6"/>
  <c r="N5" i="6"/>
  <c r="L5" i="6"/>
  <c r="K5" i="6"/>
  <c r="K2" i="6" s="1"/>
  <c r="J5" i="6"/>
  <c r="J2" i="6" s="1"/>
  <c r="I5" i="6"/>
  <c r="I2" i="6" s="1"/>
  <c r="H5" i="6"/>
  <c r="H3" i="6" s="1"/>
  <c r="G5" i="6"/>
  <c r="G2" i="6" s="1"/>
  <c r="E5" i="6"/>
  <c r="C5" i="6"/>
  <c r="B5" i="6"/>
  <c r="A5" i="6"/>
  <c r="N3" i="6"/>
  <c r="O3" i="6" s="1"/>
  <c r="E3" i="6"/>
  <c r="N2" i="6"/>
  <c r="E2" i="6"/>
  <c r="C72" i="11"/>
  <c r="B72" i="11"/>
  <c r="A72" i="11"/>
  <c r="C71" i="11"/>
  <c r="B71" i="11"/>
  <c r="A71" i="11"/>
  <c r="C70" i="11"/>
  <c r="B70" i="11"/>
  <c r="A70" i="11"/>
  <c r="C69" i="11"/>
  <c r="B69" i="11"/>
  <c r="A69" i="11"/>
  <c r="C68" i="11"/>
  <c r="B68" i="11"/>
  <c r="A68" i="11"/>
  <c r="C67" i="11"/>
  <c r="B67" i="11"/>
  <c r="A67" i="11"/>
  <c r="D60" i="11"/>
  <c r="C60" i="11"/>
  <c r="B60" i="11"/>
  <c r="A60" i="11"/>
  <c r="D59" i="11"/>
  <c r="C59" i="11"/>
  <c r="B59" i="11"/>
  <c r="A59" i="11"/>
  <c r="D58" i="11"/>
  <c r="C58" i="11"/>
  <c r="B58" i="11"/>
  <c r="A58" i="11"/>
  <c r="D57" i="11"/>
  <c r="C57" i="11"/>
  <c r="B57" i="11"/>
  <c r="A57" i="11"/>
  <c r="D56" i="11"/>
  <c r="C56" i="11"/>
  <c r="B56" i="11"/>
  <c r="A56" i="11"/>
  <c r="D55" i="11"/>
  <c r="C55" i="11"/>
  <c r="B55" i="11"/>
  <c r="A55" i="11"/>
  <c r="D48" i="11"/>
  <c r="C48" i="11"/>
  <c r="B48" i="11"/>
  <c r="A48" i="11"/>
  <c r="D47" i="11"/>
  <c r="C47" i="11"/>
  <c r="B47" i="11"/>
  <c r="A47" i="11"/>
  <c r="D46" i="11"/>
  <c r="C46" i="11"/>
  <c r="B46" i="11"/>
  <c r="A46" i="11"/>
  <c r="D45" i="11"/>
  <c r="C45" i="11"/>
  <c r="B45" i="11"/>
  <c r="A45" i="11"/>
  <c r="D44" i="11"/>
  <c r="C44" i="11"/>
  <c r="B44" i="11"/>
  <c r="A44" i="11"/>
  <c r="D43" i="11"/>
  <c r="C43" i="11"/>
  <c r="B43" i="11"/>
  <c r="A43" i="11"/>
  <c r="D40" i="11"/>
  <c r="D36" i="11"/>
  <c r="C36" i="11"/>
  <c r="B36" i="11"/>
  <c r="A36" i="11"/>
  <c r="D35" i="11"/>
  <c r="C35" i="11"/>
  <c r="B35" i="11"/>
  <c r="A35" i="11"/>
  <c r="D34" i="11"/>
  <c r="C34" i="11"/>
  <c r="B34" i="11"/>
  <c r="A34" i="11"/>
  <c r="D33" i="11"/>
  <c r="C33" i="11"/>
  <c r="B33" i="11"/>
  <c r="A33" i="11"/>
  <c r="D32" i="11"/>
  <c r="C32" i="11"/>
  <c r="B32" i="11"/>
  <c r="A32" i="11"/>
  <c r="D31" i="11"/>
  <c r="C31" i="11"/>
  <c r="B31" i="11"/>
  <c r="A31" i="11"/>
  <c r="C30" i="11"/>
  <c r="D28" i="11"/>
  <c r="D24" i="11"/>
  <c r="C24" i="11"/>
  <c r="B24" i="11"/>
  <c r="A24" i="11"/>
  <c r="D23" i="11"/>
  <c r="C23" i="11"/>
  <c r="B23" i="11"/>
  <c r="A23" i="11"/>
  <c r="D22" i="11"/>
  <c r="C22" i="11"/>
  <c r="B22" i="11"/>
  <c r="A22" i="11"/>
  <c r="D21" i="11"/>
  <c r="C21" i="11"/>
  <c r="B21" i="11"/>
  <c r="A21" i="11"/>
  <c r="D20" i="11"/>
  <c r="C20" i="11"/>
  <c r="B20" i="11"/>
  <c r="A20" i="11"/>
  <c r="D19" i="11"/>
  <c r="C19" i="11"/>
  <c r="B19" i="11"/>
  <c r="A19" i="11"/>
  <c r="AK10" i="11"/>
  <c r="AM10" i="11" s="1"/>
  <c r="V4" i="11"/>
  <c r="V2" i="11" s="1"/>
  <c r="U4" i="11"/>
  <c r="S4" i="11"/>
  <c r="S2" i="11" s="1"/>
  <c r="K4" i="11"/>
  <c r="J4" i="11"/>
  <c r="J2" i="11" s="1"/>
  <c r="I4" i="11"/>
  <c r="I2" i="11" s="1"/>
  <c r="D64" i="11" s="1"/>
  <c r="C4" i="11"/>
  <c r="C18" i="11" s="1"/>
  <c r="B4" i="11"/>
  <c r="B18" i="11" s="1"/>
  <c r="A4" i="11"/>
  <c r="AS2" i="11"/>
  <c r="AS4" i="11" s="1"/>
  <c r="U2" i="11"/>
  <c r="AE5" i="5"/>
  <c r="AE3" i="5" s="1"/>
  <c r="AC5" i="5"/>
  <c r="AC2" i="5" s="1"/>
  <c r="AB5" i="5"/>
  <c r="AB3" i="5" s="1"/>
  <c r="V5" i="5"/>
  <c r="V2" i="5" s="1"/>
  <c r="U5" i="5"/>
  <c r="U3" i="5" s="1"/>
  <c r="S5" i="5"/>
  <c r="S3" i="5" s="1"/>
  <c r="Q5" i="5"/>
  <c r="P5" i="5"/>
  <c r="P2" i="5" s="1"/>
  <c r="N5" i="5"/>
  <c r="N2" i="5" s="1"/>
  <c r="M5" i="5"/>
  <c r="M2" i="5" s="1"/>
  <c r="L5" i="5"/>
  <c r="T5" i="5" s="1"/>
  <c r="K5" i="5"/>
  <c r="K2" i="5" s="1"/>
  <c r="J5" i="5"/>
  <c r="J3" i="5" s="1"/>
  <c r="H5" i="5"/>
  <c r="H2" i="5" s="1"/>
  <c r="F5" i="5"/>
  <c r="E5" i="5"/>
  <c r="D5" i="5"/>
  <c r="C5" i="5"/>
  <c r="B5" i="5"/>
  <c r="A5" i="5"/>
  <c r="AE2" i="5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C7" i="4"/>
  <c r="B7" i="4"/>
  <c r="BH7" i="1"/>
  <c r="BH5" i="1" s="1"/>
  <c r="BG7" i="1"/>
  <c r="BG5" i="1" s="1"/>
  <c r="BB7" i="1"/>
  <c r="AT7" i="1"/>
  <c r="AN7" i="1"/>
  <c r="AM7" i="1"/>
  <c r="AK7" i="1"/>
  <c r="AJ7" i="1"/>
  <c r="AI7" i="1"/>
  <c r="AH7" i="1"/>
  <c r="AF7" i="1"/>
  <c r="BN7" i="1" s="1"/>
  <c r="AE7" i="1"/>
  <c r="AD7" i="1"/>
  <c r="AC7" i="1"/>
  <c r="AB7" i="1"/>
  <c r="Z7" i="1"/>
  <c r="Y7" i="1"/>
  <c r="X7" i="1"/>
  <c r="T7" i="1"/>
  <c r="T4" i="1" s="1"/>
  <c r="R7" i="1"/>
  <c r="R5" i="1" s="1"/>
  <c r="Q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BH4" i="1"/>
  <c r="BG4" i="1"/>
  <c r="M2" i="1"/>
  <c r="F2" i="1"/>
  <c r="J2" i="5" l="1"/>
  <c r="Z5" i="5"/>
  <c r="G3" i="6"/>
  <c r="K3" i="6"/>
  <c r="AX7" i="1"/>
  <c r="H2" i="6"/>
  <c r="P2" i="6" s="1"/>
  <c r="Q2" i="6" s="1"/>
  <c r="Q5" i="6"/>
  <c r="Q2" i="5"/>
  <c r="K3" i="5"/>
  <c r="V3" i="5"/>
  <c r="I5" i="5"/>
  <c r="I3" i="5" s="1"/>
  <c r="AU7" i="1"/>
  <c r="AV7" i="1" s="1"/>
  <c r="AV5" i="1" s="1"/>
  <c r="E5" i="4" s="1"/>
  <c r="V7" i="1"/>
  <c r="V5" i="1" s="1"/>
  <c r="T5" i="1"/>
  <c r="M4" i="11"/>
  <c r="AC3" i="5"/>
  <c r="S2" i="5"/>
  <c r="L2" i="5"/>
  <c r="AD5" i="5"/>
  <c r="AD3" i="5"/>
  <c r="AF3" i="5"/>
  <c r="AB2" i="5"/>
  <c r="AF2" i="5" s="1"/>
  <c r="AF5" i="5"/>
  <c r="R4" i="1"/>
  <c r="S7" i="1"/>
  <c r="S4" i="1" s="1"/>
  <c r="K2" i="11"/>
  <c r="D5" i="6"/>
  <c r="D2" i="6" s="1"/>
  <c r="O5" i="6"/>
  <c r="J3" i="6"/>
  <c r="O2" i="6"/>
  <c r="F5" i="6"/>
  <c r="P3" i="6"/>
  <c r="Q3" i="6" s="1"/>
  <c r="P3" i="5"/>
  <c r="H3" i="5"/>
  <c r="G5" i="5"/>
  <c r="G2" i="5" s="1"/>
  <c r="AO7" i="1"/>
  <c r="AV4" i="1"/>
  <c r="E4" i="4" s="1"/>
  <c r="W7" i="1"/>
  <c r="S5" i="1"/>
  <c r="P7" i="1"/>
  <c r="AG7" i="1"/>
  <c r="H4" i="14"/>
  <c r="E2" i="14"/>
  <c r="N4" i="14"/>
  <c r="N2" i="14" s="1"/>
  <c r="E2" i="13"/>
  <c r="N4" i="13"/>
  <c r="N2" i="13" s="1"/>
  <c r="J2" i="13" s="1"/>
  <c r="AQ7" i="1"/>
  <c r="Q3" i="5"/>
  <c r="R3" i="5" s="1"/>
  <c r="R5" i="5"/>
  <c r="A42" i="11"/>
  <c r="A18" i="11"/>
  <c r="A30" i="11"/>
  <c r="H4" i="13"/>
  <c r="O4" i="1"/>
  <c r="N2" i="11"/>
  <c r="I3" i="6"/>
  <c r="M5" i="6"/>
  <c r="L2" i="6"/>
  <c r="M2" i="6" s="1"/>
  <c r="L3" i="6"/>
  <c r="I4" i="14"/>
  <c r="J4" i="14"/>
  <c r="U2" i="5"/>
  <c r="N3" i="5"/>
  <c r="A54" i="11"/>
  <c r="O5" i="1"/>
  <c r="U7" i="1"/>
  <c r="T2" i="5"/>
  <c r="T3" i="5"/>
  <c r="F2" i="6"/>
  <c r="F3" i="6"/>
  <c r="M3" i="5"/>
  <c r="O5" i="5"/>
  <c r="T4" i="11"/>
  <c r="T2" i="11" s="1"/>
  <c r="D2" i="11" s="1"/>
  <c r="D16" i="11" s="1"/>
  <c r="A66" i="11"/>
  <c r="I2" i="13"/>
  <c r="H2" i="13"/>
  <c r="L3" i="5"/>
  <c r="B66" i="11"/>
  <c r="L4" i="11"/>
  <c r="F4" i="11" s="1"/>
  <c r="C66" i="11"/>
  <c r="G4" i="13"/>
  <c r="N4" i="11"/>
  <c r="B54" i="11"/>
  <c r="I4" i="13"/>
  <c r="C54" i="11"/>
  <c r="P4" i="11" l="1"/>
  <c r="AW7" i="1"/>
  <c r="D4" i="11"/>
  <c r="I2" i="5"/>
  <c r="R2" i="5"/>
  <c r="D3" i="6"/>
  <c r="K4" i="14"/>
  <c r="D18" i="11"/>
  <c r="AD2" i="5"/>
  <c r="G3" i="5"/>
  <c r="AP7" i="1"/>
  <c r="BI7" i="1"/>
  <c r="BM7" i="1"/>
  <c r="V4" i="1"/>
  <c r="BD7" i="1"/>
  <c r="O2" i="11"/>
  <c r="D52" i="11" s="1"/>
  <c r="P2" i="11"/>
  <c r="AV4" i="11" s="1"/>
  <c r="AS12" i="11"/>
  <c r="M2" i="11"/>
  <c r="AS11" i="11"/>
  <c r="AR7" i="1"/>
  <c r="BE7" i="1"/>
  <c r="BF7" i="1" s="1"/>
  <c r="AP5" i="1"/>
  <c r="AP4" i="1"/>
  <c r="K2" i="13"/>
  <c r="AG5" i="1"/>
  <c r="AG4" i="1"/>
  <c r="U5" i="1"/>
  <c r="U4" i="1"/>
  <c r="P5" i="1"/>
  <c r="B5" i="4" s="1"/>
  <c r="P4" i="1"/>
  <c r="B4" i="4" s="1"/>
  <c r="K2" i="14"/>
  <c r="J2" i="14"/>
  <c r="L4" i="14" s="1"/>
  <c r="H2" i="14"/>
  <c r="I2" i="14"/>
  <c r="Z2" i="5"/>
  <c r="AA2" i="5" s="1"/>
  <c r="Z3" i="5"/>
  <c r="AA3" i="5" s="1"/>
  <c r="AA5" i="5"/>
  <c r="M3" i="6"/>
  <c r="O4" i="11"/>
  <c r="J4" i="13"/>
  <c r="L4" i="13" s="1"/>
  <c r="D30" i="11" s="1"/>
  <c r="O2" i="5"/>
  <c r="O3" i="5"/>
  <c r="BC7" i="1"/>
  <c r="K4" i="13"/>
  <c r="W5" i="1"/>
  <c r="W4" i="1"/>
  <c r="D67" i="11" l="1"/>
  <c r="AK2" i="11"/>
  <c r="AK4" i="11" s="1"/>
  <c r="A13" i="11" s="1"/>
  <c r="D72" i="11"/>
  <c r="AS9" i="11"/>
  <c r="D71" i="11"/>
  <c r="D70" i="11"/>
  <c r="G2" i="11"/>
  <c r="D68" i="11"/>
  <c r="D69" i="11"/>
  <c r="AV3" i="11"/>
  <c r="BI4" i="1"/>
  <c r="BI5" i="1"/>
  <c r="AU12" i="11"/>
  <c r="AV12" i="11" s="1"/>
  <c r="AT12" i="11"/>
  <c r="AT13" i="11" s="1"/>
  <c r="W2" i="1"/>
  <c r="AK5" i="11"/>
  <c r="D5" i="4"/>
  <c r="D71" i="4" s="1"/>
  <c r="AY7" i="1"/>
  <c r="AZ7" i="1"/>
  <c r="BA7" i="1"/>
  <c r="H4" i="4"/>
  <c r="E7" i="4"/>
  <c r="E79" i="4"/>
  <c r="E77" i="4"/>
  <c r="E75" i="4"/>
  <c r="E73" i="4"/>
  <c r="E71" i="4"/>
  <c r="E69" i="4"/>
  <c r="E67" i="4"/>
  <c r="E65" i="4"/>
  <c r="E63" i="4"/>
  <c r="E61" i="4"/>
  <c r="E59" i="4"/>
  <c r="E57" i="4"/>
  <c r="E55" i="4"/>
  <c r="E53" i="4"/>
  <c r="E51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0" i="4"/>
  <c r="E17" i="4"/>
  <c r="E23" i="4"/>
  <c r="E18" i="4"/>
  <c r="H5" i="4"/>
  <c r="E21" i="4"/>
  <c r="E78" i="4"/>
  <c r="E76" i="4"/>
  <c r="E74" i="4"/>
  <c r="E72" i="4"/>
  <c r="E70" i="4"/>
  <c r="E68" i="4"/>
  <c r="E66" i="4"/>
  <c r="E64" i="4"/>
  <c r="E62" i="4"/>
  <c r="E60" i="4"/>
  <c r="E58" i="4"/>
  <c r="E56" i="4"/>
  <c r="E54" i="4"/>
  <c r="E52" i="4"/>
  <c r="E50" i="4"/>
  <c r="E48" i="4"/>
  <c r="E46" i="4"/>
  <c r="E44" i="4"/>
  <c r="E42" i="4"/>
  <c r="E40" i="4"/>
  <c r="E38" i="4"/>
  <c r="E36" i="4"/>
  <c r="E34" i="4"/>
  <c r="E32" i="4"/>
  <c r="E30" i="4"/>
  <c r="E28" i="4"/>
  <c r="E26" i="4"/>
  <c r="E24" i="4"/>
  <c r="E19" i="4"/>
  <c r="E15" i="4"/>
  <c r="E14" i="4"/>
  <c r="E13" i="4"/>
  <c r="E12" i="4"/>
  <c r="E11" i="4"/>
  <c r="E10" i="4"/>
  <c r="E9" i="4"/>
  <c r="E22" i="4"/>
  <c r="E16" i="4"/>
  <c r="U2" i="1"/>
  <c r="BF5" i="1"/>
  <c r="BF2" i="1" s="1"/>
  <c r="F5" i="4" s="1"/>
  <c r="BF4" i="1"/>
  <c r="BF1" i="1" s="1"/>
  <c r="F4" i="4" s="1"/>
  <c r="D54" i="11"/>
  <c r="D66" i="11" s="1"/>
  <c r="G4" i="11"/>
  <c r="Q4" i="11"/>
  <c r="E4" i="11" s="1"/>
  <c r="AR4" i="1"/>
  <c r="AS7" i="1"/>
  <c r="AR5" i="1"/>
  <c r="D50" i="4" l="1"/>
  <c r="D11" i="4"/>
  <c r="D22" i="4"/>
  <c r="D23" i="4"/>
  <c r="D28" i="4"/>
  <c r="D57" i="4"/>
  <c r="D15" i="4"/>
  <c r="D33" i="4"/>
  <c r="D67" i="4"/>
  <c r="D41" i="4"/>
  <c r="AV13" i="11"/>
  <c r="D12" i="4"/>
  <c r="D24" i="4"/>
  <c r="D16" i="4"/>
  <c r="D29" i="4"/>
  <c r="D42" i="4"/>
  <c r="D59" i="4"/>
  <c r="D68" i="4"/>
  <c r="D9" i="4"/>
  <c r="D13" i="4"/>
  <c r="D19" i="4"/>
  <c r="D21" i="4"/>
  <c r="D20" i="4"/>
  <c r="D25" i="4"/>
  <c r="D31" i="4"/>
  <c r="D37" i="4"/>
  <c r="D43" i="4"/>
  <c r="D52" i="4"/>
  <c r="D65" i="4"/>
  <c r="D74" i="4"/>
  <c r="D17" i="4"/>
  <c r="D35" i="4"/>
  <c r="D51" i="4"/>
  <c r="D10" i="4"/>
  <c r="D14" i="4"/>
  <c r="D18" i="4"/>
  <c r="D26" i="4"/>
  <c r="D32" i="4"/>
  <c r="D40" i="4"/>
  <c r="D48" i="4"/>
  <c r="D56" i="4"/>
  <c r="D66" i="4"/>
  <c r="D34" i="4"/>
  <c r="D44" i="4"/>
  <c r="D58" i="4"/>
  <c r="D73" i="4"/>
  <c r="D27" i="4"/>
  <c r="D36" i="4"/>
  <c r="D49" i="4"/>
  <c r="D60" i="4"/>
  <c r="D75" i="4"/>
  <c r="D64" i="4"/>
  <c r="D77" i="4"/>
  <c r="D76" i="4"/>
  <c r="D45" i="4"/>
  <c r="D53" i="4"/>
  <c r="D61" i="4"/>
  <c r="D69" i="4"/>
  <c r="D78" i="4"/>
  <c r="D30" i="4"/>
  <c r="D38" i="4"/>
  <c r="D46" i="4"/>
  <c r="D54" i="4"/>
  <c r="D62" i="4"/>
  <c r="D70" i="4"/>
  <c r="D79" i="4"/>
  <c r="D39" i="4"/>
  <c r="D47" i="4"/>
  <c r="D55" i="4"/>
  <c r="D63" i="4"/>
  <c r="AZ5" i="1"/>
  <c r="AZ2" i="1" s="1"/>
  <c r="BN2" i="1" s="1"/>
  <c r="AZ4" i="1"/>
  <c r="AZ1" i="1" s="1"/>
  <c r="BN1" i="1" s="1"/>
  <c r="AY5" i="1"/>
  <c r="AY4" i="1"/>
  <c r="AS4" i="1"/>
  <c r="C4" i="4" s="1"/>
  <c r="AS5" i="1"/>
  <c r="C5" i="4" s="1"/>
  <c r="D4" i="4"/>
  <c r="G5" i="4"/>
  <c r="F23" i="4"/>
  <c r="F59" i="4"/>
  <c r="F43" i="4"/>
  <c r="F29" i="4"/>
  <c r="F17" i="4"/>
  <c r="F18" i="4"/>
  <c r="F37" i="4"/>
  <c r="F21" i="4"/>
  <c r="F77" i="4"/>
  <c r="F61" i="4"/>
  <c r="F45" i="4"/>
  <c r="F25" i="4"/>
  <c r="F78" i="4"/>
  <c r="F76" i="4"/>
  <c r="F74" i="4"/>
  <c r="F72" i="4"/>
  <c r="F70" i="4"/>
  <c r="F68" i="4"/>
  <c r="F66" i="4"/>
  <c r="F64" i="4"/>
  <c r="F62" i="4"/>
  <c r="F60" i="4"/>
  <c r="F58" i="4"/>
  <c r="F56" i="4"/>
  <c r="F54" i="4"/>
  <c r="F52" i="4"/>
  <c r="F50" i="4"/>
  <c r="F48" i="4"/>
  <c r="F46" i="4"/>
  <c r="F44" i="4"/>
  <c r="F42" i="4"/>
  <c r="F40" i="4"/>
  <c r="F38" i="4"/>
  <c r="F36" i="4"/>
  <c r="F34" i="4"/>
  <c r="F32" i="4"/>
  <c r="F30" i="4"/>
  <c r="F28" i="4"/>
  <c r="F26" i="4"/>
  <c r="F24" i="4"/>
  <c r="F7" i="4"/>
  <c r="F19" i="4"/>
  <c r="F15" i="4"/>
  <c r="F14" i="4"/>
  <c r="F13" i="4"/>
  <c r="F12" i="4"/>
  <c r="F11" i="4"/>
  <c r="F10" i="4"/>
  <c r="F9" i="4"/>
  <c r="F75" i="4"/>
  <c r="F69" i="4"/>
  <c r="F63" i="4"/>
  <c r="F53" i="4"/>
  <c r="F47" i="4"/>
  <c r="F39" i="4"/>
  <c r="F33" i="4"/>
  <c r="F22" i="4"/>
  <c r="F16" i="4"/>
  <c r="F67" i="4"/>
  <c r="F55" i="4"/>
  <c r="F49" i="4"/>
  <c r="F35" i="4"/>
  <c r="F27" i="4"/>
  <c r="F79" i="4"/>
  <c r="F73" i="4"/>
  <c r="F71" i="4"/>
  <c r="F65" i="4"/>
  <c r="F57" i="4"/>
  <c r="F51" i="4"/>
  <c r="F41" i="4"/>
  <c r="F31" i="4"/>
  <c r="F20" i="4"/>
  <c r="D72" i="4"/>
  <c r="BN4" i="1" l="1"/>
  <c r="BN5" i="1"/>
  <c r="BM5" i="1" s="1"/>
  <c r="G4" i="4"/>
  <c r="G7" i="4" s="1"/>
  <c r="D7" i="4"/>
  <c r="I5" i="4"/>
  <c r="J5" i="4" s="1"/>
  <c r="C73" i="4"/>
  <c r="C65" i="4"/>
  <c r="C57" i="4"/>
  <c r="C49" i="4"/>
  <c r="C41" i="4"/>
  <c r="C33" i="4"/>
  <c r="C25" i="4"/>
  <c r="C17" i="4"/>
  <c r="C10" i="4"/>
  <c r="C34" i="4"/>
  <c r="C72" i="4"/>
  <c r="C64" i="4"/>
  <c r="C56" i="4"/>
  <c r="C48" i="4"/>
  <c r="C40" i="4"/>
  <c r="C32" i="4"/>
  <c r="C24" i="4"/>
  <c r="C16" i="4"/>
  <c r="C9" i="4"/>
  <c r="C11" i="4"/>
  <c r="C74" i="4"/>
  <c r="C26" i="4"/>
  <c r="C79" i="4"/>
  <c r="C71" i="4"/>
  <c r="C63" i="4"/>
  <c r="C55" i="4"/>
  <c r="C47" i="4"/>
  <c r="C39" i="4"/>
  <c r="C31" i="4"/>
  <c r="C23" i="4"/>
  <c r="C58" i="4"/>
  <c r="C78" i="4"/>
  <c r="C70" i="4"/>
  <c r="C62" i="4"/>
  <c r="C54" i="4"/>
  <c r="C46" i="4"/>
  <c r="C38" i="4"/>
  <c r="C30" i="4"/>
  <c r="C22" i="4"/>
  <c r="C15" i="4"/>
  <c r="C77" i="4"/>
  <c r="C69" i="4"/>
  <c r="C61" i="4"/>
  <c r="C53" i="4"/>
  <c r="C45" i="4"/>
  <c r="C37" i="4"/>
  <c r="C29" i="4"/>
  <c r="C21" i="4"/>
  <c r="C12" i="4"/>
  <c r="C14" i="4"/>
  <c r="C66" i="4"/>
  <c r="C18" i="4"/>
  <c r="C13" i="4"/>
  <c r="C76" i="4"/>
  <c r="C68" i="4"/>
  <c r="C60" i="4"/>
  <c r="C52" i="4"/>
  <c r="C44" i="4"/>
  <c r="C36" i="4"/>
  <c r="C28" i="4"/>
  <c r="C20" i="4"/>
  <c r="C50" i="4"/>
  <c r="C75" i="4"/>
  <c r="C67" i="4"/>
  <c r="C59" i="4"/>
  <c r="C51" i="4"/>
  <c r="C43" i="4"/>
  <c r="C35" i="4"/>
  <c r="C27" i="4"/>
  <c r="C19" i="4"/>
  <c r="C42" i="4"/>
  <c r="G73" i="4"/>
  <c r="G65" i="4"/>
  <c r="G57" i="4"/>
  <c r="G49" i="4"/>
  <c r="G41" i="4"/>
  <c r="G33" i="4"/>
  <c r="G25" i="4"/>
  <c r="G17" i="4"/>
  <c r="G11" i="4"/>
  <c r="G58" i="4"/>
  <c r="G72" i="4"/>
  <c r="G64" i="4"/>
  <c r="G56" i="4"/>
  <c r="G48" i="4"/>
  <c r="G40" i="4"/>
  <c r="G32" i="4"/>
  <c r="G24" i="4"/>
  <c r="G16" i="4"/>
  <c r="G10" i="4"/>
  <c r="G42" i="4"/>
  <c r="G79" i="4"/>
  <c r="G71" i="4"/>
  <c r="G63" i="4"/>
  <c r="G55" i="4"/>
  <c r="G47" i="4"/>
  <c r="G39" i="4"/>
  <c r="G31" i="4"/>
  <c r="G23" i="4"/>
  <c r="G9" i="4"/>
  <c r="G66" i="4"/>
  <c r="G18" i="4"/>
  <c r="G78" i="4"/>
  <c r="G70" i="4"/>
  <c r="G62" i="4"/>
  <c r="G54" i="4"/>
  <c r="G46" i="4"/>
  <c r="G38" i="4"/>
  <c r="G30" i="4"/>
  <c r="G22" i="4"/>
  <c r="G77" i="4"/>
  <c r="G69" i="4"/>
  <c r="G61" i="4"/>
  <c r="G53" i="4"/>
  <c r="G45" i="4"/>
  <c r="G37" i="4"/>
  <c r="G29" i="4"/>
  <c r="G21" i="4"/>
  <c r="G15" i="4"/>
  <c r="G34" i="4"/>
  <c r="G76" i="4"/>
  <c r="G68" i="4"/>
  <c r="G60" i="4"/>
  <c r="G52" i="4"/>
  <c r="G44" i="4"/>
  <c r="G36" i="4"/>
  <c r="G28" i="4"/>
  <c r="G20" i="4"/>
  <c r="G14" i="4"/>
  <c r="G74" i="4"/>
  <c r="G26" i="4"/>
  <c r="G12" i="4"/>
  <c r="G75" i="4"/>
  <c r="G67" i="4"/>
  <c r="G59" i="4"/>
  <c r="G51" i="4"/>
  <c r="G43" i="4"/>
  <c r="G35" i="4"/>
  <c r="G27" i="4"/>
  <c r="G19" i="4"/>
  <c r="G13" i="4"/>
  <c r="G50" i="4"/>
  <c r="I52" i="4" l="1"/>
  <c r="J52" i="4" s="1"/>
  <c r="I12" i="4"/>
  <c r="J12" i="4" s="1"/>
  <c r="I70" i="4"/>
  <c r="J70" i="4" s="1"/>
  <c r="I24" i="4"/>
  <c r="J24" i="4" s="1"/>
  <c r="I73" i="4"/>
  <c r="J73" i="4" s="1"/>
  <c r="I27" i="4"/>
  <c r="J27" i="4" s="1"/>
  <c r="I59" i="4"/>
  <c r="J59" i="4" s="1"/>
  <c r="I77" i="4"/>
  <c r="J77" i="4" s="1"/>
  <c r="I63" i="4"/>
  <c r="J63" i="4" s="1"/>
  <c r="I60" i="4"/>
  <c r="J60" i="4" s="1"/>
  <c r="I46" i="4"/>
  <c r="J46" i="4" s="1"/>
  <c r="I42" i="4"/>
  <c r="J42" i="4" s="1"/>
  <c r="I67" i="4"/>
  <c r="J67" i="4" s="1"/>
  <c r="I68" i="4"/>
  <c r="J68" i="4" s="1"/>
  <c r="I7" i="4"/>
  <c r="J7" i="4" s="1"/>
  <c r="I10" i="4"/>
  <c r="J10" i="4" s="1"/>
  <c r="I45" i="4"/>
  <c r="J45" i="4" s="1"/>
  <c r="I31" i="4"/>
  <c r="J31" i="4" s="1"/>
  <c r="I18" i="4"/>
  <c r="J18" i="4" s="1"/>
  <c r="I35" i="4"/>
  <c r="J35" i="4" s="1"/>
  <c r="I53" i="4"/>
  <c r="J53" i="4" s="1"/>
  <c r="I21" i="4"/>
  <c r="J21" i="4" s="1"/>
  <c r="I15" i="4"/>
  <c r="J15" i="4" s="1"/>
  <c r="I78" i="4"/>
  <c r="J78" i="4" s="1"/>
  <c r="I71" i="4"/>
  <c r="J71" i="4" s="1"/>
  <c r="I32" i="4"/>
  <c r="J32" i="4" s="1"/>
  <c r="I17" i="4"/>
  <c r="J17" i="4" s="1"/>
  <c r="I75" i="4"/>
  <c r="J75" i="4" s="1"/>
  <c r="I29" i="4"/>
  <c r="J29" i="4" s="1"/>
  <c r="I22" i="4"/>
  <c r="J22" i="4" s="1"/>
  <c r="I58" i="4"/>
  <c r="J58" i="4" s="1"/>
  <c r="I79" i="4"/>
  <c r="J79" i="4" s="1"/>
  <c r="I40" i="4"/>
  <c r="J40" i="4" s="1"/>
  <c r="I25" i="4"/>
  <c r="J25" i="4" s="1"/>
  <c r="I19" i="4"/>
  <c r="J19" i="4" s="1"/>
  <c r="I50" i="4"/>
  <c r="J50" i="4" s="1"/>
  <c r="I76" i="4"/>
  <c r="J76" i="4" s="1"/>
  <c r="I37" i="4"/>
  <c r="J37" i="4" s="1"/>
  <c r="I30" i="4"/>
  <c r="J30" i="4" s="1"/>
  <c r="I23" i="4"/>
  <c r="J23" i="4" s="1"/>
  <c r="I26" i="4"/>
  <c r="J26" i="4" s="1"/>
  <c r="I48" i="4"/>
  <c r="J48" i="4" s="1"/>
  <c r="I33" i="4"/>
  <c r="J33" i="4" s="1"/>
  <c r="I38" i="4"/>
  <c r="J38" i="4" s="1"/>
  <c r="I74" i="4"/>
  <c r="J74" i="4" s="1"/>
  <c r="I56" i="4"/>
  <c r="J56" i="4" s="1"/>
  <c r="I41" i="4"/>
  <c r="J41" i="4" s="1"/>
  <c r="I39" i="4"/>
  <c r="J39" i="4" s="1"/>
  <c r="I11" i="4"/>
  <c r="J11" i="4" s="1"/>
  <c r="I64" i="4"/>
  <c r="J64" i="4" s="1"/>
  <c r="I49" i="4"/>
  <c r="J49" i="4" s="1"/>
  <c r="I20" i="4"/>
  <c r="J20" i="4" s="1"/>
  <c r="I43" i="4"/>
  <c r="J43" i="4" s="1"/>
  <c r="I36" i="4"/>
  <c r="J36" i="4" s="1"/>
  <c r="I66" i="4"/>
  <c r="J66" i="4" s="1"/>
  <c r="I61" i="4"/>
  <c r="J61" i="4" s="1"/>
  <c r="I54" i="4"/>
  <c r="J54" i="4" s="1"/>
  <c r="I47" i="4"/>
  <c r="J47" i="4" s="1"/>
  <c r="I9" i="4"/>
  <c r="J9" i="4" s="1"/>
  <c r="I72" i="4"/>
  <c r="J72" i="4" s="1"/>
  <c r="I57" i="4"/>
  <c r="J57" i="4" s="1"/>
  <c r="I13" i="4"/>
  <c r="J13" i="4" s="1"/>
  <c r="I28" i="4"/>
  <c r="J28" i="4" s="1"/>
  <c r="I51" i="4"/>
  <c r="J51" i="4" s="1"/>
  <c r="I44" i="4"/>
  <c r="J44" i="4" s="1"/>
  <c r="I14" i="4"/>
  <c r="J14" i="4" s="1"/>
  <c r="I69" i="4"/>
  <c r="J69" i="4" s="1"/>
  <c r="I62" i="4"/>
  <c r="J62" i="4" s="1"/>
  <c r="I55" i="4"/>
  <c r="J55" i="4" s="1"/>
  <c r="I16" i="4"/>
  <c r="J16" i="4" s="1"/>
  <c r="I34" i="4"/>
  <c r="J34" i="4" s="1"/>
  <c r="I65" i="4"/>
  <c r="J65" i="4" s="1"/>
  <c r="I4" i="4"/>
  <c r="J4" i="4" s="1"/>
</calcChain>
</file>

<file path=xl/sharedStrings.xml><?xml version="1.0" encoding="utf-8"?>
<sst xmlns="http://schemas.openxmlformats.org/spreadsheetml/2006/main" count="344" uniqueCount="197">
  <si>
    <t>#</t>
  </si>
  <si>
    <t>ACCOUNT MANAGERS</t>
  </si>
  <si>
    <t>DELTA IN % AFTER COMM, DAM, LC, INT OUT OF TOTAL</t>
  </si>
  <si>
    <t>% FOB SALES OUT OF TOTAL</t>
  </si>
  <si>
    <t>40 HC ORDERS WITH FAB PRICE.</t>
  </si>
  <si>
    <t>FOB SALES AMOUNT IN USD</t>
  </si>
  <si>
    <t>DELTA IN USD</t>
  </si>
  <si>
    <t>DELTA IN %</t>
  </si>
  <si>
    <t>COMMISSION IN USD</t>
  </si>
  <si>
    <t>DAMAGES (1,25% FOB COST)</t>
  </si>
  <si>
    <t>LC COST</t>
  </si>
  <si>
    <t>INTEREST COST  </t>
  </si>
  <si>
    <t>Testing</t>
  </si>
  <si>
    <t>Rob</t>
  </si>
  <si>
    <t>20% more containers / how much more profit / how much more margin with current amount of containers to equal this</t>
  </si>
  <si>
    <t>Total</t>
  </si>
  <si>
    <t>IS ONE % OF MARGIN</t>
  </si>
  <si>
    <t>of growth containers</t>
  </si>
  <si>
    <t>More containers / more sales</t>
  </si>
  <si>
    <t>More profit</t>
  </si>
  <si>
    <t>DELTA IN % AFTER COMM, DAM, LC, INT.</t>
  </si>
  <si>
    <t>TOTAL</t>
  </si>
  <si>
    <t>NUMBER OF 40HC IF DELTA OF THIS PERSON WOULD APPLY FOR ALL</t>
  </si>
  <si>
    <t>TOTAL IN EUR</t>
  </si>
  <si>
    <t>CONFIRMED PROFORMA INVOICES</t>
  </si>
  <si>
    <t>EUR/USD =</t>
  </si>
  <si>
    <t>SUB-TOTAL IN EUR</t>
  </si>
  <si>
    <t>No.</t>
  </si>
  <si>
    <t>P/O. No.</t>
  </si>
  <si>
    <t>Date</t>
  </si>
  <si>
    <t>Customer Code</t>
  </si>
  <si>
    <t>Name Customer</t>
  </si>
  <si>
    <t>Supplier</t>
  </si>
  <si>
    <t>Waiting Status</t>
  </si>
  <si>
    <t>VN-monitored by</t>
  </si>
  <si>
    <t>NL-monitored by</t>
  </si>
  <si>
    <t>Agented By</t>
  </si>
  <si>
    <t>Sale</t>
  </si>
  <si>
    <t>Art. Code</t>
  </si>
  <si>
    <t>Art. Description</t>
  </si>
  <si>
    <t>Qnt/40ft</t>
  </si>
  <si>
    <t>Order qnt</t>
  </si>
  <si>
    <t xml:space="preserve"> Order in Cont.</t>
  </si>
  <si>
    <t>Order Type</t>
  </si>
  <si>
    <t>Loaded qnt</t>
  </si>
  <si>
    <t>Loaded in Cont.</t>
  </si>
  <si>
    <t>Shipped qnt</t>
  </si>
  <si>
    <t>Shipped in Cont.</t>
  </si>
  <si>
    <t>To Be Shipped qnt</t>
  </si>
  <si>
    <t>To Be Shipped in Cont.</t>
  </si>
  <si>
    <t>Main material</t>
  </si>
  <si>
    <t>Status</t>
  </si>
  <si>
    <t>LDS</t>
  </si>
  <si>
    <t>S/C</t>
  </si>
  <si>
    <t>PRICE QUOTE</t>
  </si>
  <si>
    <t>CO</t>
  </si>
  <si>
    <t>PLACE</t>
  </si>
  <si>
    <t>QUALITY</t>
  </si>
  <si>
    <t>FOB IN USD (COMPANY)</t>
  </si>
  <si>
    <t>Total in USD Company</t>
  </si>
  <si>
    <t>Target price</t>
  </si>
  <si>
    <t>FOB USD (BREAKDOWN)</t>
  </si>
  <si>
    <t>Price status</t>
  </si>
  <si>
    <t>Price cfmd date</t>
  </si>
  <si>
    <t>Proforma invoice</t>
  </si>
  <si>
    <t>RMK</t>
  </si>
  <si>
    <t>Currency</t>
  </si>
  <si>
    <t>SALES Unitpr EURO</t>
  </si>
  <si>
    <t>SALES Amount EURO</t>
  </si>
  <si>
    <t>SALES Unitpr US$</t>
  </si>
  <si>
    <t>SALES Amount US$</t>
  </si>
  <si>
    <t>TOTAL SALES Amount USD convert into EURO</t>
  </si>
  <si>
    <t>TRANPSORT PER 40FT HC IN EURO  FOR EURO SALES (STANDARD = 2200 EURO)</t>
  </si>
  <si>
    <t>Transport per unit</t>
  </si>
  <si>
    <t>FOB SALES PRICES FOR EURO ORDERS ( ELIMINATE TRANSPORT</t>
  </si>
  <si>
    <t xml:space="preserve"> SALES FOB UNIT PRICE  in USD</t>
  </si>
  <si>
    <t>TOTAL SALES AMOUNT IN USD</t>
  </si>
  <si>
    <t>Gross Margin in USD before commission</t>
  </si>
  <si>
    <t>Gross Margin in % before commission</t>
  </si>
  <si>
    <t xml:space="preserve">Commission % </t>
  </si>
  <si>
    <t>Commission Unit price in USD (of USD order)</t>
  </si>
  <si>
    <t>Commission Unit price in Euro (of Euro order</t>
  </si>
  <si>
    <t>Commission Unitprice in USD</t>
  </si>
  <si>
    <t>COMMISSION AMOUNT IN USD</t>
  </si>
  <si>
    <t>LC Cost</t>
  </si>
  <si>
    <t>Interest Cost</t>
  </si>
  <si>
    <t>Gross Margin% after Commission</t>
  </si>
  <si>
    <t>Sale Manager</t>
  </si>
  <si>
    <t>Status Pending  in Cont.</t>
  </si>
  <si>
    <t>Status Confirmed in Cont.</t>
  </si>
  <si>
    <t>Delta cost price in Cont</t>
  </si>
  <si>
    <t xml:space="preserve"> Order in Cont with cost price</t>
  </si>
  <si>
    <t>Fob Cost price in USD</t>
  </si>
  <si>
    <t>SALES Amount Euro</t>
  </si>
  <si>
    <t>Sale amount converted to Euro</t>
  </si>
  <si>
    <t>Fob Sales amount in USD</t>
  </si>
  <si>
    <t xml:space="preserve">Commission in % </t>
  </si>
  <si>
    <t>Commission in USD</t>
  </si>
  <si>
    <t>Damages
(1,25% FOB Cost)</t>
  </si>
  <si>
    <t>Order in Cont.</t>
  </si>
  <si>
    <t>Shipped in Cont</t>
  </si>
  <si>
    <t>Shipped in Cont  %</t>
  </si>
  <si>
    <t>To be shipped in Cont</t>
  </si>
  <si>
    <t>To be shipped in Cont %</t>
  </si>
  <si>
    <t>Subtotal</t>
  </si>
  <si>
    <t>Damages/returns</t>
  </si>
  <si>
    <t>SW Overhead</t>
  </si>
  <si>
    <t>Containers</t>
  </si>
  <si>
    <t>Turn over in Euro</t>
  </si>
  <si>
    <t>Cost Price in Euro</t>
  </si>
  <si>
    <t>Transport Cost in Euro</t>
  </si>
  <si>
    <t>Commission in Euro</t>
  </si>
  <si>
    <t>Gross Margin in Euro</t>
  </si>
  <si>
    <t>Confirmed orders</t>
  </si>
  <si>
    <t>Orders with cost price</t>
  </si>
  <si>
    <t xml:space="preserve">Orders in Proforma </t>
  </si>
  <si>
    <t>Expectation orders</t>
  </si>
  <si>
    <t>FOB COST PRICE IN USD INCL. COMM, DAM, LC, INT.</t>
  </si>
  <si>
    <t>DELTA IN USD AFTER COMM, DAM, LC, INT.</t>
  </si>
  <si>
    <t>PrimaryID</t>
  </si>
  <si>
    <t>SaleNM</t>
  </si>
  <si>
    <t>Season</t>
  </si>
  <si>
    <t>Order40HCWithCostPrice</t>
  </si>
  <si>
    <t>FOBCostUSD</t>
  </si>
  <si>
    <t>FOBAmountUSD</t>
  </si>
  <si>
    <t>CommissionAmountUSD</t>
  </si>
  <si>
    <t>LCCostAmount</t>
  </si>
  <si>
    <t>InterestAmount</t>
  </si>
  <si>
    <t>SaleUD</t>
  </si>
  <si>
    <t>Short Name</t>
  </si>
  <si>
    <t xml:space="preserve"> Order in Cont </t>
  </si>
  <si>
    <t>Gross Margin after Commission</t>
  </si>
  <si>
    <t>Damages (1,25% FOB Cost)</t>
  </si>
  <si>
    <t>SAMPLE COST</t>
  </si>
  <si>
    <t>DELTA IN USD AFTER ALL</t>
  </si>
  <si>
    <t>DELTA IN % AFTER ALL OUT OF TOTAL</t>
  </si>
  <si>
    <t>DELTA IN % AFTER ALL.</t>
  </si>
  <si>
    <t>DELTA PER 40HC IN USD AFTER ALL.</t>
  </si>
  <si>
    <t xml:space="preserve"> % DELTA AFTER ALL</t>
  </si>
  <si>
    <t>% OF 100% DELTA AFTER ALL OUT OF TOTAL</t>
  </si>
  <si>
    <t xml:space="preserve"> % DELTA AFTER ALL </t>
  </si>
  <si>
    <t>% OF 100% DELTAAFTER ALL OUT OF TOTAL</t>
  </si>
  <si>
    <t>DELTA PER 40HC IN $ AFTER  ALL</t>
  </si>
  <si>
    <t>FOB COST PRICE IN USD EXCL. ALL.</t>
  </si>
  <si>
    <t>Total Transport in Euro</t>
  </si>
  <si>
    <t>Sample Cost</t>
  </si>
  <si>
    <t xml:space="preserve">Transportation Cost </t>
  </si>
  <si>
    <t>Transportation Cost</t>
  </si>
  <si>
    <t>TRANSPORTATION COST</t>
  </si>
  <si>
    <t>% Delta after all</t>
  </si>
  <si>
    <t>Delta after all</t>
  </si>
  <si>
    <t>ProformaInvoiceNo</t>
  </si>
  <si>
    <t>InvoiceDate</t>
  </si>
  <si>
    <t>ClientUD</t>
  </si>
  <si>
    <t>ClientNM</t>
  </si>
  <si>
    <t>Sale2NM</t>
  </si>
  <si>
    <t>SaleVNNM</t>
  </si>
  <si>
    <t>AgentNM</t>
  </si>
  <si>
    <t>ArticleCode</t>
  </si>
  <si>
    <t>Description</t>
  </si>
  <si>
    <t>Qnt40HC</t>
  </si>
  <si>
    <t>OrderQnt</t>
  </si>
  <si>
    <t>OrderTypeNM</t>
  </si>
  <si>
    <t>ShippedQnt</t>
  </si>
  <si>
    <t>LoadedQnt</t>
  </si>
  <si>
    <t>MaterialNM</t>
  </si>
  <si>
    <t>ProductionStatus</t>
  </si>
  <si>
    <t>FactoryUD</t>
  </si>
  <si>
    <t>QuotationUD</t>
  </si>
  <si>
    <t>ManufacturerCountryNM</t>
  </si>
  <si>
    <t>LocationNM</t>
  </si>
  <si>
    <t>PriceDifferenceCode</t>
  </si>
  <si>
    <t>PurchasingPrice</t>
  </si>
  <si>
    <t>SalePrice</t>
  </si>
  <si>
    <t>TargetPrice</t>
  </si>
  <si>
    <t>BreakDownPrice</t>
  </si>
  <si>
    <t>QuotationStatusNM</t>
  </si>
  <si>
    <t>StatusUpdatedDate</t>
  </si>
  <si>
    <t>Remark</t>
  </si>
  <si>
    <t>UnitPrice</t>
  </si>
  <si>
    <t>Transportation</t>
  </si>
  <si>
    <t>Commission</t>
  </si>
  <si>
    <t>ClientID</t>
  </si>
  <si>
    <t>OfferID</t>
  </si>
  <si>
    <t>SaleOrderID</t>
  </si>
  <si>
    <t>ModelID</t>
  </si>
  <si>
    <t>FactoryOrderDetailID</t>
  </si>
  <si>
    <t>FactoryOrderSparepartDetailID</t>
  </si>
  <si>
    <t>QuotationOfferDirectionID</t>
  </si>
  <si>
    <t>InspectionCostUSD</t>
  </si>
  <si>
    <t>SampleCostUSD</t>
  </si>
  <si>
    <t>TransportationInUSD</t>
  </si>
  <si>
    <t>CommissionAmount</t>
  </si>
  <si>
    <t>DamagesCost</t>
  </si>
  <si>
    <t xml:space="preserve">Testing Cost </t>
  </si>
  <si>
    <t>Testing Cost</t>
  </si>
  <si>
    <t>TESTING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</si>
</sst>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44" formatCode="_-* #,##0.00\ &quot;₫&quot;_-;\-* #,##0.00\ &quot;₫&quot;_-;_-* &quot;-&quot;??\ &quot;₫&quot;_-;_-@_-"/>
    <numFmt numFmtId="43" formatCode="_-* #,##0.00\ _₫_-;\-* #,##0.00\ _₫_-;_-* &quot;-&quot;??\ _₫_-;_-@_-"/>
    <numFmt numFmtId="164" formatCode="_(&quot;$&quot;* #,##0_);_(&quot;$&quot;* \(#,##0\);_(&quot;$&quot;* &quot;-&quot;_);_(@_)"/>
    <numFmt numFmtId="165" formatCode="_(* #,##0.00_);_(* \(#,##0.00\);_(* &quot;-&quot;??_);_(@_)"/>
    <numFmt numFmtId="166" formatCode="_-* #,##0\ _B_F_-;\-* #,##0\ _B_F_-;_-* &quot;-&quot;\ _B_F_-;_-@_-"/>
    <numFmt numFmtId="167" formatCode="_([$€-2]\ * #,##0.00_);_([$€-2]\ * \(#,##0.00\);_([$€-2]\ * &quot;-&quot;??_);_(@_)"/>
    <numFmt numFmtId="168" formatCode="_-[$€-2]\ * #,##0_-;\-[$€-2]\ * #,##0_-;_-[$€-2]\ * &quot;-&quot;??_-;_-@_-"/>
    <numFmt numFmtId="169" formatCode="_-* #,##0.00_-;_-* #,##0.00\-;_-* &quot;-&quot;??_-;_-@_-"/>
    <numFmt numFmtId="170" formatCode="_-[$$-C09]* #,##0.00_-;\-[$$-C09]* #,##0.00_-;_-[$$-C09]* &quot;-&quot;??_-;_-@_-"/>
    <numFmt numFmtId="171" formatCode="_ [$€-2]\ * #,##0_ ;_ [$€-2]\ * \-#,##0_ ;_ [$€-2]\ * &quot;-&quot;??_ ;_ @_ "/>
    <numFmt numFmtId="172" formatCode="_-[$$-1009]* #,##0.00_-;\-[$$-1009]* #,##0.00_-;_-[$$-1009]* &quot;-&quot;??_-;_-@_-"/>
    <numFmt numFmtId="173" formatCode="[$$-C09]#,##0.00"/>
    <numFmt numFmtId="174" formatCode="_ [$€-413]\ * #,##0.00_ ;_ [$€-413]\ * \-#,##0.00_ ;_ [$€-413]\ * &quot;-&quot;??_ ;_ @_ "/>
    <numFmt numFmtId="175" formatCode="_-[$€-2]\ * #,##0.00_-;\-[$€-2]\ * #,##0.00_-;_-[$€-2]\ * &quot;-&quot;??_-;_-@_-"/>
    <numFmt numFmtId="176" formatCode="_-* #,##0_-;\-* #,##0_-;_-* &quot;-&quot;??_-;_-@_-"/>
    <numFmt numFmtId="177" formatCode="&quot;$&quot;#,##0.00"/>
    <numFmt numFmtId="178" formatCode="_-[$$-409]* #,##0.00_ ;_-[$$-409]* \-#,##0.00\ ;_-[$$-409]* &quot;-&quot;??_ ;_-@_ "/>
    <numFmt numFmtId="179" formatCode="[$€-413]\ #,##0.00"/>
    <numFmt numFmtId="180" formatCode="_([$€-2]\ * #,##0_);_([$€-2]\ * \(#,##0\);_([$€-2]\ * &quot;-&quot;??_);_(@_)"/>
    <numFmt numFmtId="181" formatCode="_(&quot;$&quot;* #,##0_);_(&quot;$&quot;* \(#,##0\);_(&quot;$&quot;* &quot;-&quot;??_);_(@_)"/>
    <numFmt numFmtId="182" formatCode="_-[$$-409]* #,##0_ ;_-[$$-409]* \-#,##0\ ;_-[$$-409]* &quot;-&quot;??_ ;_-@_ "/>
    <numFmt numFmtId="183" formatCode="#,##0.0"/>
    <numFmt numFmtId="184" formatCode="0.0%"/>
    <numFmt numFmtId="185" formatCode="[$$-409]#,##0"/>
    <numFmt numFmtId="186" formatCode="&quot;$&quot;#,##0"/>
    <numFmt numFmtId="187" formatCode="_([$$-409]* #,##0_);_([$$-409]* \(#,##0\);_([$$-409]* &quot;-&quot;_);_(@_)"/>
    <numFmt numFmtId="188" formatCode="_-[$$-409]* #,##0_ ;_-[$$-409]* \-#,##0\ ;_-[$$-409]* &quot;-&quot;_ ;_-@_ "/>
    <numFmt numFmtId="189" formatCode="\$#,###\ &quot;per container&quot;"/>
    <numFmt numFmtId="190" formatCode="#,##0.0_ ;\-#,##0.0\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48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name val="Arial"/>
      <family val="2"/>
    </font>
    <font>
      <sz val="6"/>
      <color theme="1"/>
      <name val="Arial"/>
      <family val="2"/>
    </font>
    <font>
      <b/>
      <sz val="6"/>
      <color theme="1"/>
      <name val="Arial"/>
      <family val="2"/>
    </font>
    <font>
      <sz val="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1" fillId="0" borderId="0"/>
    <xf numFmtId="165" fontId="2" fillId="0" borderId="0"/>
    <xf numFmtId="43" fontId="2" fillId="0" borderId="0"/>
    <xf numFmtId="44" fontId="1" fillId="0" borderId="0"/>
    <xf numFmtId="165" fontId="2" fillId="0" borderId="0"/>
    <xf numFmtId="165" fontId="2" fillId="0" borderId="0"/>
    <xf numFmtId="166" fontId="2" fillId="0" borderId="0"/>
    <xf numFmtId="9" fontId="1" fillId="0" borderId="0"/>
    <xf numFmtId="9" fontId="2" fillId="0" borderId="0"/>
  </cellStyleXfs>
  <cellXfs count="244">
    <xf numFmtId="0" fontId="0" fillId="0" borderId="0" xfId="0" applyNumberFormat="1" applyFont="1" applyFill="1" applyBorder="1"/>
    <xf numFmtId="167" fontId="3" fillId="2" borderId="2" xfId="0" applyNumberFormat="1" applyFont="1" applyFill="1" applyBorder="1" applyAlignment="1">
      <alignment horizontal="right"/>
    </xf>
    <xf numFmtId="165" fontId="4" fillId="0" borderId="0" xfId="2" applyNumberFormat="1" applyFont="1" applyFill="1" applyBorder="1"/>
    <xf numFmtId="167" fontId="5" fillId="2" borderId="2" xfId="2" applyNumberFormat="1" applyFont="1" applyFill="1" applyBorder="1" applyAlignment="1">
      <alignment horizontal="right" vertical="center"/>
    </xf>
    <xf numFmtId="3" fontId="4" fillId="3" borderId="2" xfId="7" applyNumberFormat="1" applyFont="1" applyFill="1" applyBorder="1" applyAlignment="1">
      <alignment horizontal="center" vertical="center" wrapText="1"/>
    </xf>
    <xf numFmtId="49" fontId="4" fillId="3" borderId="2" xfId="7" applyNumberFormat="1" applyFont="1" applyFill="1" applyBorder="1" applyAlignment="1">
      <alignment horizontal="center" vertical="center" wrapText="1"/>
    </xf>
    <xf numFmtId="175" fontId="4" fillId="3" borderId="2" xfId="7" applyNumberFormat="1" applyFont="1" applyFill="1" applyBorder="1" applyAlignment="1">
      <alignment horizontal="center" vertical="center" wrapText="1"/>
    </xf>
    <xf numFmtId="165" fontId="4" fillId="3" borderId="2" xfId="2" applyNumberFormat="1" applyFont="1" applyFill="1" applyBorder="1" applyAlignment="1">
      <alignment horizontal="center" vertical="center" wrapText="1"/>
    </xf>
    <xf numFmtId="166" fontId="4" fillId="3" borderId="2" xfId="7" applyNumberFormat="1" applyFont="1" applyFill="1" applyBorder="1" applyAlignment="1">
      <alignment horizontal="center" vertical="center" wrapText="1"/>
    </xf>
    <xf numFmtId="176" fontId="4" fillId="3" borderId="2" xfId="2" applyNumberFormat="1" applyFont="1" applyFill="1" applyBorder="1" applyAlignment="1">
      <alignment horizontal="center" vertical="center" wrapText="1"/>
    </xf>
    <xf numFmtId="43" fontId="4" fillId="3" borderId="2" xfId="1" applyNumberFormat="1" applyFont="1" applyFill="1" applyBorder="1" applyAlignment="1">
      <alignment horizontal="center" vertical="center" wrapText="1"/>
    </xf>
    <xf numFmtId="0" fontId="3" fillId="4" borderId="2" xfId="0" applyNumberFormat="1" applyFont="1" applyFill="1" applyBorder="1"/>
    <xf numFmtId="3" fontId="3" fillId="4" borderId="2" xfId="0" applyNumberFormat="1" applyFont="1" applyFill="1" applyBorder="1"/>
    <xf numFmtId="4" fontId="3" fillId="4" borderId="2" xfId="0" applyNumberFormat="1" applyFont="1" applyFill="1" applyBorder="1"/>
    <xf numFmtId="43" fontId="3" fillId="4" borderId="2" xfId="1" applyNumberFormat="1" applyFont="1" applyFill="1" applyBorder="1"/>
    <xf numFmtId="177" fontId="3" fillId="4" borderId="2" xfId="0" applyNumberFormat="1" applyFont="1" applyFill="1" applyBorder="1"/>
    <xf numFmtId="178" fontId="3" fillId="4" borderId="2" xfId="0" applyNumberFormat="1" applyFont="1" applyFill="1" applyBorder="1"/>
    <xf numFmtId="179" fontId="3" fillId="4" borderId="2" xfId="0" applyNumberFormat="1" applyFont="1" applyFill="1" applyBorder="1"/>
    <xf numFmtId="175" fontId="3" fillId="4" borderId="2" xfId="0" applyNumberFormat="1" applyFont="1" applyFill="1" applyBorder="1"/>
    <xf numFmtId="44" fontId="3" fillId="4" borderId="2" xfId="4" applyNumberFormat="1" applyFont="1" applyFill="1" applyBorder="1"/>
    <xf numFmtId="9" fontId="3" fillId="4" borderId="2" xfId="8" applyNumberFormat="1" applyFont="1" applyFill="1" applyBorder="1"/>
    <xf numFmtId="10" fontId="3" fillId="4" borderId="2" xfId="0" applyNumberFormat="1" applyFont="1" applyFill="1" applyBorder="1"/>
    <xf numFmtId="0" fontId="3" fillId="5" borderId="2" xfId="0" applyNumberFormat="1" applyFont="1" applyFill="1" applyBorder="1"/>
    <xf numFmtId="3" fontId="3" fillId="5" borderId="2" xfId="0" applyNumberFormat="1" applyFont="1" applyFill="1" applyBorder="1"/>
    <xf numFmtId="4" fontId="3" fillId="5" borderId="2" xfId="0" applyNumberFormat="1" applyFont="1" applyFill="1" applyBorder="1"/>
    <xf numFmtId="43" fontId="3" fillId="5" borderId="2" xfId="1" applyNumberFormat="1" applyFont="1" applyFill="1" applyBorder="1"/>
    <xf numFmtId="177" fontId="3" fillId="5" borderId="2" xfId="0" applyNumberFormat="1" applyFont="1" applyFill="1" applyBorder="1"/>
    <xf numFmtId="178" fontId="3" fillId="5" borderId="2" xfId="0" applyNumberFormat="1" applyFont="1" applyFill="1" applyBorder="1"/>
    <xf numFmtId="179" fontId="3" fillId="5" borderId="2" xfId="0" applyNumberFormat="1" applyFont="1" applyFill="1" applyBorder="1"/>
    <xf numFmtId="175" fontId="3" fillId="5" borderId="2" xfId="0" applyNumberFormat="1" applyFont="1" applyFill="1" applyBorder="1"/>
    <xf numFmtId="44" fontId="3" fillId="5" borderId="2" xfId="4" applyNumberFormat="1" applyFont="1" applyFill="1" applyBorder="1"/>
    <xf numFmtId="10" fontId="3" fillId="5" borderId="2" xfId="0" applyNumberFormat="1" applyFont="1" applyFill="1" applyBorder="1"/>
    <xf numFmtId="10" fontId="3" fillId="5" borderId="2" xfId="8" applyNumberFormat="1" applyFont="1" applyFill="1" applyBorder="1"/>
    <xf numFmtId="0" fontId="0" fillId="0" borderId="0" xfId="0" applyNumberFormat="1" applyFont="1" applyFill="1" applyBorder="1"/>
    <xf numFmtId="178" fontId="3" fillId="4" borderId="2" xfId="4" applyNumberFormat="1" applyFont="1" applyFill="1" applyBorder="1"/>
    <xf numFmtId="178" fontId="3" fillId="5" borderId="2" xfId="4" applyNumberFormat="1" applyFont="1" applyFill="1" applyBorder="1"/>
    <xf numFmtId="0" fontId="0" fillId="0" borderId="2" xfId="0" applyNumberFormat="1" applyFont="1" applyFill="1" applyBorder="1"/>
    <xf numFmtId="10" fontId="3" fillId="4" borderId="2" xfId="8" applyNumberFormat="1" applyFont="1" applyFill="1" applyBorder="1"/>
    <xf numFmtId="165" fontId="4" fillId="2" borderId="2" xfId="2" applyNumberFormat="1" applyFont="1" applyFill="1" applyBorder="1" applyAlignment="1">
      <alignment horizontal="center" vertical="center" wrapText="1"/>
    </xf>
    <xf numFmtId="43" fontId="4" fillId="2" borderId="2" xfId="1" applyNumberFormat="1" applyFont="1" applyFill="1" applyBorder="1" applyAlignment="1">
      <alignment horizontal="center" vertical="center" wrapText="1"/>
    </xf>
    <xf numFmtId="0" fontId="3" fillId="7" borderId="2" xfId="0" applyNumberFormat="1" applyFont="1" applyFill="1" applyBorder="1" applyAlignment="1">
      <alignment horizontal="center" vertical="center"/>
    </xf>
    <xf numFmtId="43" fontId="4" fillId="3" borderId="2" xfId="3" applyNumberFormat="1" applyFont="1" applyFill="1" applyBorder="1" applyAlignment="1">
      <alignment horizontal="center" vertical="center" wrapText="1"/>
    </xf>
    <xf numFmtId="0" fontId="3" fillId="5" borderId="3" xfId="0" applyNumberFormat="1" applyFont="1" applyFill="1" applyBorder="1"/>
    <xf numFmtId="4" fontId="3" fillId="5" borderId="3" xfId="0" applyNumberFormat="1" applyFont="1" applyFill="1" applyBorder="1"/>
    <xf numFmtId="182" fontId="3" fillId="4" borderId="2" xfId="0" applyNumberFormat="1" applyFont="1" applyFill="1" applyBorder="1"/>
    <xf numFmtId="182" fontId="3" fillId="5" borderId="3" xfId="0" applyNumberFormat="1" applyFont="1" applyFill="1" applyBorder="1"/>
    <xf numFmtId="10" fontId="3" fillId="5" borderId="3" xfId="8" applyNumberFormat="1" applyFont="1" applyFill="1" applyBorder="1"/>
    <xf numFmtId="165" fontId="4" fillId="3" borderId="4" xfId="2" applyNumberFormat="1" applyFont="1" applyFill="1" applyBorder="1" applyAlignment="1">
      <alignment horizontal="center" vertical="center" wrapText="1"/>
    </xf>
    <xf numFmtId="181" fontId="4" fillId="3" borderId="4" xfId="4" applyNumberFormat="1" applyFont="1" applyFill="1" applyBorder="1" applyAlignment="1">
      <alignment horizontal="center" vertical="center" wrapText="1"/>
    </xf>
    <xf numFmtId="165" fontId="4" fillId="3" borderId="4" xfId="2" applyNumberFormat="1" applyFont="1" applyFill="1" applyBorder="1" applyAlignment="1">
      <alignment horizontal="left" vertical="center" wrapText="1"/>
    </xf>
    <xf numFmtId="165" fontId="4" fillId="2" borderId="4" xfId="2" applyNumberFormat="1" applyFont="1" applyFill="1" applyBorder="1" applyAlignment="1">
      <alignment horizontal="center" vertical="center" wrapText="1"/>
    </xf>
    <xf numFmtId="43" fontId="4" fillId="2" borderId="4" xfId="1" applyNumberFormat="1" applyFont="1" applyFill="1" applyBorder="1" applyAlignment="1">
      <alignment horizontal="center" vertical="center" wrapText="1"/>
    </xf>
    <xf numFmtId="0" fontId="3" fillId="4" borderId="2" xfId="0" applyNumberFormat="1" applyFont="1" applyFill="1" applyBorder="1" applyAlignment="1">
      <alignment horizontal="right"/>
    </xf>
    <xf numFmtId="4" fontId="3" fillId="4" borderId="2" xfId="0" applyNumberFormat="1" applyFont="1" applyFill="1" applyBorder="1" applyAlignment="1">
      <alignment horizontal="right"/>
    </xf>
    <xf numFmtId="10" fontId="3" fillId="4" borderId="2" xfId="8" applyNumberFormat="1" applyFont="1" applyFill="1" applyBorder="1" applyAlignment="1">
      <alignment horizontal="right"/>
    </xf>
    <xf numFmtId="0" fontId="3" fillId="10" borderId="3" xfId="0" applyNumberFormat="1" applyFont="1" applyFill="1" applyBorder="1" applyAlignment="1">
      <alignment horizontal="right"/>
    </xf>
    <xf numFmtId="0" fontId="3" fillId="5" borderId="3" xfId="0" applyNumberFormat="1" applyFont="1" applyFill="1" applyBorder="1" applyAlignment="1">
      <alignment horizontal="right"/>
    </xf>
    <xf numFmtId="4" fontId="3" fillId="5" borderId="3" xfId="0" applyNumberFormat="1" applyFont="1" applyFill="1" applyBorder="1" applyAlignment="1">
      <alignment horizontal="right"/>
    </xf>
    <xf numFmtId="10" fontId="3" fillId="5" borderId="3" xfId="8" applyNumberFormat="1" applyFont="1" applyFill="1" applyBorder="1" applyAlignment="1">
      <alignment horizontal="right"/>
    </xf>
    <xf numFmtId="2" fontId="3" fillId="4" borderId="2" xfId="1" applyNumberFormat="1" applyFont="1" applyFill="1" applyBorder="1" applyAlignment="1">
      <alignment horizontal="right"/>
    </xf>
    <xf numFmtId="2" fontId="3" fillId="5" borderId="3" xfId="1" applyNumberFormat="1" applyFont="1" applyFill="1" applyBorder="1" applyAlignment="1">
      <alignment horizontal="right"/>
    </xf>
    <xf numFmtId="164" fontId="3" fillId="4" borderId="2" xfId="4" applyNumberFormat="1" applyFont="1" applyFill="1" applyBorder="1" applyAlignment="1">
      <alignment horizontal="right"/>
    </xf>
    <xf numFmtId="164" fontId="3" fillId="5" borderId="3" xfId="4" applyNumberFormat="1" applyFont="1" applyFill="1" applyBorder="1" applyAlignment="1">
      <alignment horizontal="right"/>
    </xf>
    <xf numFmtId="178" fontId="0" fillId="0" borderId="2" xfId="0" applyNumberFormat="1" applyFont="1" applyFill="1" applyBorder="1"/>
    <xf numFmtId="10" fontId="1" fillId="0" borderId="2" xfId="8" applyNumberFormat="1" applyFont="1" applyFill="1" applyBorder="1"/>
    <xf numFmtId="4" fontId="0" fillId="0" borderId="2" xfId="0" applyNumberFormat="1" applyFont="1" applyFill="1" applyBorder="1"/>
    <xf numFmtId="175" fontId="3" fillId="5" borderId="3" xfId="0" applyNumberFormat="1" applyFont="1" applyFill="1" applyBorder="1"/>
    <xf numFmtId="169" fontId="4" fillId="0" borderId="0" xfId="6" applyNumberFormat="1" applyFont="1" applyFill="1" applyBorder="1" applyAlignment="1">
      <alignment horizontal="center" vertical="center" wrapText="1"/>
    </xf>
    <xf numFmtId="170" fontId="4" fillId="0" borderId="0" xfId="6" applyNumberFormat="1" applyFont="1" applyFill="1" applyBorder="1" applyAlignment="1">
      <alignment horizontal="center" vertical="center" wrapText="1"/>
    </xf>
    <xf numFmtId="171" fontId="4" fillId="0" borderId="0" xfId="6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/>
    <xf numFmtId="0" fontId="3" fillId="0" borderId="0" xfId="0" applyNumberFormat="1" applyFont="1" applyFill="1" applyBorder="1"/>
    <xf numFmtId="43" fontId="3" fillId="0" borderId="0" xfId="1" applyNumberFormat="1" applyFont="1" applyFill="1" applyBorder="1"/>
    <xf numFmtId="0" fontId="6" fillId="0" borderId="0" xfId="2" applyNumberFormat="1" applyFont="1" applyFill="1" applyBorder="1" applyAlignment="1">
      <alignment horizontal="left" vertical="center"/>
    </xf>
    <xf numFmtId="165" fontId="6" fillId="0" borderId="0" xfId="2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center" vertical="center"/>
    </xf>
    <xf numFmtId="167" fontId="4" fillId="0" borderId="0" xfId="2" applyNumberFormat="1" applyFont="1" applyFill="1" applyBorder="1" applyAlignment="1">
      <alignment horizontal="center" vertical="center"/>
    </xf>
    <xf numFmtId="43" fontId="4" fillId="0" borderId="0" xfId="1" applyNumberFormat="1" applyFont="1" applyFill="1" applyBorder="1" applyAlignment="1">
      <alignment horizontal="center" vertical="center"/>
    </xf>
    <xf numFmtId="9" fontId="4" fillId="0" borderId="0" xfId="8" applyNumberFormat="1" applyFont="1" applyFill="1" applyBorder="1" applyAlignment="1">
      <alignment horizontal="center" vertical="center"/>
    </xf>
    <xf numFmtId="49" fontId="4" fillId="0" borderId="0" xfId="2" applyNumberFormat="1" applyFont="1" applyFill="1" applyBorder="1" applyAlignment="1">
      <alignment horizontal="center" vertical="center"/>
    </xf>
    <xf numFmtId="165" fontId="5" fillId="0" borderId="0" xfId="2" applyNumberFormat="1" applyFont="1" applyFill="1" applyBorder="1" applyAlignment="1">
      <alignment vertical="center"/>
    </xf>
    <xf numFmtId="165" fontId="5" fillId="0" borderId="0" xfId="2" applyNumberFormat="1" applyFont="1" applyFill="1" applyBorder="1" applyAlignment="1">
      <alignment horizontal="left" vertical="center"/>
    </xf>
    <xf numFmtId="165" fontId="5" fillId="0" borderId="0" xfId="2" applyNumberFormat="1" applyFont="1" applyFill="1" applyBorder="1" applyAlignment="1">
      <alignment horizontal="center" vertical="center"/>
    </xf>
    <xf numFmtId="165" fontId="6" fillId="0" borderId="0" xfId="2" applyNumberFormat="1" applyFont="1" applyFill="1" applyBorder="1" applyAlignment="1">
      <alignment vertical="center"/>
    </xf>
    <xf numFmtId="0" fontId="5" fillId="0" borderId="0" xfId="7" applyNumberFormat="1" applyFont="1" applyFill="1" applyBorder="1" applyAlignment="1">
      <alignment horizontal="center" vertical="center"/>
    </xf>
    <xf numFmtId="0" fontId="5" fillId="0" borderId="0" xfId="7" applyNumberFormat="1" applyFont="1" applyFill="1" applyBorder="1" applyAlignment="1">
      <alignment vertical="center"/>
    </xf>
    <xf numFmtId="172" fontId="5" fillId="0" borderId="0" xfId="2" applyNumberFormat="1" applyFont="1" applyFill="1" applyBorder="1" applyAlignment="1">
      <alignment vertical="center"/>
    </xf>
    <xf numFmtId="173" fontId="7" fillId="0" borderId="0" xfId="5" applyNumberFormat="1" applyFont="1" applyFill="1" applyBorder="1" applyAlignment="1">
      <alignment vertical="center"/>
    </xf>
    <xf numFmtId="174" fontId="5" fillId="0" borderId="0" xfId="9" applyNumberFormat="1" applyFont="1" applyFill="1" applyBorder="1" applyAlignment="1">
      <alignment vertical="center"/>
    </xf>
    <xf numFmtId="0" fontId="3" fillId="0" borderId="2" xfId="0" applyNumberFormat="1" applyFont="1" applyFill="1" applyBorder="1"/>
    <xf numFmtId="0" fontId="3" fillId="0" borderId="2" xfId="0" applyNumberFormat="1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left"/>
    </xf>
    <xf numFmtId="3" fontId="3" fillId="0" borderId="2" xfId="0" applyNumberFormat="1" applyFont="1" applyFill="1" applyBorder="1" applyAlignment="1">
      <alignment horizontal="right"/>
    </xf>
    <xf numFmtId="2" fontId="3" fillId="0" borderId="2" xfId="0" applyNumberFormat="1" applyFont="1" applyFill="1" applyBorder="1" applyAlignment="1">
      <alignment horizontal="right"/>
    </xf>
    <xf numFmtId="178" fontId="3" fillId="0" borderId="2" xfId="0" applyNumberFormat="1" applyFont="1" applyFill="1" applyBorder="1" applyAlignment="1">
      <alignment horizontal="right"/>
    </xf>
    <xf numFmtId="175" fontId="3" fillId="0" borderId="2" xfId="0" applyNumberFormat="1" applyFont="1" applyFill="1" applyBorder="1" applyAlignment="1">
      <alignment horizontal="right"/>
    </xf>
    <xf numFmtId="10" fontId="3" fillId="0" borderId="2" xfId="8" applyNumberFormat="1" applyFont="1" applyFill="1" applyBorder="1" applyAlignment="1">
      <alignment horizontal="right"/>
    </xf>
    <xf numFmtId="49" fontId="8" fillId="0" borderId="1" xfId="7" applyNumberFormat="1" applyFont="1" applyFill="1" applyBorder="1" applyAlignment="1">
      <alignment horizontal="left" vertical="center"/>
    </xf>
    <xf numFmtId="0" fontId="9" fillId="0" borderId="0" xfId="2" applyNumberFormat="1" applyFont="1" applyFill="1" applyBorder="1" applyAlignment="1">
      <alignment horizontal="left" vertical="center"/>
    </xf>
    <xf numFmtId="49" fontId="8" fillId="0" borderId="0" xfId="7" applyNumberFormat="1" applyFont="1" applyFill="1" applyBorder="1" applyAlignment="1">
      <alignment horizontal="left" vertical="center"/>
    </xf>
    <xf numFmtId="168" fontId="10" fillId="0" borderId="0" xfId="2" applyNumberFormat="1" applyFont="1" applyFill="1" applyBorder="1" applyAlignment="1">
      <alignment horizontal="center" vertical="center"/>
    </xf>
    <xf numFmtId="49" fontId="9" fillId="0" borderId="0" xfId="2" applyNumberFormat="1" applyFont="1" applyFill="1" applyBorder="1" applyAlignment="1">
      <alignment horizontal="center" vertical="center"/>
    </xf>
    <xf numFmtId="180" fontId="3" fillId="0" borderId="2" xfId="0" applyNumberFormat="1" applyFont="1" applyFill="1" applyBorder="1"/>
    <xf numFmtId="167" fontId="3" fillId="0" borderId="2" xfId="0" applyNumberFormat="1" applyFont="1" applyFill="1" applyBorder="1"/>
    <xf numFmtId="0" fontId="3" fillId="0" borderId="2" xfId="0" applyNumberFormat="1" applyFont="1" applyFill="1" applyBorder="1" applyAlignment="1">
      <alignment horizontal="center" vertical="center" wrapText="1"/>
    </xf>
    <xf numFmtId="180" fontId="3" fillId="0" borderId="2" xfId="0" applyNumberFormat="1" applyFont="1" applyFill="1" applyBorder="1" applyAlignment="1">
      <alignment horizontal="center" vertical="center" wrapText="1"/>
    </xf>
    <xf numFmtId="180" fontId="3" fillId="0" borderId="2" xfId="0" applyNumberFormat="1" applyFont="1" applyFill="1" applyBorder="1" applyAlignment="1">
      <alignment horizontal="center" wrapText="1"/>
    </xf>
    <xf numFmtId="10" fontId="3" fillId="0" borderId="2" xfId="8" applyNumberFormat="1" applyFont="1" applyFill="1" applyBorder="1" applyAlignment="1">
      <alignment horizontal="center" vertical="center" wrapText="1"/>
    </xf>
    <xf numFmtId="180" fontId="3" fillId="7" borderId="2" xfId="0" applyNumberFormat="1" applyFont="1" applyFill="1" applyBorder="1" applyAlignment="1">
      <alignment horizontal="center" vertical="center" wrapText="1"/>
    </xf>
    <xf numFmtId="167" fontId="3" fillId="0" borderId="2" xfId="0" applyNumberFormat="1" applyFont="1" applyFill="1" applyBorder="1" applyAlignment="1">
      <alignment horizontal="center" vertical="center" wrapText="1"/>
    </xf>
    <xf numFmtId="4" fontId="3" fillId="0" borderId="2" xfId="1" applyNumberFormat="1" applyFont="1" applyFill="1" applyBorder="1"/>
    <xf numFmtId="10" fontId="3" fillId="0" borderId="2" xfId="8" applyNumberFormat="1" applyFont="1" applyFill="1" applyBorder="1"/>
    <xf numFmtId="0" fontId="3" fillId="8" borderId="2" xfId="0" applyNumberFormat="1" applyFont="1" applyFill="1" applyBorder="1"/>
    <xf numFmtId="4" fontId="3" fillId="8" borderId="2" xfId="1" applyNumberFormat="1" applyFont="1" applyFill="1" applyBorder="1"/>
    <xf numFmtId="180" fontId="3" fillId="8" borderId="2" xfId="0" applyNumberFormat="1" applyFont="1" applyFill="1" applyBorder="1"/>
    <xf numFmtId="10" fontId="3" fillId="8" borderId="2" xfId="8" applyNumberFormat="1" applyFont="1" applyFill="1" applyBorder="1"/>
    <xf numFmtId="43" fontId="3" fillId="0" borderId="2" xfId="1" applyNumberFormat="1" applyFont="1" applyFill="1" applyBorder="1"/>
    <xf numFmtId="180" fontId="3" fillId="4" borderId="2" xfId="0" applyNumberFormat="1" applyFont="1" applyFill="1" applyBorder="1"/>
    <xf numFmtId="0" fontId="3" fillId="6" borderId="2" xfId="0" applyNumberFormat="1" applyFont="1" applyFill="1" applyBorder="1"/>
    <xf numFmtId="180" fontId="3" fillId="6" borderId="2" xfId="0" applyNumberFormat="1" applyFont="1" applyFill="1" applyBorder="1"/>
    <xf numFmtId="10" fontId="3" fillId="6" borderId="2" xfId="8" applyNumberFormat="1" applyFont="1" applyFill="1" applyBorder="1"/>
    <xf numFmtId="0" fontId="3" fillId="9" borderId="2" xfId="0" applyNumberFormat="1" applyFont="1" applyFill="1" applyBorder="1"/>
    <xf numFmtId="180" fontId="3" fillId="9" borderId="2" xfId="0" applyNumberFormat="1" applyFont="1" applyFill="1" applyBorder="1"/>
    <xf numFmtId="10" fontId="3" fillId="9" borderId="2" xfId="8" applyNumberFormat="1" applyFont="1" applyFill="1" applyBorder="1"/>
    <xf numFmtId="0" fontId="3" fillId="7" borderId="4" xfId="0" applyNumberFormat="1" applyFont="1" applyFill="1" applyBorder="1" applyAlignment="1">
      <alignment horizontal="center" vertical="center"/>
    </xf>
    <xf numFmtId="0" fontId="3" fillId="10" borderId="3" xfId="0" applyNumberFormat="1" applyFont="1" applyFill="1" applyBorder="1"/>
    <xf numFmtId="4" fontId="3" fillId="0" borderId="2" xfId="0" applyNumberFormat="1" applyFont="1" applyFill="1" applyBorder="1"/>
    <xf numFmtId="178" fontId="3" fillId="0" borderId="2" xfId="0" applyNumberFormat="1" applyFont="1" applyFill="1" applyBorder="1"/>
    <xf numFmtId="175" fontId="3" fillId="0" borderId="2" xfId="0" applyNumberFormat="1" applyFont="1" applyFill="1" applyBorder="1"/>
    <xf numFmtId="0" fontId="11" fillId="14" borderId="2" xfId="0" applyNumberFormat="1" applyFont="1" applyFill="1" applyBorder="1" applyAlignment="1">
      <alignment horizontal="center" vertical="center" wrapText="1"/>
    </xf>
    <xf numFmtId="0" fontId="11" fillId="13" borderId="2" xfId="0" applyNumberFormat="1" applyFont="1" applyFill="1" applyBorder="1" applyAlignment="1">
      <alignment horizontal="center" vertical="center" wrapText="1"/>
    </xf>
    <xf numFmtId="183" fontId="11" fillId="0" borderId="2" xfId="0" applyNumberFormat="1" applyFont="1" applyFill="1" applyBorder="1" applyAlignment="1">
      <alignment horizontal="right"/>
    </xf>
    <xf numFmtId="0" fontId="11" fillId="14" borderId="5" xfId="0" applyNumberFormat="1" applyFont="1" applyFill="1" applyBorder="1" applyAlignment="1">
      <alignment horizontal="center" vertical="center" wrapText="1"/>
    </xf>
    <xf numFmtId="184" fontId="11" fillId="0" borderId="5" xfId="8" applyNumberFormat="1" applyFont="1" applyFill="1" applyBorder="1" applyAlignment="1">
      <alignment horizontal="right"/>
    </xf>
    <xf numFmtId="0" fontId="12" fillId="5" borderId="2" xfId="0" applyNumberFormat="1" applyFont="1" applyFill="1" applyBorder="1" applyAlignment="1">
      <alignment horizontal="right"/>
    </xf>
    <xf numFmtId="183" fontId="12" fillId="5" borderId="2" xfId="0" applyNumberFormat="1" applyFont="1" applyFill="1" applyBorder="1" applyAlignment="1">
      <alignment horizontal="right"/>
    </xf>
    <xf numFmtId="186" fontId="12" fillId="5" borderId="2" xfId="0" applyNumberFormat="1" applyFont="1" applyFill="1" applyBorder="1" applyAlignment="1">
      <alignment horizontal="right"/>
    </xf>
    <xf numFmtId="185" fontId="12" fillId="5" borderId="2" xfId="0" applyNumberFormat="1" applyFont="1" applyFill="1" applyBorder="1" applyAlignment="1">
      <alignment horizontal="right"/>
    </xf>
    <xf numFmtId="9" fontId="12" fillId="5" borderId="2" xfId="0" applyNumberFormat="1" applyFont="1" applyFill="1" applyBorder="1" applyAlignment="1">
      <alignment horizontal="right"/>
    </xf>
    <xf numFmtId="184" fontId="12" fillId="5" borderId="5" xfId="8" applyNumberFormat="1" applyFont="1" applyFill="1" applyBorder="1" applyAlignment="1">
      <alignment horizontal="right"/>
    </xf>
    <xf numFmtId="185" fontId="12" fillId="5" borderId="9" xfId="0" applyNumberFormat="1" applyFont="1" applyFill="1" applyBorder="1" applyAlignment="1">
      <alignment horizontal="right"/>
    </xf>
    <xf numFmtId="184" fontId="12" fillId="5" borderId="2" xfId="8" applyNumberFormat="1" applyFont="1" applyFill="1" applyBorder="1" applyAlignment="1">
      <alignment horizontal="right"/>
    </xf>
    <xf numFmtId="185" fontId="12" fillId="5" borderId="2" xfId="4" applyNumberFormat="1" applyFont="1" applyFill="1" applyBorder="1" applyAlignment="1">
      <alignment horizontal="right"/>
    </xf>
    <xf numFmtId="0" fontId="12" fillId="15" borderId="2" xfId="0" applyNumberFormat="1" applyFont="1" applyFill="1" applyBorder="1" applyAlignment="1">
      <alignment horizontal="right"/>
    </xf>
    <xf numFmtId="0" fontId="0" fillId="15" borderId="2" xfId="0" applyNumberFormat="1" applyFont="1" applyFill="1" applyBorder="1"/>
    <xf numFmtId="0" fontId="0" fillId="15" borderId="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right"/>
    </xf>
    <xf numFmtId="187" fontId="11" fillId="0" borderId="6" xfId="0" applyNumberFormat="1" applyFont="1" applyFill="1" applyBorder="1" applyAlignment="1">
      <alignment horizontal="right"/>
    </xf>
    <xf numFmtId="185" fontId="12" fillId="15" borderId="2" xfId="0" applyNumberFormat="1" applyFont="1" applyFill="1" applyBorder="1" applyAlignment="1">
      <alignment horizontal="right"/>
    </xf>
    <xf numFmtId="187" fontId="12" fillId="15" borderId="6" xfId="0" applyNumberFormat="1" applyFont="1" applyFill="1" applyBorder="1" applyAlignment="1">
      <alignment horizontal="right"/>
    </xf>
    <xf numFmtId="187" fontId="12" fillId="15" borderId="9" xfId="0" applyNumberFormat="1" applyFont="1" applyFill="1" applyBorder="1" applyAlignment="1">
      <alignment horizontal="right"/>
    </xf>
    <xf numFmtId="187" fontId="12" fillId="15" borderId="2" xfId="0" applyNumberFormat="1" applyFont="1" applyFill="1" applyBorder="1" applyAlignment="1">
      <alignment horizontal="right"/>
    </xf>
    <xf numFmtId="0" fontId="11" fillId="0" borderId="0" xfId="0" applyNumberFormat="1" applyFont="1" applyFill="1" applyBorder="1" applyAlignment="1">
      <alignment horizontal="center" vertical="center" wrapText="1"/>
    </xf>
    <xf numFmtId="9" fontId="12" fillId="5" borderId="5" xfId="0" applyNumberFormat="1" applyFont="1" applyFill="1" applyBorder="1" applyAlignment="1">
      <alignment horizontal="right"/>
    </xf>
    <xf numFmtId="9" fontId="12" fillId="0" borderId="0" xfId="0" applyNumberFormat="1" applyFont="1" applyFill="1" applyBorder="1" applyAlignment="1">
      <alignment horizontal="right"/>
    </xf>
    <xf numFmtId="184" fontId="11" fillId="0" borderId="0" xfId="4" applyNumberFormat="1" applyFont="1" applyFill="1" applyBorder="1" applyAlignment="1">
      <alignment horizontal="right"/>
    </xf>
    <xf numFmtId="187" fontId="11" fillId="0" borderId="2" xfId="0" applyNumberFormat="1" applyFont="1" applyFill="1" applyBorder="1" applyAlignment="1">
      <alignment horizontal="right"/>
    </xf>
    <xf numFmtId="184" fontId="11" fillId="12" borderId="5" xfId="8" applyNumberFormat="1" applyFont="1" applyFill="1" applyBorder="1" applyAlignment="1">
      <alignment horizontal="right"/>
    </xf>
    <xf numFmtId="0" fontId="11" fillId="0" borderId="4" xfId="0" applyNumberFormat="1" applyFont="1" applyFill="1" applyBorder="1" applyAlignment="1">
      <alignment horizontal="center" vertical="center" wrapText="1"/>
    </xf>
    <xf numFmtId="0" fontId="11" fillId="0" borderId="2" xfId="0" applyNumberFormat="1" applyFont="1" applyFill="1" applyBorder="1"/>
    <xf numFmtId="0" fontId="11" fillId="0" borderId="2" xfId="0" applyNumberFormat="1" applyFont="1" applyFill="1" applyBorder="1" applyAlignment="1">
      <alignment horizontal="center" vertical="center" wrapText="1"/>
    </xf>
    <xf numFmtId="0" fontId="12" fillId="0" borderId="2" xfId="0" applyNumberFormat="1" applyFont="1" applyFill="1" applyBorder="1" applyAlignment="1">
      <alignment horizontal="right"/>
    </xf>
    <xf numFmtId="187" fontId="12" fillId="0" borderId="0" xfId="0" applyNumberFormat="1" applyFont="1" applyFill="1" applyBorder="1" applyAlignment="1">
      <alignment horizontal="right"/>
    </xf>
    <xf numFmtId="0" fontId="12" fillId="0" borderId="0" xfId="0" applyNumberFormat="1" applyFont="1" applyFill="1" applyBorder="1" applyAlignment="1">
      <alignment horizontal="right"/>
    </xf>
    <xf numFmtId="187" fontId="11" fillId="0" borderId="0" xfId="0" applyNumberFormat="1" applyFont="1" applyFill="1" applyBorder="1" applyAlignment="1">
      <alignment horizontal="right"/>
    </xf>
    <xf numFmtId="0" fontId="11" fillId="13" borderId="5" xfId="0" applyNumberFormat="1" applyFont="1" applyFill="1" applyBorder="1" applyAlignment="1">
      <alignment horizontal="center" vertical="center" wrapText="1"/>
    </xf>
    <xf numFmtId="0" fontId="11" fillId="16" borderId="10" xfId="0" applyNumberFormat="1" applyFont="1" applyFill="1" applyBorder="1" applyAlignment="1">
      <alignment horizontal="center" vertical="center" wrapText="1"/>
    </xf>
    <xf numFmtId="0" fontId="11" fillId="11" borderId="2" xfId="0" applyNumberFormat="1" applyFont="1" applyFill="1" applyBorder="1" applyAlignment="1">
      <alignment horizontal="center" vertical="center" wrapText="1"/>
    </xf>
    <xf numFmtId="187" fontId="11" fillId="11" borderId="2" xfId="0" applyNumberFormat="1" applyFont="1" applyFill="1" applyBorder="1" applyAlignment="1">
      <alignment horizontal="right"/>
    </xf>
    <xf numFmtId="187" fontId="11" fillId="13" borderId="6" xfId="0" applyNumberFormat="1" applyFont="1" applyFill="1" applyBorder="1" applyAlignment="1">
      <alignment horizontal="right"/>
    </xf>
    <xf numFmtId="184" fontId="11" fillId="13" borderId="2" xfId="8" applyNumberFormat="1" applyFont="1" applyFill="1" applyBorder="1" applyAlignment="1">
      <alignment horizontal="right"/>
    </xf>
    <xf numFmtId="0" fontId="11" fillId="16" borderId="7" xfId="0" applyNumberFormat="1" applyFont="1" applyFill="1" applyBorder="1" applyAlignment="1">
      <alignment horizontal="center" vertical="center" wrapText="1"/>
    </xf>
    <xf numFmtId="0" fontId="11" fillId="16" borderId="8" xfId="0" applyNumberFormat="1" applyFont="1" applyFill="1" applyBorder="1" applyAlignment="1">
      <alignment horizontal="center" vertical="center" wrapText="1"/>
    </xf>
    <xf numFmtId="0" fontId="11" fillId="16" borderId="2" xfId="0" applyNumberFormat="1" applyFont="1" applyFill="1" applyBorder="1" applyAlignment="1">
      <alignment horizontal="center" vertical="center" wrapText="1"/>
    </xf>
    <xf numFmtId="187" fontId="11" fillId="16" borderId="9" xfId="0" applyNumberFormat="1" applyFont="1" applyFill="1" applyBorder="1" applyAlignment="1">
      <alignment horizontal="right"/>
    </xf>
    <xf numFmtId="184" fontId="11" fillId="16" borderId="2" xfId="8" applyNumberFormat="1" applyFont="1" applyFill="1" applyBorder="1" applyAlignment="1">
      <alignment horizontal="right"/>
    </xf>
    <xf numFmtId="184" fontId="11" fillId="16" borderId="2" xfId="4" applyNumberFormat="1" applyFont="1" applyFill="1" applyBorder="1" applyAlignment="1">
      <alignment horizontal="right"/>
    </xf>
    <xf numFmtId="184" fontId="11" fillId="16" borderId="5" xfId="4" applyNumberFormat="1" applyFont="1" applyFill="1" applyBorder="1" applyAlignment="1">
      <alignment horizontal="right"/>
    </xf>
    <xf numFmtId="0" fontId="0" fillId="5" borderId="2" xfId="0" applyNumberFormat="1" applyFont="1" applyFill="1" applyBorder="1"/>
    <xf numFmtId="0" fontId="11" fillId="5" borderId="2" xfId="0" applyNumberFormat="1" applyFont="1" applyFill="1" applyBorder="1" applyAlignment="1">
      <alignment vertical="center" wrapText="1"/>
    </xf>
    <xf numFmtId="0" fontId="11" fillId="0" borderId="2" xfId="0" applyNumberFormat="1" applyFont="1" applyFill="1" applyBorder="1" applyAlignment="1">
      <alignment horizontal="center" vertical="center"/>
    </xf>
    <xf numFmtId="0" fontId="11" fillId="5" borderId="2" xfId="0" applyNumberFormat="1" applyFont="1" applyFill="1" applyBorder="1" applyAlignment="1">
      <alignment horizontal="right" vertical="center" wrapText="1"/>
    </xf>
    <xf numFmtId="0" fontId="11" fillId="0" borderId="0" xfId="0" applyNumberFormat="1" applyFont="1" applyFill="1" applyBorder="1" applyAlignment="1">
      <alignment wrapText="1"/>
    </xf>
    <xf numFmtId="0" fontId="13" fillId="0" borderId="0" xfId="0" applyNumberFormat="1" applyFont="1" applyFill="1" applyBorder="1" applyAlignment="1">
      <alignment wrapText="1"/>
    </xf>
    <xf numFmtId="184" fontId="13" fillId="5" borderId="2" xfId="0" applyNumberFormat="1" applyFont="1" applyFill="1" applyBorder="1" applyAlignment="1">
      <alignment wrapText="1"/>
    </xf>
    <xf numFmtId="0" fontId="13" fillId="5" borderId="2" xfId="0" applyNumberFormat="1" applyFont="1" applyFill="1" applyBorder="1" applyAlignment="1">
      <alignment wrapText="1"/>
    </xf>
    <xf numFmtId="184" fontId="13" fillId="16" borderId="2" xfId="0" applyNumberFormat="1" applyFont="1" applyFill="1" applyBorder="1" applyAlignment="1">
      <alignment wrapText="1"/>
    </xf>
    <xf numFmtId="0" fontId="11" fillId="0" borderId="2" xfId="0" applyNumberFormat="1" applyFont="1" applyFill="1" applyBorder="1" applyAlignment="1">
      <alignment horizontal="left" vertical="center" wrapText="1"/>
    </xf>
    <xf numFmtId="3" fontId="11" fillId="0" borderId="2" xfId="0" applyNumberFormat="1" applyFont="1" applyFill="1" applyBorder="1" applyAlignment="1">
      <alignment horizontal="left" vertical="center"/>
    </xf>
    <xf numFmtId="0" fontId="11" fillId="17" borderId="2" xfId="0" applyNumberFormat="1" applyFont="1" applyFill="1" applyBorder="1" applyAlignment="1">
      <alignment horizontal="center" vertical="center" wrapText="1"/>
    </xf>
    <xf numFmtId="184" fontId="13" fillId="13" borderId="2" xfId="0" applyNumberFormat="1" applyFont="1" applyFill="1" applyBorder="1" applyAlignment="1">
      <alignment wrapText="1"/>
    </xf>
    <xf numFmtId="183" fontId="12" fillId="0" borderId="2" xfId="0" applyNumberFormat="1" applyFont="1" applyFill="1" applyBorder="1" applyAlignment="1">
      <alignment horizontal="right"/>
    </xf>
    <xf numFmtId="9" fontId="12" fillId="0" borderId="2" xfId="0" applyNumberFormat="1" applyFont="1" applyFill="1" applyBorder="1" applyAlignment="1">
      <alignment horizontal="right"/>
    </xf>
    <xf numFmtId="184" fontId="12" fillId="0" borderId="5" xfId="8" applyNumberFormat="1" applyFont="1" applyFill="1" applyBorder="1" applyAlignment="1">
      <alignment horizontal="right"/>
    </xf>
    <xf numFmtId="184" fontId="12" fillId="0" borderId="2" xfId="8" applyNumberFormat="1" applyFont="1" applyFill="1" applyBorder="1" applyAlignment="1">
      <alignment horizontal="right"/>
    </xf>
    <xf numFmtId="186" fontId="12" fillId="0" borderId="2" xfId="0" applyNumberFormat="1" applyFont="1" applyFill="1" applyBorder="1" applyAlignment="1">
      <alignment horizontal="right"/>
    </xf>
    <xf numFmtId="185" fontId="12" fillId="0" borderId="2" xfId="0" applyNumberFormat="1" applyFont="1" applyFill="1" applyBorder="1" applyAlignment="1">
      <alignment horizontal="right"/>
    </xf>
    <xf numFmtId="185" fontId="12" fillId="0" borderId="9" xfId="0" applyNumberFormat="1" applyFont="1" applyFill="1" applyBorder="1" applyAlignment="1">
      <alignment horizontal="right"/>
    </xf>
    <xf numFmtId="185" fontId="12" fillId="0" borderId="2" xfId="4" applyNumberFormat="1" applyFont="1" applyFill="1" applyBorder="1" applyAlignment="1">
      <alignment horizontal="right"/>
    </xf>
    <xf numFmtId="184" fontId="11" fillId="0" borderId="2" xfId="8" applyNumberFormat="1" applyFont="1" applyFill="1" applyBorder="1" applyAlignment="1">
      <alignment horizontal="right"/>
    </xf>
    <xf numFmtId="184" fontId="11" fillId="0" borderId="5" xfId="8" applyNumberFormat="1" applyFont="1" applyFill="1" applyBorder="1" applyAlignment="1">
      <alignment horizontal="right"/>
    </xf>
    <xf numFmtId="187" fontId="11" fillId="0" borderId="9" xfId="0" applyNumberFormat="1" applyFont="1" applyFill="1" applyBorder="1" applyAlignment="1">
      <alignment horizontal="right"/>
    </xf>
    <xf numFmtId="184" fontId="11" fillId="0" borderId="2" xfId="4" applyNumberFormat="1" applyFont="1" applyFill="1" applyBorder="1" applyAlignment="1">
      <alignment horizontal="right"/>
    </xf>
    <xf numFmtId="0" fontId="0" fillId="17" borderId="2" xfId="0" applyNumberFormat="1" applyFont="1" applyFill="1" applyBorder="1" applyAlignment="1">
      <alignment horizontal="center" vertical="center"/>
    </xf>
    <xf numFmtId="0" fontId="11" fillId="17" borderId="4" xfId="0" applyNumberFormat="1" applyFont="1" applyFill="1" applyBorder="1" applyAlignment="1">
      <alignment horizontal="center" vertical="center" wrapText="1"/>
    </xf>
    <xf numFmtId="0" fontId="11" fillId="17" borderId="5" xfId="0" applyNumberFormat="1" applyFont="1" applyFill="1" applyBorder="1" applyAlignment="1">
      <alignment horizontal="center" vertical="center" wrapText="1"/>
    </xf>
    <xf numFmtId="0" fontId="11" fillId="17" borderId="7" xfId="0" applyNumberFormat="1" applyFont="1" applyFill="1" applyBorder="1" applyAlignment="1">
      <alignment horizontal="center" vertical="center" wrapText="1"/>
    </xf>
    <xf numFmtId="0" fontId="11" fillId="17" borderId="8" xfId="0" applyNumberFormat="1" applyFont="1" applyFill="1" applyBorder="1" applyAlignment="1">
      <alignment horizontal="center" vertical="center" wrapText="1"/>
    </xf>
    <xf numFmtId="0" fontId="0" fillId="13" borderId="2" xfId="0" applyNumberFormat="1" applyFont="1" applyFill="1" applyBorder="1" applyAlignment="1">
      <alignment horizontal="center" vertical="center"/>
    </xf>
    <xf numFmtId="0" fontId="11" fillId="13" borderId="4" xfId="0" applyNumberFormat="1" applyFont="1" applyFill="1" applyBorder="1" applyAlignment="1">
      <alignment horizontal="center" vertical="center" wrapText="1"/>
    </xf>
    <xf numFmtId="0" fontId="11" fillId="13" borderId="7" xfId="0" applyNumberFormat="1" applyFont="1" applyFill="1" applyBorder="1" applyAlignment="1">
      <alignment horizontal="center" vertical="center" wrapText="1"/>
    </xf>
    <xf numFmtId="0" fontId="11" fillId="13" borderId="8" xfId="0" applyNumberFormat="1" applyFont="1" applyFill="1" applyBorder="1" applyAlignment="1">
      <alignment horizontal="center" vertical="center" wrapText="1"/>
    </xf>
    <xf numFmtId="187" fontId="12" fillId="5" borderId="6" xfId="0" applyNumberFormat="1" applyFont="1" applyFill="1" applyBorder="1" applyAlignment="1">
      <alignment horizontal="right"/>
    </xf>
    <xf numFmtId="187" fontId="12" fillId="5" borderId="9" xfId="0" applyNumberFormat="1" applyFont="1" applyFill="1" applyBorder="1" applyAlignment="1">
      <alignment horizontal="right"/>
    </xf>
    <xf numFmtId="187" fontId="12" fillId="5" borderId="2" xfId="0" applyNumberFormat="1" applyFont="1" applyFill="1" applyBorder="1" applyAlignment="1">
      <alignment horizontal="right"/>
    </xf>
    <xf numFmtId="0" fontId="0" fillId="4" borderId="2" xfId="0" applyNumberFormat="1" applyFont="1" applyFill="1" applyBorder="1"/>
    <xf numFmtId="0" fontId="12" fillId="4" borderId="2" xfId="0" applyNumberFormat="1" applyFont="1" applyFill="1" applyBorder="1" applyAlignment="1">
      <alignment horizontal="right"/>
    </xf>
    <xf numFmtId="183" fontId="12" fillId="4" borderId="2" xfId="0" applyNumberFormat="1" applyFont="1" applyFill="1" applyBorder="1" applyAlignment="1">
      <alignment horizontal="right"/>
    </xf>
    <xf numFmtId="187" fontId="12" fillId="4" borderId="6" xfId="0" applyNumberFormat="1" applyFont="1" applyFill="1" applyBorder="1" applyAlignment="1">
      <alignment horizontal="right"/>
    </xf>
    <xf numFmtId="9" fontId="12" fillId="4" borderId="2" xfId="0" applyNumberFormat="1" applyFont="1" applyFill="1" applyBorder="1" applyAlignment="1">
      <alignment horizontal="right"/>
    </xf>
    <xf numFmtId="184" fontId="12" fillId="4" borderId="5" xfId="8" applyNumberFormat="1" applyFont="1" applyFill="1" applyBorder="1" applyAlignment="1">
      <alignment horizontal="right"/>
    </xf>
    <xf numFmtId="187" fontId="12" fillId="4" borderId="9" xfId="0" applyNumberFormat="1" applyFont="1" applyFill="1" applyBorder="1" applyAlignment="1">
      <alignment horizontal="right"/>
    </xf>
    <xf numFmtId="184" fontId="12" fillId="4" borderId="2" xfId="8" applyNumberFormat="1" applyFont="1" applyFill="1" applyBorder="1" applyAlignment="1">
      <alignment horizontal="right"/>
    </xf>
    <xf numFmtId="187" fontId="12" fillId="4" borderId="2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wrapText="1"/>
    </xf>
    <xf numFmtId="187" fontId="12" fillId="15" borderId="0" xfId="0" applyNumberFormat="1" applyFont="1" applyFill="1" applyBorder="1" applyAlignment="1">
      <alignment horizontal="right"/>
    </xf>
    <xf numFmtId="188" fontId="0" fillId="0" borderId="0" xfId="0" applyNumberFormat="1" applyFont="1" applyFill="1" applyBorder="1"/>
    <xf numFmtId="9" fontId="0" fillId="0" borderId="0" xfId="0" applyNumberFormat="1" applyFont="1" applyFill="1" applyBorder="1"/>
    <xf numFmtId="189" fontId="0" fillId="0" borderId="0" xfId="0" applyNumberFormat="1" applyFont="1" applyFill="1" applyBorder="1"/>
    <xf numFmtId="187" fontId="0" fillId="0" borderId="0" xfId="0" applyNumberFormat="1" applyFont="1" applyFill="1" applyBorder="1"/>
    <xf numFmtId="1" fontId="0" fillId="0" borderId="0" xfId="0" applyNumberFormat="1" applyFont="1" applyFill="1" applyBorder="1"/>
    <xf numFmtId="0" fontId="14" fillId="0" borderId="0" xfId="0" applyNumberFormat="1" applyFont="1" applyFill="1" applyBorder="1"/>
    <xf numFmtId="10" fontId="0" fillId="0" borderId="0" xfId="0" applyNumberFormat="1" applyFont="1" applyFill="1" applyBorder="1"/>
    <xf numFmtId="10" fontId="1" fillId="0" borderId="0" xfId="8" applyNumberFormat="1" applyFont="1" applyFill="1" applyBorder="1"/>
    <xf numFmtId="0" fontId="15" fillId="0" borderId="0" xfId="0" applyNumberFormat="1" applyFont="1" applyFill="1" applyBorder="1"/>
    <xf numFmtId="182" fontId="13" fillId="5" borderId="2" xfId="0" applyNumberFormat="1" applyFont="1" applyFill="1" applyBorder="1" applyAlignment="1">
      <alignment wrapText="1"/>
    </xf>
    <xf numFmtId="182" fontId="13" fillId="11" borderId="2" xfId="0" applyNumberFormat="1" applyFont="1" applyFill="1" applyBorder="1" applyAlignment="1">
      <alignment wrapText="1"/>
    </xf>
    <xf numFmtId="0" fontId="11" fillId="12" borderId="2" xfId="0" applyNumberFormat="1" applyFont="1" applyFill="1" applyBorder="1" applyAlignment="1">
      <alignment horizontal="right" vertical="center" wrapText="1"/>
    </xf>
    <xf numFmtId="0" fontId="0" fillId="12" borderId="2" xfId="0" applyNumberFormat="1" applyFont="1" applyFill="1" applyBorder="1"/>
    <xf numFmtId="0" fontId="11" fillId="12" borderId="2" xfId="0" applyNumberFormat="1" applyFont="1" applyFill="1" applyBorder="1" applyAlignment="1">
      <alignment vertical="center" wrapText="1"/>
    </xf>
    <xf numFmtId="0" fontId="13" fillId="12" borderId="2" xfId="0" applyNumberFormat="1" applyFont="1" applyFill="1" applyBorder="1" applyAlignment="1">
      <alignment wrapText="1"/>
    </xf>
    <xf numFmtId="190" fontId="13" fillId="12" borderId="2" xfId="0" applyNumberFormat="1" applyFont="1" applyFill="1" applyBorder="1" applyAlignment="1">
      <alignment wrapText="1"/>
    </xf>
    <xf numFmtId="190" fontId="13" fillId="11" borderId="2" xfId="0" applyNumberFormat="1" applyFont="1" applyFill="1" applyBorder="1" applyAlignment="1">
      <alignment wrapText="1"/>
    </xf>
    <xf numFmtId="49" fontId="4" fillId="2" borderId="2" xfId="7" applyNumberFormat="1" applyFont="1" applyFill="1" applyBorder="1" applyAlignment="1">
      <alignment horizontal="right" vertical="center"/>
    </xf>
  </cellXfs>
  <cellStyles count="10">
    <cellStyle name="Comma" xfId="1" builtinId="3"/>
    <cellStyle name="Comma 2" xfId="2"/>
    <cellStyle name="Comma 2 2" xfId="3"/>
    <cellStyle name="Currency" xfId="4" builtinId="4"/>
    <cellStyle name="Komma 3" xfId="5"/>
    <cellStyle name="Komma_Kopie van 01  IN PRODUCTION PROFORMA INVOICES AVM 26-09-08 (INGEVULD)" xfId="6"/>
    <cellStyle name="Normal" xfId="0" builtinId="0"/>
    <cellStyle name="Normal 2" xfId="7"/>
    <cellStyle name="Percent" xfId="8" builtinId="5"/>
    <cellStyle name="Percent 2" xfId="9"/>
  </cellStyles>
  <dxfs count="0"/>
  <tableStyles count="0" defaultTableStyle="TableStyleMedium2" defaultPivotStyle="PivotStyleMedium9"/>
  <colors>
    <mruColors>
      <color rgb="FFDCE6F1"/>
      <color rgb="FFFF7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/>
              <a:t>DELTA IN % AFTER COMM, DAM, LC, INT OUT OF 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599-4744-BF60-6020B2E888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99-4744-BF60-6020B2E888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599-4744-BF60-6020B2E888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599-4744-BF60-6020B2E888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599-4744-BF60-6020B2E888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599-4744-BF60-6020B2E888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7599-4744-BF60-6020B2E888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;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numRef>
              <c:f>'MarginConclusion '!$C$30:$C$36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'MarginConclusion '!$D$30:$D$36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F9B4-4204-9586-624107C32E6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extLst xmlns:c16r2="http://schemas.microsoft.com/office/drawing/2015/06/chart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10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/>
              <a:t>% FOB SALES OUT OF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26B-4DF5-B577-4E6CBCBFFC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26B-4DF5-B577-4E6CBCBFFC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26B-4DF5-B577-4E6CBCBFFC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26B-4DF5-B577-4E6CBCBFFCC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26B-4DF5-B577-4E6CBCBFFCC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26B-4DF5-B577-4E6CBCBFFCC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26B-4DF5-B577-4E6CBCB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;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numRef>
              <c:f>'MarginConclusion '!$C$42:$C$48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'MarginConclusion '!$D$42:$D$48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B56B-43A6-81DF-FDB20103D1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extLst xmlns:c16r2="http://schemas.microsoft.com/office/drawing/2015/06/chart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10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200"/>
              <a:t>DELTA PER 40HC IN $ AFTER  COMM / DAM / LC / 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518597096294845E-2"/>
          <c:y val="0.14995614331016802"/>
          <c:w val="0.88524456456777401"/>
          <c:h val="0.52027767043622919"/>
        </c:manualLayout>
      </c:layout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6119600"/>
        <c:axId val="386118424"/>
      </c:barChart>
      <c:valAx>
        <c:axId val="386118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[$$-409]* #,##0_ ;_ [$$-409]* \-#,##0_ ;_ [$$-409]* &quot;-&quot;_ ;_ 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19600"/>
        <c:crosses val="autoZero"/>
        <c:crossBetween val="between"/>
      </c:valAx>
      <c:catAx>
        <c:axId val="38611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18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200"/>
              <a:t>NUMBER OF 40HC IF DELTA OF THIS PERSON WOULD APPLY FOR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518597096294845E-2"/>
          <c:y val="0.14995614331016802"/>
          <c:w val="0.88524456456777401"/>
          <c:h val="0.52027767043622919"/>
        </c:manualLayout>
      </c:layout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6120776"/>
        <c:axId val="386120384"/>
      </c:barChart>
      <c:valAx>
        <c:axId val="38612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20776"/>
        <c:crosses val="autoZero"/>
        <c:crossBetween val="between"/>
      </c:valAx>
      <c:catAx>
        <c:axId val="386120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2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10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200"/>
              <a:t>DELTA PER 40HC IN $ AFTER  COMM / DAM / LC / 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518597096294845E-2"/>
          <c:y val="0.14995614331016802"/>
          <c:w val="0.88524456456777401"/>
          <c:h val="0.52027767043622919"/>
        </c:manualLayout>
      </c:layout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88103392"/>
        <c:axId val="488105352"/>
      </c:barChart>
      <c:valAx>
        <c:axId val="48810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[$$-409]* #,##0_ ;_ [$$-409]* \-#,##0_ ;_ [$$-409]* &quot;-&quot;_ ;_ 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3392"/>
        <c:crosses val="autoZero"/>
        <c:crossBetween val="between"/>
      </c:valAx>
      <c:catAx>
        <c:axId val="4881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5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SALE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8105744"/>
        <c:axId val="488102216"/>
      </c:barChart>
      <c:catAx>
        <c:axId val="488105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2216"/>
        <c:crosses val="autoZero"/>
        <c:auto val="1"/>
        <c:lblAlgn val="ctr"/>
        <c:lblOffset val="100"/>
        <c:noMultiLvlLbl val="0"/>
      </c:catAx>
      <c:valAx>
        <c:axId val="48810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21981</xdr:colOff>
      <xdr:row>25</xdr:row>
      <xdr:rowOff>175846</xdr:rowOff>
    </xdr:from>
    <xdr:to>
      <xdr:col>15</xdr:col>
      <xdr:colOff>315057</xdr:colOff>
      <xdr:row>35</xdr:row>
      <xdr:rowOff>168520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AC3BB539-5CB1-4E83-9405-9381E104A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322383</xdr:colOff>
      <xdr:row>37</xdr:row>
      <xdr:rowOff>190500</xdr:rowOff>
    </xdr:from>
    <xdr:to>
      <xdr:col>15</xdr:col>
      <xdr:colOff>322384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4C7B49F2-253E-4F30-8BB5-AC1844298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50</xdr:row>
      <xdr:rowOff>0</xdr:rowOff>
    </xdr:from>
    <xdr:to>
      <xdr:col>17</xdr:col>
      <xdr:colOff>159599</xdr:colOff>
      <xdr:row>60</xdr:row>
      <xdr:rowOff>14654</xdr:rowOff>
    </xdr:to>
    <xdr:graphicFrame macro="">
      <xdr:nvGraphicFramePr>
        <xdr:cNvPr id="8" name="Chart 2">
          <a:extLst>
            <a:ext uri="{FF2B5EF4-FFF2-40B4-BE49-F238E27FC236}">
              <a16:creationId xmlns="" xmlns:a16="http://schemas.microsoft.com/office/drawing/2014/main" id="{F5B700FC-BCCF-43BD-B4BE-ED0A59372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62</xdr:row>
      <xdr:rowOff>0</xdr:rowOff>
    </xdr:from>
    <xdr:to>
      <xdr:col>17</xdr:col>
      <xdr:colOff>159599</xdr:colOff>
      <xdr:row>72</xdr:row>
      <xdr:rowOff>14654</xdr:rowOff>
    </xdr:to>
    <xdr:graphicFrame macro="">
      <xdr:nvGraphicFramePr>
        <xdr:cNvPr id="9" name="Chart 1">
          <a:extLst>
            <a:ext uri="{FF2B5EF4-FFF2-40B4-BE49-F238E27FC236}">
              <a16:creationId xmlns="" xmlns:a16="http://schemas.microsoft.com/office/drawing/2014/main" id="{F5B700FC-BCCF-43BD-B4BE-ED0A59372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14</xdr:row>
      <xdr:rowOff>0</xdr:rowOff>
    </xdr:from>
    <xdr:to>
      <xdr:col>17</xdr:col>
      <xdr:colOff>159599</xdr:colOff>
      <xdr:row>23</xdr:row>
      <xdr:rowOff>183174</xdr:rowOff>
    </xdr:to>
    <xdr:graphicFrame macro="">
      <xdr:nvGraphicFramePr>
        <xdr:cNvPr id="10" name="Chart 6">
          <a:extLst>
            <a:ext uri="{FF2B5EF4-FFF2-40B4-BE49-F238E27FC236}">
              <a16:creationId xmlns="" xmlns:a16="http://schemas.microsoft.com/office/drawing/2014/main" id="{F5B700FC-BCCF-43BD-B4BE-ED0A59372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278422</xdr:colOff>
      <xdr:row>74</xdr:row>
      <xdr:rowOff>2198</xdr:rowOff>
    </xdr:from>
    <xdr:to>
      <xdr:col>18</xdr:col>
      <xdr:colOff>14653</xdr:colOff>
      <xdr:row>88</xdr:row>
      <xdr:rowOff>78398</xdr:rowOff>
    </xdr:to>
    <xdr:graphicFrame macro="">
      <xdr:nvGraphicFramePr>
        <xdr:cNvPr id="2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7"/>
  <sheetViews>
    <sheetView tabSelected="1" zoomScale="80" zoomScaleNormal="80" workbookViewId="0">
      <pane xSplit="16" ySplit="6" topLeftCell="BK7" activePane="bottomRight" state="frozen"/>
      <selection pane="topRight" activeCell="P1" sqref="P1"/>
      <selection pane="bottomLeft" activeCell="A7" sqref="A7"/>
      <selection pane="bottomRight"/>
    </sheetView>
  </sheetViews>
  <sheetFormatPr defaultColWidth="9.109375" defaultRowHeight="11.4" x14ac:dyDescent="0.2"/>
  <cols>
    <col min="1" max="1" width="5.88671875" style="71" customWidth="1"/>
    <col min="2" max="2" width="9.109375" style="71" customWidth="1"/>
    <col min="3" max="3" width="10.6640625" style="71" bestFit="1" customWidth="1"/>
    <col min="4" max="4" width="9.109375" style="71" customWidth="1"/>
    <col min="5" max="5" width="20.33203125" style="71" customWidth="1"/>
    <col min="6" max="6" width="12.44140625" style="71" bestFit="1" customWidth="1"/>
    <col min="7" max="7" width="11.6640625" style="71" customWidth="1"/>
    <col min="8" max="10" width="11.33203125" style="71" hidden="1" customWidth="1"/>
    <col min="11" max="11" width="16.109375" style="71" bestFit="1" customWidth="1"/>
    <col min="12" max="12" width="23.6640625" style="71" customWidth="1"/>
    <col min="13" max="13" width="37.5546875" style="71" customWidth="1"/>
    <col min="14" max="14" width="9.109375" style="71" customWidth="1"/>
    <col min="15" max="15" width="10.44140625" style="71" customWidth="1"/>
    <col min="16" max="16" width="9.109375" style="71" customWidth="1"/>
    <col min="17" max="17" width="11.33203125" style="71" bestFit="1" customWidth="1"/>
    <col min="18" max="18" width="9.109375" style="71" customWidth="1"/>
    <col min="19" max="19" width="10.33203125" style="71" bestFit="1" customWidth="1"/>
    <col min="20" max="20" width="9.109375" style="71" customWidth="1"/>
    <col min="21" max="21" width="11" style="71" bestFit="1" customWidth="1"/>
    <col min="22" max="22" width="9.109375" style="71" customWidth="1"/>
    <col min="23" max="23" width="11.33203125" style="71" bestFit="1" customWidth="1"/>
    <col min="24" max="24" width="11.44140625" style="71" bestFit="1" customWidth="1"/>
    <col min="25" max="25" width="6.6640625" style="71" bestFit="1" customWidth="1"/>
    <col min="26" max="26" width="10.6640625" style="71" bestFit="1" customWidth="1"/>
    <col min="27" max="27" width="6.44140625" style="71" customWidth="1"/>
    <col min="28" max="28" width="18.88671875" style="71" bestFit="1" customWidth="1"/>
    <col min="29" max="29" width="9.5546875" style="71" bestFit="1" customWidth="1"/>
    <col min="30" max="30" width="9.44140625" style="71" bestFit="1" customWidth="1"/>
    <col min="31" max="31" width="8.44140625" style="71" bestFit="1" customWidth="1"/>
    <col min="32" max="32" width="9.109375" style="71" customWidth="1"/>
    <col min="33" max="33" width="15.88671875" style="71" bestFit="1" customWidth="1"/>
    <col min="34" max="35" width="9.109375" style="71" customWidth="1"/>
    <col min="36" max="36" width="11.6640625" style="71" bestFit="1" customWidth="1"/>
    <col min="37" max="37" width="13" style="71" bestFit="1" customWidth="1"/>
    <col min="38" max="38" width="8.5546875" style="71" bestFit="1" customWidth="1"/>
    <col min="39" max="39" width="9.109375" style="71" customWidth="1"/>
    <col min="40" max="40" width="8.88671875" style="71" bestFit="1" customWidth="1"/>
    <col min="41" max="41" width="9.5546875" style="71" bestFit="1" customWidth="1"/>
    <col min="42" max="42" width="15.33203125" style="71" bestFit="1" customWidth="1"/>
    <col min="43" max="43" width="9.88671875" style="71" bestFit="1" customWidth="1"/>
    <col min="44" max="44" width="15.88671875" style="71" bestFit="1" customWidth="1"/>
    <col min="45" max="45" width="16.44140625" style="71" bestFit="1" customWidth="1"/>
    <col min="46" max="46" width="12" style="71" customWidth="1"/>
    <col min="47" max="47" width="12.33203125" style="71" bestFit="1" customWidth="1"/>
    <col min="48" max="48" width="13.5546875" style="71" bestFit="1" customWidth="1"/>
    <col min="49" max="49" width="15.109375" style="71" customWidth="1"/>
    <col min="50" max="50" width="12.33203125" style="71" bestFit="1" customWidth="1"/>
    <col min="51" max="51" width="15.88671875" style="71" bestFit="1" customWidth="1"/>
    <col min="52" max="52" width="15.33203125" style="71" bestFit="1" customWidth="1"/>
    <col min="53" max="57" width="9.109375" style="71" customWidth="1"/>
    <col min="58" max="58" width="13.88671875" style="71" bestFit="1" customWidth="1"/>
    <col min="59" max="62" width="13.88671875" style="71" customWidth="1"/>
    <col min="63" max="63" width="16.44140625" style="71" customWidth="1"/>
    <col min="64" max="64" width="13.88671875" style="71" customWidth="1"/>
    <col min="65" max="65" width="17.33203125" style="71" bestFit="1" customWidth="1"/>
    <col min="66" max="66" width="15.5546875" style="71" bestFit="1" customWidth="1"/>
    <col min="67" max="72" width="9.109375" style="71" customWidth="1"/>
    <col min="73" max="16384" width="9.109375" style="71"/>
  </cols>
  <sheetData>
    <row r="1" spans="1:66" ht="12" x14ac:dyDescent="0.2">
      <c r="A1" s="70"/>
      <c r="N1" s="243" t="s">
        <v>23</v>
      </c>
      <c r="O1" s="243"/>
      <c r="S1" s="72"/>
      <c r="U1" s="72"/>
      <c r="V1" s="72"/>
      <c r="W1" s="72"/>
      <c r="AZ1" s="1" t="e">
        <f>AZ4/M2</f>
        <v>#DIV/0!</v>
      </c>
      <c r="BF1" s="1" t="e">
        <f>BF4/M2</f>
        <v>#DIV/0!</v>
      </c>
      <c r="BG1" s="1"/>
      <c r="BH1" s="1"/>
      <c r="BI1" s="1"/>
      <c r="BJ1" s="1"/>
      <c r="BK1" s="1"/>
      <c r="BL1" s="1"/>
      <c r="BM1" s="1"/>
      <c r="BN1" s="1" t="e">
        <f>AZ1-BF1</f>
        <v>#DIV/0!</v>
      </c>
    </row>
    <row r="2" spans="1:66" ht="15.6" x14ac:dyDescent="0.25">
      <c r="A2" s="97" t="s">
        <v>24</v>
      </c>
      <c r="B2" s="99"/>
      <c r="C2" s="100"/>
      <c r="D2" s="101"/>
      <c r="F2" s="98" t="str">
        <f>Data5!A2&amp;""</f>
        <v/>
      </c>
      <c r="G2" s="80"/>
      <c r="H2" s="73"/>
      <c r="I2" s="73"/>
      <c r="J2" s="73"/>
      <c r="K2" s="74"/>
      <c r="L2" s="74" t="s">
        <v>25</v>
      </c>
      <c r="M2" s="75">
        <f>Data5!B2</f>
        <v>0</v>
      </c>
      <c r="N2" s="243" t="s">
        <v>26</v>
      </c>
      <c r="O2" s="243"/>
      <c r="P2" s="76"/>
      <c r="Q2" s="76"/>
      <c r="R2" s="76"/>
      <c r="S2" s="77"/>
      <c r="T2" s="76"/>
      <c r="U2" s="78" t="e">
        <f>+U4/P4</f>
        <v>#DIV/0!</v>
      </c>
      <c r="V2" s="77"/>
      <c r="W2" s="78" t="e">
        <f>+W4/P4</f>
        <v>#DIV/0!</v>
      </c>
      <c r="X2" s="76"/>
      <c r="Y2" s="79"/>
      <c r="Z2" s="80"/>
      <c r="AA2" s="80"/>
      <c r="AB2" s="81"/>
      <c r="AC2" s="82"/>
      <c r="AD2" s="82"/>
      <c r="AE2" s="80"/>
      <c r="AF2" s="80"/>
      <c r="AG2" s="80"/>
      <c r="AH2" s="80"/>
      <c r="AI2" s="80"/>
      <c r="AJ2" s="80"/>
      <c r="AK2" s="83"/>
      <c r="AL2" s="80"/>
      <c r="AM2" s="84"/>
      <c r="AN2" s="84"/>
      <c r="AO2" s="2"/>
      <c r="AP2" s="67"/>
      <c r="AQ2" s="2"/>
      <c r="AR2" s="68"/>
      <c r="AS2" s="69"/>
      <c r="AT2" s="69"/>
      <c r="AU2" s="85"/>
      <c r="AV2" s="85"/>
      <c r="AW2" s="86"/>
      <c r="AX2" s="87"/>
      <c r="AY2" s="87"/>
      <c r="AZ2" s="3" t="e">
        <f>AZ5/M2</f>
        <v>#DIV/0!</v>
      </c>
      <c r="BA2" s="88"/>
      <c r="BB2" s="88"/>
      <c r="BC2" s="88"/>
      <c r="BD2" s="88"/>
      <c r="BE2" s="80"/>
      <c r="BF2" s="1" t="e">
        <f>BF5/M2</f>
        <v>#DIV/0!</v>
      </c>
      <c r="BG2" s="1"/>
      <c r="BH2" s="1"/>
      <c r="BI2" s="1"/>
      <c r="BJ2" s="1"/>
      <c r="BK2" s="1"/>
      <c r="BL2" s="1"/>
      <c r="BM2" s="1"/>
      <c r="BN2" s="1" t="e">
        <f>AZ2-BF2</f>
        <v>#DIV/0!</v>
      </c>
    </row>
    <row r="3" spans="1:66" ht="60" customHeight="1" x14ac:dyDescent="0.2">
      <c r="A3" s="4" t="s">
        <v>27</v>
      </c>
      <c r="B3" s="5" t="s">
        <v>28</v>
      </c>
      <c r="C3" s="6" t="s">
        <v>29</v>
      </c>
      <c r="D3" s="5" t="s">
        <v>30</v>
      </c>
      <c r="E3" s="7" t="s">
        <v>31</v>
      </c>
      <c r="F3" s="7" t="s">
        <v>32</v>
      </c>
      <c r="G3" s="7" t="s">
        <v>33</v>
      </c>
      <c r="H3" s="7" t="s">
        <v>34</v>
      </c>
      <c r="I3" s="7" t="s">
        <v>35</v>
      </c>
      <c r="J3" s="7" t="s">
        <v>36</v>
      </c>
      <c r="K3" s="7" t="s">
        <v>37</v>
      </c>
      <c r="L3" s="7" t="s">
        <v>38</v>
      </c>
      <c r="M3" s="8" t="s">
        <v>39</v>
      </c>
      <c r="N3" s="8" t="s">
        <v>40</v>
      </c>
      <c r="O3" s="9" t="s">
        <v>41</v>
      </c>
      <c r="P3" s="7" t="s">
        <v>42</v>
      </c>
      <c r="Q3" s="7" t="s">
        <v>43</v>
      </c>
      <c r="R3" s="7" t="s">
        <v>44</v>
      </c>
      <c r="S3" s="10" t="s">
        <v>45</v>
      </c>
      <c r="T3" s="7" t="s">
        <v>46</v>
      </c>
      <c r="U3" s="10" t="s">
        <v>47</v>
      </c>
      <c r="V3" s="7" t="s">
        <v>48</v>
      </c>
      <c r="W3" s="10" t="s">
        <v>49</v>
      </c>
      <c r="X3" s="7" t="s">
        <v>50</v>
      </c>
      <c r="Y3" s="7" t="s">
        <v>51</v>
      </c>
      <c r="Z3" s="7" t="s">
        <v>52</v>
      </c>
      <c r="AA3" s="7" t="s">
        <v>53</v>
      </c>
      <c r="AB3" s="7" t="s">
        <v>54</v>
      </c>
      <c r="AC3" s="7" t="s">
        <v>55</v>
      </c>
      <c r="AD3" s="7" t="s">
        <v>56</v>
      </c>
      <c r="AE3" s="7" t="s">
        <v>57</v>
      </c>
      <c r="AF3" s="7" t="s">
        <v>58</v>
      </c>
      <c r="AG3" s="7" t="s">
        <v>59</v>
      </c>
      <c r="AH3" s="7" t="s">
        <v>60</v>
      </c>
      <c r="AI3" s="7" t="s">
        <v>61</v>
      </c>
      <c r="AJ3" s="7" t="s">
        <v>62</v>
      </c>
      <c r="AK3" s="7" t="s">
        <v>63</v>
      </c>
      <c r="AL3" s="7" t="s">
        <v>64</v>
      </c>
      <c r="AM3" s="7" t="s">
        <v>65</v>
      </c>
      <c r="AN3" s="7" t="s">
        <v>66</v>
      </c>
      <c r="AO3" s="7" t="s">
        <v>67</v>
      </c>
      <c r="AP3" s="7" t="s">
        <v>68</v>
      </c>
      <c r="AQ3" s="7" t="s">
        <v>69</v>
      </c>
      <c r="AR3" s="7" t="s">
        <v>70</v>
      </c>
      <c r="AS3" s="7" t="s">
        <v>71</v>
      </c>
      <c r="AT3" s="7" t="s">
        <v>72</v>
      </c>
      <c r="AU3" s="7" t="s">
        <v>73</v>
      </c>
      <c r="AV3" s="7" t="s">
        <v>144</v>
      </c>
      <c r="AW3" s="7" t="s">
        <v>74</v>
      </c>
      <c r="AX3" s="7" t="s">
        <v>75</v>
      </c>
      <c r="AY3" s="7" t="s">
        <v>76</v>
      </c>
      <c r="AZ3" s="7" t="s">
        <v>77</v>
      </c>
      <c r="BA3" s="7" t="s">
        <v>78</v>
      </c>
      <c r="BB3" s="7" t="s">
        <v>79</v>
      </c>
      <c r="BC3" s="7" t="s">
        <v>80</v>
      </c>
      <c r="BD3" s="7" t="s">
        <v>81</v>
      </c>
      <c r="BE3" s="7" t="s">
        <v>82</v>
      </c>
      <c r="BF3" s="7" t="s">
        <v>83</v>
      </c>
      <c r="BG3" s="7" t="s">
        <v>84</v>
      </c>
      <c r="BH3" s="7" t="s">
        <v>85</v>
      </c>
      <c r="BI3" s="7" t="s">
        <v>132</v>
      </c>
      <c r="BJ3" s="7" t="s">
        <v>146</v>
      </c>
      <c r="BK3" s="7" t="s">
        <v>194</v>
      </c>
      <c r="BL3" s="7" t="s">
        <v>145</v>
      </c>
      <c r="BM3" s="7" t="s">
        <v>149</v>
      </c>
      <c r="BN3" s="7" t="s">
        <v>150</v>
      </c>
    </row>
    <row r="4" spans="1:66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>
        <f t="shared" ref="O4:W4" si="0">SUM(O7:O50000)</f>
        <v>0</v>
      </c>
      <c r="P4" s="13">
        <f t="shared" si="0"/>
        <v>0</v>
      </c>
      <c r="Q4" s="13"/>
      <c r="R4" s="12">
        <f t="shared" si="0"/>
        <v>0</v>
      </c>
      <c r="S4" s="14">
        <f t="shared" si="0"/>
        <v>0</v>
      </c>
      <c r="T4" s="12">
        <f t="shared" si="0"/>
        <v>0</v>
      </c>
      <c r="U4" s="14">
        <f t="shared" si="0"/>
        <v>0</v>
      </c>
      <c r="V4" s="12">
        <f t="shared" si="0"/>
        <v>0</v>
      </c>
      <c r="W4" s="14">
        <f t="shared" si="0"/>
        <v>0</v>
      </c>
      <c r="X4" s="11"/>
      <c r="Y4" s="11"/>
      <c r="Z4" s="11"/>
      <c r="AA4" s="11"/>
      <c r="AB4" s="11"/>
      <c r="AC4" s="11"/>
      <c r="AD4" s="11"/>
      <c r="AE4" s="11"/>
      <c r="AF4" s="15"/>
      <c r="AG4" s="16">
        <f>SUM(AG7:AG50000)</f>
        <v>0</v>
      </c>
      <c r="AH4" s="15"/>
      <c r="AI4" s="15"/>
      <c r="AJ4" s="11"/>
      <c r="AK4" s="11"/>
      <c r="AL4" s="11"/>
      <c r="AM4" s="11"/>
      <c r="AN4" s="11"/>
      <c r="AO4" s="17"/>
      <c r="AP4" s="18">
        <f>SUM(AP7:AP50000)</f>
        <v>0</v>
      </c>
      <c r="AQ4" s="15"/>
      <c r="AR4" s="16">
        <f>SUM(AR7:AR50000)</f>
        <v>0</v>
      </c>
      <c r="AS4" s="18" t="e">
        <f>SUM(AS7:AS50000)</f>
        <v>#DIV/0!</v>
      </c>
      <c r="AT4" s="17"/>
      <c r="AU4" s="17"/>
      <c r="AV4" s="18">
        <f>SUM(AV7:AV50000)</f>
        <v>0</v>
      </c>
      <c r="AW4" s="17"/>
      <c r="AX4" s="19"/>
      <c r="AY4" s="34">
        <f>SUM(AY7:AY50000)</f>
        <v>0</v>
      </c>
      <c r="AZ4" s="16">
        <f>SUM(AZ7:AZ50000)</f>
        <v>0</v>
      </c>
      <c r="BA4" s="20"/>
      <c r="BB4" s="21"/>
      <c r="BC4" s="15"/>
      <c r="BD4" s="17"/>
      <c r="BE4" s="15"/>
      <c r="BF4" s="16">
        <f>SUM(BF7:BF50000)</f>
        <v>0</v>
      </c>
      <c r="BG4" s="16">
        <f t="shared" ref="BG4:BH4" si="1">SUM(BG7:BG50000)</f>
        <v>0</v>
      </c>
      <c r="BH4" s="16">
        <f t="shared" si="1"/>
        <v>0</v>
      </c>
      <c r="BI4" s="16">
        <f>SUM(BI7:BI50000)</f>
        <v>0</v>
      </c>
      <c r="BJ4" s="16">
        <f>SUM(BJ7:BJ50000)</f>
        <v>0</v>
      </c>
      <c r="BK4" s="16">
        <f>SUM(BK7:BK50000)</f>
        <v>0</v>
      </c>
      <c r="BL4" s="16">
        <f>SUM(BL7:BL50000)</f>
        <v>0</v>
      </c>
      <c r="BM4" s="16"/>
      <c r="BN4" s="16">
        <f>SUM(BN7:BN50000)</f>
        <v>0</v>
      </c>
    </row>
    <row r="5" spans="1:66" x14ac:dyDescent="0.2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3">
        <f t="shared" ref="O5:W5" si="2">SUBTOTAL(9,O7:O50000)</f>
        <v>0</v>
      </c>
      <c r="P5" s="24">
        <f t="shared" si="2"/>
        <v>0</v>
      </c>
      <c r="Q5" s="24"/>
      <c r="R5" s="23">
        <f t="shared" si="2"/>
        <v>0</v>
      </c>
      <c r="S5" s="25">
        <f t="shared" si="2"/>
        <v>0</v>
      </c>
      <c r="T5" s="23">
        <f t="shared" si="2"/>
        <v>0</v>
      </c>
      <c r="U5" s="25">
        <f t="shared" si="2"/>
        <v>0</v>
      </c>
      <c r="V5" s="23">
        <f t="shared" si="2"/>
        <v>0</v>
      </c>
      <c r="W5" s="25">
        <f t="shared" si="2"/>
        <v>0</v>
      </c>
      <c r="X5" s="22"/>
      <c r="Y5" s="22"/>
      <c r="Z5" s="22"/>
      <c r="AA5" s="22"/>
      <c r="AB5" s="22"/>
      <c r="AC5" s="22"/>
      <c r="AD5" s="22"/>
      <c r="AE5" s="22"/>
      <c r="AF5" s="26"/>
      <c r="AG5" s="27">
        <f>SUBTOTAL(9,AG7:AG50000)</f>
        <v>0</v>
      </c>
      <c r="AH5" s="26"/>
      <c r="AI5" s="26"/>
      <c r="AJ5" s="22"/>
      <c r="AK5" s="22"/>
      <c r="AL5" s="22"/>
      <c r="AM5" s="22"/>
      <c r="AN5" s="22"/>
      <c r="AO5" s="28"/>
      <c r="AP5" s="29">
        <f>SUBTOTAL(9,AP7:AP50000)</f>
        <v>0</v>
      </c>
      <c r="AQ5" s="26"/>
      <c r="AR5" s="27">
        <f>SUBTOTAL(9,AR7:AR50000)</f>
        <v>0</v>
      </c>
      <c r="AS5" s="29" t="e">
        <f>SUBTOTAL(9,AS7:AS50000)</f>
        <v>#DIV/0!</v>
      </c>
      <c r="AT5" s="28"/>
      <c r="AU5" s="28"/>
      <c r="AV5" s="29">
        <f>SUBTOTAL(9,AV7:AV50000)</f>
        <v>0</v>
      </c>
      <c r="AW5" s="28"/>
      <c r="AX5" s="30"/>
      <c r="AY5" s="35">
        <f>SUBTOTAL(9,AY7:AY50000)</f>
        <v>0</v>
      </c>
      <c r="AZ5" s="27">
        <f>SUBTOTAL(9,AZ7:AZ50000)</f>
        <v>0</v>
      </c>
      <c r="BA5" s="24"/>
      <c r="BB5" s="31"/>
      <c r="BC5" s="26"/>
      <c r="BD5" s="28"/>
      <c r="BE5" s="26"/>
      <c r="BF5" s="27">
        <f>SUBTOTAL(9,BF7:BF50000)</f>
        <v>0</v>
      </c>
      <c r="BG5" s="27">
        <f t="shared" ref="BG5" si="3">SUBTOTAL(9,BG7:BG50000)</f>
        <v>0</v>
      </c>
      <c r="BH5" s="27">
        <f>SUBTOTAL(9,BH7:BH50000)</f>
        <v>0</v>
      </c>
      <c r="BI5" s="27">
        <f>SUBTOTAL(9,BI7:BI50000)</f>
        <v>0</v>
      </c>
      <c r="BJ5" s="27">
        <f>SUBTOTAL(9,BJ7:BJ50000)</f>
        <v>0</v>
      </c>
      <c r="BK5" s="27">
        <f>SUBTOTAL(9,BK7:BK50000)</f>
        <v>0</v>
      </c>
      <c r="BL5" s="27">
        <f>SUBTOTAL(9,BL7:BL50000)</f>
        <v>0</v>
      </c>
      <c r="BM5" s="32" t="str">
        <f>IF(OR(AG5="",AG5=0),"",BN5/AG5)</f>
        <v/>
      </c>
      <c r="BN5" s="27">
        <f>SUBTOTAL(9,BN7:BN50000)</f>
        <v>0</v>
      </c>
    </row>
    <row r="6" spans="1:66" x14ac:dyDescent="0.2">
      <c r="A6" s="89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</row>
    <row r="7" spans="1:66" x14ac:dyDescent="0.2">
      <c r="A7" s="89">
        <f>ROW()-6</f>
        <v>1</v>
      </c>
      <c r="B7" s="90" t="str">
        <f>Data1!B2&amp;""</f>
        <v/>
      </c>
      <c r="C7" s="90" t="str">
        <f>Data1!C2&amp;""</f>
        <v/>
      </c>
      <c r="D7" s="90" t="str">
        <f>Data1!D2&amp;""</f>
        <v/>
      </c>
      <c r="E7" s="89" t="str">
        <f>Data1!E2&amp;""</f>
        <v/>
      </c>
      <c r="F7" s="90" t="str">
        <f>Data1!S2&amp;""</f>
        <v/>
      </c>
      <c r="G7" s="90" t="str">
        <f>IF(Data1!AR2 = 1,"Waiting Eurofar ",IF((Data1!AR2 = 2),"Waiting Suppliers",""))</f>
        <v/>
      </c>
      <c r="H7" s="89" t="str">
        <f>Data1!H2&amp;""</f>
        <v/>
      </c>
      <c r="I7" s="89" t="str">
        <f>Data1!G2&amp;""</f>
        <v/>
      </c>
      <c r="J7" s="89" t="str">
        <f>Data1!I2&amp;""</f>
        <v/>
      </c>
      <c r="K7" s="89" t="str">
        <f>Data1!F2&amp;""</f>
        <v/>
      </c>
      <c r="L7" s="91" t="str">
        <f>Data1!J2&amp;""</f>
        <v/>
      </c>
      <c r="M7" s="89" t="str">
        <f>Data1!K2&amp;""</f>
        <v/>
      </c>
      <c r="N7" s="92">
        <f>Data1!L2</f>
        <v>0</v>
      </c>
      <c r="O7" s="92">
        <f>Data1!M2</f>
        <v>0</v>
      </c>
      <c r="P7" s="93" t="str">
        <f>IF(OR(N7="",N7=0,ISBLANK(N7)),"",ROUND(O7/N7,2))</f>
        <v/>
      </c>
      <c r="Q7" s="90" t="str">
        <f>Data1!N2&amp;""</f>
        <v/>
      </c>
      <c r="R7" s="92">
        <f>Data1!P2</f>
        <v>0</v>
      </c>
      <c r="S7" s="93" t="str">
        <f>IF(OR(N7="",N7=0,ISBLANK(N7)),"",R7/N7)</f>
        <v/>
      </c>
      <c r="T7" s="92">
        <f>Data1!O2</f>
        <v>0</v>
      </c>
      <c r="U7" s="93" t="str">
        <f>IF(OR(N7="",N7=0,ISBLANK(N7)),"",T7/N7)</f>
        <v/>
      </c>
      <c r="V7" s="92">
        <f>O7-T7</f>
        <v>0</v>
      </c>
      <c r="W7" s="93" t="str">
        <f>IF(OR(N7="",N7=0,ISBLANK(N7)),"",V7/N7)</f>
        <v/>
      </c>
      <c r="X7" s="90" t="str">
        <f>Data1!Q2&amp;""</f>
        <v/>
      </c>
      <c r="Y7" s="90">
        <f>Data1!R2</f>
        <v>0</v>
      </c>
      <c r="Z7" s="90" t="str">
        <f>Data1!T2&amp;""</f>
        <v/>
      </c>
      <c r="AA7" s="89"/>
      <c r="AB7" s="89" t="str">
        <f>Data1!U2&amp;""</f>
        <v/>
      </c>
      <c r="AC7" s="90" t="str">
        <f>Data1!V2&amp;""</f>
        <v/>
      </c>
      <c r="AD7" s="90" t="str">
        <f>Data1!W2&amp;""</f>
        <v/>
      </c>
      <c r="AE7" s="90" t="str">
        <f>Data1!X2&amp;""</f>
        <v/>
      </c>
      <c r="AF7" s="94">
        <f>Data1!Z2</f>
        <v>0</v>
      </c>
      <c r="AG7" s="94">
        <f>IF(AF7="",0,AF7*O7)</f>
        <v>0</v>
      </c>
      <c r="AH7" s="94">
        <f>Data1!AA2</f>
        <v>0</v>
      </c>
      <c r="AI7" s="94">
        <f>Data1!AB2</f>
        <v>0</v>
      </c>
      <c r="AJ7" s="90">
        <f>Data1!AC2</f>
        <v>0</v>
      </c>
      <c r="AK7" s="90">
        <f>Data1!AD2</f>
        <v>0</v>
      </c>
      <c r="AL7" s="90"/>
      <c r="AM7" s="91" t="str">
        <f>Data1!AE2&amp;""</f>
        <v/>
      </c>
      <c r="AN7" s="90">
        <f>Data1!AF2</f>
        <v>0</v>
      </c>
      <c r="AO7" s="95">
        <f>IF(AN7="EUR",Data1!AG2,0)</f>
        <v>0</v>
      </c>
      <c r="AP7" s="95">
        <f>AO7*O7</f>
        <v>0</v>
      </c>
      <c r="AQ7" s="94">
        <f>IF(AN7="USD",Data1!AG2,0)</f>
        <v>0</v>
      </c>
      <c r="AR7" s="94">
        <f>AQ7*O7</f>
        <v>0</v>
      </c>
      <c r="AS7" s="95" t="e">
        <f>AR7/$M$2</f>
        <v>#DIV/0!</v>
      </c>
      <c r="AT7" s="95">
        <f>Data1!AH2</f>
        <v>0</v>
      </c>
      <c r="AU7" s="95">
        <f>IF(OR(ISBLANK(N7),N7=0,AT7="",AT7=0),0,ROUND(AT7/N7,2))</f>
        <v>0</v>
      </c>
      <c r="AV7" s="95">
        <f>AU7*O7</f>
        <v>0</v>
      </c>
      <c r="AW7" s="94">
        <f>(AO7-AU7)*$M$2</f>
        <v>0</v>
      </c>
      <c r="AX7" s="94">
        <f>IF(AN7="USD",AQ7,AO7*$M$2)</f>
        <v>0</v>
      </c>
      <c r="AY7" s="94">
        <f>AX7*O7</f>
        <v>0</v>
      </c>
      <c r="AZ7" s="94">
        <f>IF(OR(AF7="",AF7=0,AND(AN7="EUR",OR(AT7="",AT7=0))),0,(AX7-AF7)*O7)</f>
        <v>0</v>
      </c>
      <c r="BA7" s="96">
        <f>IF(OR(AF7="",AF7=0),0,(AX7-AF7)/AF7)</f>
        <v>0</v>
      </c>
      <c r="BB7" s="96">
        <f>Data1!AI2</f>
        <v>0</v>
      </c>
      <c r="BC7" s="94">
        <f>IF(AN7="USD",BB7*AQ7,0)</f>
        <v>0</v>
      </c>
      <c r="BD7" s="95">
        <f>IF(AN7="USD",0,BB7*AO7)</f>
        <v>0</v>
      </c>
      <c r="BE7" s="94">
        <f>IF(AN7="USD",BB7*AQ7,BB7*AO7*$M$2)</f>
        <v>0</v>
      </c>
      <c r="BF7" s="94">
        <f>BE7*O7</f>
        <v>0</v>
      </c>
      <c r="BG7" s="94">
        <f>Data1!AP2</f>
        <v>0</v>
      </c>
      <c r="BH7" s="94">
        <f>Data1!AQ2</f>
        <v>0</v>
      </c>
      <c r="BI7" s="94">
        <f>(AG7 * 1.25) /100</f>
        <v>0</v>
      </c>
      <c r="BJ7" s="94">
        <f>Data1!AU2</f>
        <v>0</v>
      </c>
      <c r="BK7" s="94">
        <f>Data1!AS2</f>
        <v>0</v>
      </c>
      <c r="BL7" s="94">
        <f>Data1!AT2</f>
        <v>0</v>
      </c>
      <c r="BM7" s="96" t="str">
        <f>IF(IF(OR(AG7="",AG7=0),"",BN7/AG7)=0,"",IF(OR(AG7="",AG7=0),"",BN7/AG7))</f>
        <v/>
      </c>
      <c r="BN7" s="94" t="str">
        <f>IF(AF7=0,"",AY7-AG7-BF7-BG7-BH7-BI7-BJ7-BK7-BL7)</f>
        <v/>
      </c>
    </row>
  </sheetData>
  <autoFilter ref="A6:BN7"/>
  <mergeCells count="2">
    <mergeCell ref="N1:O1"/>
    <mergeCell ref="N2:O2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79"/>
  <sheetViews>
    <sheetView zoomScale="80" zoomScaleNormal="80" workbookViewId="0"/>
  </sheetViews>
  <sheetFormatPr defaultColWidth="9.109375" defaultRowHeight="11.4" x14ac:dyDescent="0.2"/>
  <cols>
    <col min="1" max="1" width="22.6640625" style="71" bestFit="1" customWidth="1"/>
    <col min="2" max="2" width="11.6640625" style="71" bestFit="1" customWidth="1"/>
    <col min="3" max="3" width="18.109375" style="71" bestFit="1" customWidth="1"/>
    <col min="4" max="4" width="18.6640625" style="71" bestFit="1" customWidth="1"/>
    <col min="5" max="5" width="18.44140625" style="71" bestFit="1" customWidth="1"/>
    <col min="6" max="6" width="16.44140625" style="71" bestFit="1" customWidth="1"/>
    <col min="7" max="7" width="20" style="71" bestFit="1" customWidth="1"/>
    <col min="8" max="8" width="15.6640625" style="71" bestFit="1" customWidth="1"/>
    <col min="9" max="9" width="22.33203125" style="71" bestFit="1" customWidth="1"/>
    <col min="10" max="10" width="9.44140625" style="71" bestFit="1" customWidth="1"/>
    <col min="11" max="16" width="9.109375" style="71" customWidth="1"/>
    <col min="17" max="16384" width="9.109375" style="71"/>
  </cols>
  <sheetData>
    <row r="2" spans="1:10" x14ac:dyDescent="0.2">
      <c r="A2" s="89"/>
      <c r="B2" s="89"/>
      <c r="C2" s="102"/>
      <c r="D2" s="102"/>
      <c r="E2" s="102"/>
      <c r="F2" s="102"/>
      <c r="G2" s="102" t="s">
        <v>105</v>
      </c>
      <c r="H2" s="102" t="s">
        <v>106</v>
      </c>
      <c r="I2" s="102"/>
      <c r="J2" s="103"/>
    </row>
    <row r="3" spans="1:10" x14ac:dyDescent="0.2">
      <c r="A3" s="104"/>
      <c r="B3" s="104" t="s">
        <v>107</v>
      </c>
      <c r="C3" s="105" t="s">
        <v>108</v>
      </c>
      <c r="D3" s="105" t="s">
        <v>109</v>
      </c>
      <c r="E3" s="105" t="s">
        <v>110</v>
      </c>
      <c r="F3" s="106" t="s">
        <v>111</v>
      </c>
      <c r="G3" s="107">
        <v>1.2500000000000001E-2</v>
      </c>
      <c r="H3" s="108"/>
      <c r="I3" s="105" t="s">
        <v>112</v>
      </c>
      <c r="J3" s="109"/>
    </row>
    <row r="4" spans="1:10" x14ac:dyDescent="0.2">
      <c r="A4" s="89" t="s">
        <v>113</v>
      </c>
      <c r="B4" s="110">
        <f>EurofarPriceOverview!P4</f>
        <v>0</v>
      </c>
      <c r="C4" s="102" t="e">
        <f>EurofarPriceOverview!AS4+EurofarPriceOverview!AP4</f>
        <v>#DIV/0!</v>
      </c>
      <c r="D4" s="102" t="e">
        <f>D5*(B4/B5)</f>
        <v>#DIV/0!</v>
      </c>
      <c r="E4" s="102">
        <f>EurofarPriceOverview!AV4</f>
        <v>0</v>
      </c>
      <c r="F4" s="102" t="e">
        <f>EurofarPriceOverview!BF1</f>
        <v>#DIV/0!</v>
      </c>
      <c r="G4" s="102" t="e">
        <f>+D4*G3</f>
        <v>#DIV/0!</v>
      </c>
      <c r="H4" s="102" t="e">
        <f>+B4/B7*H7</f>
        <v>#DIV/0!</v>
      </c>
      <c r="I4" s="102" t="e">
        <f>+C4-D4-E4-F4-G4-H4</f>
        <v>#DIV/0!</v>
      </c>
      <c r="J4" s="111" t="e">
        <f>+I4/C4</f>
        <v>#DIV/0!</v>
      </c>
    </row>
    <row r="5" spans="1:10" x14ac:dyDescent="0.2">
      <c r="A5" s="112" t="s">
        <v>114</v>
      </c>
      <c r="B5" s="113">
        <f>EurofarPriceOverview!P5</f>
        <v>0</v>
      </c>
      <c r="C5" s="114" t="e">
        <f>EurofarPriceOverview!AS5+EurofarPriceOverview!AP5</f>
        <v>#DIV/0!</v>
      </c>
      <c r="D5" s="114" t="e">
        <f>EurofarPriceOverview!AG5/EurofarPriceOverview!M2</f>
        <v>#DIV/0!</v>
      </c>
      <c r="E5" s="114">
        <f>EurofarPriceOverview!AV5</f>
        <v>0</v>
      </c>
      <c r="F5" s="114" t="e">
        <f>EurofarPriceOverview!BF2</f>
        <v>#DIV/0!</v>
      </c>
      <c r="G5" s="114" t="e">
        <f>+D5*G3</f>
        <v>#DIV/0!</v>
      </c>
      <c r="H5" s="114" t="e">
        <f>+B5/B7*H7</f>
        <v>#DIV/0!</v>
      </c>
      <c r="I5" s="114" t="e">
        <f>+C5-D5-E5-F5-G5-H5</f>
        <v>#DIV/0!</v>
      </c>
      <c r="J5" s="115" t="e">
        <f>+I5/C5</f>
        <v>#DIV/0!</v>
      </c>
    </row>
    <row r="6" spans="1:10" x14ac:dyDescent="0.2">
      <c r="A6" s="89"/>
      <c r="B6" s="116"/>
      <c r="C6" s="102"/>
      <c r="D6" s="102"/>
      <c r="E6" s="102"/>
      <c r="F6" s="102"/>
      <c r="G6" s="102"/>
      <c r="H6" s="102"/>
      <c r="I6" s="102"/>
      <c r="J6" s="111"/>
    </row>
    <row r="7" spans="1:10" x14ac:dyDescent="0.2">
      <c r="A7" s="11" t="s">
        <v>115</v>
      </c>
      <c r="B7" s="13">
        <f>Data5!C2</f>
        <v>0</v>
      </c>
      <c r="C7" s="117">
        <f>Data5!D2</f>
        <v>0</v>
      </c>
      <c r="D7" s="117" t="e">
        <f>+B7/B4*D4</f>
        <v>#DIV/0!</v>
      </c>
      <c r="E7" s="117" t="e">
        <f>+B7/B4*E4</f>
        <v>#DIV/0!</v>
      </c>
      <c r="F7" s="117" t="e">
        <f>F4</f>
        <v>#DIV/0!</v>
      </c>
      <c r="G7" s="117" t="e">
        <f>+B7/B4*G4</f>
        <v>#DIV/0!</v>
      </c>
      <c r="H7" s="117"/>
      <c r="I7" s="117" t="e">
        <f>+C7-D7-E7-F7-G7-H7</f>
        <v>#DIV/0!</v>
      </c>
      <c r="J7" s="37" t="e">
        <f>+I7/C7</f>
        <v>#DIV/0!</v>
      </c>
    </row>
    <row r="8" spans="1:10" x14ac:dyDescent="0.2">
      <c r="A8" s="118"/>
      <c r="B8" s="118"/>
      <c r="C8" s="119"/>
      <c r="D8" s="119"/>
      <c r="E8" s="119"/>
      <c r="F8" s="119"/>
      <c r="G8" s="119"/>
      <c r="H8" s="119"/>
      <c r="I8" s="119"/>
      <c r="J8" s="120"/>
    </row>
    <row r="9" spans="1:10" x14ac:dyDescent="0.2">
      <c r="A9" s="89" t="s">
        <v>116</v>
      </c>
      <c r="B9" s="89">
        <v>1750</v>
      </c>
      <c r="C9" s="102" t="e">
        <f>+B9/B5*C5</f>
        <v>#DIV/0!</v>
      </c>
      <c r="D9" s="102" t="e">
        <f>+B9/B5*D5</f>
        <v>#DIV/0!</v>
      </c>
      <c r="E9" s="102" t="e">
        <f>+B9/B5*E5</f>
        <v>#DIV/0!</v>
      </c>
      <c r="F9" s="102" t="e">
        <f>F4</f>
        <v>#DIV/0!</v>
      </c>
      <c r="G9" s="102" t="e">
        <f>+B9/B5*G5</f>
        <v>#DIV/0!</v>
      </c>
      <c r="H9" s="102">
        <f>+H7</f>
        <v>0</v>
      </c>
      <c r="I9" s="102" t="e">
        <f>+C9-D9-E9-F9-G9-H9</f>
        <v>#DIV/0!</v>
      </c>
      <c r="J9" s="111" t="e">
        <f>+I9/C9</f>
        <v>#DIV/0!</v>
      </c>
    </row>
    <row r="10" spans="1:10" x14ac:dyDescent="0.2">
      <c r="A10" s="89" t="s">
        <v>116</v>
      </c>
      <c r="B10" s="89">
        <v>1775</v>
      </c>
      <c r="C10" s="102" t="e">
        <f>+B10/B5*C5</f>
        <v>#DIV/0!</v>
      </c>
      <c r="D10" s="102" t="e">
        <f>+B10/B5*D5</f>
        <v>#DIV/0!</v>
      </c>
      <c r="E10" s="102" t="e">
        <f>+B10/B5*E5</f>
        <v>#DIV/0!</v>
      </c>
      <c r="F10" s="102" t="e">
        <f>F4</f>
        <v>#DIV/0!</v>
      </c>
      <c r="G10" s="102" t="e">
        <f>+B10/B5*G5</f>
        <v>#DIV/0!</v>
      </c>
      <c r="H10" s="102">
        <f>+H7</f>
        <v>0</v>
      </c>
      <c r="I10" s="102" t="e">
        <f>+C10-D10-E10-F10-G10-H10</f>
        <v>#DIV/0!</v>
      </c>
      <c r="J10" s="111" t="e">
        <f>+I10/C10</f>
        <v>#DIV/0!</v>
      </c>
    </row>
    <row r="11" spans="1:10" x14ac:dyDescent="0.2">
      <c r="A11" s="118" t="s">
        <v>116</v>
      </c>
      <c r="B11" s="118">
        <v>1800</v>
      </c>
      <c r="C11" s="119" t="e">
        <f>+B11/B5*C5</f>
        <v>#DIV/0!</v>
      </c>
      <c r="D11" s="119" t="e">
        <f>+B11/B5*D5</f>
        <v>#DIV/0!</v>
      </c>
      <c r="E11" s="119" t="e">
        <f>+B11/B5*E5</f>
        <v>#DIV/0!</v>
      </c>
      <c r="F11" s="119" t="e">
        <f>F4</f>
        <v>#DIV/0!</v>
      </c>
      <c r="G11" s="119" t="e">
        <f>+B11/B5*G5</f>
        <v>#DIV/0!</v>
      </c>
      <c r="H11" s="119">
        <f>+H7</f>
        <v>0</v>
      </c>
      <c r="I11" s="119" t="e">
        <f>+C11-D11-E11-F11-G11-H11</f>
        <v>#DIV/0!</v>
      </c>
      <c r="J11" s="120" t="e">
        <f>+I11/C11</f>
        <v>#DIV/0!</v>
      </c>
    </row>
    <row r="12" spans="1:10" x14ac:dyDescent="0.2">
      <c r="A12" s="121" t="s">
        <v>116</v>
      </c>
      <c r="B12" s="121">
        <v>1825</v>
      </c>
      <c r="C12" s="122" t="e">
        <f>+B12/B5*C5</f>
        <v>#DIV/0!</v>
      </c>
      <c r="D12" s="122" t="e">
        <f>+B12/B5*D5</f>
        <v>#DIV/0!</v>
      </c>
      <c r="E12" s="122" t="e">
        <f>+B12/B5*E5</f>
        <v>#DIV/0!</v>
      </c>
      <c r="F12" s="122" t="e">
        <f>F4</f>
        <v>#DIV/0!</v>
      </c>
      <c r="G12" s="122" t="e">
        <f>+B12/B5*G5</f>
        <v>#DIV/0!</v>
      </c>
      <c r="H12" s="122">
        <f>+H7</f>
        <v>0</v>
      </c>
      <c r="I12" s="122" t="e">
        <f t="shared" ref="I12:I16" si="0">+C12-D12-E12-F12-G12-H12</f>
        <v>#DIV/0!</v>
      </c>
      <c r="J12" s="123" t="e">
        <f t="shared" ref="J12:J75" si="1">+I12/C12</f>
        <v>#DIV/0!</v>
      </c>
    </row>
    <row r="13" spans="1:10" x14ac:dyDescent="0.2">
      <c r="A13" s="89" t="s">
        <v>116</v>
      </c>
      <c r="B13" s="89">
        <v>1850</v>
      </c>
      <c r="C13" s="102" t="e">
        <f>+B13/B5*C5</f>
        <v>#DIV/0!</v>
      </c>
      <c r="D13" s="102" t="e">
        <f>+B13/B5*D5</f>
        <v>#DIV/0!</v>
      </c>
      <c r="E13" s="102" t="e">
        <f>+B13/B5*E5</f>
        <v>#DIV/0!</v>
      </c>
      <c r="F13" s="102" t="e">
        <f>F4</f>
        <v>#DIV/0!</v>
      </c>
      <c r="G13" s="102" t="e">
        <f>+B13/B5*G5</f>
        <v>#DIV/0!</v>
      </c>
      <c r="H13" s="102">
        <f>+H7</f>
        <v>0</v>
      </c>
      <c r="I13" s="102" t="e">
        <f t="shared" si="0"/>
        <v>#DIV/0!</v>
      </c>
      <c r="J13" s="111" t="e">
        <f t="shared" si="1"/>
        <v>#DIV/0!</v>
      </c>
    </row>
    <row r="14" spans="1:10" x14ac:dyDescent="0.2">
      <c r="A14" s="89" t="s">
        <v>116</v>
      </c>
      <c r="B14" s="89">
        <v>1875</v>
      </c>
      <c r="C14" s="102" t="e">
        <f>+B14/B5*C5</f>
        <v>#DIV/0!</v>
      </c>
      <c r="D14" s="102" t="e">
        <f>+B14/B5*D5</f>
        <v>#DIV/0!</v>
      </c>
      <c r="E14" s="102" t="e">
        <f>+B14/B5*E5</f>
        <v>#DIV/0!</v>
      </c>
      <c r="F14" s="102" t="e">
        <f>F4</f>
        <v>#DIV/0!</v>
      </c>
      <c r="G14" s="102" t="e">
        <f>+B14/B5*G5</f>
        <v>#DIV/0!</v>
      </c>
      <c r="H14" s="102">
        <f>+H7</f>
        <v>0</v>
      </c>
      <c r="I14" s="102" t="e">
        <f t="shared" si="0"/>
        <v>#DIV/0!</v>
      </c>
      <c r="J14" s="111" t="e">
        <f t="shared" si="1"/>
        <v>#DIV/0!</v>
      </c>
    </row>
    <row r="15" spans="1:10" x14ac:dyDescent="0.2">
      <c r="A15" s="89" t="s">
        <v>116</v>
      </c>
      <c r="B15" s="89">
        <v>1900</v>
      </c>
      <c r="C15" s="102" t="e">
        <f>+B15/B5*C5</f>
        <v>#DIV/0!</v>
      </c>
      <c r="D15" s="102" t="e">
        <f>+B15/B5*D5</f>
        <v>#DIV/0!</v>
      </c>
      <c r="E15" s="102" t="e">
        <f>+B15/B5*E5</f>
        <v>#DIV/0!</v>
      </c>
      <c r="F15" s="102" t="e">
        <f>F$4</f>
        <v>#DIV/0!</v>
      </c>
      <c r="G15" s="102" t="e">
        <f>+B15/B5*G5</f>
        <v>#DIV/0!</v>
      </c>
      <c r="H15" s="102">
        <f>+H7</f>
        <v>0</v>
      </c>
      <c r="I15" s="102" t="e">
        <f t="shared" si="0"/>
        <v>#DIV/0!</v>
      </c>
      <c r="J15" s="111" t="e">
        <f t="shared" si="1"/>
        <v>#DIV/0!</v>
      </c>
    </row>
    <row r="16" spans="1:10" x14ac:dyDescent="0.2">
      <c r="A16" s="89" t="s">
        <v>116</v>
      </c>
      <c r="B16" s="89">
        <v>1925</v>
      </c>
      <c r="C16" s="102" t="e">
        <f>+B16/B$5*C$5</f>
        <v>#DIV/0!</v>
      </c>
      <c r="D16" s="102" t="e">
        <f>+B16/B$5*D$5</f>
        <v>#DIV/0!</v>
      </c>
      <c r="E16" s="102" t="e">
        <f>+B16/B$5*E$5</f>
        <v>#DIV/0!</v>
      </c>
      <c r="F16" s="102" t="e">
        <f t="shared" ref="F16:F79" si="2">F$4</f>
        <v>#DIV/0!</v>
      </c>
      <c r="G16" s="102" t="e">
        <f>+B16/B$5*G$5</f>
        <v>#DIV/0!</v>
      </c>
      <c r="H16" s="102">
        <f>+H$7</f>
        <v>0</v>
      </c>
      <c r="I16" s="102" t="e">
        <f t="shared" si="0"/>
        <v>#DIV/0!</v>
      </c>
      <c r="J16" s="111" t="e">
        <f t="shared" si="1"/>
        <v>#DIV/0!</v>
      </c>
    </row>
    <row r="17" spans="1:10" x14ac:dyDescent="0.2">
      <c r="A17" s="89" t="s">
        <v>116</v>
      </c>
      <c r="B17" s="89">
        <v>1950</v>
      </c>
      <c r="C17" s="102" t="e">
        <f t="shared" ref="C17:C79" si="3">+B17/B$5*C$5</f>
        <v>#DIV/0!</v>
      </c>
      <c r="D17" s="102" t="e">
        <f t="shared" ref="D17:D79" si="4">+B17/B$5*D$5</f>
        <v>#DIV/0!</v>
      </c>
      <c r="E17" s="102" t="e">
        <f t="shared" ref="E17:E79" si="5">+B17/B$5*E$5</f>
        <v>#DIV/0!</v>
      </c>
      <c r="F17" s="102" t="e">
        <f t="shared" si="2"/>
        <v>#DIV/0!</v>
      </c>
      <c r="G17" s="102" t="e">
        <f t="shared" ref="G17:G79" si="6">+B17/B$5*G$5</f>
        <v>#DIV/0!</v>
      </c>
      <c r="H17" s="102">
        <f t="shared" ref="H17:H79" si="7">+H$7</f>
        <v>0</v>
      </c>
      <c r="I17" s="102" t="e">
        <f t="shared" ref="I17:I79" si="8">+C17-D17-E17-F17-G17-H17</f>
        <v>#DIV/0!</v>
      </c>
      <c r="J17" s="111" t="e">
        <f t="shared" si="1"/>
        <v>#DIV/0!</v>
      </c>
    </row>
    <row r="18" spans="1:10" x14ac:dyDescent="0.2">
      <c r="A18" s="89" t="s">
        <v>116</v>
      </c>
      <c r="B18" s="89">
        <v>1975</v>
      </c>
      <c r="C18" s="102" t="e">
        <f t="shared" si="3"/>
        <v>#DIV/0!</v>
      </c>
      <c r="D18" s="102" t="e">
        <f t="shared" si="4"/>
        <v>#DIV/0!</v>
      </c>
      <c r="E18" s="102" t="e">
        <f t="shared" si="5"/>
        <v>#DIV/0!</v>
      </c>
      <c r="F18" s="102" t="e">
        <f t="shared" si="2"/>
        <v>#DIV/0!</v>
      </c>
      <c r="G18" s="102" t="e">
        <f t="shared" si="6"/>
        <v>#DIV/0!</v>
      </c>
      <c r="H18" s="102">
        <f t="shared" si="7"/>
        <v>0</v>
      </c>
      <c r="I18" s="102" t="e">
        <f t="shared" si="8"/>
        <v>#DIV/0!</v>
      </c>
      <c r="J18" s="111" t="e">
        <f t="shared" si="1"/>
        <v>#DIV/0!</v>
      </c>
    </row>
    <row r="19" spans="1:10" x14ac:dyDescent="0.2">
      <c r="A19" s="89" t="s">
        <v>116</v>
      </c>
      <c r="B19" s="89">
        <v>2000</v>
      </c>
      <c r="C19" s="102" t="e">
        <f t="shared" si="3"/>
        <v>#DIV/0!</v>
      </c>
      <c r="D19" s="102" t="e">
        <f t="shared" si="4"/>
        <v>#DIV/0!</v>
      </c>
      <c r="E19" s="102" t="e">
        <f t="shared" si="5"/>
        <v>#DIV/0!</v>
      </c>
      <c r="F19" s="102" t="e">
        <f t="shared" si="2"/>
        <v>#DIV/0!</v>
      </c>
      <c r="G19" s="102" t="e">
        <f t="shared" si="6"/>
        <v>#DIV/0!</v>
      </c>
      <c r="H19" s="102">
        <f t="shared" si="7"/>
        <v>0</v>
      </c>
      <c r="I19" s="102" t="e">
        <f t="shared" si="8"/>
        <v>#DIV/0!</v>
      </c>
      <c r="J19" s="111" t="e">
        <f t="shared" si="1"/>
        <v>#DIV/0!</v>
      </c>
    </row>
    <row r="20" spans="1:10" x14ac:dyDescent="0.2">
      <c r="A20" s="89" t="s">
        <v>116</v>
      </c>
      <c r="B20" s="89">
        <v>2025</v>
      </c>
      <c r="C20" s="102" t="e">
        <f t="shared" si="3"/>
        <v>#DIV/0!</v>
      </c>
      <c r="D20" s="102" t="e">
        <f t="shared" si="4"/>
        <v>#DIV/0!</v>
      </c>
      <c r="E20" s="102" t="e">
        <f t="shared" si="5"/>
        <v>#DIV/0!</v>
      </c>
      <c r="F20" s="102" t="e">
        <f t="shared" si="2"/>
        <v>#DIV/0!</v>
      </c>
      <c r="G20" s="102" t="e">
        <f t="shared" si="6"/>
        <v>#DIV/0!</v>
      </c>
      <c r="H20" s="102">
        <f t="shared" si="7"/>
        <v>0</v>
      </c>
      <c r="I20" s="102" t="e">
        <f t="shared" si="8"/>
        <v>#DIV/0!</v>
      </c>
      <c r="J20" s="111" t="e">
        <f t="shared" si="1"/>
        <v>#DIV/0!</v>
      </c>
    </row>
    <row r="21" spans="1:10" x14ac:dyDescent="0.2">
      <c r="A21" s="89" t="s">
        <v>116</v>
      </c>
      <c r="B21" s="89">
        <v>2050</v>
      </c>
      <c r="C21" s="102" t="e">
        <f t="shared" si="3"/>
        <v>#DIV/0!</v>
      </c>
      <c r="D21" s="102" t="e">
        <f t="shared" si="4"/>
        <v>#DIV/0!</v>
      </c>
      <c r="E21" s="102" t="e">
        <f t="shared" si="5"/>
        <v>#DIV/0!</v>
      </c>
      <c r="F21" s="102" t="e">
        <f t="shared" si="2"/>
        <v>#DIV/0!</v>
      </c>
      <c r="G21" s="102" t="e">
        <f t="shared" si="6"/>
        <v>#DIV/0!</v>
      </c>
      <c r="H21" s="102">
        <f t="shared" si="7"/>
        <v>0</v>
      </c>
      <c r="I21" s="102" t="e">
        <f t="shared" si="8"/>
        <v>#DIV/0!</v>
      </c>
      <c r="J21" s="111" t="e">
        <f t="shared" si="1"/>
        <v>#DIV/0!</v>
      </c>
    </row>
    <row r="22" spans="1:10" x14ac:dyDescent="0.2">
      <c r="A22" s="89" t="s">
        <v>116</v>
      </c>
      <c r="B22" s="89">
        <v>2075</v>
      </c>
      <c r="C22" s="102" t="e">
        <f t="shared" si="3"/>
        <v>#DIV/0!</v>
      </c>
      <c r="D22" s="102" t="e">
        <f t="shared" si="4"/>
        <v>#DIV/0!</v>
      </c>
      <c r="E22" s="102" t="e">
        <f t="shared" si="5"/>
        <v>#DIV/0!</v>
      </c>
      <c r="F22" s="102" t="e">
        <f t="shared" si="2"/>
        <v>#DIV/0!</v>
      </c>
      <c r="G22" s="102" t="e">
        <f t="shared" si="6"/>
        <v>#DIV/0!</v>
      </c>
      <c r="H22" s="102">
        <f t="shared" si="7"/>
        <v>0</v>
      </c>
      <c r="I22" s="102" t="e">
        <f t="shared" si="8"/>
        <v>#DIV/0!</v>
      </c>
      <c r="J22" s="111" t="e">
        <f t="shared" si="1"/>
        <v>#DIV/0!</v>
      </c>
    </row>
    <row r="23" spans="1:10" x14ac:dyDescent="0.2">
      <c r="A23" s="89" t="s">
        <v>116</v>
      </c>
      <c r="B23" s="89">
        <v>2100</v>
      </c>
      <c r="C23" s="102" t="e">
        <f t="shared" si="3"/>
        <v>#DIV/0!</v>
      </c>
      <c r="D23" s="102" t="e">
        <f t="shared" si="4"/>
        <v>#DIV/0!</v>
      </c>
      <c r="E23" s="102" t="e">
        <f t="shared" si="5"/>
        <v>#DIV/0!</v>
      </c>
      <c r="F23" s="102" t="e">
        <f t="shared" si="2"/>
        <v>#DIV/0!</v>
      </c>
      <c r="G23" s="102" t="e">
        <f t="shared" si="6"/>
        <v>#DIV/0!</v>
      </c>
      <c r="H23" s="102">
        <f t="shared" si="7"/>
        <v>0</v>
      </c>
      <c r="I23" s="102" t="e">
        <f t="shared" si="8"/>
        <v>#DIV/0!</v>
      </c>
      <c r="J23" s="111" t="e">
        <f t="shared" si="1"/>
        <v>#DIV/0!</v>
      </c>
    </row>
    <row r="24" spans="1:10" x14ac:dyDescent="0.2">
      <c r="A24" s="89" t="s">
        <v>116</v>
      </c>
      <c r="B24" s="89">
        <v>2125</v>
      </c>
      <c r="C24" s="102" t="e">
        <f t="shared" si="3"/>
        <v>#DIV/0!</v>
      </c>
      <c r="D24" s="102" t="e">
        <f t="shared" si="4"/>
        <v>#DIV/0!</v>
      </c>
      <c r="E24" s="102" t="e">
        <f t="shared" si="5"/>
        <v>#DIV/0!</v>
      </c>
      <c r="F24" s="102" t="e">
        <f t="shared" si="2"/>
        <v>#DIV/0!</v>
      </c>
      <c r="G24" s="102" t="e">
        <f t="shared" si="6"/>
        <v>#DIV/0!</v>
      </c>
      <c r="H24" s="102">
        <f t="shared" si="7"/>
        <v>0</v>
      </c>
      <c r="I24" s="102" t="e">
        <f t="shared" si="8"/>
        <v>#DIV/0!</v>
      </c>
      <c r="J24" s="111" t="e">
        <f t="shared" si="1"/>
        <v>#DIV/0!</v>
      </c>
    </row>
    <row r="25" spans="1:10" x14ac:dyDescent="0.2">
      <c r="A25" s="89" t="s">
        <v>116</v>
      </c>
      <c r="B25" s="89">
        <v>2150</v>
      </c>
      <c r="C25" s="102" t="e">
        <f t="shared" si="3"/>
        <v>#DIV/0!</v>
      </c>
      <c r="D25" s="102" t="e">
        <f t="shared" si="4"/>
        <v>#DIV/0!</v>
      </c>
      <c r="E25" s="102" t="e">
        <f t="shared" si="5"/>
        <v>#DIV/0!</v>
      </c>
      <c r="F25" s="102" t="e">
        <f t="shared" si="2"/>
        <v>#DIV/0!</v>
      </c>
      <c r="G25" s="102" t="e">
        <f t="shared" si="6"/>
        <v>#DIV/0!</v>
      </c>
      <c r="H25" s="102">
        <f t="shared" si="7"/>
        <v>0</v>
      </c>
      <c r="I25" s="102" t="e">
        <f t="shared" si="8"/>
        <v>#DIV/0!</v>
      </c>
      <c r="J25" s="111" t="e">
        <f t="shared" si="1"/>
        <v>#DIV/0!</v>
      </c>
    </row>
    <row r="26" spans="1:10" x14ac:dyDescent="0.2">
      <c r="A26" s="89" t="s">
        <v>116</v>
      </c>
      <c r="B26" s="89">
        <v>2175</v>
      </c>
      <c r="C26" s="102" t="e">
        <f t="shared" si="3"/>
        <v>#DIV/0!</v>
      </c>
      <c r="D26" s="102" t="e">
        <f t="shared" si="4"/>
        <v>#DIV/0!</v>
      </c>
      <c r="E26" s="102" t="e">
        <f t="shared" si="5"/>
        <v>#DIV/0!</v>
      </c>
      <c r="F26" s="102" t="e">
        <f t="shared" si="2"/>
        <v>#DIV/0!</v>
      </c>
      <c r="G26" s="102" t="e">
        <f t="shared" si="6"/>
        <v>#DIV/0!</v>
      </c>
      <c r="H26" s="102">
        <f t="shared" si="7"/>
        <v>0</v>
      </c>
      <c r="I26" s="102" t="e">
        <f t="shared" si="8"/>
        <v>#DIV/0!</v>
      </c>
      <c r="J26" s="111" t="e">
        <f t="shared" si="1"/>
        <v>#DIV/0!</v>
      </c>
    </row>
    <row r="27" spans="1:10" x14ac:dyDescent="0.2">
      <c r="A27" s="89" t="s">
        <v>116</v>
      </c>
      <c r="B27" s="89">
        <v>2200</v>
      </c>
      <c r="C27" s="102" t="e">
        <f t="shared" si="3"/>
        <v>#DIV/0!</v>
      </c>
      <c r="D27" s="102" t="e">
        <f t="shared" si="4"/>
        <v>#DIV/0!</v>
      </c>
      <c r="E27" s="102" t="e">
        <f t="shared" si="5"/>
        <v>#DIV/0!</v>
      </c>
      <c r="F27" s="102" t="e">
        <f t="shared" si="2"/>
        <v>#DIV/0!</v>
      </c>
      <c r="G27" s="102" t="e">
        <f t="shared" si="6"/>
        <v>#DIV/0!</v>
      </c>
      <c r="H27" s="102">
        <f t="shared" si="7"/>
        <v>0</v>
      </c>
      <c r="I27" s="102" t="e">
        <f t="shared" si="8"/>
        <v>#DIV/0!</v>
      </c>
      <c r="J27" s="111" t="e">
        <f t="shared" si="1"/>
        <v>#DIV/0!</v>
      </c>
    </row>
    <row r="28" spans="1:10" x14ac:dyDescent="0.2">
      <c r="A28" s="89" t="s">
        <v>116</v>
      </c>
      <c r="B28" s="89">
        <v>2225</v>
      </c>
      <c r="C28" s="102" t="e">
        <f t="shared" si="3"/>
        <v>#DIV/0!</v>
      </c>
      <c r="D28" s="102" t="e">
        <f t="shared" si="4"/>
        <v>#DIV/0!</v>
      </c>
      <c r="E28" s="102" t="e">
        <f t="shared" si="5"/>
        <v>#DIV/0!</v>
      </c>
      <c r="F28" s="102" t="e">
        <f t="shared" si="2"/>
        <v>#DIV/0!</v>
      </c>
      <c r="G28" s="102" t="e">
        <f t="shared" si="6"/>
        <v>#DIV/0!</v>
      </c>
      <c r="H28" s="102">
        <f t="shared" si="7"/>
        <v>0</v>
      </c>
      <c r="I28" s="102" t="e">
        <f t="shared" si="8"/>
        <v>#DIV/0!</v>
      </c>
      <c r="J28" s="111" t="e">
        <f t="shared" si="1"/>
        <v>#DIV/0!</v>
      </c>
    </row>
    <row r="29" spans="1:10" x14ac:dyDescent="0.2">
      <c r="A29" s="89" t="s">
        <v>116</v>
      </c>
      <c r="B29" s="89">
        <v>2250</v>
      </c>
      <c r="C29" s="102" t="e">
        <f t="shared" si="3"/>
        <v>#DIV/0!</v>
      </c>
      <c r="D29" s="102" t="e">
        <f t="shared" si="4"/>
        <v>#DIV/0!</v>
      </c>
      <c r="E29" s="102" t="e">
        <f t="shared" si="5"/>
        <v>#DIV/0!</v>
      </c>
      <c r="F29" s="102" t="e">
        <f t="shared" si="2"/>
        <v>#DIV/0!</v>
      </c>
      <c r="G29" s="102" t="e">
        <f t="shared" si="6"/>
        <v>#DIV/0!</v>
      </c>
      <c r="H29" s="102">
        <f t="shared" si="7"/>
        <v>0</v>
      </c>
      <c r="I29" s="102" t="e">
        <f t="shared" si="8"/>
        <v>#DIV/0!</v>
      </c>
      <c r="J29" s="111" t="e">
        <f t="shared" si="1"/>
        <v>#DIV/0!</v>
      </c>
    </row>
    <row r="30" spans="1:10" x14ac:dyDescent="0.2">
      <c r="A30" s="89" t="s">
        <v>116</v>
      </c>
      <c r="B30" s="89">
        <v>2275</v>
      </c>
      <c r="C30" s="102" t="e">
        <f t="shared" si="3"/>
        <v>#DIV/0!</v>
      </c>
      <c r="D30" s="102" t="e">
        <f t="shared" si="4"/>
        <v>#DIV/0!</v>
      </c>
      <c r="E30" s="102" t="e">
        <f t="shared" si="5"/>
        <v>#DIV/0!</v>
      </c>
      <c r="F30" s="102" t="e">
        <f t="shared" si="2"/>
        <v>#DIV/0!</v>
      </c>
      <c r="G30" s="102" t="e">
        <f t="shared" si="6"/>
        <v>#DIV/0!</v>
      </c>
      <c r="H30" s="102">
        <f t="shared" si="7"/>
        <v>0</v>
      </c>
      <c r="I30" s="102" t="e">
        <f t="shared" si="8"/>
        <v>#DIV/0!</v>
      </c>
      <c r="J30" s="111" t="e">
        <f t="shared" si="1"/>
        <v>#DIV/0!</v>
      </c>
    </row>
    <row r="31" spans="1:10" x14ac:dyDescent="0.2">
      <c r="A31" s="89" t="s">
        <v>116</v>
      </c>
      <c r="B31" s="89">
        <v>2300</v>
      </c>
      <c r="C31" s="102" t="e">
        <f t="shared" si="3"/>
        <v>#DIV/0!</v>
      </c>
      <c r="D31" s="102" t="e">
        <f t="shared" si="4"/>
        <v>#DIV/0!</v>
      </c>
      <c r="E31" s="102" t="e">
        <f t="shared" si="5"/>
        <v>#DIV/0!</v>
      </c>
      <c r="F31" s="102" t="e">
        <f t="shared" si="2"/>
        <v>#DIV/0!</v>
      </c>
      <c r="G31" s="102" t="e">
        <f t="shared" si="6"/>
        <v>#DIV/0!</v>
      </c>
      <c r="H31" s="102">
        <f t="shared" si="7"/>
        <v>0</v>
      </c>
      <c r="I31" s="102" t="e">
        <f t="shared" si="8"/>
        <v>#DIV/0!</v>
      </c>
      <c r="J31" s="111" t="e">
        <f t="shared" si="1"/>
        <v>#DIV/0!</v>
      </c>
    </row>
    <row r="32" spans="1:10" x14ac:dyDescent="0.2">
      <c r="A32" s="89" t="s">
        <v>116</v>
      </c>
      <c r="B32" s="89">
        <v>2325</v>
      </c>
      <c r="C32" s="102" t="e">
        <f t="shared" si="3"/>
        <v>#DIV/0!</v>
      </c>
      <c r="D32" s="102" t="e">
        <f t="shared" si="4"/>
        <v>#DIV/0!</v>
      </c>
      <c r="E32" s="102" t="e">
        <f t="shared" si="5"/>
        <v>#DIV/0!</v>
      </c>
      <c r="F32" s="102" t="e">
        <f t="shared" si="2"/>
        <v>#DIV/0!</v>
      </c>
      <c r="G32" s="102" t="e">
        <f t="shared" si="6"/>
        <v>#DIV/0!</v>
      </c>
      <c r="H32" s="102">
        <f t="shared" si="7"/>
        <v>0</v>
      </c>
      <c r="I32" s="102" t="e">
        <f t="shared" si="8"/>
        <v>#DIV/0!</v>
      </c>
      <c r="J32" s="111" t="e">
        <f t="shared" si="1"/>
        <v>#DIV/0!</v>
      </c>
    </row>
    <row r="33" spans="1:10" x14ac:dyDescent="0.2">
      <c r="A33" s="89" t="s">
        <v>116</v>
      </c>
      <c r="B33" s="89">
        <v>2350</v>
      </c>
      <c r="C33" s="102" t="e">
        <f t="shared" si="3"/>
        <v>#DIV/0!</v>
      </c>
      <c r="D33" s="102" t="e">
        <f t="shared" si="4"/>
        <v>#DIV/0!</v>
      </c>
      <c r="E33" s="102" t="e">
        <f t="shared" si="5"/>
        <v>#DIV/0!</v>
      </c>
      <c r="F33" s="102" t="e">
        <f t="shared" si="2"/>
        <v>#DIV/0!</v>
      </c>
      <c r="G33" s="102" t="e">
        <f t="shared" si="6"/>
        <v>#DIV/0!</v>
      </c>
      <c r="H33" s="102">
        <f t="shared" si="7"/>
        <v>0</v>
      </c>
      <c r="I33" s="102" t="e">
        <f t="shared" si="8"/>
        <v>#DIV/0!</v>
      </c>
      <c r="J33" s="111" t="e">
        <f t="shared" si="1"/>
        <v>#DIV/0!</v>
      </c>
    </row>
    <row r="34" spans="1:10" x14ac:dyDescent="0.2">
      <c r="A34" s="89" t="s">
        <v>116</v>
      </c>
      <c r="B34" s="89">
        <v>2375</v>
      </c>
      <c r="C34" s="102" t="e">
        <f t="shared" si="3"/>
        <v>#DIV/0!</v>
      </c>
      <c r="D34" s="102" t="e">
        <f t="shared" si="4"/>
        <v>#DIV/0!</v>
      </c>
      <c r="E34" s="102" t="e">
        <f t="shared" si="5"/>
        <v>#DIV/0!</v>
      </c>
      <c r="F34" s="102" t="e">
        <f t="shared" si="2"/>
        <v>#DIV/0!</v>
      </c>
      <c r="G34" s="102" t="e">
        <f t="shared" si="6"/>
        <v>#DIV/0!</v>
      </c>
      <c r="H34" s="102">
        <f t="shared" si="7"/>
        <v>0</v>
      </c>
      <c r="I34" s="102" t="e">
        <f t="shared" si="8"/>
        <v>#DIV/0!</v>
      </c>
      <c r="J34" s="111" t="e">
        <f t="shared" si="1"/>
        <v>#DIV/0!</v>
      </c>
    </row>
    <row r="35" spans="1:10" x14ac:dyDescent="0.2">
      <c r="A35" s="89" t="s">
        <v>116</v>
      </c>
      <c r="B35" s="89">
        <v>2400</v>
      </c>
      <c r="C35" s="102" t="e">
        <f t="shared" si="3"/>
        <v>#DIV/0!</v>
      </c>
      <c r="D35" s="102" t="e">
        <f t="shared" si="4"/>
        <v>#DIV/0!</v>
      </c>
      <c r="E35" s="102" t="e">
        <f t="shared" si="5"/>
        <v>#DIV/0!</v>
      </c>
      <c r="F35" s="102" t="e">
        <f t="shared" si="2"/>
        <v>#DIV/0!</v>
      </c>
      <c r="G35" s="102" t="e">
        <f t="shared" si="6"/>
        <v>#DIV/0!</v>
      </c>
      <c r="H35" s="102">
        <f t="shared" si="7"/>
        <v>0</v>
      </c>
      <c r="I35" s="102" t="e">
        <f t="shared" si="8"/>
        <v>#DIV/0!</v>
      </c>
      <c r="J35" s="111" t="e">
        <f t="shared" si="1"/>
        <v>#DIV/0!</v>
      </c>
    </row>
    <row r="36" spans="1:10" x14ac:dyDescent="0.2">
      <c r="A36" s="89" t="s">
        <v>116</v>
      </c>
      <c r="B36" s="89">
        <v>2425</v>
      </c>
      <c r="C36" s="102" t="e">
        <f t="shared" si="3"/>
        <v>#DIV/0!</v>
      </c>
      <c r="D36" s="102" t="e">
        <f t="shared" si="4"/>
        <v>#DIV/0!</v>
      </c>
      <c r="E36" s="102" t="e">
        <f t="shared" si="5"/>
        <v>#DIV/0!</v>
      </c>
      <c r="F36" s="102" t="e">
        <f t="shared" si="2"/>
        <v>#DIV/0!</v>
      </c>
      <c r="G36" s="102" t="e">
        <f t="shared" si="6"/>
        <v>#DIV/0!</v>
      </c>
      <c r="H36" s="102">
        <f t="shared" si="7"/>
        <v>0</v>
      </c>
      <c r="I36" s="102" t="e">
        <f t="shared" si="8"/>
        <v>#DIV/0!</v>
      </c>
      <c r="J36" s="111" t="e">
        <f t="shared" si="1"/>
        <v>#DIV/0!</v>
      </c>
    </row>
    <row r="37" spans="1:10" x14ac:dyDescent="0.2">
      <c r="A37" s="89" t="s">
        <v>116</v>
      </c>
      <c r="B37" s="89">
        <v>2450</v>
      </c>
      <c r="C37" s="102" t="e">
        <f t="shared" si="3"/>
        <v>#DIV/0!</v>
      </c>
      <c r="D37" s="102" t="e">
        <f t="shared" si="4"/>
        <v>#DIV/0!</v>
      </c>
      <c r="E37" s="102" t="e">
        <f t="shared" si="5"/>
        <v>#DIV/0!</v>
      </c>
      <c r="F37" s="102" t="e">
        <f t="shared" si="2"/>
        <v>#DIV/0!</v>
      </c>
      <c r="G37" s="102" t="e">
        <f t="shared" si="6"/>
        <v>#DIV/0!</v>
      </c>
      <c r="H37" s="102">
        <f t="shared" si="7"/>
        <v>0</v>
      </c>
      <c r="I37" s="102" t="e">
        <f t="shared" si="8"/>
        <v>#DIV/0!</v>
      </c>
      <c r="J37" s="111" t="e">
        <f t="shared" si="1"/>
        <v>#DIV/0!</v>
      </c>
    </row>
    <row r="38" spans="1:10" x14ac:dyDescent="0.2">
      <c r="A38" s="89" t="s">
        <v>116</v>
      </c>
      <c r="B38" s="89">
        <v>2475</v>
      </c>
      <c r="C38" s="102" t="e">
        <f t="shared" si="3"/>
        <v>#DIV/0!</v>
      </c>
      <c r="D38" s="102" t="e">
        <f t="shared" si="4"/>
        <v>#DIV/0!</v>
      </c>
      <c r="E38" s="102" t="e">
        <f t="shared" si="5"/>
        <v>#DIV/0!</v>
      </c>
      <c r="F38" s="102" t="e">
        <f t="shared" si="2"/>
        <v>#DIV/0!</v>
      </c>
      <c r="G38" s="102" t="e">
        <f t="shared" si="6"/>
        <v>#DIV/0!</v>
      </c>
      <c r="H38" s="102">
        <f t="shared" si="7"/>
        <v>0</v>
      </c>
      <c r="I38" s="102" t="e">
        <f t="shared" si="8"/>
        <v>#DIV/0!</v>
      </c>
      <c r="J38" s="111" t="e">
        <f t="shared" si="1"/>
        <v>#DIV/0!</v>
      </c>
    </row>
    <row r="39" spans="1:10" x14ac:dyDescent="0.2">
      <c r="A39" s="89" t="s">
        <v>116</v>
      </c>
      <c r="B39" s="89">
        <v>2500</v>
      </c>
      <c r="C39" s="102" t="e">
        <f t="shared" si="3"/>
        <v>#DIV/0!</v>
      </c>
      <c r="D39" s="102" t="e">
        <f t="shared" si="4"/>
        <v>#DIV/0!</v>
      </c>
      <c r="E39" s="102" t="e">
        <f t="shared" si="5"/>
        <v>#DIV/0!</v>
      </c>
      <c r="F39" s="102" t="e">
        <f t="shared" si="2"/>
        <v>#DIV/0!</v>
      </c>
      <c r="G39" s="102" t="e">
        <f t="shared" si="6"/>
        <v>#DIV/0!</v>
      </c>
      <c r="H39" s="102">
        <f t="shared" si="7"/>
        <v>0</v>
      </c>
      <c r="I39" s="102" t="e">
        <f t="shared" si="8"/>
        <v>#DIV/0!</v>
      </c>
      <c r="J39" s="111" t="e">
        <f t="shared" si="1"/>
        <v>#DIV/0!</v>
      </c>
    </row>
    <row r="40" spans="1:10" x14ac:dyDescent="0.2">
      <c r="A40" s="89" t="s">
        <v>116</v>
      </c>
      <c r="B40" s="89">
        <v>2525</v>
      </c>
      <c r="C40" s="102" t="e">
        <f t="shared" si="3"/>
        <v>#DIV/0!</v>
      </c>
      <c r="D40" s="102" t="e">
        <f t="shared" si="4"/>
        <v>#DIV/0!</v>
      </c>
      <c r="E40" s="102" t="e">
        <f t="shared" si="5"/>
        <v>#DIV/0!</v>
      </c>
      <c r="F40" s="102" t="e">
        <f t="shared" si="2"/>
        <v>#DIV/0!</v>
      </c>
      <c r="G40" s="102" t="e">
        <f t="shared" si="6"/>
        <v>#DIV/0!</v>
      </c>
      <c r="H40" s="102">
        <f t="shared" si="7"/>
        <v>0</v>
      </c>
      <c r="I40" s="102" t="e">
        <f t="shared" si="8"/>
        <v>#DIV/0!</v>
      </c>
      <c r="J40" s="111" t="e">
        <f t="shared" si="1"/>
        <v>#DIV/0!</v>
      </c>
    </row>
    <row r="41" spans="1:10" x14ac:dyDescent="0.2">
      <c r="A41" s="89" t="s">
        <v>116</v>
      </c>
      <c r="B41" s="89">
        <v>2550</v>
      </c>
      <c r="C41" s="102" t="e">
        <f t="shared" si="3"/>
        <v>#DIV/0!</v>
      </c>
      <c r="D41" s="102" t="e">
        <f t="shared" si="4"/>
        <v>#DIV/0!</v>
      </c>
      <c r="E41" s="102" t="e">
        <f t="shared" si="5"/>
        <v>#DIV/0!</v>
      </c>
      <c r="F41" s="102" t="e">
        <f t="shared" si="2"/>
        <v>#DIV/0!</v>
      </c>
      <c r="G41" s="102" t="e">
        <f t="shared" si="6"/>
        <v>#DIV/0!</v>
      </c>
      <c r="H41" s="102">
        <f t="shared" si="7"/>
        <v>0</v>
      </c>
      <c r="I41" s="102" t="e">
        <f t="shared" si="8"/>
        <v>#DIV/0!</v>
      </c>
      <c r="J41" s="111" t="e">
        <f t="shared" si="1"/>
        <v>#DIV/0!</v>
      </c>
    </row>
    <row r="42" spans="1:10" x14ac:dyDescent="0.2">
      <c r="A42" s="89" t="s">
        <v>116</v>
      </c>
      <c r="B42" s="89">
        <v>2575</v>
      </c>
      <c r="C42" s="102" t="e">
        <f t="shared" si="3"/>
        <v>#DIV/0!</v>
      </c>
      <c r="D42" s="102" t="e">
        <f t="shared" si="4"/>
        <v>#DIV/0!</v>
      </c>
      <c r="E42" s="102" t="e">
        <f t="shared" si="5"/>
        <v>#DIV/0!</v>
      </c>
      <c r="F42" s="102" t="e">
        <f t="shared" si="2"/>
        <v>#DIV/0!</v>
      </c>
      <c r="G42" s="102" t="e">
        <f t="shared" si="6"/>
        <v>#DIV/0!</v>
      </c>
      <c r="H42" s="102">
        <f t="shared" si="7"/>
        <v>0</v>
      </c>
      <c r="I42" s="102" t="e">
        <f t="shared" si="8"/>
        <v>#DIV/0!</v>
      </c>
      <c r="J42" s="111" t="e">
        <f t="shared" si="1"/>
        <v>#DIV/0!</v>
      </c>
    </row>
    <row r="43" spans="1:10" x14ac:dyDescent="0.2">
      <c r="A43" s="89" t="s">
        <v>116</v>
      </c>
      <c r="B43" s="89">
        <v>2600</v>
      </c>
      <c r="C43" s="102" t="e">
        <f t="shared" si="3"/>
        <v>#DIV/0!</v>
      </c>
      <c r="D43" s="102" t="e">
        <f t="shared" si="4"/>
        <v>#DIV/0!</v>
      </c>
      <c r="E43" s="102" t="e">
        <f t="shared" si="5"/>
        <v>#DIV/0!</v>
      </c>
      <c r="F43" s="102" t="e">
        <f t="shared" si="2"/>
        <v>#DIV/0!</v>
      </c>
      <c r="G43" s="102" t="e">
        <f t="shared" si="6"/>
        <v>#DIV/0!</v>
      </c>
      <c r="H43" s="102">
        <f t="shared" si="7"/>
        <v>0</v>
      </c>
      <c r="I43" s="102" t="e">
        <f t="shared" si="8"/>
        <v>#DIV/0!</v>
      </c>
      <c r="J43" s="111" t="e">
        <f t="shared" si="1"/>
        <v>#DIV/0!</v>
      </c>
    </row>
    <row r="44" spans="1:10" x14ac:dyDescent="0.2">
      <c r="A44" s="89" t="s">
        <v>116</v>
      </c>
      <c r="B44" s="89">
        <v>2625</v>
      </c>
      <c r="C44" s="102" t="e">
        <f t="shared" si="3"/>
        <v>#DIV/0!</v>
      </c>
      <c r="D44" s="102" t="e">
        <f t="shared" si="4"/>
        <v>#DIV/0!</v>
      </c>
      <c r="E44" s="102" t="e">
        <f t="shared" si="5"/>
        <v>#DIV/0!</v>
      </c>
      <c r="F44" s="102" t="e">
        <f t="shared" si="2"/>
        <v>#DIV/0!</v>
      </c>
      <c r="G44" s="102" t="e">
        <f t="shared" si="6"/>
        <v>#DIV/0!</v>
      </c>
      <c r="H44" s="102">
        <f t="shared" si="7"/>
        <v>0</v>
      </c>
      <c r="I44" s="102" t="e">
        <f t="shared" si="8"/>
        <v>#DIV/0!</v>
      </c>
      <c r="J44" s="111" t="e">
        <f t="shared" si="1"/>
        <v>#DIV/0!</v>
      </c>
    </row>
    <row r="45" spans="1:10" x14ac:dyDescent="0.2">
      <c r="A45" s="89" t="s">
        <v>116</v>
      </c>
      <c r="B45" s="89">
        <v>2650</v>
      </c>
      <c r="C45" s="102" t="e">
        <f t="shared" si="3"/>
        <v>#DIV/0!</v>
      </c>
      <c r="D45" s="102" t="e">
        <f t="shared" si="4"/>
        <v>#DIV/0!</v>
      </c>
      <c r="E45" s="102" t="e">
        <f t="shared" si="5"/>
        <v>#DIV/0!</v>
      </c>
      <c r="F45" s="102" t="e">
        <f t="shared" si="2"/>
        <v>#DIV/0!</v>
      </c>
      <c r="G45" s="102" t="e">
        <f t="shared" si="6"/>
        <v>#DIV/0!</v>
      </c>
      <c r="H45" s="102">
        <f t="shared" si="7"/>
        <v>0</v>
      </c>
      <c r="I45" s="102" t="e">
        <f t="shared" si="8"/>
        <v>#DIV/0!</v>
      </c>
      <c r="J45" s="111" t="e">
        <f t="shared" si="1"/>
        <v>#DIV/0!</v>
      </c>
    </row>
    <row r="46" spans="1:10" x14ac:dyDescent="0.2">
      <c r="A46" s="89" t="s">
        <v>116</v>
      </c>
      <c r="B46" s="89">
        <v>2675</v>
      </c>
      <c r="C46" s="102" t="e">
        <f t="shared" si="3"/>
        <v>#DIV/0!</v>
      </c>
      <c r="D46" s="102" t="e">
        <f t="shared" si="4"/>
        <v>#DIV/0!</v>
      </c>
      <c r="E46" s="102" t="e">
        <f t="shared" si="5"/>
        <v>#DIV/0!</v>
      </c>
      <c r="F46" s="102" t="e">
        <f t="shared" si="2"/>
        <v>#DIV/0!</v>
      </c>
      <c r="G46" s="102" t="e">
        <f t="shared" si="6"/>
        <v>#DIV/0!</v>
      </c>
      <c r="H46" s="102">
        <f t="shared" si="7"/>
        <v>0</v>
      </c>
      <c r="I46" s="102" t="e">
        <f t="shared" si="8"/>
        <v>#DIV/0!</v>
      </c>
      <c r="J46" s="111" t="e">
        <f t="shared" si="1"/>
        <v>#DIV/0!</v>
      </c>
    </row>
    <row r="47" spans="1:10" x14ac:dyDescent="0.2">
      <c r="A47" s="89" t="s">
        <v>116</v>
      </c>
      <c r="B47" s="89">
        <v>2700</v>
      </c>
      <c r="C47" s="102" t="e">
        <f t="shared" si="3"/>
        <v>#DIV/0!</v>
      </c>
      <c r="D47" s="102" t="e">
        <f t="shared" si="4"/>
        <v>#DIV/0!</v>
      </c>
      <c r="E47" s="102" t="e">
        <f t="shared" si="5"/>
        <v>#DIV/0!</v>
      </c>
      <c r="F47" s="102" t="e">
        <f t="shared" si="2"/>
        <v>#DIV/0!</v>
      </c>
      <c r="G47" s="102" t="e">
        <f t="shared" si="6"/>
        <v>#DIV/0!</v>
      </c>
      <c r="H47" s="102">
        <f t="shared" si="7"/>
        <v>0</v>
      </c>
      <c r="I47" s="102" t="e">
        <f t="shared" si="8"/>
        <v>#DIV/0!</v>
      </c>
      <c r="J47" s="111" t="e">
        <f t="shared" si="1"/>
        <v>#DIV/0!</v>
      </c>
    </row>
    <row r="48" spans="1:10" x14ac:dyDescent="0.2">
      <c r="A48" s="89" t="s">
        <v>116</v>
      </c>
      <c r="B48" s="89">
        <v>2725</v>
      </c>
      <c r="C48" s="102" t="e">
        <f t="shared" si="3"/>
        <v>#DIV/0!</v>
      </c>
      <c r="D48" s="102" t="e">
        <f t="shared" si="4"/>
        <v>#DIV/0!</v>
      </c>
      <c r="E48" s="102" t="e">
        <f t="shared" si="5"/>
        <v>#DIV/0!</v>
      </c>
      <c r="F48" s="102" t="e">
        <f t="shared" si="2"/>
        <v>#DIV/0!</v>
      </c>
      <c r="G48" s="102" t="e">
        <f t="shared" si="6"/>
        <v>#DIV/0!</v>
      </c>
      <c r="H48" s="102">
        <f t="shared" si="7"/>
        <v>0</v>
      </c>
      <c r="I48" s="102" t="e">
        <f t="shared" si="8"/>
        <v>#DIV/0!</v>
      </c>
      <c r="J48" s="111" t="e">
        <f t="shared" si="1"/>
        <v>#DIV/0!</v>
      </c>
    </row>
    <row r="49" spans="1:10" x14ac:dyDescent="0.2">
      <c r="A49" s="89" t="s">
        <v>116</v>
      </c>
      <c r="B49" s="89">
        <v>2750</v>
      </c>
      <c r="C49" s="102" t="e">
        <f t="shared" si="3"/>
        <v>#DIV/0!</v>
      </c>
      <c r="D49" s="102" t="e">
        <f t="shared" si="4"/>
        <v>#DIV/0!</v>
      </c>
      <c r="E49" s="102" t="e">
        <f t="shared" si="5"/>
        <v>#DIV/0!</v>
      </c>
      <c r="F49" s="102" t="e">
        <f t="shared" si="2"/>
        <v>#DIV/0!</v>
      </c>
      <c r="G49" s="102" t="e">
        <f t="shared" si="6"/>
        <v>#DIV/0!</v>
      </c>
      <c r="H49" s="102">
        <f t="shared" si="7"/>
        <v>0</v>
      </c>
      <c r="I49" s="102" t="e">
        <f t="shared" si="8"/>
        <v>#DIV/0!</v>
      </c>
      <c r="J49" s="111" t="e">
        <f t="shared" si="1"/>
        <v>#DIV/0!</v>
      </c>
    </row>
    <row r="50" spans="1:10" x14ac:dyDescent="0.2">
      <c r="A50" s="89" t="s">
        <v>116</v>
      </c>
      <c r="B50" s="89">
        <v>2775</v>
      </c>
      <c r="C50" s="102" t="e">
        <f t="shared" si="3"/>
        <v>#DIV/0!</v>
      </c>
      <c r="D50" s="102" t="e">
        <f t="shared" si="4"/>
        <v>#DIV/0!</v>
      </c>
      <c r="E50" s="102" t="e">
        <f t="shared" si="5"/>
        <v>#DIV/0!</v>
      </c>
      <c r="F50" s="102" t="e">
        <f t="shared" si="2"/>
        <v>#DIV/0!</v>
      </c>
      <c r="G50" s="102" t="e">
        <f t="shared" si="6"/>
        <v>#DIV/0!</v>
      </c>
      <c r="H50" s="102">
        <f t="shared" si="7"/>
        <v>0</v>
      </c>
      <c r="I50" s="102" t="e">
        <f t="shared" si="8"/>
        <v>#DIV/0!</v>
      </c>
      <c r="J50" s="111" t="e">
        <f t="shared" si="1"/>
        <v>#DIV/0!</v>
      </c>
    </row>
    <row r="51" spans="1:10" x14ac:dyDescent="0.2">
      <c r="A51" s="89" t="s">
        <v>116</v>
      </c>
      <c r="B51" s="89">
        <v>2800</v>
      </c>
      <c r="C51" s="102" t="e">
        <f t="shared" si="3"/>
        <v>#DIV/0!</v>
      </c>
      <c r="D51" s="102" t="e">
        <f t="shared" si="4"/>
        <v>#DIV/0!</v>
      </c>
      <c r="E51" s="102" t="e">
        <f t="shared" si="5"/>
        <v>#DIV/0!</v>
      </c>
      <c r="F51" s="102" t="e">
        <f t="shared" si="2"/>
        <v>#DIV/0!</v>
      </c>
      <c r="G51" s="102" t="e">
        <f t="shared" si="6"/>
        <v>#DIV/0!</v>
      </c>
      <c r="H51" s="102">
        <f t="shared" si="7"/>
        <v>0</v>
      </c>
      <c r="I51" s="102" t="e">
        <f t="shared" si="8"/>
        <v>#DIV/0!</v>
      </c>
      <c r="J51" s="111" t="e">
        <f t="shared" si="1"/>
        <v>#DIV/0!</v>
      </c>
    </row>
    <row r="52" spans="1:10" x14ac:dyDescent="0.2">
      <c r="A52" s="89" t="s">
        <v>116</v>
      </c>
      <c r="B52" s="89">
        <v>2825</v>
      </c>
      <c r="C52" s="102" t="e">
        <f t="shared" si="3"/>
        <v>#DIV/0!</v>
      </c>
      <c r="D52" s="102" t="e">
        <f t="shared" si="4"/>
        <v>#DIV/0!</v>
      </c>
      <c r="E52" s="102" t="e">
        <f t="shared" si="5"/>
        <v>#DIV/0!</v>
      </c>
      <c r="F52" s="102" t="e">
        <f t="shared" si="2"/>
        <v>#DIV/0!</v>
      </c>
      <c r="G52" s="102" t="e">
        <f t="shared" si="6"/>
        <v>#DIV/0!</v>
      </c>
      <c r="H52" s="102">
        <f t="shared" si="7"/>
        <v>0</v>
      </c>
      <c r="I52" s="102" t="e">
        <f t="shared" si="8"/>
        <v>#DIV/0!</v>
      </c>
      <c r="J52" s="111" t="e">
        <f t="shared" si="1"/>
        <v>#DIV/0!</v>
      </c>
    </row>
    <row r="53" spans="1:10" x14ac:dyDescent="0.2">
      <c r="A53" s="89" t="s">
        <v>116</v>
      </c>
      <c r="B53" s="89">
        <v>2850</v>
      </c>
      <c r="C53" s="102" t="e">
        <f t="shared" si="3"/>
        <v>#DIV/0!</v>
      </c>
      <c r="D53" s="102" t="e">
        <f t="shared" si="4"/>
        <v>#DIV/0!</v>
      </c>
      <c r="E53" s="102" t="e">
        <f t="shared" si="5"/>
        <v>#DIV/0!</v>
      </c>
      <c r="F53" s="102" t="e">
        <f t="shared" si="2"/>
        <v>#DIV/0!</v>
      </c>
      <c r="G53" s="102" t="e">
        <f t="shared" si="6"/>
        <v>#DIV/0!</v>
      </c>
      <c r="H53" s="102">
        <f t="shared" si="7"/>
        <v>0</v>
      </c>
      <c r="I53" s="102" t="e">
        <f t="shared" si="8"/>
        <v>#DIV/0!</v>
      </c>
      <c r="J53" s="111" t="e">
        <f t="shared" si="1"/>
        <v>#DIV/0!</v>
      </c>
    </row>
    <row r="54" spans="1:10" x14ac:dyDescent="0.2">
      <c r="A54" s="89" t="s">
        <v>116</v>
      </c>
      <c r="B54" s="89">
        <v>2875</v>
      </c>
      <c r="C54" s="102" t="e">
        <f t="shared" si="3"/>
        <v>#DIV/0!</v>
      </c>
      <c r="D54" s="102" t="e">
        <f t="shared" si="4"/>
        <v>#DIV/0!</v>
      </c>
      <c r="E54" s="102" t="e">
        <f t="shared" si="5"/>
        <v>#DIV/0!</v>
      </c>
      <c r="F54" s="102" t="e">
        <f t="shared" si="2"/>
        <v>#DIV/0!</v>
      </c>
      <c r="G54" s="102" t="e">
        <f t="shared" si="6"/>
        <v>#DIV/0!</v>
      </c>
      <c r="H54" s="102">
        <f t="shared" si="7"/>
        <v>0</v>
      </c>
      <c r="I54" s="102" t="e">
        <f t="shared" si="8"/>
        <v>#DIV/0!</v>
      </c>
      <c r="J54" s="111" t="e">
        <f t="shared" si="1"/>
        <v>#DIV/0!</v>
      </c>
    </row>
    <row r="55" spans="1:10" x14ac:dyDescent="0.2">
      <c r="A55" s="89" t="s">
        <v>116</v>
      </c>
      <c r="B55" s="89">
        <v>2900</v>
      </c>
      <c r="C55" s="102" t="e">
        <f t="shared" si="3"/>
        <v>#DIV/0!</v>
      </c>
      <c r="D55" s="102" t="e">
        <f t="shared" si="4"/>
        <v>#DIV/0!</v>
      </c>
      <c r="E55" s="102" t="e">
        <f t="shared" si="5"/>
        <v>#DIV/0!</v>
      </c>
      <c r="F55" s="102" t="e">
        <f t="shared" si="2"/>
        <v>#DIV/0!</v>
      </c>
      <c r="G55" s="102" t="e">
        <f t="shared" si="6"/>
        <v>#DIV/0!</v>
      </c>
      <c r="H55" s="102">
        <f t="shared" si="7"/>
        <v>0</v>
      </c>
      <c r="I55" s="102" t="e">
        <f t="shared" si="8"/>
        <v>#DIV/0!</v>
      </c>
      <c r="J55" s="111" t="e">
        <f t="shared" si="1"/>
        <v>#DIV/0!</v>
      </c>
    </row>
    <row r="56" spans="1:10" x14ac:dyDescent="0.2">
      <c r="A56" s="89" t="s">
        <v>116</v>
      </c>
      <c r="B56" s="89">
        <v>2925</v>
      </c>
      <c r="C56" s="102" t="e">
        <f t="shared" si="3"/>
        <v>#DIV/0!</v>
      </c>
      <c r="D56" s="102" t="e">
        <f t="shared" si="4"/>
        <v>#DIV/0!</v>
      </c>
      <c r="E56" s="102" t="e">
        <f t="shared" si="5"/>
        <v>#DIV/0!</v>
      </c>
      <c r="F56" s="102" t="e">
        <f t="shared" si="2"/>
        <v>#DIV/0!</v>
      </c>
      <c r="G56" s="102" t="e">
        <f t="shared" si="6"/>
        <v>#DIV/0!</v>
      </c>
      <c r="H56" s="102">
        <f t="shared" si="7"/>
        <v>0</v>
      </c>
      <c r="I56" s="102" t="e">
        <f t="shared" si="8"/>
        <v>#DIV/0!</v>
      </c>
      <c r="J56" s="111" t="e">
        <f t="shared" si="1"/>
        <v>#DIV/0!</v>
      </c>
    </row>
    <row r="57" spans="1:10" x14ac:dyDescent="0.2">
      <c r="A57" s="89" t="s">
        <v>116</v>
      </c>
      <c r="B57" s="89">
        <v>2950</v>
      </c>
      <c r="C57" s="102" t="e">
        <f t="shared" si="3"/>
        <v>#DIV/0!</v>
      </c>
      <c r="D57" s="102" t="e">
        <f t="shared" si="4"/>
        <v>#DIV/0!</v>
      </c>
      <c r="E57" s="102" t="e">
        <f t="shared" si="5"/>
        <v>#DIV/0!</v>
      </c>
      <c r="F57" s="102" t="e">
        <f t="shared" si="2"/>
        <v>#DIV/0!</v>
      </c>
      <c r="G57" s="102" t="e">
        <f t="shared" si="6"/>
        <v>#DIV/0!</v>
      </c>
      <c r="H57" s="102">
        <f t="shared" si="7"/>
        <v>0</v>
      </c>
      <c r="I57" s="102" t="e">
        <f t="shared" si="8"/>
        <v>#DIV/0!</v>
      </c>
      <c r="J57" s="111" t="e">
        <f t="shared" si="1"/>
        <v>#DIV/0!</v>
      </c>
    </row>
    <row r="58" spans="1:10" x14ac:dyDescent="0.2">
      <c r="A58" s="89" t="s">
        <v>116</v>
      </c>
      <c r="B58" s="89">
        <v>2975</v>
      </c>
      <c r="C58" s="102" t="e">
        <f t="shared" si="3"/>
        <v>#DIV/0!</v>
      </c>
      <c r="D58" s="102" t="e">
        <f t="shared" si="4"/>
        <v>#DIV/0!</v>
      </c>
      <c r="E58" s="102" t="e">
        <f t="shared" si="5"/>
        <v>#DIV/0!</v>
      </c>
      <c r="F58" s="102" t="e">
        <f t="shared" si="2"/>
        <v>#DIV/0!</v>
      </c>
      <c r="G58" s="102" t="e">
        <f t="shared" si="6"/>
        <v>#DIV/0!</v>
      </c>
      <c r="H58" s="102">
        <f t="shared" si="7"/>
        <v>0</v>
      </c>
      <c r="I58" s="102" t="e">
        <f t="shared" si="8"/>
        <v>#DIV/0!</v>
      </c>
      <c r="J58" s="111" t="e">
        <f t="shared" si="1"/>
        <v>#DIV/0!</v>
      </c>
    </row>
    <row r="59" spans="1:10" x14ac:dyDescent="0.2">
      <c r="A59" s="89" t="s">
        <v>116</v>
      </c>
      <c r="B59" s="89">
        <v>3000</v>
      </c>
      <c r="C59" s="102" t="e">
        <f t="shared" si="3"/>
        <v>#DIV/0!</v>
      </c>
      <c r="D59" s="102" t="e">
        <f t="shared" si="4"/>
        <v>#DIV/0!</v>
      </c>
      <c r="E59" s="102" t="e">
        <f t="shared" si="5"/>
        <v>#DIV/0!</v>
      </c>
      <c r="F59" s="102" t="e">
        <f t="shared" si="2"/>
        <v>#DIV/0!</v>
      </c>
      <c r="G59" s="102" t="e">
        <f t="shared" si="6"/>
        <v>#DIV/0!</v>
      </c>
      <c r="H59" s="102">
        <f t="shared" si="7"/>
        <v>0</v>
      </c>
      <c r="I59" s="102" t="e">
        <f t="shared" si="8"/>
        <v>#DIV/0!</v>
      </c>
      <c r="J59" s="111" t="e">
        <f t="shared" si="1"/>
        <v>#DIV/0!</v>
      </c>
    </row>
    <row r="60" spans="1:10" x14ac:dyDescent="0.2">
      <c r="A60" s="89" t="s">
        <v>116</v>
      </c>
      <c r="B60" s="89">
        <v>3025</v>
      </c>
      <c r="C60" s="102" t="e">
        <f t="shared" si="3"/>
        <v>#DIV/0!</v>
      </c>
      <c r="D60" s="102" t="e">
        <f t="shared" si="4"/>
        <v>#DIV/0!</v>
      </c>
      <c r="E60" s="102" t="e">
        <f t="shared" si="5"/>
        <v>#DIV/0!</v>
      </c>
      <c r="F60" s="102" t="e">
        <f t="shared" si="2"/>
        <v>#DIV/0!</v>
      </c>
      <c r="G60" s="102" t="e">
        <f t="shared" si="6"/>
        <v>#DIV/0!</v>
      </c>
      <c r="H60" s="102">
        <f t="shared" si="7"/>
        <v>0</v>
      </c>
      <c r="I60" s="102" t="e">
        <f t="shared" si="8"/>
        <v>#DIV/0!</v>
      </c>
      <c r="J60" s="111" t="e">
        <f t="shared" si="1"/>
        <v>#DIV/0!</v>
      </c>
    </row>
    <row r="61" spans="1:10" x14ac:dyDescent="0.2">
      <c r="A61" s="89" t="s">
        <v>116</v>
      </c>
      <c r="B61" s="89">
        <v>3050</v>
      </c>
      <c r="C61" s="102" t="e">
        <f t="shared" si="3"/>
        <v>#DIV/0!</v>
      </c>
      <c r="D61" s="102" t="e">
        <f t="shared" si="4"/>
        <v>#DIV/0!</v>
      </c>
      <c r="E61" s="102" t="e">
        <f t="shared" si="5"/>
        <v>#DIV/0!</v>
      </c>
      <c r="F61" s="102" t="e">
        <f t="shared" si="2"/>
        <v>#DIV/0!</v>
      </c>
      <c r="G61" s="102" t="e">
        <f t="shared" si="6"/>
        <v>#DIV/0!</v>
      </c>
      <c r="H61" s="102">
        <f t="shared" si="7"/>
        <v>0</v>
      </c>
      <c r="I61" s="102" t="e">
        <f t="shared" si="8"/>
        <v>#DIV/0!</v>
      </c>
      <c r="J61" s="111" t="e">
        <f t="shared" si="1"/>
        <v>#DIV/0!</v>
      </c>
    </row>
    <row r="62" spans="1:10" x14ac:dyDescent="0.2">
      <c r="A62" s="89" t="s">
        <v>116</v>
      </c>
      <c r="B62" s="89">
        <v>3075</v>
      </c>
      <c r="C62" s="102" t="e">
        <f t="shared" si="3"/>
        <v>#DIV/0!</v>
      </c>
      <c r="D62" s="102" t="e">
        <f t="shared" si="4"/>
        <v>#DIV/0!</v>
      </c>
      <c r="E62" s="102" t="e">
        <f t="shared" si="5"/>
        <v>#DIV/0!</v>
      </c>
      <c r="F62" s="102" t="e">
        <f t="shared" si="2"/>
        <v>#DIV/0!</v>
      </c>
      <c r="G62" s="102" t="e">
        <f t="shared" si="6"/>
        <v>#DIV/0!</v>
      </c>
      <c r="H62" s="102">
        <f t="shared" si="7"/>
        <v>0</v>
      </c>
      <c r="I62" s="102" t="e">
        <f t="shared" si="8"/>
        <v>#DIV/0!</v>
      </c>
      <c r="J62" s="111" t="e">
        <f t="shared" si="1"/>
        <v>#DIV/0!</v>
      </c>
    </row>
    <row r="63" spans="1:10" x14ac:dyDescent="0.2">
      <c r="A63" s="89" t="s">
        <v>116</v>
      </c>
      <c r="B63" s="89">
        <v>3100</v>
      </c>
      <c r="C63" s="102" t="e">
        <f t="shared" si="3"/>
        <v>#DIV/0!</v>
      </c>
      <c r="D63" s="102" t="e">
        <f t="shared" si="4"/>
        <v>#DIV/0!</v>
      </c>
      <c r="E63" s="102" t="e">
        <f t="shared" si="5"/>
        <v>#DIV/0!</v>
      </c>
      <c r="F63" s="102" t="e">
        <f t="shared" si="2"/>
        <v>#DIV/0!</v>
      </c>
      <c r="G63" s="102" t="e">
        <f t="shared" si="6"/>
        <v>#DIV/0!</v>
      </c>
      <c r="H63" s="102">
        <f t="shared" si="7"/>
        <v>0</v>
      </c>
      <c r="I63" s="102" t="e">
        <f t="shared" si="8"/>
        <v>#DIV/0!</v>
      </c>
      <c r="J63" s="111" t="e">
        <f t="shared" si="1"/>
        <v>#DIV/0!</v>
      </c>
    </row>
    <row r="64" spans="1:10" x14ac:dyDescent="0.2">
      <c r="A64" s="89" t="s">
        <v>116</v>
      </c>
      <c r="B64" s="89">
        <v>3125</v>
      </c>
      <c r="C64" s="102" t="e">
        <f t="shared" si="3"/>
        <v>#DIV/0!</v>
      </c>
      <c r="D64" s="102" t="e">
        <f t="shared" si="4"/>
        <v>#DIV/0!</v>
      </c>
      <c r="E64" s="102" t="e">
        <f t="shared" si="5"/>
        <v>#DIV/0!</v>
      </c>
      <c r="F64" s="102" t="e">
        <f t="shared" si="2"/>
        <v>#DIV/0!</v>
      </c>
      <c r="G64" s="102" t="e">
        <f t="shared" si="6"/>
        <v>#DIV/0!</v>
      </c>
      <c r="H64" s="102">
        <f t="shared" si="7"/>
        <v>0</v>
      </c>
      <c r="I64" s="102" t="e">
        <f t="shared" si="8"/>
        <v>#DIV/0!</v>
      </c>
      <c r="J64" s="111" t="e">
        <f t="shared" si="1"/>
        <v>#DIV/0!</v>
      </c>
    </row>
    <row r="65" spans="1:10" x14ac:dyDescent="0.2">
      <c r="A65" s="89" t="s">
        <v>116</v>
      </c>
      <c r="B65" s="89">
        <v>3150</v>
      </c>
      <c r="C65" s="102" t="e">
        <f t="shared" si="3"/>
        <v>#DIV/0!</v>
      </c>
      <c r="D65" s="102" t="e">
        <f t="shared" si="4"/>
        <v>#DIV/0!</v>
      </c>
      <c r="E65" s="102" t="e">
        <f t="shared" si="5"/>
        <v>#DIV/0!</v>
      </c>
      <c r="F65" s="102" t="e">
        <f t="shared" si="2"/>
        <v>#DIV/0!</v>
      </c>
      <c r="G65" s="102" t="e">
        <f t="shared" si="6"/>
        <v>#DIV/0!</v>
      </c>
      <c r="H65" s="102">
        <f t="shared" si="7"/>
        <v>0</v>
      </c>
      <c r="I65" s="102" t="e">
        <f t="shared" si="8"/>
        <v>#DIV/0!</v>
      </c>
      <c r="J65" s="111" t="e">
        <f t="shared" si="1"/>
        <v>#DIV/0!</v>
      </c>
    </row>
    <row r="66" spans="1:10" x14ac:dyDescent="0.2">
      <c r="A66" s="89" t="s">
        <v>116</v>
      </c>
      <c r="B66" s="89">
        <v>3175</v>
      </c>
      <c r="C66" s="102" t="e">
        <f t="shared" si="3"/>
        <v>#DIV/0!</v>
      </c>
      <c r="D66" s="102" t="e">
        <f t="shared" si="4"/>
        <v>#DIV/0!</v>
      </c>
      <c r="E66" s="102" t="e">
        <f t="shared" si="5"/>
        <v>#DIV/0!</v>
      </c>
      <c r="F66" s="102" t="e">
        <f t="shared" si="2"/>
        <v>#DIV/0!</v>
      </c>
      <c r="G66" s="102" t="e">
        <f t="shared" si="6"/>
        <v>#DIV/0!</v>
      </c>
      <c r="H66" s="102">
        <f t="shared" si="7"/>
        <v>0</v>
      </c>
      <c r="I66" s="102" t="e">
        <f t="shared" si="8"/>
        <v>#DIV/0!</v>
      </c>
      <c r="J66" s="111" t="e">
        <f t="shared" si="1"/>
        <v>#DIV/0!</v>
      </c>
    </row>
    <row r="67" spans="1:10" x14ac:dyDescent="0.2">
      <c r="A67" s="89" t="s">
        <v>116</v>
      </c>
      <c r="B67" s="89">
        <v>3200</v>
      </c>
      <c r="C67" s="102" t="e">
        <f t="shared" si="3"/>
        <v>#DIV/0!</v>
      </c>
      <c r="D67" s="102" t="e">
        <f t="shared" si="4"/>
        <v>#DIV/0!</v>
      </c>
      <c r="E67" s="102" t="e">
        <f t="shared" si="5"/>
        <v>#DIV/0!</v>
      </c>
      <c r="F67" s="102" t="e">
        <f t="shared" si="2"/>
        <v>#DIV/0!</v>
      </c>
      <c r="G67" s="102" t="e">
        <f t="shared" si="6"/>
        <v>#DIV/0!</v>
      </c>
      <c r="H67" s="102">
        <f t="shared" si="7"/>
        <v>0</v>
      </c>
      <c r="I67" s="102" t="e">
        <f t="shared" si="8"/>
        <v>#DIV/0!</v>
      </c>
      <c r="J67" s="111" t="e">
        <f t="shared" si="1"/>
        <v>#DIV/0!</v>
      </c>
    </row>
    <row r="68" spans="1:10" x14ac:dyDescent="0.2">
      <c r="A68" s="89" t="s">
        <v>116</v>
      </c>
      <c r="B68" s="89">
        <v>3225</v>
      </c>
      <c r="C68" s="102" t="e">
        <f t="shared" si="3"/>
        <v>#DIV/0!</v>
      </c>
      <c r="D68" s="102" t="e">
        <f t="shared" si="4"/>
        <v>#DIV/0!</v>
      </c>
      <c r="E68" s="102" t="e">
        <f t="shared" si="5"/>
        <v>#DIV/0!</v>
      </c>
      <c r="F68" s="102" t="e">
        <f t="shared" si="2"/>
        <v>#DIV/0!</v>
      </c>
      <c r="G68" s="102" t="e">
        <f t="shared" si="6"/>
        <v>#DIV/0!</v>
      </c>
      <c r="H68" s="102">
        <f t="shared" si="7"/>
        <v>0</v>
      </c>
      <c r="I68" s="102" t="e">
        <f t="shared" si="8"/>
        <v>#DIV/0!</v>
      </c>
      <c r="J68" s="111" t="e">
        <f t="shared" si="1"/>
        <v>#DIV/0!</v>
      </c>
    </row>
    <row r="69" spans="1:10" x14ac:dyDescent="0.2">
      <c r="A69" s="89" t="s">
        <v>116</v>
      </c>
      <c r="B69" s="89">
        <v>3250</v>
      </c>
      <c r="C69" s="102" t="e">
        <f t="shared" si="3"/>
        <v>#DIV/0!</v>
      </c>
      <c r="D69" s="102" t="e">
        <f t="shared" si="4"/>
        <v>#DIV/0!</v>
      </c>
      <c r="E69" s="102" t="e">
        <f t="shared" si="5"/>
        <v>#DIV/0!</v>
      </c>
      <c r="F69" s="102" t="e">
        <f t="shared" si="2"/>
        <v>#DIV/0!</v>
      </c>
      <c r="G69" s="102" t="e">
        <f t="shared" si="6"/>
        <v>#DIV/0!</v>
      </c>
      <c r="H69" s="102">
        <f t="shared" si="7"/>
        <v>0</v>
      </c>
      <c r="I69" s="102" t="e">
        <f t="shared" si="8"/>
        <v>#DIV/0!</v>
      </c>
      <c r="J69" s="111" t="e">
        <f t="shared" si="1"/>
        <v>#DIV/0!</v>
      </c>
    </row>
    <row r="70" spans="1:10" x14ac:dyDescent="0.2">
      <c r="A70" s="89" t="s">
        <v>116</v>
      </c>
      <c r="B70" s="89">
        <v>3275</v>
      </c>
      <c r="C70" s="102" t="e">
        <f t="shared" si="3"/>
        <v>#DIV/0!</v>
      </c>
      <c r="D70" s="102" t="e">
        <f t="shared" si="4"/>
        <v>#DIV/0!</v>
      </c>
      <c r="E70" s="102" t="e">
        <f t="shared" si="5"/>
        <v>#DIV/0!</v>
      </c>
      <c r="F70" s="102" t="e">
        <f t="shared" si="2"/>
        <v>#DIV/0!</v>
      </c>
      <c r="G70" s="102" t="e">
        <f t="shared" si="6"/>
        <v>#DIV/0!</v>
      </c>
      <c r="H70" s="102">
        <f t="shared" si="7"/>
        <v>0</v>
      </c>
      <c r="I70" s="102" t="e">
        <f t="shared" si="8"/>
        <v>#DIV/0!</v>
      </c>
      <c r="J70" s="111" t="e">
        <f t="shared" si="1"/>
        <v>#DIV/0!</v>
      </c>
    </row>
    <row r="71" spans="1:10" x14ac:dyDescent="0.2">
      <c r="A71" s="89" t="s">
        <v>116</v>
      </c>
      <c r="B71" s="89">
        <v>3300</v>
      </c>
      <c r="C71" s="102" t="e">
        <f t="shared" si="3"/>
        <v>#DIV/0!</v>
      </c>
      <c r="D71" s="102" t="e">
        <f t="shared" si="4"/>
        <v>#DIV/0!</v>
      </c>
      <c r="E71" s="102" t="e">
        <f t="shared" si="5"/>
        <v>#DIV/0!</v>
      </c>
      <c r="F71" s="102" t="e">
        <f t="shared" si="2"/>
        <v>#DIV/0!</v>
      </c>
      <c r="G71" s="102" t="e">
        <f t="shared" si="6"/>
        <v>#DIV/0!</v>
      </c>
      <c r="H71" s="102">
        <f t="shared" si="7"/>
        <v>0</v>
      </c>
      <c r="I71" s="102" t="e">
        <f t="shared" si="8"/>
        <v>#DIV/0!</v>
      </c>
      <c r="J71" s="111" t="e">
        <f t="shared" si="1"/>
        <v>#DIV/0!</v>
      </c>
    </row>
    <row r="72" spans="1:10" x14ac:dyDescent="0.2">
      <c r="A72" s="89" t="s">
        <v>116</v>
      </c>
      <c r="B72" s="89">
        <v>3325</v>
      </c>
      <c r="C72" s="102" t="e">
        <f t="shared" si="3"/>
        <v>#DIV/0!</v>
      </c>
      <c r="D72" s="102" t="e">
        <f t="shared" si="4"/>
        <v>#DIV/0!</v>
      </c>
      <c r="E72" s="102" t="e">
        <f t="shared" si="5"/>
        <v>#DIV/0!</v>
      </c>
      <c r="F72" s="102" t="e">
        <f t="shared" si="2"/>
        <v>#DIV/0!</v>
      </c>
      <c r="G72" s="102" t="e">
        <f t="shared" si="6"/>
        <v>#DIV/0!</v>
      </c>
      <c r="H72" s="102">
        <f t="shared" si="7"/>
        <v>0</v>
      </c>
      <c r="I72" s="102" t="e">
        <f t="shared" si="8"/>
        <v>#DIV/0!</v>
      </c>
      <c r="J72" s="111" t="e">
        <f t="shared" si="1"/>
        <v>#DIV/0!</v>
      </c>
    </row>
    <row r="73" spans="1:10" x14ac:dyDescent="0.2">
      <c r="A73" s="89" t="s">
        <v>116</v>
      </c>
      <c r="B73" s="89">
        <v>3350</v>
      </c>
      <c r="C73" s="102" t="e">
        <f t="shared" si="3"/>
        <v>#DIV/0!</v>
      </c>
      <c r="D73" s="102" t="e">
        <f t="shared" si="4"/>
        <v>#DIV/0!</v>
      </c>
      <c r="E73" s="102" t="e">
        <f t="shared" si="5"/>
        <v>#DIV/0!</v>
      </c>
      <c r="F73" s="102" t="e">
        <f t="shared" si="2"/>
        <v>#DIV/0!</v>
      </c>
      <c r="G73" s="102" t="e">
        <f t="shared" si="6"/>
        <v>#DIV/0!</v>
      </c>
      <c r="H73" s="102">
        <f t="shared" si="7"/>
        <v>0</v>
      </c>
      <c r="I73" s="102" t="e">
        <f t="shared" si="8"/>
        <v>#DIV/0!</v>
      </c>
      <c r="J73" s="111" t="e">
        <f t="shared" si="1"/>
        <v>#DIV/0!</v>
      </c>
    </row>
    <row r="74" spans="1:10" x14ac:dyDescent="0.2">
      <c r="A74" s="89" t="s">
        <v>116</v>
      </c>
      <c r="B74" s="89">
        <v>3375</v>
      </c>
      <c r="C74" s="102" t="e">
        <f t="shared" si="3"/>
        <v>#DIV/0!</v>
      </c>
      <c r="D74" s="102" t="e">
        <f t="shared" si="4"/>
        <v>#DIV/0!</v>
      </c>
      <c r="E74" s="102" t="e">
        <f t="shared" si="5"/>
        <v>#DIV/0!</v>
      </c>
      <c r="F74" s="102" t="e">
        <f t="shared" si="2"/>
        <v>#DIV/0!</v>
      </c>
      <c r="G74" s="102" t="e">
        <f t="shared" si="6"/>
        <v>#DIV/0!</v>
      </c>
      <c r="H74" s="102">
        <f t="shared" si="7"/>
        <v>0</v>
      </c>
      <c r="I74" s="102" t="e">
        <f t="shared" si="8"/>
        <v>#DIV/0!</v>
      </c>
      <c r="J74" s="111" t="e">
        <f t="shared" si="1"/>
        <v>#DIV/0!</v>
      </c>
    </row>
    <row r="75" spans="1:10" x14ac:dyDescent="0.2">
      <c r="A75" s="89" t="s">
        <v>116</v>
      </c>
      <c r="B75" s="89">
        <v>3400</v>
      </c>
      <c r="C75" s="102" t="e">
        <f t="shared" si="3"/>
        <v>#DIV/0!</v>
      </c>
      <c r="D75" s="102" t="e">
        <f t="shared" si="4"/>
        <v>#DIV/0!</v>
      </c>
      <c r="E75" s="102" t="e">
        <f t="shared" si="5"/>
        <v>#DIV/0!</v>
      </c>
      <c r="F75" s="102" t="e">
        <f t="shared" si="2"/>
        <v>#DIV/0!</v>
      </c>
      <c r="G75" s="102" t="e">
        <f t="shared" si="6"/>
        <v>#DIV/0!</v>
      </c>
      <c r="H75" s="102">
        <f t="shared" si="7"/>
        <v>0</v>
      </c>
      <c r="I75" s="102" t="e">
        <f t="shared" si="8"/>
        <v>#DIV/0!</v>
      </c>
      <c r="J75" s="111" t="e">
        <f t="shared" si="1"/>
        <v>#DIV/0!</v>
      </c>
    </row>
    <row r="76" spans="1:10" x14ac:dyDescent="0.2">
      <c r="A76" s="89" t="s">
        <v>116</v>
      </c>
      <c r="B76" s="89">
        <v>3425</v>
      </c>
      <c r="C76" s="102" t="e">
        <f t="shared" si="3"/>
        <v>#DIV/0!</v>
      </c>
      <c r="D76" s="102" t="e">
        <f t="shared" si="4"/>
        <v>#DIV/0!</v>
      </c>
      <c r="E76" s="102" t="e">
        <f t="shared" si="5"/>
        <v>#DIV/0!</v>
      </c>
      <c r="F76" s="102" t="e">
        <f t="shared" si="2"/>
        <v>#DIV/0!</v>
      </c>
      <c r="G76" s="102" t="e">
        <f t="shared" si="6"/>
        <v>#DIV/0!</v>
      </c>
      <c r="H76" s="102">
        <f t="shared" si="7"/>
        <v>0</v>
      </c>
      <c r="I76" s="102" t="e">
        <f t="shared" si="8"/>
        <v>#DIV/0!</v>
      </c>
      <c r="J76" s="111" t="e">
        <f t="shared" ref="J76:J79" si="9">+I76/C76</f>
        <v>#DIV/0!</v>
      </c>
    </row>
    <row r="77" spans="1:10" x14ac:dyDescent="0.2">
      <c r="A77" s="89" t="s">
        <v>116</v>
      </c>
      <c r="B77" s="89">
        <v>3450</v>
      </c>
      <c r="C77" s="102" t="e">
        <f t="shared" si="3"/>
        <v>#DIV/0!</v>
      </c>
      <c r="D77" s="102" t="e">
        <f t="shared" si="4"/>
        <v>#DIV/0!</v>
      </c>
      <c r="E77" s="102" t="e">
        <f t="shared" si="5"/>
        <v>#DIV/0!</v>
      </c>
      <c r="F77" s="102" t="e">
        <f t="shared" si="2"/>
        <v>#DIV/0!</v>
      </c>
      <c r="G77" s="102" t="e">
        <f t="shared" si="6"/>
        <v>#DIV/0!</v>
      </c>
      <c r="H77" s="102">
        <f t="shared" si="7"/>
        <v>0</v>
      </c>
      <c r="I77" s="102" t="e">
        <f t="shared" si="8"/>
        <v>#DIV/0!</v>
      </c>
      <c r="J77" s="111" t="e">
        <f t="shared" si="9"/>
        <v>#DIV/0!</v>
      </c>
    </row>
    <row r="78" spans="1:10" x14ac:dyDescent="0.2">
      <c r="A78" s="89" t="s">
        <v>116</v>
      </c>
      <c r="B78" s="89">
        <v>3475</v>
      </c>
      <c r="C78" s="102" t="e">
        <f t="shared" si="3"/>
        <v>#DIV/0!</v>
      </c>
      <c r="D78" s="102" t="e">
        <f t="shared" si="4"/>
        <v>#DIV/0!</v>
      </c>
      <c r="E78" s="102" t="e">
        <f t="shared" si="5"/>
        <v>#DIV/0!</v>
      </c>
      <c r="F78" s="102" t="e">
        <f t="shared" si="2"/>
        <v>#DIV/0!</v>
      </c>
      <c r="G78" s="102" t="e">
        <f t="shared" si="6"/>
        <v>#DIV/0!</v>
      </c>
      <c r="H78" s="102">
        <f t="shared" si="7"/>
        <v>0</v>
      </c>
      <c r="I78" s="102" t="e">
        <f t="shared" si="8"/>
        <v>#DIV/0!</v>
      </c>
      <c r="J78" s="111" t="e">
        <f t="shared" si="9"/>
        <v>#DIV/0!</v>
      </c>
    </row>
    <row r="79" spans="1:10" x14ac:dyDescent="0.2">
      <c r="A79" s="89" t="s">
        <v>116</v>
      </c>
      <c r="B79" s="89">
        <v>3500</v>
      </c>
      <c r="C79" s="102" t="e">
        <f t="shared" si="3"/>
        <v>#DIV/0!</v>
      </c>
      <c r="D79" s="102" t="e">
        <f t="shared" si="4"/>
        <v>#DIV/0!</v>
      </c>
      <c r="E79" s="102" t="e">
        <f t="shared" si="5"/>
        <v>#DIV/0!</v>
      </c>
      <c r="F79" s="102" t="e">
        <f t="shared" si="2"/>
        <v>#DIV/0!</v>
      </c>
      <c r="G79" s="102" t="e">
        <f t="shared" si="6"/>
        <v>#DIV/0!</v>
      </c>
      <c r="H79" s="102">
        <f t="shared" si="7"/>
        <v>0</v>
      </c>
      <c r="I79" s="102" t="e">
        <f t="shared" si="8"/>
        <v>#DIV/0!</v>
      </c>
      <c r="J79" s="111" t="e">
        <f t="shared" si="9"/>
        <v>#DIV/0!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"/>
  <sheetViews>
    <sheetView topLeftCell="N1" zoomScale="80" zoomScaleNormal="80" workbookViewId="0">
      <selection activeCell="W2" sqref="W2"/>
    </sheetView>
  </sheetViews>
  <sheetFormatPr defaultColWidth="9.109375" defaultRowHeight="11.4" x14ac:dyDescent="0.2"/>
  <cols>
    <col min="1" max="1" width="5.88671875" style="71" customWidth="1"/>
    <col min="2" max="2" width="32" style="71" bestFit="1" customWidth="1"/>
    <col min="3" max="5" width="11.33203125" style="71" customWidth="1"/>
    <col min="6" max="6" width="17.88671875" style="71" customWidth="1"/>
    <col min="7" max="9" width="9.88671875" style="71" customWidth="1"/>
    <col min="10" max="10" width="10" style="71" bestFit="1" customWidth="1"/>
    <col min="11" max="11" width="8.5546875" style="71" bestFit="1" customWidth="1"/>
    <col min="12" max="12" width="15.44140625" style="71" bestFit="1" customWidth="1"/>
    <col min="13" max="13" width="14.109375" style="71" bestFit="1" customWidth="1"/>
    <col min="14" max="14" width="14.33203125" style="71" bestFit="1" customWidth="1"/>
    <col min="15" max="15" width="14.44140625" style="71" bestFit="1" customWidth="1"/>
    <col min="16" max="16" width="11.5546875" style="71" bestFit="1" customWidth="1"/>
    <col min="17" max="17" width="14.109375" style="71" bestFit="1" customWidth="1"/>
    <col min="18" max="18" width="9.33203125" style="71" bestFit="1" customWidth="1"/>
    <col min="19" max="19" width="11.88671875" style="71" bestFit="1" customWidth="1"/>
    <col min="20" max="20" width="13.33203125" style="71" bestFit="1" customWidth="1"/>
    <col min="21" max="23" width="13.33203125" style="71" customWidth="1"/>
    <col min="24" max="24" width="14.109375" style="71" customWidth="1"/>
    <col min="25" max="25" width="14" style="71" customWidth="1"/>
    <col min="26" max="26" width="13.5546875" style="71" bestFit="1" customWidth="1"/>
    <col min="27" max="27" width="11" style="71" bestFit="1" customWidth="1"/>
    <col min="28" max="28" width="9" style="71" bestFit="1" customWidth="1"/>
    <col min="29" max="29" width="8.109375" style="71" bestFit="1" customWidth="1"/>
    <col min="30" max="31" width="8.88671875" style="71" bestFit="1" customWidth="1"/>
    <col min="32" max="32" width="10" style="71" bestFit="1" customWidth="1"/>
    <col min="33" max="38" width="9.109375" style="71" customWidth="1"/>
    <col min="39" max="16384" width="9.109375" style="71"/>
  </cols>
  <sheetData>
    <row r="1" spans="1:32" ht="77.25" customHeight="1" x14ac:dyDescent="0.2">
      <c r="A1" s="124" t="s">
        <v>0</v>
      </c>
      <c r="B1" s="47" t="s">
        <v>31</v>
      </c>
      <c r="C1" s="47" t="s">
        <v>34</v>
      </c>
      <c r="D1" s="47" t="s">
        <v>35</v>
      </c>
      <c r="E1" s="47" t="s">
        <v>36</v>
      </c>
      <c r="F1" s="47" t="s">
        <v>87</v>
      </c>
      <c r="G1" s="47" t="s">
        <v>88</v>
      </c>
      <c r="H1" s="47" t="s">
        <v>89</v>
      </c>
      <c r="I1" s="47" t="s">
        <v>90</v>
      </c>
      <c r="J1" s="47" t="s">
        <v>42</v>
      </c>
      <c r="K1" s="47" t="s">
        <v>91</v>
      </c>
      <c r="L1" s="47" t="s">
        <v>92</v>
      </c>
      <c r="M1" s="47" t="s">
        <v>93</v>
      </c>
      <c r="N1" s="47" t="s">
        <v>70</v>
      </c>
      <c r="O1" s="47" t="s">
        <v>94</v>
      </c>
      <c r="P1" s="47" t="s">
        <v>144</v>
      </c>
      <c r="Q1" s="48" t="s">
        <v>95</v>
      </c>
      <c r="R1" s="47" t="s">
        <v>96</v>
      </c>
      <c r="S1" s="47" t="s">
        <v>97</v>
      </c>
      <c r="T1" s="49" t="s">
        <v>98</v>
      </c>
      <c r="U1" s="49" t="s">
        <v>84</v>
      </c>
      <c r="V1" s="49" t="s">
        <v>85</v>
      </c>
      <c r="W1" s="47" t="s">
        <v>195</v>
      </c>
      <c r="X1" s="47" t="s">
        <v>147</v>
      </c>
      <c r="Y1" s="47" t="s">
        <v>145</v>
      </c>
      <c r="Z1" s="7" t="s">
        <v>150</v>
      </c>
      <c r="AA1" s="7" t="s">
        <v>149</v>
      </c>
      <c r="AB1" s="50" t="s">
        <v>99</v>
      </c>
      <c r="AC1" s="51" t="s">
        <v>100</v>
      </c>
      <c r="AD1" s="50" t="s">
        <v>101</v>
      </c>
      <c r="AE1" s="38" t="s">
        <v>102</v>
      </c>
      <c r="AF1" s="38" t="s">
        <v>103</v>
      </c>
    </row>
    <row r="2" spans="1:32" x14ac:dyDescent="0.2">
      <c r="A2" s="11"/>
      <c r="B2" s="11"/>
      <c r="C2" s="11"/>
      <c r="D2" s="11"/>
      <c r="E2" s="11"/>
      <c r="F2" s="11" t="s">
        <v>15</v>
      </c>
      <c r="G2" s="13">
        <f>SUM(G4:G5000)</f>
        <v>0</v>
      </c>
      <c r="H2" s="13">
        <f>SUM(H4:H5000)</f>
        <v>0</v>
      </c>
      <c r="I2" s="13">
        <f>SUM(I4:I5000)</f>
        <v>0</v>
      </c>
      <c r="J2" s="13">
        <f>SUM(J4:J5000)</f>
        <v>0</v>
      </c>
      <c r="K2" s="13">
        <f t="shared" ref="K2:Q2" si="0">SUM(K4:K5000)</f>
        <v>0</v>
      </c>
      <c r="L2" s="44">
        <f t="shared" si="0"/>
        <v>0</v>
      </c>
      <c r="M2" s="18">
        <f t="shared" si="0"/>
        <v>0</v>
      </c>
      <c r="N2" s="44">
        <f t="shared" si="0"/>
        <v>0</v>
      </c>
      <c r="O2" s="18" t="e">
        <f t="shared" si="0"/>
        <v>#DIV/0!</v>
      </c>
      <c r="P2" s="18">
        <f t="shared" si="0"/>
        <v>0</v>
      </c>
      <c r="Q2" s="44">
        <f t="shared" si="0"/>
        <v>0</v>
      </c>
      <c r="R2" s="37" t="e">
        <f>S2/Q2</f>
        <v>#DIV/0!</v>
      </c>
      <c r="S2" s="44">
        <f>SUM(S4:S5000)</f>
        <v>0</v>
      </c>
      <c r="T2" s="44">
        <f>SUM(T4:T5000)</f>
        <v>0</v>
      </c>
      <c r="U2" s="44">
        <f t="shared" ref="U2:V2" si="1">SUM(U4:U5000)</f>
        <v>0</v>
      </c>
      <c r="V2" s="44">
        <f t="shared" si="1"/>
        <v>0</v>
      </c>
      <c r="W2" s="44">
        <f>SUM(W4:W5000)</f>
        <v>0</v>
      </c>
      <c r="X2" s="44">
        <f>SUM(X4:X5000)</f>
        <v>0</v>
      </c>
      <c r="Y2" s="44">
        <f>SUM(Y4:Y5000)</f>
        <v>0</v>
      </c>
      <c r="Z2" s="44">
        <f>SUM(Z4:Z5000)</f>
        <v>0</v>
      </c>
      <c r="AA2" s="37" t="e">
        <f>Z2/L2</f>
        <v>#DIV/0!</v>
      </c>
      <c r="AB2" s="13">
        <f>SUM(AB4:AB5000)</f>
        <v>0</v>
      </c>
      <c r="AC2" s="13">
        <f>SUM(AC4:AC5000)</f>
        <v>0</v>
      </c>
      <c r="AD2" s="37" t="e">
        <f>+AC2/AB2</f>
        <v>#DIV/0!</v>
      </c>
      <c r="AE2" s="13">
        <f>SUM(AE4:AE5000)</f>
        <v>0</v>
      </c>
      <c r="AF2" s="37" t="e">
        <f>AE2/AB2</f>
        <v>#DIV/0!</v>
      </c>
    </row>
    <row r="3" spans="1:32" x14ac:dyDescent="0.2">
      <c r="A3" s="125"/>
      <c r="B3" s="42"/>
      <c r="C3" s="42"/>
      <c r="D3" s="42"/>
      <c r="E3" s="42"/>
      <c r="F3" s="42" t="s">
        <v>104</v>
      </c>
      <c r="G3" s="43">
        <f>SUBTOTAL(9,G4:G5000)</f>
        <v>0</v>
      </c>
      <c r="H3" s="43">
        <f>SUBTOTAL(9,H4:H5000)</f>
        <v>0</v>
      </c>
      <c r="I3" s="43">
        <f>SUBTOTAL(9,I4:I5000)</f>
        <v>0</v>
      </c>
      <c r="J3" s="43">
        <f>SUBTOTAL(9,J4:J5000)</f>
        <v>0</v>
      </c>
      <c r="K3" s="43">
        <f t="shared" ref="K3:Q3" si="2">SUBTOTAL(9,K4:K5000)</f>
        <v>0</v>
      </c>
      <c r="L3" s="45">
        <f t="shared" si="2"/>
        <v>0</v>
      </c>
      <c r="M3" s="66">
        <f t="shared" si="2"/>
        <v>0</v>
      </c>
      <c r="N3" s="45">
        <f t="shared" si="2"/>
        <v>0</v>
      </c>
      <c r="O3" s="66" t="e">
        <f t="shared" si="2"/>
        <v>#DIV/0!</v>
      </c>
      <c r="P3" s="66">
        <f t="shared" si="2"/>
        <v>0</v>
      </c>
      <c r="Q3" s="45">
        <f t="shared" si="2"/>
        <v>0</v>
      </c>
      <c r="R3" s="46" t="e">
        <f>S3/Q3</f>
        <v>#DIV/0!</v>
      </c>
      <c r="S3" s="45">
        <f>SUBTOTAL(9,S4:S5000)</f>
        <v>0</v>
      </c>
      <c r="T3" s="45">
        <f>SUBTOTAL(9,T4:T5000)</f>
        <v>0</v>
      </c>
      <c r="U3" s="45">
        <f t="shared" ref="U3:V3" si="3">SUBTOTAL(9,U4:U5000)</f>
        <v>0</v>
      </c>
      <c r="V3" s="45">
        <f t="shared" si="3"/>
        <v>0</v>
      </c>
      <c r="W3" s="45">
        <f>SUBTOTAL(9,W4:W5000)</f>
        <v>0</v>
      </c>
      <c r="X3" s="45">
        <f>SUBTOTAL(9,X4:X5000)</f>
        <v>0</v>
      </c>
      <c r="Y3" s="45">
        <f>SUBTOTAL(9,Y4:Y5000)</f>
        <v>0</v>
      </c>
      <c r="Z3" s="45">
        <f>SUBTOTAL(9,Z4:Z5000)</f>
        <v>0</v>
      </c>
      <c r="AA3" s="46" t="e">
        <f>Z3/L3</f>
        <v>#DIV/0!</v>
      </c>
      <c r="AB3" s="43">
        <f>SUBTOTAL(9,AB4:AB5000)</f>
        <v>0</v>
      </c>
      <c r="AC3" s="43">
        <f>SUBTOTAL(9,AC4:AC5000)</f>
        <v>0</v>
      </c>
      <c r="AD3" s="46" t="e">
        <f>+AC3/AB3</f>
        <v>#DIV/0!</v>
      </c>
      <c r="AE3" s="43">
        <f>SUBTOTAL(9,AE4:AE5000)</f>
        <v>0</v>
      </c>
      <c r="AF3" s="46" t="e">
        <f>AE3/AB3</f>
        <v>#DIV/0!</v>
      </c>
    </row>
    <row r="4" spans="1:32" x14ac:dyDescent="0.2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</row>
    <row r="5" spans="1:32" x14ac:dyDescent="0.2">
      <c r="A5" s="89">
        <f>ROW()-4</f>
        <v>1</v>
      </c>
      <c r="B5" s="89">
        <f>Data2!C2</f>
        <v>0</v>
      </c>
      <c r="C5" s="89" t="str">
        <f>Data2!D2&amp;""</f>
        <v/>
      </c>
      <c r="D5" s="89" t="str">
        <f>Data2!E2&amp;""</f>
        <v/>
      </c>
      <c r="E5" s="89" t="str">
        <f>Data2!F2&amp;""</f>
        <v/>
      </c>
      <c r="F5" s="89" t="str">
        <f>Data2!G2&amp;""</f>
        <v/>
      </c>
      <c r="G5" s="126">
        <f>K5-H5</f>
        <v>0</v>
      </c>
      <c r="H5" s="126">
        <f>Data2!I2</f>
        <v>0</v>
      </c>
      <c r="I5" s="126">
        <f>J5-K5</f>
        <v>0</v>
      </c>
      <c r="J5" s="89">
        <f>Data2!K2</f>
        <v>0</v>
      </c>
      <c r="K5" s="126">
        <f>Data2!L2</f>
        <v>0</v>
      </c>
      <c r="L5" s="127">
        <f>Data2!M2</f>
        <v>0</v>
      </c>
      <c r="M5" s="128">
        <f>Data2!N2</f>
        <v>0</v>
      </c>
      <c r="N5" s="127">
        <f>Data2!O2</f>
        <v>0</v>
      </c>
      <c r="O5" s="128" t="e">
        <f>M5+(N5/EurofarPriceOverview!$M$2)</f>
        <v>#DIV/0!</v>
      </c>
      <c r="P5" s="128">
        <f>Data2!P2</f>
        <v>0</v>
      </c>
      <c r="Q5" s="127">
        <f>Data2!Q2</f>
        <v>0</v>
      </c>
      <c r="R5" s="111" t="str">
        <f>IF(IF(Q5&gt;0,S5/Q5,0)&gt;0, IF(Q5&gt;0,S5/Q5,0), "")</f>
        <v/>
      </c>
      <c r="S5" s="127">
        <f>Data2!R2</f>
        <v>0</v>
      </c>
      <c r="T5" s="127">
        <f>L5*1.25%</f>
        <v>0</v>
      </c>
      <c r="U5" s="127">
        <f>Data2!U2</f>
        <v>0</v>
      </c>
      <c r="V5" s="127">
        <f>Data2!V2</f>
        <v>0</v>
      </c>
      <c r="W5" s="127">
        <f>Data2!W2</f>
        <v>0</v>
      </c>
      <c r="X5" s="127">
        <f>Data2!Z2</f>
        <v>0</v>
      </c>
      <c r="Y5" s="127">
        <f>Data2!Y2</f>
        <v>0</v>
      </c>
      <c r="Z5" s="127">
        <f>Q5-L5-T5-S5-U5-V5-W5-X5-Y5</f>
        <v>0</v>
      </c>
      <c r="AA5" s="111" t="e">
        <f>Z5/L5</f>
        <v>#DIV/0!</v>
      </c>
      <c r="AB5" s="126">
        <f>Data2!L2</f>
        <v>0</v>
      </c>
      <c r="AC5" s="126">
        <f>Data2!S2</f>
        <v>0</v>
      </c>
      <c r="AD5" s="111" t="e">
        <f>AC5/AB5</f>
        <v>#DIV/0!</v>
      </c>
      <c r="AE5" s="126">
        <f>Data2!T2</f>
        <v>0</v>
      </c>
      <c r="AF5" s="111" t="e">
        <f>AE5/AB5</f>
        <v>#DIV/0!</v>
      </c>
    </row>
  </sheetData>
  <autoFilter ref="A4:AF4"/>
  <sortState ref="F1:Z6">
    <sortCondition descending="1" ref="Q1:Q6"/>
  </sortState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72"/>
  <sheetViews>
    <sheetView topLeftCell="N1" zoomScale="130" zoomScaleNormal="130" workbookViewId="0">
      <selection activeCell="X1" sqref="X1"/>
    </sheetView>
  </sheetViews>
  <sheetFormatPr defaultRowHeight="14.4" x14ac:dyDescent="0.3"/>
  <cols>
    <col min="1" max="1" width="4.109375" style="33" customWidth="1"/>
    <col min="2" max="2" width="7" customWidth="1"/>
    <col min="3" max="3" width="5" style="33" customWidth="1"/>
    <col min="4" max="4" width="6.109375" style="33" customWidth="1"/>
    <col min="5" max="6" width="4.88671875" style="33" customWidth="1"/>
    <col min="7" max="7" width="7.109375" style="33" customWidth="1"/>
    <col min="8" max="8" width="2.88671875" style="33" customWidth="1"/>
    <col min="9" max="9" width="6.88671875" customWidth="1"/>
    <col min="12" max="12" width="4.88671875" customWidth="1"/>
    <col min="14" max="14" width="4.88671875" customWidth="1"/>
    <col min="16" max="17" width="4.88671875" customWidth="1"/>
    <col min="18" max="18" width="2.6640625" style="33" customWidth="1"/>
    <col min="19" max="21" width="7.88671875" customWidth="1"/>
    <col min="22" max="22" width="7.6640625" customWidth="1"/>
    <col min="23" max="25" width="7.6640625" style="33" customWidth="1"/>
    <col min="37" max="37" width="18.88671875" customWidth="1"/>
    <col min="45" max="45" width="19.88671875" customWidth="1"/>
    <col min="46" max="46" width="12.33203125" customWidth="1"/>
    <col min="47" max="47" width="13" customWidth="1"/>
    <col min="48" max="48" width="15.33203125" customWidth="1"/>
  </cols>
  <sheetData>
    <row r="1" spans="1:49" ht="72" customHeight="1" x14ac:dyDescent="0.3">
      <c r="A1" s="145" t="s">
        <v>0</v>
      </c>
      <c r="B1" s="160" t="s">
        <v>1</v>
      </c>
      <c r="C1" s="158"/>
      <c r="D1" s="172" t="s">
        <v>140</v>
      </c>
      <c r="E1" s="166" t="s">
        <v>141</v>
      </c>
      <c r="F1" s="165" t="s">
        <v>3</v>
      </c>
      <c r="G1" s="167" t="s">
        <v>137</v>
      </c>
      <c r="H1" s="152"/>
      <c r="I1" s="129" t="s">
        <v>4</v>
      </c>
      <c r="J1" s="129" t="s">
        <v>143</v>
      </c>
      <c r="K1" s="130" t="s">
        <v>5</v>
      </c>
      <c r="L1" s="130" t="s">
        <v>3</v>
      </c>
      <c r="M1" s="129" t="s">
        <v>6</v>
      </c>
      <c r="N1" s="132" t="s">
        <v>7</v>
      </c>
      <c r="O1" s="171" t="s">
        <v>134</v>
      </c>
      <c r="P1" s="172" t="s">
        <v>138</v>
      </c>
      <c r="Q1" s="173" t="s">
        <v>139</v>
      </c>
      <c r="R1" s="152"/>
      <c r="S1" s="129" t="s">
        <v>8</v>
      </c>
      <c r="T1" s="129" t="s">
        <v>9</v>
      </c>
      <c r="U1" s="129" t="s">
        <v>10</v>
      </c>
      <c r="V1" s="129" t="s">
        <v>11</v>
      </c>
      <c r="W1" s="129" t="s">
        <v>148</v>
      </c>
      <c r="X1" s="129" t="s">
        <v>196</v>
      </c>
      <c r="Y1" s="129" t="s">
        <v>133</v>
      </c>
      <c r="Z1" s="129" t="s">
        <v>12</v>
      </c>
      <c r="AK1" s="33"/>
      <c r="AL1" s="33"/>
      <c r="AM1" s="33"/>
      <c r="AN1" s="33"/>
      <c r="AO1" s="33"/>
      <c r="AP1" s="33"/>
      <c r="AQ1" s="33"/>
      <c r="AR1" s="33"/>
      <c r="AS1" s="33" t="s">
        <v>13</v>
      </c>
      <c r="AT1" s="33"/>
      <c r="AU1" s="33"/>
      <c r="AV1" s="224" t="s">
        <v>14</v>
      </c>
      <c r="AW1" s="33"/>
    </row>
    <row r="2" spans="1:49" x14ac:dyDescent="0.3">
      <c r="A2" s="144"/>
      <c r="B2" s="143" t="s">
        <v>15</v>
      </c>
      <c r="C2" s="143"/>
      <c r="D2" s="141" t="e">
        <f>((K2-J2-S2-T2-U2-V2)/J2)</f>
        <v>#DIV/0!</v>
      </c>
      <c r="E2" s="153">
        <v>1</v>
      </c>
      <c r="F2" s="153">
        <v>1</v>
      </c>
      <c r="G2" s="151" t="e">
        <f>O2/I2</f>
        <v>#DIV/0!</v>
      </c>
      <c r="H2" s="162"/>
      <c r="I2" s="135">
        <f>SUM(I4:I3002)</f>
        <v>0</v>
      </c>
      <c r="J2" s="149">
        <f>SUM(J4:J3002)</f>
        <v>0</v>
      </c>
      <c r="K2" s="149">
        <f>SUM(K4:K3002)</f>
        <v>0</v>
      </c>
      <c r="L2" s="138">
        <v>1</v>
      </c>
      <c r="M2" s="149">
        <f>K2-J2</f>
        <v>0</v>
      </c>
      <c r="N2" s="139" t="e">
        <f>((K2-J2)/J2)</f>
        <v>#DIV/0!</v>
      </c>
      <c r="O2" s="150">
        <f>K2-J2-S2-T2-U2-V2</f>
        <v>0</v>
      </c>
      <c r="P2" s="141" t="e">
        <f>((K2-J2-S2-T2-U2-V2)/J2)</f>
        <v>#DIV/0!</v>
      </c>
      <c r="Q2" s="138">
        <v>1</v>
      </c>
      <c r="R2" s="154"/>
      <c r="S2" s="151">
        <f t="shared" ref="S2:Y2" si="0">SUM(S4:S3002)</f>
        <v>0</v>
      </c>
      <c r="T2" s="149">
        <f t="shared" si="0"/>
        <v>0</v>
      </c>
      <c r="U2" s="149">
        <f t="shared" si="0"/>
        <v>0</v>
      </c>
      <c r="V2" s="149">
        <f t="shared" si="0"/>
        <v>0</v>
      </c>
      <c r="W2" s="149">
        <f t="shared" si="0"/>
        <v>0</v>
      </c>
      <c r="X2" s="149">
        <f t="shared" si="0"/>
        <v>0</v>
      </c>
      <c r="Y2" s="149">
        <f t="shared" si="0"/>
        <v>0</v>
      </c>
      <c r="Z2" s="144"/>
      <c r="AK2" s="225" t="e">
        <f>+O2/P2*AL3</f>
        <v>#DIV/0!</v>
      </c>
      <c r="AL2" s="33" t="s">
        <v>16</v>
      </c>
      <c r="AM2" s="33"/>
      <c r="AN2" s="33"/>
      <c r="AO2" s="33"/>
      <c r="AP2" s="33"/>
      <c r="AQ2" s="33"/>
      <c r="AR2" s="33"/>
      <c r="AS2" s="226" t="e">
        <f>+O10/P10*AT3</f>
        <v>#DIV/0!</v>
      </c>
      <c r="AT2" s="33"/>
      <c r="AU2" s="33"/>
      <c r="AV2" s="227">
        <v>0.2</v>
      </c>
      <c r="AW2" s="33" t="s">
        <v>17</v>
      </c>
    </row>
    <row r="3" spans="1:49" s="33" customFormat="1" x14ac:dyDescent="0.3">
      <c r="A3" s="144"/>
      <c r="B3" s="134"/>
      <c r="C3" s="134"/>
      <c r="D3" s="141"/>
      <c r="E3" s="153"/>
      <c r="F3" s="153"/>
      <c r="G3" s="134"/>
      <c r="H3" s="163"/>
      <c r="I3" s="135"/>
      <c r="J3" s="136"/>
      <c r="K3" s="137"/>
      <c r="L3" s="138"/>
      <c r="M3" s="137"/>
      <c r="N3" s="139"/>
      <c r="O3" s="140"/>
      <c r="P3" s="141"/>
      <c r="Q3" s="138"/>
      <c r="R3" s="154"/>
      <c r="S3" s="137"/>
      <c r="T3" s="148"/>
      <c r="U3" s="137"/>
      <c r="V3" s="142"/>
      <c r="W3" s="142"/>
      <c r="X3" s="142"/>
      <c r="Y3" s="142"/>
      <c r="Z3" s="144"/>
      <c r="AK3" s="228">
        <v>1600</v>
      </c>
      <c r="AL3" s="227">
        <v>0.01</v>
      </c>
      <c r="AS3" s="228">
        <v>1600</v>
      </c>
      <c r="AT3" s="227">
        <v>0.01</v>
      </c>
      <c r="AV3" s="229">
        <f>(1+AV2)*O2</f>
        <v>0</v>
      </c>
    </row>
    <row r="4" spans="1:49" x14ac:dyDescent="0.3">
      <c r="A4" s="146">
        <f>ROW()-3</f>
        <v>1</v>
      </c>
      <c r="B4" s="159">
        <f>Data6!B2</f>
        <v>0</v>
      </c>
      <c r="C4" s="180">
        <f>Data6!J2</f>
        <v>0</v>
      </c>
      <c r="D4" s="175" t="e">
        <f>((K4-J4-S4-T4-U4-V4-W4-X4-Y4) / J4)</f>
        <v>#DIV/0!</v>
      </c>
      <c r="E4" s="177" t="e">
        <f>Q4</f>
        <v>#DIV/0!</v>
      </c>
      <c r="F4" s="157" t="e">
        <f>L4</f>
        <v>#DIV/0!</v>
      </c>
      <c r="G4" s="168" t="e">
        <f>O4/I4</f>
        <v>#DIV/0!</v>
      </c>
      <c r="H4" s="164"/>
      <c r="I4" s="131">
        <f>Data6!D2</f>
        <v>0</v>
      </c>
      <c r="J4" s="147">
        <f>Data6!E2</f>
        <v>0</v>
      </c>
      <c r="K4" s="169">
        <f>Data6!F2</f>
        <v>0</v>
      </c>
      <c r="L4" s="170" t="e">
        <f>K4/$K$2</f>
        <v>#DIV/0!</v>
      </c>
      <c r="M4" s="147">
        <f>K4-J4</f>
        <v>0</v>
      </c>
      <c r="N4" s="133" t="e">
        <f>((K4-J4) / J4)</f>
        <v>#DIV/0!</v>
      </c>
      <c r="O4" s="174">
        <f>K4-J4-S4-T4-U4-V4</f>
        <v>0</v>
      </c>
      <c r="P4" s="175" t="e">
        <f>((K4-J4-S4-T4-U4-V4-W4-X4-Y4) / J4)</f>
        <v>#DIV/0!</v>
      </c>
      <c r="Q4" s="176" t="e">
        <f>O4/$O$2</f>
        <v>#DIV/0!</v>
      </c>
      <c r="R4" s="155"/>
      <c r="S4" s="156">
        <f>Data6!G2</f>
        <v>0</v>
      </c>
      <c r="T4" s="147">
        <f>(J4 * 1.25) /100</f>
        <v>0</v>
      </c>
      <c r="U4" s="147">
        <f>Data6!H2</f>
        <v>0</v>
      </c>
      <c r="V4" s="147">
        <f>Data6!I2</f>
        <v>0</v>
      </c>
      <c r="W4" s="147">
        <f>Data6!M2</f>
        <v>0</v>
      </c>
      <c r="X4" s="147">
        <f>Data6!K2</f>
        <v>0</v>
      </c>
      <c r="Y4" s="147">
        <f>Data6!L2</f>
        <v>0</v>
      </c>
      <c r="Z4" s="36"/>
      <c r="AK4" s="230" t="e">
        <f>+AK2/AK3</f>
        <v>#DIV/0!</v>
      </c>
      <c r="AL4" s="33"/>
      <c r="AM4" s="33"/>
      <c r="AN4" s="33"/>
      <c r="AO4" s="33"/>
      <c r="AP4" s="33"/>
      <c r="AQ4" s="33"/>
      <c r="AR4" s="33"/>
      <c r="AS4" s="230" t="e">
        <f>AS2/AS3</f>
        <v>#DIV/0!</v>
      </c>
      <c r="AT4" s="33"/>
      <c r="AU4" s="33"/>
      <c r="AV4" s="33" t="e">
        <f>(1+AV2)*P2</f>
        <v>#DIV/0!</v>
      </c>
      <c r="AW4" s="33"/>
    </row>
    <row r="5" spans="1:49" x14ac:dyDescent="0.3">
      <c r="AK5" s="33" t="e">
        <f>CONCATENATE("With ",AL3*100,"% more margin we can produce ",ROUND(AK4,0)," containers less!")</f>
        <v>#DIV/0!</v>
      </c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</row>
    <row r="6" spans="1:49" x14ac:dyDescent="0.3">
      <c r="AK6" s="231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</row>
    <row r="7" spans="1:49" x14ac:dyDescent="0.3">
      <c r="AK7" s="231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</row>
    <row r="8" spans="1:49" x14ac:dyDescent="0.3">
      <c r="AK8" s="33"/>
      <c r="AL8" s="33"/>
      <c r="AM8" s="33"/>
      <c r="AN8" s="33"/>
      <c r="AO8" s="33"/>
      <c r="AP8" s="33"/>
      <c r="AQ8" s="33"/>
      <c r="AR8" s="33"/>
      <c r="AS8" s="227">
        <v>0.2</v>
      </c>
      <c r="AT8" s="33" t="s">
        <v>18</v>
      </c>
      <c r="AU8" s="33"/>
      <c r="AV8" s="33"/>
      <c r="AW8" s="33"/>
    </row>
    <row r="9" spans="1:49" x14ac:dyDescent="0.3">
      <c r="AK9" s="33"/>
      <c r="AL9" s="33"/>
      <c r="AM9" s="33"/>
      <c r="AN9" s="33"/>
      <c r="AO9" s="33"/>
      <c r="AP9" s="33"/>
      <c r="AQ9" s="33"/>
      <c r="AR9" s="33"/>
      <c r="AS9" s="226">
        <f>(1+AS8)*O2-O2</f>
        <v>0</v>
      </c>
      <c r="AT9" s="33" t="s">
        <v>19</v>
      </c>
      <c r="AU9" s="33"/>
      <c r="AV9" s="33"/>
      <c r="AW9" s="33"/>
    </row>
    <row r="10" spans="1:49" s="33" customFormat="1" x14ac:dyDescent="0.3">
      <c r="AK10" s="33">
        <f>+O10/5.2</f>
        <v>0</v>
      </c>
      <c r="AL10" s="164">
        <v>906</v>
      </c>
      <c r="AM10" s="229">
        <f>+AK10/AL10</f>
        <v>0</v>
      </c>
    </row>
    <row r="11" spans="1:49" s="33" customFormat="1" x14ac:dyDescent="0.3">
      <c r="AS11" s="229">
        <f>K2</f>
        <v>0</v>
      </c>
    </row>
    <row r="12" spans="1:49" s="33" customFormat="1" x14ac:dyDescent="0.3">
      <c r="AS12" s="229">
        <f>J2+S2+T2+U2+V2</f>
        <v>0</v>
      </c>
      <c r="AT12" s="232" t="e">
        <f>AS11/AS12-100%</f>
        <v>#DIV/0!</v>
      </c>
      <c r="AU12" s="230">
        <f>AS12-AS9</f>
        <v>0</v>
      </c>
      <c r="AV12" s="233" t="e">
        <f>AS11/AU12-100%</f>
        <v>#DIV/0!</v>
      </c>
    </row>
    <row r="13" spans="1:49" ht="15.6" x14ac:dyDescent="0.3">
      <c r="A13" s="234" t="e">
        <f>CONCATENATE("With ",AL3*100,"% more margin we can produce ",ROUND(AK4,0)," containers less!")</f>
        <v>#DIV/0!</v>
      </c>
      <c r="AK13" s="33"/>
      <c r="AL13" s="33"/>
      <c r="AM13" s="33"/>
      <c r="AN13" s="33"/>
      <c r="AO13" s="33"/>
      <c r="AP13" s="33"/>
      <c r="AQ13" s="33"/>
      <c r="AR13" s="33"/>
      <c r="AS13" s="33"/>
      <c r="AT13" s="229" t="e">
        <f>AT12*AS12</f>
        <v>#DIV/0!</v>
      </c>
      <c r="AU13" s="33"/>
      <c r="AV13" s="232" t="e">
        <f>AV12-AT12</f>
        <v>#DIV/0!</v>
      </c>
      <c r="AW13" s="33"/>
    </row>
    <row r="15" spans="1:49" ht="59.25" customHeight="1" x14ac:dyDescent="0.3">
      <c r="A15" s="180" t="s">
        <v>0</v>
      </c>
      <c r="B15" s="160" t="s">
        <v>1</v>
      </c>
      <c r="C15" s="36"/>
      <c r="D15" s="173" t="s">
        <v>136</v>
      </c>
      <c r="E15" s="182"/>
      <c r="F15" s="182"/>
    </row>
    <row r="16" spans="1:49" x14ac:dyDescent="0.3">
      <c r="A16" s="36"/>
      <c r="B16" s="181" t="s">
        <v>21</v>
      </c>
      <c r="C16" s="178"/>
      <c r="D16" s="184" t="e">
        <f>D2</f>
        <v>#DIV/0!</v>
      </c>
      <c r="E16" s="183"/>
      <c r="F16" s="183"/>
    </row>
    <row r="17" spans="1:22" x14ac:dyDescent="0.3">
      <c r="A17" s="36"/>
      <c r="B17" s="179"/>
      <c r="C17" s="178"/>
      <c r="D17" s="185"/>
      <c r="E17" s="183"/>
      <c r="F17" s="183"/>
      <c r="I17" s="33"/>
      <c r="S17" s="33"/>
      <c r="T17" s="33"/>
      <c r="U17" s="33"/>
      <c r="V17" s="33"/>
    </row>
    <row r="18" spans="1:22" x14ac:dyDescent="0.3">
      <c r="A18" s="188">
        <f t="shared" ref="A18:C24" si="1">A4</f>
        <v>1</v>
      </c>
      <c r="B18" s="187">
        <f t="shared" si="1"/>
        <v>0</v>
      </c>
      <c r="C18" s="180">
        <f t="shared" si="1"/>
        <v>0</v>
      </c>
      <c r="D18" s="186" t="e">
        <f t="shared" ref="D18:D24" si="2">P4</f>
        <v>#DIV/0!</v>
      </c>
      <c r="E18" s="183"/>
      <c r="F18" s="183"/>
      <c r="I18" s="33"/>
      <c r="S18" s="33"/>
      <c r="T18" s="33"/>
      <c r="U18" s="33"/>
      <c r="V18" s="33"/>
    </row>
    <row r="19" spans="1:22" x14ac:dyDescent="0.3">
      <c r="A19" s="188">
        <f t="shared" si="1"/>
        <v>0</v>
      </c>
      <c r="B19" s="187">
        <f t="shared" si="1"/>
        <v>0</v>
      </c>
      <c r="C19" s="180">
        <f t="shared" si="1"/>
        <v>0</v>
      </c>
      <c r="D19" s="186">
        <f t="shared" si="2"/>
        <v>0</v>
      </c>
      <c r="I19" s="33"/>
      <c r="S19" s="33"/>
      <c r="T19" s="33"/>
      <c r="U19" s="33"/>
      <c r="V19" s="33"/>
    </row>
    <row r="20" spans="1:22" x14ac:dyDescent="0.3">
      <c r="A20" s="188">
        <f t="shared" si="1"/>
        <v>0</v>
      </c>
      <c r="B20" s="187">
        <f t="shared" si="1"/>
        <v>0</v>
      </c>
      <c r="C20" s="180">
        <f t="shared" si="1"/>
        <v>0</v>
      </c>
      <c r="D20" s="186">
        <f t="shared" si="2"/>
        <v>0</v>
      </c>
      <c r="I20" s="33"/>
      <c r="S20" s="33"/>
      <c r="T20" s="33"/>
      <c r="U20" s="33"/>
      <c r="V20" s="33"/>
    </row>
    <row r="21" spans="1:22" x14ac:dyDescent="0.3">
      <c r="A21" s="188">
        <f t="shared" si="1"/>
        <v>0</v>
      </c>
      <c r="B21" s="187">
        <f t="shared" si="1"/>
        <v>0</v>
      </c>
      <c r="C21" s="180">
        <f t="shared" si="1"/>
        <v>0</v>
      </c>
      <c r="D21" s="186">
        <f t="shared" si="2"/>
        <v>0</v>
      </c>
      <c r="I21" s="33"/>
      <c r="S21" s="33"/>
      <c r="T21" s="33"/>
      <c r="U21" s="33"/>
      <c r="V21" s="33"/>
    </row>
    <row r="22" spans="1:22" x14ac:dyDescent="0.3">
      <c r="A22" s="188">
        <f t="shared" si="1"/>
        <v>0</v>
      </c>
      <c r="B22" s="187">
        <f t="shared" si="1"/>
        <v>0</v>
      </c>
      <c r="C22" s="180">
        <f t="shared" si="1"/>
        <v>0</v>
      </c>
      <c r="D22" s="186">
        <f t="shared" si="2"/>
        <v>0</v>
      </c>
      <c r="I22" s="33"/>
      <c r="S22" s="33"/>
      <c r="T22" s="33"/>
      <c r="U22" s="33"/>
      <c r="V22" s="33"/>
    </row>
    <row r="23" spans="1:22" x14ac:dyDescent="0.3">
      <c r="A23" s="188">
        <f t="shared" si="1"/>
        <v>0</v>
      </c>
      <c r="B23" s="187">
        <f t="shared" si="1"/>
        <v>0</v>
      </c>
      <c r="C23" s="180">
        <f t="shared" si="1"/>
        <v>0</v>
      </c>
      <c r="D23" s="186">
        <f t="shared" si="2"/>
        <v>0</v>
      </c>
      <c r="I23" s="33"/>
      <c r="S23" s="33"/>
      <c r="T23" s="33"/>
      <c r="U23" s="33"/>
      <c r="V23" s="33"/>
    </row>
    <row r="24" spans="1:22" x14ac:dyDescent="0.3">
      <c r="A24" s="188">
        <f t="shared" si="1"/>
        <v>0</v>
      </c>
      <c r="B24" s="187">
        <f t="shared" si="1"/>
        <v>0</v>
      </c>
      <c r="C24" s="180">
        <f t="shared" si="1"/>
        <v>0</v>
      </c>
      <c r="D24" s="186">
        <f t="shared" si="2"/>
        <v>0</v>
      </c>
      <c r="I24" s="33"/>
      <c r="S24" s="33"/>
      <c r="T24" s="33"/>
      <c r="U24" s="33"/>
      <c r="V24" s="33"/>
    </row>
    <row r="25" spans="1:22" x14ac:dyDescent="0.3">
      <c r="I25" s="33"/>
      <c r="S25" s="33"/>
      <c r="T25" s="33"/>
      <c r="U25" s="33"/>
      <c r="V25" s="33"/>
    </row>
    <row r="26" spans="1:22" x14ac:dyDescent="0.3">
      <c r="I26" s="33"/>
      <c r="S26" s="33"/>
      <c r="T26" s="33"/>
      <c r="U26" s="33"/>
      <c r="V26" s="33"/>
    </row>
    <row r="27" spans="1:22" ht="48.75" customHeight="1" x14ac:dyDescent="0.3">
      <c r="A27" s="180" t="s">
        <v>0</v>
      </c>
      <c r="B27" s="160" t="s">
        <v>1</v>
      </c>
      <c r="C27" s="36"/>
      <c r="D27" s="173" t="s">
        <v>135</v>
      </c>
      <c r="I27" s="33"/>
      <c r="S27" s="33"/>
      <c r="T27" s="33"/>
      <c r="U27" s="33"/>
      <c r="V27" s="33"/>
    </row>
    <row r="28" spans="1:22" x14ac:dyDescent="0.3">
      <c r="A28" s="36"/>
      <c r="B28" s="181" t="s">
        <v>21</v>
      </c>
      <c r="C28" s="178"/>
      <c r="D28" s="184">
        <f>E2</f>
        <v>1</v>
      </c>
      <c r="I28" s="33"/>
      <c r="S28" s="33"/>
      <c r="T28" s="33"/>
      <c r="U28" s="33"/>
      <c r="V28" s="33"/>
    </row>
    <row r="29" spans="1:22" x14ac:dyDescent="0.3">
      <c r="A29" s="36"/>
      <c r="B29" s="179"/>
      <c r="C29" s="178"/>
      <c r="D29" s="185"/>
      <c r="I29" s="33"/>
      <c r="J29" s="33"/>
      <c r="K29" s="33"/>
      <c r="L29" s="33"/>
      <c r="M29" s="33"/>
      <c r="N29" s="33"/>
      <c r="O29" s="33"/>
      <c r="P29" s="33"/>
      <c r="Q29" s="33"/>
      <c r="S29" s="33"/>
      <c r="T29" s="33"/>
      <c r="U29" s="33"/>
      <c r="V29" s="33"/>
    </row>
    <row r="30" spans="1:22" x14ac:dyDescent="0.3">
      <c r="A30" s="188">
        <f t="shared" ref="A30:A36" si="3">A4</f>
        <v>1</v>
      </c>
      <c r="B30" s="187">
        <f>CA!B4</f>
        <v>0</v>
      </c>
      <c r="C30" s="180">
        <f>CA!C4</f>
        <v>0</v>
      </c>
      <c r="D30" s="186" t="e">
        <f>CA!L4</f>
        <v>#DIV/0!</v>
      </c>
      <c r="I30" s="33"/>
      <c r="J30" s="33"/>
      <c r="K30" s="33"/>
      <c r="L30" s="33"/>
      <c r="M30" s="33"/>
      <c r="N30" s="33"/>
      <c r="O30" s="33"/>
      <c r="P30" s="33"/>
      <c r="Q30" s="33"/>
      <c r="S30" s="33"/>
      <c r="T30" s="33"/>
      <c r="U30" s="33"/>
      <c r="V30" s="33"/>
    </row>
    <row r="31" spans="1:22" x14ac:dyDescent="0.3">
      <c r="A31" s="188">
        <f t="shared" si="3"/>
        <v>0</v>
      </c>
      <c r="B31" s="187">
        <f>CA!B5</f>
        <v>0</v>
      </c>
      <c r="C31" s="180">
        <f>CA!C5</f>
        <v>0</v>
      </c>
      <c r="D31" s="186">
        <f>CA!L5</f>
        <v>0</v>
      </c>
      <c r="I31" s="33"/>
      <c r="J31" s="33"/>
      <c r="K31" s="33"/>
      <c r="L31" s="33"/>
      <c r="M31" s="33"/>
      <c r="N31" s="33"/>
      <c r="O31" s="33"/>
      <c r="P31" s="33"/>
      <c r="Q31" s="33"/>
      <c r="S31" s="33"/>
      <c r="T31" s="33"/>
      <c r="U31" s="33"/>
      <c r="V31" s="33"/>
    </row>
    <row r="32" spans="1:22" x14ac:dyDescent="0.3">
      <c r="A32" s="188">
        <f t="shared" si="3"/>
        <v>0</v>
      </c>
      <c r="B32" s="187">
        <f>CA!B6</f>
        <v>0</v>
      </c>
      <c r="C32" s="180">
        <f>CA!C6</f>
        <v>0</v>
      </c>
      <c r="D32" s="186">
        <f>CA!L6</f>
        <v>0</v>
      </c>
      <c r="I32" s="33"/>
      <c r="J32" s="33"/>
      <c r="K32" s="33"/>
      <c r="L32" s="33"/>
      <c r="M32" s="33"/>
      <c r="N32" s="33"/>
      <c r="O32" s="33"/>
      <c r="P32" s="33"/>
      <c r="Q32" s="33"/>
      <c r="S32" s="33"/>
      <c r="T32" s="33"/>
      <c r="U32" s="33"/>
      <c r="V32" s="33"/>
    </row>
    <row r="33" spans="1:22" x14ac:dyDescent="0.3">
      <c r="A33" s="188">
        <f t="shared" si="3"/>
        <v>0</v>
      </c>
      <c r="B33" s="187">
        <f>CA!B7</f>
        <v>0</v>
      </c>
      <c r="C33" s="180">
        <f>CA!C7</f>
        <v>0</v>
      </c>
      <c r="D33" s="186">
        <f>CA!L7</f>
        <v>0</v>
      </c>
      <c r="I33" s="33"/>
      <c r="J33" s="33"/>
      <c r="K33" s="33"/>
      <c r="L33" s="33"/>
      <c r="M33" s="33"/>
      <c r="N33" s="33"/>
      <c r="O33" s="33"/>
      <c r="P33" s="33"/>
      <c r="Q33" s="33"/>
      <c r="S33" s="33"/>
      <c r="T33" s="33"/>
      <c r="U33" s="33"/>
      <c r="V33" s="33"/>
    </row>
    <row r="34" spans="1:22" x14ac:dyDescent="0.3">
      <c r="A34" s="188">
        <f t="shared" si="3"/>
        <v>0</v>
      </c>
      <c r="B34" s="187">
        <f>CA!B8</f>
        <v>0</v>
      </c>
      <c r="C34" s="180">
        <f>CA!C8</f>
        <v>0</v>
      </c>
      <c r="D34" s="186">
        <f>CA!L8</f>
        <v>0</v>
      </c>
      <c r="I34" s="33"/>
      <c r="J34" s="33"/>
      <c r="K34" s="33"/>
      <c r="L34" s="33"/>
      <c r="M34" s="33"/>
      <c r="N34" s="33"/>
      <c r="O34" s="33"/>
      <c r="P34" s="33"/>
      <c r="Q34" s="33"/>
      <c r="S34" s="33"/>
      <c r="T34" s="33"/>
      <c r="U34" s="33"/>
      <c r="V34" s="33"/>
    </row>
    <row r="35" spans="1:22" x14ac:dyDescent="0.3">
      <c r="A35" s="188">
        <f t="shared" si="3"/>
        <v>0</v>
      </c>
      <c r="B35" s="187">
        <f>CA!B9</f>
        <v>0</v>
      </c>
      <c r="C35" s="180">
        <f>CA!C9</f>
        <v>0</v>
      </c>
      <c r="D35" s="186">
        <f>CA!L9</f>
        <v>0</v>
      </c>
    </row>
    <row r="36" spans="1:22" x14ac:dyDescent="0.3">
      <c r="A36" s="188">
        <f t="shared" si="3"/>
        <v>0</v>
      </c>
      <c r="B36" s="187">
        <f>CA!B10</f>
        <v>0</v>
      </c>
      <c r="C36" s="180">
        <f>CA!C10</f>
        <v>0</v>
      </c>
      <c r="D36" s="186">
        <f>CA!L10</f>
        <v>0</v>
      </c>
    </row>
    <row r="39" spans="1:22" ht="33.6" x14ac:dyDescent="0.3">
      <c r="A39" s="180" t="s">
        <v>0</v>
      </c>
      <c r="B39" s="160" t="s">
        <v>1</v>
      </c>
      <c r="C39" s="36"/>
      <c r="D39" s="130" t="s">
        <v>3</v>
      </c>
    </row>
    <row r="40" spans="1:22" x14ac:dyDescent="0.3">
      <c r="A40" s="36"/>
      <c r="B40" s="181" t="s">
        <v>21</v>
      </c>
      <c r="C40" s="178"/>
      <c r="D40" s="184">
        <f>F2</f>
        <v>1</v>
      </c>
    </row>
    <row r="41" spans="1:22" x14ac:dyDescent="0.3">
      <c r="A41" s="36"/>
      <c r="B41" s="179"/>
      <c r="C41" s="178"/>
      <c r="D41" s="185"/>
    </row>
    <row r="42" spans="1:22" x14ac:dyDescent="0.3">
      <c r="A42" s="188">
        <f t="shared" ref="A42:A48" si="4">A4</f>
        <v>1</v>
      </c>
      <c r="B42" s="187">
        <f>CB!B4</f>
        <v>0</v>
      </c>
      <c r="C42" s="180">
        <f>CB!C4</f>
        <v>0</v>
      </c>
      <c r="D42" s="190" t="e">
        <f>CB!G4</f>
        <v>#DIV/0!</v>
      </c>
    </row>
    <row r="43" spans="1:22" x14ac:dyDescent="0.3">
      <c r="A43" s="188">
        <f t="shared" si="4"/>
        <v>0</v>
      </c>
      <c r="B43" s="187">
        <f>CB!B5</f>
        <v>0</v>
      </c>
      <c r="C43" s="180">
        <f>CB!C5</f>
        <v>0</v>
      </c>
      <c r="D43" s="190">
        <f>CB!G5</f>
        <v>0</v>
      </c>
    </row>
    <row r="44" spans="1:22" x14ac:dyDescent="0.3">
      <c r="A44" s="188">
        <f t="shared" si="4"/>
        <v>0</v>
      </c>
      <c r="B44" s="187">
        <f>CB!B6</f>
        <v>0</v>
      </c>
      <c r="C44" s="180">
        <f>CB!C6</f>
        <v>0</v>
      </c>
      <c r="D44" s="190">
        <f>CB!G6</f>
        <v>0</v>
      </c>
    </row>
    <row r="45" spans="1:22" x14ac:dyDescent="0.3">
      <c r="A45" s="188">
        <f t="shared" si="4"/>
        <v>0</v>
      </c>
      <c r="B45" s="187">
        <f>CB!B7</f>
        <v>0</v>
      </c>
      <c r="C45" s="180">
        <f>CB!C7</f>
        <v>0</v>
      </c>
      <c r="D45" s="190">
        <f>CB!G7</f>
        <v>0</v>
      </c>
    </row>
    <row r="46" spans="1:22" x14ac:dyDescent="0.3">
      <c r="A46" s="188">
        <f t="shared" si="4"/>
        <v>0</v>
      </c>
      <c r="B46" s="187">
        <f>CB!B8</f>
        <v>0</v>
      </c>
      <c r="C46" s="180">
        <f>CB!C8</f>
        <v>0</v>
      </c>
      <c r="D46" s="190">
        <f>CB!G8</f>
        <v>0</v>
      </c>
    </row>
    <row r="47" spans="1:22" x14ac:dyDescent="0.3">
      <c r="A47" s="188">
        <f t="shared" si="4"/>
        <v>0</v>
      </c>
      <c r="B47" s="187">
        <f>CB!B9</f>
        <v>0</v>
      </c>
      <c r="C47" s="180">
        <f>CB!C9</f>
        <v>0</v>
      </c>
      <c r="D47" s="190">
        <f>CB!G9</f>
        <v>0</v>
      </c>
    </row>
    <row r="48" spans="1:22" x14ac:dyDescent="0.3">
      <c r="A48" s="188">
        <f t="shared" si="4"/>
        <v>0</v>
      </c>
      <c r="B48" s="187">
        <f>CB!B10</f>
        <v>0</v>
      </c>
      <c r="C48" s="180">
        <f>CB!C10</f>
        <v>0</v>
      </c>
      <c r="D48" s="190">
        <f>CB!G10</f>
        <v>0</v>
      </c>
    </row>
    <row r="51" spans="1:4" ht="42" x14ac:dyDescent="0.3">
      <c r="A51" s="180" t="s">
        <v>0</v>
      </c>
      <c r="B51" s="160" t="s">
        <v>1</v>
      </c>
      <c r="C51" s="36"/>
      <c r="D51" s="167" t="s">
        <v>142</v>
      </c>
    </row>
    <row r="52" spans="1:4" x14ac:dyDescent="0.3">
      <c r="A52" s="36"/>
      <c r="B52" s="181" t="s">
        <v>21</v>
      </c>
      <c r="C52" s="178"/>
      <c r="D52" s="235" t="e">
        <f>O2/I2</f>
        <v>#DIV/0!</v>
      </c>
    </row>
    <row r="53" spans="1:4" x14ac:dyDescent="0.3">
      <c r="A53" s="36"/>
      <c r="B53" s="179"/>
      <c r="C53" s="178"/>
      <c r="D53" s="185"/>
    </row>
    <row r="54" spans="1:4" x14ac:dyDescent="0.3">
      <c r="A54" s="188">
        <f t="shared" ref="A54:C60" si="5">A4</f>
        <v>1</v>
      </c>
      <c r="B54" s="180">
        <f t="shared" si="5"/>
        <v>0</v>
      </c>
      <c r="C54" s="180">
        <f t="shared" si="5"/>
        <v>0</v>
      </c>
      <c r="D54" s="236" t="e">
        <f t="shared" ref="D54:D60" si="6">O4/I4</f>
        <v>#DIV/0!</v>
      </c>
    </row>
    <row r="55" spans="1:4" x14ac:dyDescent="0.3">
      <c r="A55" s="188">
        <f t="shared" si="5"/>
        <v>0</v>
      </c>
      <c r="B55" s="180">
        <f t="shared" si="5"/>
        <v>0</v>
      </c>
      <c r="C55" s="180">
        <f t="shared" si="5"/>
        <v>0</v>
      </c>
      <c r="D55" s="236" t="e">
        <f t="shared" si="6"/>
        <v>#DIV/0!</v>
      </c>
    </row>
    <row r="56" spans="1:4" x14ac:dyDescent="0.3">
      <c r="A56" s="188">
        <f t="shared" si="5"/>
        <v>0</v>
      </c>
      <c r="B56" s="180">
        <f t="shared" si="5"/>
        <v>0</v>
      </c>
      <c r="C56" s="180">
        <f t="shared" si="5"/>
        <v>0</v>
      </c>
      <c r="D56" s="236" t="e">
        <f t="shared" si="6"/>
        <v>#DIV/0!</v>
      </c>
    </row>
    <row r="57" spans="1:4" x14ac:dyDescent="0.3">
      <c r="A57" s="188">
        <f t="shared" si="5"/>
        <v>0</v>
      </c>
      <c r="B57" s="180">
        <f t="shared" si="5"/>
        <v>0</v>
      </c>
      <c r="C57" s="180">
        <f t="shared" si="5"/>
        <v>0</v>
      </c>
      <c r="D57" s="236" t="e">
        <f t="shared" si="6"/>
        <v>#DIV/0!</v>
      </c>
    </row>
    <row r="58" spans="1:4" x14ac:dyDescent="0.3">
      <c r="A58" s="188">
        <f t="shared" si="5"/>
        <v>0</v>
      </c>
      <c r="B58" s="180">
        <f t="shared" si="5"/>
        <v>0</v>
      </c>
      <c r="C58" s="180">
        <f t="shared" si="5"/>
        <v>0</v>
      </c>
      <c r="D58" s="236" t="e">
        <f t="shared" si="6"/>
        <v>#DIV/0!</v>
      </c>
    </row>
    <row r="59" spans="1:4" x14ac:dyDescent="0.3">
      <c r="A59" s="188">
        <f t="shared" si="5"/>
        <v>0</v>
      </c>
      <c r="B59" s="180">
        <f t="shared" si="5"/>
        <v>0</v>
      </c>
      <c r="C59" s="180">
        <f t="shared" si="5"/>
        <v>0</v>
      </c>
      <c r="D59" s="236" t="e">
        <f t="shared" si="6"/>
        <v>#DIV/0!</v>
      </c>
    </row>
    <row r="60" spans="1:4" x14ac:dyDescent="0.3">
      <c r="A60" s="188">
        <f t="shared" si="5"/>
        <v>0</v>
      </c>
      <c r="B60" s="180">
        <f t="shared" si="5"/>
        <v>0</v>
      </c>
      <c r="C60" s="180">
        <f t="shared" si="5"/>
        <v>0</v>
      </c>
      <c r="D60" s="236" t="e">
        <f t="shared" si="6"/>
        <v>#DIV/0!</v>
      </c>
    </row>
    <row r="63" spans="1:4" ht="67.2" x14ac:dyDescent="0.3">
      <c r="A63" s="180" t="s">
        <v>0</v>
      </c>
      <c r="B63" s="160" t="s">
        <v>1</v>
      </c>
      <c r="C63" s="36"/>
      <c r="D63" s="167" t="s">
        <v>22</v>
      </c>
    </row>
    <row r="64" spans="1:4" x14ac:dyDescent="0.3">
      <c r="A64" s="36"/>
      <c r="B64" s="237" t="s">
        <v>21</v>
      </c>
      <c r="C64" s="238"/>
      <c r="D64" s="241">
        <f>I2</f>
        <v>0</v>
      </c>
    </row>
    <row r="65" spans="1:4" x14ac:dyDescent="0.3">
      <c r="A65" s="36"/>
      <c r="B65" s="239"/>
      <c r="C65" s="238"/>
      <c r="D65" s="240"/>
    </row>
    <row r="66" spans="1:4" x14ac:dyDescent="0.3">
      <c r="A66" s="188">
        <f t="shared" ref="A66:C67" si="7">A4</f>
        <v>1</v>
      </c>
      <c r="B66" s="180">
        <f t="shared" si="7"/>
        <v>0</v>
      </c>
      <c r="C66" s="180">
        <f t="shared" si="7"/>
        <v>0</v>
      </c>
      <c r="D66" s="242" t="e">
        <f>$O$2/D54</f>
        <v>#DIV/0!</v>
      </c>
    </row>
    <row r="67" spans="1:4" x14ac:dyDescent="0.3">
      <c r="A67" s="188">
        <f t="shared" si="7"/>
        <v>0</v>
      </c>
      <c r="B67" s="180">
        <f t="shared" si="7"/>
        <v>0</v>
      </c>
      <c r="C67" s="180">
        <f t="shared" si="7"/>
        <v>0</v>
      </c>
      <c r="D67" s="242" t="e">
        <f t="shared" ref="D67:D72" si="8">$O$2/D55</f>
        <v>#DIV/0!</v>
      </c>
    </row>
    <row r="68" spans="1:4" x14ac:dyDescent="0.3">
      <c r="A68" s="188">
        <f t="shared" ref="A68:C68" si="9">A6</f>
        <v>0</v>
      </c>
      <c r="B68" s="180">
        <f t="shared" si="9"/>
        <v>0</v>
      </c>
      <c r="C68" s="180">
        <f t="shared" si="9"/>
        <v>0</v>
      </c>
      <c r="D68" s="242" t="e">
        <f t="shared" si="8"/>
        <v>#DIV/0!</v>
      </c>
    </row>
    <row r="69" spans="1:4" x14ac:dyDescent="0.3">
      <c r="A69" s="188">
        <f t="shared" ref="A69:C69" si="10">A7</f>
        <v>0</v>
      </c>
      <c r="B69" s="180">
        <f t="shared" si="10"/>
        <v>0</v>
      </c>
      <c r="C69" s="180">
        <f t="shared" si="10"/>
        <v>0</v>
      </c>
      <c r="D69" s="242" t="e">
        <f t="shared" si="8"/>
        <v>#DIV/0!</v>
      </c>
    </row>
    <row r="70" spans="1:4" x14ac:dyDescent="0.3">
      <c r="A70" s="188">
        <f t="shared" ref="A70:C70" si="11">A8</f>
        <v>0</v>
      </c>
      <c r="B70" s="180">
        <f t="shared" si="11"/>
        <v>0</v>
      </c>
      <c r="C70" s="180">
        <f t="shared" si="11"/>
        <v>0</v>
      </c>
      <c r="D70" s="242" t="e">
        <f t="shared" si="8"/>
        <v>#DIV/0!</v>
      </c>
    </row>
    <row r="71" spans="1:4" x14ac:dyDescent="0.3">
      <c r="A71" s="188">
        <f t="shared" ref="A71:C71" si="12">A9</f>
        <v>0</v>
      </c>
      <c r="B71" s="180">
        <f t="shared" si="12"/>
        <v>0</v>
      </c>
      <c r="C71" s="180">
        <f t="shared" si="12"/>
        <v>0</v>
      </c>
      <c r="D71" s="242" t="e">
        <f t="shared" si="8"/>
        <v>#DIV/0!</v>
      </c>
    </row>
    <row r="72" spans="1:4" x14ac:dyDescent="0.3">
      <c r="A72" s="188">
        <f t="shared" ref="A72:C72" si="13">A10</f>
        <v>0</v>
      </c>
      <c r="B72" s="180">
        <f t="shared" si="13"/>
        <v>0</v>
      </c>
      <c r="C72" s="180">
        <f t="shared" si="13"/>
        <v>0</v>
      </c>
      <c r="D72" s="242" t="e">
        <f t="shared" si="8"/>
        <v>#DIV/0!</v>
      </c>
    </row>
  </sheetData>
  <sortState ref="B2:V4">
    <sortCondition ref="Q4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zoomScale="80" zoomScaleNormal="80" workbookViewId="0"/>
  </sheetViews>
  <sheetFormatPr defaultRowHeight="14.4" x14ac:dyDescent="0.3"/>
  <cols>
    <col min="1" max="1" width="3" bestFit="1" customWidth="1"/>
    <col min="2" max="2" width="13" bestFit="1" customWidth="1"/>
    <col min="3" max="3" width="13" style="33" customWidth="1"/>
    <col min="4" max="7" width="9.88671875" style="33" customWidth="1"/>
    <col min="8" max="8" width="9.88671875" customWidth="1"/>
    <col min="9" max="9" width="16.6640625" bestFit="1" customWidth="1"/>
    <col min="10" max="11" width="16.6640625" style="33" customWidth="1"/>
    <col min="12" max="12" width="16.6640625" bestFit="1" customWidth="1"/>
    <col min="13" max="13" width="12.109375" bestFit="1" customWidth="1"/>
    <col min="14" max="14" width="11" bestFit="1" customWidth="1"/>
    <col min="15" max="15" width="10" bestFit="1" customWidth="1"/>
    <col min="16" max="16" width="10.33203125" bestFit="1" customWidth="1"/>
  </cols>
  <sheetData>
    <row r="1" spans="1:17" ht="60" customHeight="1" x14ac:dyDescent="0.3">
      <c r="A1" s="40" t="s">
        <v>0</v>
      </c>
      <c r="B1" s="41" t="s">
        <v>32</v>
      </c>
      <c r="C1" s="41" t="s">
        <v>129</v>
      </c>
      <c r="D1" s="41" t="s">
        <v>88</v>
      </c>
      <c r="E1" s="41" t="s">
        <v>89</v>
      </c>
      <c r="F1" s="41" t="s">
        <v>90</v>
      </c>
      <c r="G1" s="41" t="s">
        <v>130</v>
      </c>
      <c r="H1" s="41" t="s">
        <v>91</v>
      </c>
      <c r="I1" s="41" t="s">
        <v>92</v>
      </c>
      <c r="J1" s="41" t="s">
        <v>84</v>
      </c>
      <c r="K1" s="41" t="s">
        <v>85</v>
      </c>
      <c r="L1" s="41" t="s">
        <v>131</v>
      </c>
      <c r="M1" s="41" t="s">
        <v>86</v>
      </c>
      <c r="N1" s="39" t="s">
        <v>100</v>
      </c>
      <c r="O1" s="38" t="s">
        <v>101</v>
      </c>
      <c r="P1" s="38" t="s">
        <v>102</v>
      </c>
      <c r="Q1" s="38" t="s">
        <v>103</v>
      </c>
    </row>
    <row r="2" spans="1:17" x14ac:dyDescent="0.3">
      <c r="A2" s="52"/>
      <c r="B2" s="52"/>
      <c r="C2" s="52"/>
      <c r="D2" s="53">
        <f t="shared" ref="D2:F2" si="0">SUM(D4:D500)</f>
        <v>0</v>
      </c>
      <c r="E2" s="53">
        <f t="shared" si="0"/>
        <v>0</v>
      </c>
      <c r="F2" s="53">
        <f t="shared" si="0"/>
        <v>0</v>
      </c>
      <c r="G2" s="53">
        <f>SUM(G4:G500)</f>
        <v>0</v>
      </c>
      <c r="H2" s="53">
        <f>SUM(H4:H500)</f>
        <v>0</v>
      </c>
      <c r="I2" s="61">
        <f>SUM(I4:I500)</f>
        <v>0</v>
      </c>
      <c r="J2" s="61">
        <f t="shared" ref="J2:K2" si="1">SUM(J4:J500)</f>
        <v>0</v>
      </c>
      <c r="K2" s="61">
        <f t="shared" si="1"/>
        <v>0</v>
      </c>
      <c r="L2" s="61">
        <f>SUM(L4:L500)</f>
        <v>0</v>
      </c>
      <c r="M2" s="54" t="e">
        <f>L2/I2</f>
        <v>#DIV/0!</v>
      </c>
      <c r="N2" s="59">
        <f>SUM(N4:N500)</f>
        <v>0</v>
      </c>
      <c r="O2" s="54" t="e">
        <f>+N2/H2</f>
        <v>#DIV/0!</v>
      </c>
      <c r="P2" s="59">
        <f>H2-N2</f>
        <v>0</v>
      </c>
      <c r="Q2" s="54" t="e">
        <f>P2/H2</f>
        <v>#DIV/0!</v>
      </c>
    </row>
    <row r="3" spans="1:17" x14ac:dyDescent="0.3">
      <c r="A3" s="55"/>
      <c r="B3" s="56"/>
      <c r="C3" s="56"/>
      <c r="D3" s="57">
        <f t="shared" ref="D3:F3" si="2">SUBTOTAL(9,D4:D500)</f>
        <v>0</v>
      </c>
      <c r="E3" s="57">
        <f t="shared" si="2"/>
        <v>0</v>
      </c>
      <c r="F3" s="57">
        <f t="shared" si="2"/>
        <v>0</v>
      </c>
      <c r="G3" s="57">
        <f>SUBTOTAL(9,G4:G500)</f>
        <v>0</v>
      </c>
      <c r="H3" s="57">
        <f>SUBTOTAL(9,H4:H500)</f>
        <v>0</v>
      </c>
      <c r="I3" s="62">
        <f>SUBTOTAL(9,I4:I500)</f>
        <v>0</v>
      </c>
      <c r="J3" s="62">
        <f t="shared" ref="J3:K3" si="3">SUBTOTAL(9,J4:J500)</f>
        <v>0</v>
      </c>
      <c r="K3" s="62">
        <f t="shared" si="3"/>
        <v>0</v>
      </c>
      <c r="L3" s="62">
        <f>SUBTOTAL(9,L4:L500)</f>
        <v>0</v>
      </c>
      <c r="M3" s="58" t="e">
        <f>L3/I3</f>
        <v>#DIV/0!</v>
      </c>
      <c r="N3" s="60">
        <f>SUBTOTAL(9,N4:N500)</f>
        <v>0</v>
      </c>
      <c r="O3" s="58" t="e">
        <f>+N3/H3</f>
        <v>#DIV/0!</v>
      </c>
      <c r="P3" s="60">
        <f>H3-N3</f>
        <v>0</v>
      </c>
      <c r="Q3" s="58" t="e">
        <f>P3/H3</f>
        <v>#DIV/0!</v>
      </c>
    </row>
    <row r="4" spans="1:17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</row>
    <row r="5" spans="1:17" x14ac:dyDescent="0.3">
      <c r="A5" s="36">
        <f>ROW()-4</f>
        <v>1</v>
      </c>
      <c r="B5" s="36">
        <f>Data3!B2</f>
        <v>0</v>
      </c>
      <c r="C5" s="36">
        <f>Data3!L2</f>
        <v>0</v>
      </c>
      <c r="D5" s="36">
        <f>H5-E5</f>
        <v>0</v>
      </c>
      <c r="E5" s="36">
        <f>Data3!D2</f>
        <v>0</v>
      </c>
      <c r="F5" s="36">
        <f>G5-H5</f>
        <v>0</v>
      </c>
      <c r="G5" s="36">
        <f>Data3!F2</f>
        <v>0</v>
      </c>
      <c r="H5" s="65">
        <f>Data3!G2</f>
        <v>0</v>
      </c>
      <c r="I5" s="63">
        <f>Data3!H2</f>
        <v>0</v>
      </c>
      <c r="J5" s="63">
        <f>Data3!M2</f>
        <v>0</v>
      </c>
      <c r="K5" s="63">
        <f>Data3!N2</f>
        <v>0</v>
      </c>
      <c r="L5" s="63">
        <f>Data3!I2</f>
        <v>0</v>
      </c>
      <c r="M5" s="64" t="e">
        <f>L5/I5</f>
        <v>#DIV/0!</v>
      </c>
      <c r="N5" s="65">
        <f>Data3!J2</f>
        <v>0</v>
      </c>
      <c r="O5" s="64" t="e">
        <f>N5/H5</f>
        <v>#DIV/0!</v>
      </c>
      <c r="P5" s="65">
        <f>Data3!K2</f>
        <v>0</v>
      </c>
      <c r="Q5" s="64" t="e">
        <f>P5/H5</f>
        <v>#DIV/0!</v>
      </c>
    </row>
  </sheetData>
  <autoFilter ref="A4:Q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1"/>
  <sheetViews>
    <sheetView topLeftCell="U1" workbookViewId="0">
      <selection activeCell="AQ1" sqref="AQ1"/>
    </sheetView>
  </sheetViews>
  <sheetFormatPr defaultRowHeight="14.4" x14ac:dyDescent="0.3"/>
  <cols>
    <col min="1" max="1" width="6.6640625" bestFit="1" customWidth="1"/>
    <col min="2" max="2" width="17.33203125" bestFit="1" customWidth="1"/>
    <col min="3" max="3" width="10.6640625" bestFit="1" customWidth="1"/>
    <col min="4" max="4" width="8.33203125" bestFit="1" customWidth="1"/>
    <col min="5" max="5" width="8.6640625" bestFit="1" customWidth="1"/>
    <col min="6" max="6" width="7.33203125" bestFit="1" customWidth="1"/>
    <col min="7" max="7" width="8.33203125" bestFit="1" customWidth="1"/>
    <col min="8" max="8" width="9.6640625" bestFit="1" customWidth="1"/>
    <col min="9" max="9" width="8.6640625" bestFit="1" customWidth="1"/>
    <col min="10" max="10" width="10.44140625" bestFit="1" customWidth="1"/>
    <col min="11" max="11" width="10.33203125" bestFit="1" customWidth="1"/>
    <col min="12" max="12" width="8.33203125" bestFit="1" customWidth="1"/>
    <col min="13" max="13" width="8.6640625" bestFit="1" customWidth="1"/>
    <col min="14" max="14" width="12.5546875" bestFit="1" customWidth="1"/>
    <col min="15" max="15" width="10.33203125" bestFit="1" customWidth="1"/>
    <col min="16" max="16" width="10" bestFit="1" customWidth="1"/>
    <col min="17" max="17" width="10.88671875" bestFit="1" customWidth="1"/>
    <col min="18" max="18" width="15" bestFit="1" customWidth="1"/>
    <col min="19" max="19" width="9.6640625" bestFit="1" customWidth="1"/>
    <col min="20" max="20" width="4" bestFit="1" customWidth="1"/>
    <col min="21" max="21" width="11.88671875" bestFit="1" customWidth="1"/>
    <col min="22" max="22" width="22" bestFit="1" customWidth="1"/>
    <col min="23" max="23" width="11.109375" bestFit="1" customWidth="1"/>
    <col min="24" max="24" width="18" bestFit="1" customWidth="1"/>
    <col min="25" max="25" width="13.6640625" bestFit="1" customWidth="1"/>
    <col min="26" max="26" width="8.33203125" bestFit="1" customWidth="1"/>
    <col min="27" max="27" width="10.33203125" bestFit="1" customWidth="1"/>
    <col min="28" max="28" width="14.5546875" bestFit="1" customWidth="1"/>
    <col min="29" max="29" width="17.5546875" bestFit="1" customWidth="1"/>
    <col min="30" max="30" width="17" bestFit="1" customWidth="1"/>
    <col min="31" max="31" width="7.33203125" bestFit="1" customWidth="1"/>
    <col min="32" max="32" width="8.33203125" bestFit="1" customWidth="1"/>
    <col min="33" max="33" width="8.44140625" bestFit="1" customWidth="1"/>
    <col min="34" max="34" width="13.33203125" bestFit="1" customWidth="1"/>
    <col min="35" max="35" width="10.88671875" bestFit="1" customWidth="1"/>
    <col min="36" max="36" width="7.44140625" bestFit="1" customWidth="1"/>
    <col min="37" max="37" width="7.109375" bestFit="1" customWidth="1"/>
    <col min="38" max="38" width="10.6640625" bestFit="1" customWidth="1"/>
    <col min="39" max="39" width="8" bestFit="1" customWidth="1"/>
    <col min="40" max="40" width="18.5546875" bestFit="1" customWidth="1"/>
    <col min="41" max="41" width="26.6640625" bestFit="1" customWidth="1"/>
    <col min="42" max="42" width="13.33203125" bestFit="1" customWidth="1"/>
    <col min="43" max="43" width="13.88671875" bestFit="1" customWidth="1"/>
    <col min="44" max="44" width="23.33203125" bestFit="1" customWidth="1"/>
    <col min="45" max="45" width="16.6640625" bestFit="1" customWidth="1"/>
    <col min="46" max="46" width="14.109375" bestFit="1" customWidth="1"/>
    <col min="47" max="47" width="18.33203125" bestFit="1" customWidth="1"/>
    <col min="48" max="48" width="17.5546875" bestFit="1" customWidth="1"/>
    <col min="49" max="49" width="12.109375" bestFit="1" customWidth="1"/>
  </cols>
  <sheetData>
    <row r="1" spans="1:49" x14ac:dyDescent="0.3">
      <c r="A1" s="33" t="s">
        <v>121</v>
      </c>
      <c r="B1" s="33" t="s">
        <v>151</v>
      </c>
      <c r="C1" s="33" t="s">
        <v>152</v>
      </c>
      <c r="D1" s="33" t="s">
        <v>153</v>
      </c>
      <c r="E1" s="33" t="s">
        <v>154</v>
      </c>
      <c r="F1" s="33" t="s">
        <v>120</v>
      </c>
      <c r="G1" s="33" t="s">
        <v>155</v>
      </c>
      <c r="H1" s="33" t="s">
        <v>156</v>
      </c>
      <c r="I1" s="33" t="s">
        <v>157</v>
      </c>
      <c r="J1" s="33" t="s">
        <v>158</v>
      </c>
      <c r="K1" s="33" t="s">
        <v>159</v>
      </c>
      <c r="L1" s="33" t="s">
        <v>160</v>
      </c>
      <c r="M1" s="33" t="s">
        <v>161</v>
      </c>
      <c r="N1" s="33" t="s">
        <v>162</v>
      </c>
      <c r="O1" s="33" t="s">
        <v>163</v>
      </c>
      <c r="P1" s="33" t="s">
        <v>164</v>
      </c>
      <c r="Q1" s="33" t="s">
        <v>165</v>
      </c>
      <c r="R1" s="33" t="s">
        <v>166</v>
      </c>
      <c r="S1" s="33" t="s">
        <v>167</v>
      </c>
      <c r="T1" s="33" t="s">
        <v>52</v>
      </c>
      <c r="U1" s="33" t="s">
        <v>168</v>
      </c>
      <c r="V1" s="33" t="s">
        <v>169</v>
      </c>
      <c r="W1" s="33" t="s">
        <v>170</v>
      </c>
      <c r="X1" s="33" t="s">
        <v>171</v>
      </c>
      <c r="Y1" s="33" t="s">
        <v>172</v>
      </c>
      <c r="Z1" s="33" t="s">
        <v>173</v>
      </c>
      <c r="AA1" s="33" t="s">
        <v>174</v>
      </c>
      <c r="AB1" s="33" t="s">
        <v>175</v>
      </c>
      <c r="AC1" s="33" t="s">
        <v>176</v>
      </c>
      <c r="AD1" s="33" t="s">
        <v>177</v>
      </c>
      <c r="AE1" s="33" t="s">
        <v>178</v>
      </c>
      <c r="AF1" s="33" t="s">
        <v>66</v>
      </c>
      <c r="AG1" s="33" t="s">
        <v>179</v>
      </c>
      <c r="AH1" s="33" t="s">
        <v>180</v>
      </c>
      <c r="AI1" s="33" t="s">
        <v>181</v>
      </c>
      <c r="AJ1" s="33" t="s">
        <v>182</v>
      </c>
      <c r="AK1" s="33" t="s">
        <v>183</v>
      </c>
      <c r="AL1" s="33" t="s">
        <v>184</v>
      </c>
      <c r="AM1" s="33" t="s">
        <v>185</v>
      </c>
      <c r="AN1" s="33" t="s">
        <v>186</v>
      </c>
      <c r="AO1" s="33" t="s">
        <v>187</v>
      </c>
      <c r="AP1" s="33" t="s">
        <v>126</v>
      </c>
      <c r="AQ1" s="33" t="s">
        <v>127</v>
      </c>
      <c r="AR1" s="33" t="s">
        <v>188</v>
      </c>
      <c r="AS1" s="33" t="s">
        <v>189</v>
      </c>
      <c r="AT1" s="33" t="s">
        <v>190</v>
      </c>
      <c r="AU1" s="33" t="s">
        <v>191</v>
      </c>
      <c r="AV1" s="33" t="s">
        <v>192</v>
      </c>
      <c r="AW1" s="33" t="s">
        <v>193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K1" workbookViewId="0">
      <selection activeCell="K1" sqref="A1:XFD1048576"/>
    </sheetView>
  </sheetViews>
  <sheetFormatPr defaultRowHeight="14.4" x14ac:dyDescent="0.3"/>
  <cols>
    <col min="1" max="1" width="9.88671875" bestFit="1" customWidth="1"/>
    <col min="2" max="2" width="58.33203125" bestFit="1" customWidth="1"/>
    <col min="3" max="3" width="10.5546875" bestFit="1" customWidth="1"/>
    <col min="4" max="4" width="17.6640625" bestFit="1" customWidth="1"/>
    <col min="5" max="5" width="9.44140625" bestFit="1" customWidth="1"/>
    <col min="6" max="6" width="17.44140625" bestFit="1" customWidth="1"/>
    <col min="7" max="7" width="14" bestFit="1" customWidth="1"/>
    <col min="8" max="8" width="12" bestFit="1" customWidth="1"/>
    <col min="9" max="9" width="15.44140625" bestFit="1" customWidth="1"/>
    <col min="10" max="10" width="15.5546875" bestFit="1" customWidth="1"/>
    <col min="11" max="11" width="17.5546875" bestFit="1" customWidth="1"/>
    <col min="12" max="12" width="15.44140625" bestFit="1" customWidth="1"/>
    <col min="13" max="13" width="23" bestFit="1" customWidth="1"/>
    <col min="14" max="14" width="16.109375" bestFit="1" customWidth="1"/>
    <col min="15" max="15" width="20.66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>
      <selection activeCell="P24" sqref="P24"/>
    </sheetView>
  </sheetViews>
  <sheetFormatPr defaultRowHeight="14.4" x14ac:dyDescent="0.3"/>
  <sheetData>
    <row r="1" spans="1:2" x14ac:dyDescent="0.3">
      <c r="A1" s="33"/>
      <c r="B1" s="33"/>
    </row>
    <row r="2" spans="1:2" x14ac:dyDescent="0.3">
      <c r="A2" s="33"/>
      <c r="B2" s="33"/>
    </row>
    <row r="3" spans="1:2" x14ac:dyDescent="0.3">
      <c r="A3" s="33"/>
      <c r="B3" s="33"/>
    </row>
    <row r="4" spans="1:2" x14ac:dyDescent="0.3">
      <c r="A4" s="33"/>
      <c r="B4" s="33"/>
    </row>
    <row r="5" spans="1:2" x14ac:dyDescent="0.3">
      <c r="A5" s="33"/>
      <c r="B5" s="3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"/>
  <sheetViews>
    <sheetView workbookViewId="0">
      <selection activeCell="A2" sqref="A2:XFD13"/>
    </sheetView>
  </sheetViews>
  <sheetFormatPr defaultRowHeight="14.4" x14ac:dyDescent="0.3"/>
  <cols>
    <col min="1" max="1" width="9.6640625" bestFit="1" customWidth="1"/>
    <col min="2" max="2" width="7.88671875" bestFit="1" customWidth="1"/>
    <col min="4" max="4" width="23.5546875" bestFit="1" customWidth="1"/>
    <col min="5" max="5" width="12" bestFit="1" customWidth="1"/>
    <col min="6" max="6" width="15.44140625" bestFit="1" customWidth="1"/>
    <col min="7" max="7" width="23" bestFit="1" customWidth="1"/>
    <col min="8" max="8" width="14.109375" bestFit="1" customWidth="1"/>
    <col min="9" max="9" width="15.33203125" bestFit="1" customWidth="1"/>
  </cols>
  <sheetData>
    <row r="1" spans="1:10" x14ac:dyDescent="0.3">
      <c r="A1" s="33" t="s">
        <v>119</v>
      </c>
      <c r="B1" s="33" t="s">
        <v>120</v>
      </c>
      <c r="C1" s="33" t="s">
        <v>121</v>
      </c>
      <c r="D1" s="33" t="s">
        <v>122</v>
      </c>
      <c r="E1" s="33" t="s">
        <v>123</v>
      </c>
      <c r="F1" s="33" t="s">
        <v>124</v>
      </c>
      <c r="G1" s="33" t="s">
        <v>125</v>
      </c>
      <c r="H1" s="33" t="s">
        <v>126</v>
      </c>
      <c r="I1" s="33" t="s">
        <v>127</v>
      </c>
      <c r="J1" s="33" t="s">
        <v>128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"/>
  <sheetViews>
    <sheetView zoomScale="130" zoomScaleNormal="130" workbookViewId="0">
      <selection activeCell="J10" sqref="J10"/>
    </sheetView>
  </sheetViews>
  <sheetFormatPr defaultRowHeight="14.4" x14ac:dyDescent="0.3"/>
  <sheetData>
    <row r="1" spans="1:16" ht="42" x14ac:dyDescent="0.3">
      <c r="A1" s="208" t="s">
        <v>0</v>
      </c>
      <c r="B1" s="130" t="s">
        <v>1</v>
      </c>
      <c r="C1" s="209"/>
      <c r="D1" s="130" t="s">
        <v>4</v>
      </c>
      <c r="E1" s="130" t="s">
        <v>117</v>
      </c>
      <c r="F1" s="130" t="s">
        <v>5</v>
      </c>
      <c r="G1" s="130" t="s">
        <v>3</v>
      </c>
      <c r="H1" s="130" t="s">
        <v>6</v>
      </c>
      <c r="I1" s="165" t="s">
        <v>7</v>
      </c>
      <c r="J1" s="210" t="s">
        <v>118</v>
      </c>
      <c r="K1" s="211" t="s">
        <v>20</v>
      </c>
      <c r="L1" s="130" t="s">
        <v>2</v>
      </c>
      <c r="M1" s="130" t="s">
        <v>8</v>
      </c>
      <c r="N1" s="130" t="s">
        <v>9</v>
      </c>
      <c r="O1" s="130" t="s">
        <v>10</v>
      </c>
      <c r="P1" s="130" t="s">
        <v>11</v>
      </c>
    </row>
    <row r="2" spans="1:16" x14ac:dyDescent="0.3">
      <c r="A2" s="215"/>
      <c r="B2" s="216" t="s">
        <v>15</v>
      </c>
      <c r="C2" s="216"/>
      <c r="D2" s="217">
        <f>SUM(D4:D3001)</f>
        <v>0</v>
      </c>
      <c r="E2" s="218">
        <f>SUM(E4:E3001)</f>
        <v>0</v>
      </c>
      <c r="F2" s="218">
        <f>SUM(F4:F3001)</f>
        <v>0</v>
      </c>
      <c r="G2" s="219">
        <v>1</v>
      </c>
      <c r="H2" s="218">
        <f>F2-E2</f>
        <v>0</v>
      </c>
      <c r="I2" s="220" t="e">
        <f>((F2-E2)/E2)</f>
        <v>#DIV/0!</v>
      </c>
      <c r="J2" s="221">
        <f>F2-E2-M2-N2-O2-P2</f>
        <v>0</v>
      </c>
      <c r="K2" s="222" t="e">
        <f>((F2-E2-M2-N2-O2-P2)/E2)</f>
        <v>#DIV/0!</v>
      </c>
      <c r="L2" s="219">
        <v>1</v>
      </c>
      <c r="M2" s="223">
        <f>SUM(M4:M3001)</f>
        <v>0</v>
      </c>
      <c r="N2" s="218">
        <f>SUM(N4:N3001)</f>
        <v>0</v>
      </c>
      <c r="O2" s="218">
        <f>SUM(O4:O3001)</f>
        <v>0</v>
      </c>
      <c r="P2" s="218">
        <f>SUM(P4:P3001)</f>
        <v>0</v>
      </c>
    </row>
    <row r="3" spans="1:16" x14ac:dyDescent="0.3">
      <c r="A3" s="36"/>
      <c r="B3" s="161"/>
      <c r="C3" s="161"/>
      <c r="D3" s="191"/>
      <c r="E3" s="195"/>
      <c r="F3" s="196"/>
      <c r="G3" s="192"/>
      <c r="H3" s="196"/>
      <c r="I3" s="193"/>
      <c r="J3" s="197"/>
      <c r="K3" s="194"/>
      <c r="L3" s="192"/>
      <c r="M3" s="196"/>
      <c r="N3" s="196"/>
      <c r="O3" s="196"/>
      <c r="P3" s="198"/>
    </row>
    <row r="4" spans="1:16" x14ac:dyDescent="0.3">
      <c r="A4" s="146">
        <f>ROW()-3</f>
        <v>1</v>
      </c>
      <c r="B4" s="159">
        <f>Data6!B2</f>
        <v>0</v>
      </c>
      <c r="C4" s="180">
        <f>Data6!J2</f>
        <v>0</v>
      </c>
      <c r="D4" s="131">
        <f>Data6!D2</f>
        <v>0</v>
      </c>
      <c r="E4" s="147">
        <f>Data6!E2</f>
        <v>0</v>
      </c>
      <c r="F4" s="147">
        <f>Data6!F2</f>
        <v>0</v>
      </c>
      <c r="G4" s="199" t="e">
        <f>F4/$F$2</f>
        <v>#DIV/0!</v>
      </c>
      <c r="H4" s="147">
        <f>F4-E4</f>
        <v>0</v>
      </c>
      <c r="I4" s="200" t="e">
        <f>((F4-E4) / E4)</f>
        <v>#DIV/0!</v>
      </c>
      <c r="J4" s="201">
        <f>F4-E4-M4-N4-O4-P4</f>
        <v>0</v>
      </c>
      <c r="K4" s="199" t="e">
        <f>((F4-E4-M4-N4-O4-P4) / E4)</f>
        <v>#DIV/0!</v>
      </c>
      <c r="L4" s="202" t="e">
        <f>J4/$J$2</f>
        <v>#DIV/0!</v>
      </c>
      <c r="M4" s="156">
        <f>Data6!G2</f>
        <v>0</v>
      </c>
      <c r="N4" s="147">
        <f>(E4 * 1.25) /100</f>
        <v>0</v>
      </c>
      <c r="O4" s="147">
        <f>Data6!H2</f>
        <v>0</v>
      </c>
      <c r="P4" s="147">
        <f>Data6!I2</f>
        <v>0</v>
      </c>
    </row>
  </sheetData>
  <autoFilter ref="A3:P3">
    <sortState ref="A4:P4">
      <sortCondition descending="1" ref="L3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"/>
  <sheetViews>
    <sheetView workbookViewId="0">
      <selection activeCell="G4" sqref="G4"/>
    </sheetView>
  </sheetViews>
  <sheetFormatPr defaultRowHeight="14.4" x14ac:dyDescent="0.3"/>
  <sheetData>
    <row r="1" spans="1:16" ht="42" x14ac:dyDescent="0.3">
      <c r="A1" s="203" t="s">
        <v>0</v>
      </c>
      <c r="B1" s="189" t="s">
        <v>1</v>
      </c>
      <c r="C1" s="204"/>
      <c r="D1" s="189" t="s">
        <v>4</v>
      </c>
      <c r="E1" s="189" t="s">
        <v>117</v>
      </c>
      <c r="F1" s="189" t="s">
        <v>5</v>
      </c>
      <c r="G1" s="189" t="s">
        <v>3</v>
      </c>
      <c r="H1" s="189" t="s">
        <v>6</v>
      </c>
      <c r="I1" s="205" t="s">
        <v>7</v>
      </c>
      <c r="J1" s="206" t="s">
        <v>118</v>
      </c>
      <c r="K1" s="207" t="s">
        <v>20</v>
      </c>
      <c r="L1" s="189" t="s">
        <v>2</v>
      </c>
      <c r="M1" s="189" t="s">
        <v>8</v>
      </c>
      <c r="N1" s="189" t="s">
        <v>9</v>
      </c>
      <c r="O1" s="189" t="s">
        <v>10</v>
      </c>
      <c r="P1" s="189" t="s">
        <v>11</v>
      </c>
    </row>
    <row r="2" spans="1:16" x14ac:dyDescent="0.3">
      <c r="A2" s="178"/>
      <c r="B2" s="134" t="s">
        <v>15</v>
      </c>
      <c r="C2" s="134"/>
      <c r="D2" s="135">
        <f>SUM(D4:D3001)</f>
        <v>0</v>
      </c>
      <c r="E2" s="212">
        <f>SUM(E4:E3001)</f>
        <v>0</v>
      </c>
      <c r="F2" s="212">
        <f>SUM(F4:F3001)</f>
        <v>0</v>
      </c>
      <c r="G2" s="138">
        <v>1</v>
      </c>
      <c r="H2" s="212">
        <f>F2-E2</f>
        <v>0</v>
      </c>
      <c r="I2" s="139" t="e">
        <f>((F2-E2)/E2)</f>
        <v>#DIV/0!</v>
      </c>
      <c r="J2" s="213">
        <f>F2-E2-M2-N2-O2-P2</f>
        <v>0</v>
      </c>
      <c r="K2" s="141" t="e">
        <f>((F2-E2-M2-N2-O2-P2)/E2)</f>
        <v>#DIV/0!</v>
      </c>
      <c r="L2" s="138">
        <v>1</v>
      </c>
      <c r="M2" s="214">
        <f>SUM(M4:M3001)</f>
        <v>0</v>
      </c>
      <c r="N2" s="212">
        <f>SUM(N4:N3001)</f>
        <v>0</v>
      </c>
      <c r="O2" s="212">
        <f>SUM(O4:O3001)</f>
        <v>0</v>
      </c>
      <c r="P2" s="212">
        <f>SUM(P4:P3001)</f>
        <v>0</v>
      </c>
    </row>
    <row r="3" spans="1:16" x14ac:dyDescent="0.3">
      <c r="A3" s="36"/>
      <c r="B3" s="161"/>
      <c r="C3" s="161"/>
      <c r="D3" s="191"/>
      <c r="E3" s="195"/>
      <c r="F3" s="196"/>
      <c r="G3" s="192"/>
      <c r="H3" s="196"/>
      <c r="I3" s="193"/>
      <c r="J3" s="197"/>
      <c r="K3" s="194"/>
      <c r="L3" s="192"/>
      <c r="M3" s="196"/>
      <c r="N3" s="196"/>
      <c r="O3" s="196"/>
      <c r="P3" s="198"/>
    </row>
    <row r="4" spans="1:16" x14ac:dyDescent="0.3">
      <c r="A4" s="146">
        <f>ROW()-3</f>
        <v>1</v>
      </c>
      <c r="B4" s="159">
        <f>Data6!B2</f>
        <v>0</v>
      </c>
      <c r="C4" s="180">
        <f>Data6!J2</f>
        <v>0</v>
      </c>
      <c r="D4" s="131">
        <f>Data6!D2</f>
        <v>0</v>
      </c>
      <c r="E4" s="147">
        <f>Data6!E2</f>
        <v>0</v>
      </c>
      <c r="F4" s="147">
        <f>Data6!F2</f>
        <v>0</v>
      </c>
      <c r="G4" s="199" t="e">
        <f>F4/$F$2</f>
        <v>#DIV/0!</v>
      </c>
      <c r="H4" s="147">
        <f>F4-E4</f>
        <v>0</v>
      </c>
      <c r="I4" s="200" t="e">
        <f>((F4-E4) / E4)</f>
        <v>#DIV/0!</v>
      </c>
      <c r="J4" s="201">
        <f>F4-E4-M4-N4-O4-P4</f>
        <v>0</v>
      </c>
      <c r="K4" s="199" t="e">
        <f>((F4-E4-M4-N4-O4-P4) / E4)</f>
        <v>#DIV/0!</v>
      </c>
      <c r="L4" s="202" t="e">
        <f>J4/$J$2</f>
        <v>#DIV/0!</v>
      </c>
      <c r="M4" s="156">
        <f>Data6!G2</f>
        <v>0</v>
      </c>
      <c r="N4" s="147">
        <f>(E4 * 1.25) /100</f>
        <v>0</v>
      </c>
      <c r="O4" s="147">
        <f>Data6!H2</f>
        <v>0</v>
      </c>
      <c r="P4" s="147">
        <f>Data6!I2</f>
        <v>0</v>
      </c>
    </row>
  </sheetData>
  <autoFilter ref="A3:P3">
    <sortState ref="A4:P4">
      <sortCondition descending="1" ref="G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EurofarPriceOverview</vt:lpstr>
      <vt:lpstr>MI</vt:lpstr>
      <vt:lpstr>MarginCustomer</vt:lpstr>
      <vt:lpstr>MarginConclusion </vt:lpstr>
      <vt:lpstr>Supplier</vt:lpstr>
      <vt:lpstr>Data1</vt:lpstr>
      <vt:lpstr>Data2</vt:lpstr>
      <vt:lpstr>Data3</vt:lpstr>
      <vt:lpstr>Data4</vt:lpstr>
      <vt:lpstr>Data5</vt:lpstr>
      <vt:lpstr>Data6</vt:lpstr>
      <vt:lpstr>CA</vt:lpstr>
      <vt:lpstr>CB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2019-11-04T04:13:31Z</dcterms:modified>
</cp:coreProperties>
</file>