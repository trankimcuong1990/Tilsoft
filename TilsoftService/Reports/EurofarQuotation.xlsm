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FURNINDO\TILSOFTv1\SOLUTION\TilsoftService\Reports\"/>
    </mc:Choice>
  </mc:AlternateContent>
  <bookViews>
    <workbookView xWindow="240" yWindow="15" windowWidth="15480" windowHeight="8130"/>
  </bookViews>
  <sheets>
    <sheet name="Quotation" sheetId="1" r:id="rId1"/>
  </sheets>
  <definedNames>
    <definedName name="_xlnm.Print_Area" localSheetId="0">Quotation!$B$1:$P$10</definedName>
    <definedName name="_xlnm.Print_Titles" localSheetId="0">Quotation!$1:$10</definedName>
  </definedNames>
  <calcPr calcId="152511"/>
</workbook>
</file>

<file path=xl/calcChain.xml><?xml version="1.0" encoding="utf-8"?>
<calcChain xmlns="http://schemas.openxmlformats.org/spreadsheetml/2006/main">
  <c r="K10" i="1" l="1"/>
  <c r="K9" i="1"/>
  <c r="H10" i="1"/>
  <c r="H9" i="1"/>
  <c r="G10" i="1"/>
  <c r="G9" i="1"/>
  <c r="O2" i="1"/>
</calcChain>
</file>

<file path=xl/connections.xml><?xml version="1.0" encoding="utf-8"?>
<connections xmlns="http://schemas.openxmlformats.org/spreadsheetml/2006/main">
  <connection id="1" name="tmp4AE6" type="4" refreshedVersion="0" background="1">
    <webPr xml="1" sourceData="1" url="C:\Users\my.nguyen\AppData\Local\Temp\tmp4AE6.xml" htmlTables="1" htmlFormat="all"/>
  </connection>
</connections>
</file>

<file path=xl/sharedStrings.xml><?xml version="1.0" encoding="utf-8"?>
<sst xmlns="http://schemas.openxmlformats.org/spreadsheetml/2006/main" count="49" uniqueCount="49">
  <si>
    <t>LDS</t>
  </si>
  <si>
    <t>ART. CODE</t>
  </si>
  <si>
    <t>ART. DESCRIPTION</t>
  </si>
  <si>
    <t>ORDER NO.</t>
  </si>
  <si>
    <t>CLIENT ID</t>
  </si>
  <si>
    <t>STATUS</t>
  </si>
  <si>
    <t>QTY IN CONT.</t>
  </si>
  <si>
    <t>QTY IN 40FT</t>
  </si>
  <si>
    <t>ORDER QTY</t>
  </si>
  <si>
    <t>PRICE QUOTATION</t>
  </si>
  <si>
    <t>REMARK</t>
  </si>
  <si>
    <t>DATE:</t>
  </si>
  <si>
    <t>VERSION:</t>
  </si>
  <si>
    <t>TERMS OF DELIVERY:</t>
  </si>
  <si>
    <t>TERMS OF PAYMENT:</t>
  </si>
  <si>
    <t>TARGET PRICE EUROFAR</t>
  </si>
  <si>
    <t>ORIGIN</t>
  </si>
  <si>
    <t>AMOUNT                        USD</t>
  </si>
  <si>
    <t>PRODUCT LOCATION</t>
  </si>
  <si>
    <t>NO.:</t>
  </si>
  <si>
    <t>PRICE STATUS</t>
  </si>
  <si>
    <t>QUALITY</t>
  </si>
  <si>
    <t>FOB IN USD (COMPANY)</t>
  </si>
  <si>
    <t>FOB IN USD (BREAKDOWN)</t>
  </si>
  <si>
    <t>001/2015-2016</t>
  </si>
  <si>
    <t>5</t>
  </si>
  <si>
    <t>FOB DA NANG, VIETNAM</t>
  </si>
  <si>
    <t>DP 30%, 70% CASH AGAINST DOC</t>
  </si>
  <si>
    <t>ns2:FactoryOrderUD</t>
  </si>
  <si>
    <t>ns2:ClientUD</t>
  </si>
  <si>
    <t>ns2:ArticleCode</t>
  </si>
  <si>
    <t>ns2:Description</t>
  </si>
  <si>
    <t>ns2:Qnt40HC</t>
  </si>
  <si>
    <t>ns2:OrderQnt</t>
  </si>
  <si>
    <t>ns2:OrderQnt40HC</t>
  </si>
  <si>
    <t>ns2:PriceDifferenceCode</t>
  </si>
  <si>
    <t>ns2:SalePrice</t>
  </si>
  <si>
    <t>ns2:Amount</t>
  </si>
  <si>
    <t>ns2:ManufacturerCountryNM</t>
  </si>
  <si>
    <t>ns2:FactoryUD</t>
  </si>
  <si>
    <t>ns2:Remark</t>
  </si>
  <si>
    <t>ns2:ProductionStatus</t>
  </si>
  <si>
    <t>ns2:LDS</t>
  </si>
  <si>
    <t>ns2:QuotationStatusNM</t>
  </si>
  <si>
    <t>ns2:TargetPrice</t>
  </si>
  <si>
    <t>ns2:BreakDownPrice</t>
  </si>
  <si>
    <t>ns2:Price</t>
  </si>
  <si>
    <t>PRICE</t>
  </si>
  <si>
    <t>ns2:QuotationDetailID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</si>
</sst>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-* #,##0.00_-;_-* #,##0.00\-;_-* &quot;-&quot;??_-;_-@_-"/>
    <numFmt numFmtId="165" formatCode="_-* #,##0_-;\-* #,##0_-;_-* &quot;-&quot;??_-;_-@_-"/>
    <numFmt numFmtId="166" formatCode="dd/mm/yy;@"/>
    <numFmt numFmtId="167" formatCode="_-* #,##0\ _B_F_-;\-* #,##0\ _B_F_-;_-* &quot;-&quot;\ _B_F_-;_-@_-"/>
    <numFmt numFmtId="168" formatCode="_-* #,##0_-;\-* #,##0_-;_-* &quot;-&quot;_-;_-@_-"/>
    <numFmt numFmtId="169" formatCode="#,##0\ &quot;DM&quot;;\-#,##0\ &quot;DM&quot;"/>
    <numFmt numFmtId="170" formatCode="0.000%"/>
    <numFmt numFmtId="171" formatCode="&quot;￥&quot;#,##0;&quot;￥&quot;\-#,##0"/>
    <numFmt numFmtId="172" formatCode="00.000"/>
    <numFmt numFmtId="173" formatCode="_-&quot;F&quot;* #,##0_-;\-&quot;F&quot;* #,##0_-;_-&quot;F&quot;* &quot;-&quot;_-;_-@_-"/>
    <numFmt numFmtId="174" formatCode="#,##0\ &quot;F&quot;;[Red]\-#,##0\ &quot;F&quot;"/>
    <numFmt numFmtId="175" formatCode="_-&quot;F&quot;* #,##0.00_-;\-&quot;F&quot;* #,##0.00_-;_-&quot;F&quot;* &quot;-&quot;??_-;_-@_-"/>
    <numFmt numFmtId="176" formatCode="[$-409]d\-mmm\-yyyy;@"/>
    <numFmt numFmtId="177" formatCode="_-[$$-409]* #,##0.00_ ;_-[$$-409]* \-#,##0.00\ ;_-[$$-409]* &quot;-&quot;??_ ;_-@_ "/>
    <numFmt numFmtId="178" formatCode="#,##0.00_ ;\-#,##0.00\ 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7D3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0">
    <xf numFmtId="167" fontId="0" fillId="0" borderId="0" applyFill="0" applyBorder="0" applyAlignment="0" applyProtection="0"/>
    <xf numFmtId="164" fontId="1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164" fontId="1" fillId="0" borderId="0" applyFont="0" applyFill="0" applyBorder="0" applyAlignment="0" applyProtection="0"/>
    <xf numFmtId="0" fontId="4" fillId="0" borderId="0" applyNumberFormat="0" applyFont="0" applyFill="0" applyAlignment="0"/>
    <xf numFmtId="0" fontId="16" fillId="0" borderId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169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11" fillId="0" borderId="0"/>
    <xf numFmtId="0" fontId="3" fillId="0" borderId="0" applyProtection="0"/>
    <xf numFmtId="168" fontId="8" fillId="0" borderId="0" applyFont="0" applyFill="0" applyBorder="0" applyAlignment="0" applyProtection="0"/>
    <xf numFmtId="40" fontId="9" fillId="0" borderId="0" applyFont="0" applyFill="0" applyBorder="0" applyAlignment="0" applyProtection="0"/>
    <xf numFmtId="173" fontId="8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8" fillId="0" borderId="0" applyFont="0" applyFill="0" applyBorder="0" applyAlignment="0" applyProtection="0"/>
  </cellStyleXfs>
  <cellXfs count="97">
    <xf numFmtId="0" fontId="0" fillId="0" borderId="0" xfId="0" applyNumberFormat="1"/>
    <xf numFmtId="0" fontId="17" fillId="0" borderId="0" xfId="0" applyNumberFormat="1" applyFont="1" applyAlignment="1">
      <alignment vertical="center"/>
    </xf>
    <xf numFmtId="49" fontId="17" fillId="0" borderId="0" xfId="0" applyNumberFormat="1" applyFont="1" applyAlignment="1">
      <alignment horizontal="center" vertical="center" wrapText="1"/>
    </xf>
    <xf numFmtId="166" fontId="17" fillId="0" borderId="0" xfId="0" applyNumberFormat="1" applyFont="1" applyAlignment="1">
      <alignment horizontal="center" vertical="center"/>
    </xf>
    <xf numFmtId="0" fontId="18" fillId="0" borderId="0" xfId="0" applyNumberFormat="1" applyFont="1" applyAlignment="1">
      <alignment vertical="center"/>
    </xf>
    <xf numFmtId="164" fontId="17" fillId="0" borderId="0" xfId="1" applyFont="1" applyAlignment="1">
      <alignment vertical="center"/>
    </xf>
    <xf numFmtId="0" fontId="17" fillId="0" borderId="0" xfId="0" applyNumberFormat="1" applyFont="1" applyBorder="1" applyAlignment="1">
      <alignment vertical="center"/>
    </xf>
    <xf numFmtId="49" fontId="17" fillId="0" borderId="0" xfId="0" applyNumberFormat="1" applyFont="1" applyBorder="1" applyAlignment="1">
      <alignment horizontal="center" vertical="center" wrapText="1"/>
    </xf>
    <xf numFmtId="166" fontId="17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vertical="center"/>
    </xf>
    <xf numFmtId="164" fontId="17" fillId="0" borderId="0" xfId="1" applyFont="1" applyBorder="1" applyAlignment="1">
      <alignment vertical="center"/>
    </xf>
    <xf numFmtId="0" fontId="17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vertical="center"/>
    </xf>
    <xf numFmtId="167" fontId="17" fillId="0" borderId="0" xfId="0" applyNumberFormat="1" applyFont="1" applyBorder="1" applyAlignment="1">
      <alignment vertical="center" wrapText="1"/>
    </xf>
    <xf numFmtId="164" fontId="17" fillId="0" borderId="0" xfId="1" applyFont="1" applyBorder="1" applyAlignment="1">
      <alignment vertical="center" wrapText="1"/>
    </xf>
    <xf numFmtId="167" fontId="17" fillId="0" borderId="0" xfId="0" applyNumberFormat="1" applyFont="1" applyFill="1" applyBorder="1" applyAlignment="1">
      <alignment vertical="center" wrapText="1"/>
    </xf>
    <xf numFmtId="14" fontId="17" fillId="0" borderId="0" xfId="0" applyNumberFormat="1" applyFont="1" applyBorder="1" applyAlignment="1">
      <alignment vertical="center" wrapText="1"/>
    </xf>
    <xf numFmtId="165" fontId="20" fillId="0" borderId="0" xfId="1" applyNumberFormat="1" applyFont="1" applyFill="1" applyBorder="1" applyAlignment="1">
      <alignment vertical="center" wrapText="1"/>
    </xf>
    <xf numFmtId="165" fontId="19" fillId="0" borderId="0" xfId="1" applyNumberFormat="1" applyFont="1" applyBorder="1" applyAlignment="1">
      <alignment vertical="center" wrapText="1"/>
    </xf>
    <xf numFmtId="164" fontId="18" fillId="0" borderId="0" xfId="1" applyFont="1" applyBorder="1" applyAlignment="1">
      <alignment vertical="center" wrapText="1"/>
    </xf>
    <xf numFmtId="1" fontId="17" fillId="0" borderId="0" xfId="0" applyNumberFormat="1" applyFont="1" applyBorder="1" applyAlignment="1">
      <alignment horizontal="center" vertical="center" wrapText="1"/>
    </xf>
    <xf numFmtId="0" fontId="18" fillId="0" borderId="0" xfId="0" applyNumberFormat="1" applyFont="1" applyFill="1" applyBorder="1" applyAlignment="1">
      <alignment vertical="center" wrapText="1"/>
    </xf>
    <xf numFmtId="0" fontId="17" fillId="0" borderId="0" xfId="0" applyNumberFormat="1" applyFont="1" applyFill="1" applyBorder="1" applyAlignment="1">
      <alignment vertical="center"/>
    </xf>
    <xf numFmtId="14" fontId="17" fillId="0" borderId="0" xfId="0" applyNumberFormat="1" applyFont="1" applyBorder="1" applyAlignment="1">
      <alignment vertical="center"/>
    </xf>
    <xf numFmtId="0" fontId="21" fillId="0" borderId="0" xfId="0" applyNumberFormat="1" applyFont="1" applyAlignment="1">
      <alignment vertical="center"/>
    </xf>
    <xf numFmtId="0" fontId="22" fillId="0" borderId="0" xfId="0" applyNumberFormat="1" applyFont="1" applyAlignment="1">
      <alignment vertical="center"/>
    </xf>
    <xf numFmtId="0" fontId="23" fillId="4" borderId="3" xfId="0" applyNumberFormat="1" applyFont="1" applyFill="1" applyBorder="1" applyAlignment="1">
      <alignment vertical="center" wrapText="1"/>
    </xf>
    <xf numFmtId="15" fontId="23" fillId="4" borderId="3" xfId="0" applyNumberFormat="1" applyFont="1" applyFill="1" applyBorder="1" applyAlignment="1">
      <alignment vertical="center" wrapText="1"/>
    </xf>
    <xf numFmtId="164" fontId="26" fillId="0" borderId="4" xfId="1" applyFont="1" applyFill="1" applyBorder="1" applyAlignment="1">
      <alignment vertical="center"/>
    </xf>
    <xf numFmtId="14" fontId="26" fillId="0" borderId="5" xfId="0" applyNumberFormat="1" applyFont="1" applyFill="1" applyBorder="1" applyAlignment="1">
      <alignment horizontal="center" vertical="center"/>
    </xf>
    <xf numFmtId="164" fontId="26" fillId="0" borderId="7" xfId="1" applyFont="1" applyFill="1" applyBorder="1" applyAlignment="1">
      <alignment vertical="center"/>
    </xf>
    <xf numFmtId="14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center" vertical="center"/>
    </xf>
    <xf numFmtId="167" fontId="27" fillId="0" borderId="0" xfId="8" applyFont="1" applyFill="1" applyBorder="1" applyAlignment="1">
      <alignment horizontal="center" vertical="center" wrapText="1"/>
    </xf>
    <xf numFmtId="164" fontId="26" fillId="0" borderId="9" xfId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horizontal="center" vertical="center"/>
    </xf>
    <xf numFmtId="164" fontId="28" fillId="0" borderId="0" xfId="1" applyFont="1" applyFill="1" applyAlignment="1">
      <alignment vertical="center"/>
    </xf>
    <xf numFmtId="0" fontId="19" fillId="5" borderId="12" xfId="0" applyNumberFormat="1" applyFont="1" applyFill="1" applyBorder="1" applyAlignment="1">
      <alignment horizontal="center" vertical="center" wrapText="1"/>
    </xf>
    <xf numFmtId="164" fontId="19" fillId="5" borderId="12" xfId="1" applyFont="1" applyFill="1" applyBorder="1" applyAlignment="1">
      <alignment horizontal="center" vertical="center" wrapText="1"/>
    </xf>
    <xf numFmtId="0" fontId="19" fillId="5" borderId="12" xfId="0" applyNumberFormat="1" applyFont="1" applyFill="1" applyBorder="1" applyAlignment="1">
      <alignment horizontal="center" vertical="center" wrapText="1" shrinkToFit="1"/>
    </xf>
    <xf numFmtId="49" fontId="19" fillId="5" borderId="12" xfId="0" applyNumberFormat="1" applyFont="1" applyFill="1" applyBorder="1" applyAlignment="1">
      <alignment horizontal="center" vertical="center" wrapText="1"/>
    </xf>
    <xf numFmtId="14" fontId="19" fillId="5" borderId="12" xfId="0" applyNumberFormat="1" applyFont="1" applyFill="1" applyBorder="1" applyAlignment="1">
      <alignment horizontal="center" vertical="center" wrapText="1"/>
    </xf>
    <xf numFmtId="0" fontId="23" fillId="4" borderId="3" xfId="0" applyNumberFormat="1" applyFont="1" applyFill="1" applyBorder="1" applyAlignment="1">
      <alignment horizontal="right" vertical="center"/>
    </xf>
    <xf numFmtId="15" fontId="23" fillId="4" borderId="3" xfId="0" applyNumberFormat="1" applyFont="1" applyFill="1" applyBorder="1" applyAlignment="1">
      <alignment horizontal="right" vertical="center"/>
    </xf>
    <xf numFmtId="0" fontId="24" fillId="5" borderId="12" xfId="0" applyNumberFormat="1" applyFont="1" applyFill="1" applyBorder="1" applyAlignment="1">
      <alignment horizontal="right" vertical="center"/>
    </xf>
    <xf numFmtId="0" fontId="19" fillId="5" borderId="12" xfId="0" applyNumberFormat="1" applyFont="1" applyFill="1" applyBorder="1" applyAlignment="1">
      <alignment horizontal="right" vertical="center"/>
    </xf>
    <xf numFmtId="176" fontId="19" fillId="5" borderId="12" xfId="0" applyNumberFormat="1" applyFont="1" applyFill="1" applyBorder="1" applyAlignment="1">
      <alignment horizontal="center" vertical="center" wrapText="1"/>
    </xf>
    <xf numFmtId="167" fontId="17" fillId="0" borderId="16" xfId="0" applyNumberFormat="1" applyFont="1" applyFill="1" applyBorder="1" applyAlignment="1">
      <alignment vertical="center" wrapText="1"/>
    </xf>
    <xf numFmtId="167" fontId="17" fillId="0" borderId="12" xfId="0" applyNumberFormat="1" applyFont="1" applyBorder="1" applyAlignment="1">
      <alignment vertical="center" wrapText="1"/>
    </xf>
    <xf numFmtId="49" fontId="17" fillId="0" borderId="12" xfId="0" applyNumberFormat="1" applyFont="1" applyBorder="1" applyAlignment="1">
      <alignment horizontal="center" vertical="center" wrapText="1"/>
    </xf>
    <xf numFmtId="1" fontId="17" fillId="0" borderId="12" xfId="0" applyNumberFormat="1" applyFont="1" applyBorder="1" applyAlignment="1">
      <alignment horizontal="center" vertical="center" wrapText="1"/>
    </xf>
    <xf numFmtId="14" fontId="17" fillId="0" borderId="12" xfId="0" applyNumberFormat="1" applyFont="1" applyBorder="1" applyAlignment="1">
      <alignment vertical="center" wrapText="1"/>
    </xf>
    <xf numFmtId="164" fontId="17" fillId="0" borderId="12" xfId="1" applyFont="1" applyBorder="1" applyAlignment="1">
      <alignment vertical="center" wrapText="1"/>
    </xf>
    <xf numFmtId="167" fontId="29" fillId="0" borderId="14" xfId="0" applyNumberFormat="1" applyFont="1" applyFill="1" applyBorder="1" applyAlignment="1">
      <alignment vertical="center"/>
    </xf>
    <xf numFmtId="167" fontId="29" fillId="0" borderId="13" xfId="0" applyNumberFormat="1" applyFont="1" applyBorder="1" applyAlignment="1">
      <alignment vertical="center"/>
    </xf>
    <xf numFmtId="165" fontId="29" fillId="0" borderId="13" xfId="1" applyNumberFormat="1" applyFont="1" applyFill="1" applyBorder="1" applyAlignment="1">
      <alignment vertical="center"/>
    </xf>
    <xf numFmtId="165" fontId="25" fillId="0" borderId="13" xfId="1" applyNumberFormat="1" applyFont="1" applyBorder="1" applyAlignment="1">
      <alignment vertical="center"/>
    </xf>
    <xf numFmtId="164" fontId="29" fillId="0" borderId="13" xfId="1" applyFont="1" applyBorder="1" applyAlignment="1">
      <alignment vertical="center"/>
    </xf>
    <xf numFmtId="49" fontId="29" fillId="0" borderId="13" xfId="0" applyNumberFormat="1" applyFont="1" applyBorder="1" applyAlignment="1">
      <alignment horizontal="center" vertical="center"/>
    </xf>
    <xf numFmtId="1" fontId="29" fillId="0" borderId="13" xfId="0" applyNumberFormat="1" applyFont="1" applyBorder="1" applyAlignment="1">
      <alignment horizontal="center" vertical="center"/>
    </xf>
    <xf numFmtId="0" fontId="29" fillId="0" borderId="13" xfId="0" applyNumberFormat="1" applyFont="1" applyFill="1" applyBorder="1" applyAlignment="1">
      <alignment vertical="center"/>
    </xf>
    <xf numFmtId="14" fontId="29" fillId="0" borderId="13" xfId="0" applyNumberFormat="1" applyFont="1" applyBorder="1" applyAlignment="1">
      <alignment vertical="center"/>
    </xf>
    <xf numFmtId="1" fontId="29" fillId="0" borderId="15" xfId="0" applyNumberFormat="1" applyFont="1" applyBorder="1" applyAlignment="1">
      <alignment horizontal="center" vertical="center"/>
    </xf>
    <xf numFmtId="167" fontId="17" fillId="0" borderId="12" xfId="0" applyNumberFormat="1" applyFont="1" applyBorder="1" applyAlignment="1">
      <alignment vertical="center"/>
    </xf>
    <xf numFmtId="3" fontId="20" fillId="0" borderId="12" xfId="1" applyNumberFormat="1" applyFont="1" applyFill="1" applyBorder="1" applyAlignment="1">
      <alignment vertical="center" wrapText="1"/>
    </xf>
    <xf numFmtId="3" fontId="18" fillId="0" borderId="12" xfId="1" applyNumberFormat="1" applyFont="1" applyBorder="1" applyAlignment="1">
      <alignment vertical="center" wrapText="1"/>
    </xf>
    <xf numFmtId="177" fontId="17" fillId="0" borderId="12" xfId="0" applyNumberFormat="1" applyFont="1" applyBorder="1" applyAlignment="1">
      <alignment horizontal="center" vertical="center" wrapText="1"/>
    </xf>
    <xf numFmtId="177" fontId="18" fillId="0" borderId="12" xfId="0" applyNumberFormat="1" applyFont="1" applyFill="1" applyBorder="1" applyAlignment="1">
      <alignment vertical="center" wrapText="1"/>
    </xf>
    <xf numFmtId="177" fontId="17" fillId="0" borderId="12" xfId="1" applyNumberFormat="1" applyFont="1" applyBorder="1" applyAlignment="1">
      <alignment vertical="center" wrapText="1"/>
    </xf>
    <xf numFmtId="4" fontId="18" fillId="0" borderId="12" xfId="1" applyNumberFormat="1" applyFont="1" applyBorder="1" applyAlignment="1">
      <alignment vertical="center" wrapText="1"/>
    </xf>
    <xf numFmtId="178" fontId="23" fillId="4" borderId="3" xfId="1" applyNumberFormat="1" applyFont="1" applyFill="1" applyBorder="1" applyAlignment="1">
      <alignment horizontal="right" vertical="center"/>
    </xf>
    <xf numFmtId="178" fontId="19" fillId="5" borderId="12" xfId="1" applyNumberFormat="1" applyFont="1" applyFill="1" applyBorder="1" applyAlignment="1">
      <alignment horizontal="right" vertical="center"/>
    </xf>
    <xf numFmtId="3" fontId="23" fillId="4" borderId="3" xfId="1" applyNumberFormat="1" applyFont="1" applyFill="1" applyBorder="1" applyAlignment="1">
      <alignment horizontal="right" vertical="center"/>
    </xf>
    <xf numFmtId="3" fontId="19" fillId="5" borderId="12" xfId="1" applyNumberFormat="1" applyFont="1" applyFill="1" applyBorder="1" applyAlignment="1">
      <alignment horizontal="right" vertical="center"/>
    </xf>
    <xf numFmtId="177" fontId="23" fillId="4" borderId="3" xfId="1" applyNumberFormat="1" applyFont="1" applyFill="1" applyBorder="1" applyAlignment="1">
      <alignment horizontal="right" vertical="center"/>
    </xf>
    <xf numFmtId="177" fontId="19" fillId="5" borderId="12" xfId="1" applyNumberFormat="1" applyFont="1" applyFill="1" applyBorder="1" applyAlignment="1">
      <alignment horizontal="right" vertical="center"/>
    </xf>
    <xf numFmtId="167" fontId="30" fillId="0" borderId="13" xfId="0" applyNumberFormat="1" applyFont="1" applyBorder="1" applyAlignment="1">
      <alignment vertical="center"/>
    </xf>
    <xf numFmtId="177" fontId="17" fillId="7" borderId="17" xfId="0" applyNumberFormat="1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49" fontId="27" fillId="0" borderId="0" xfId="8" applyNumberFormat="1" applyFont="1" applyFill="1" applyBorder="1" applyAlignment="1">
      <alignment horizontal="center" vertical="center" wrapText="1"/>
    </xf>
    <xf numFmtId="49" fontId="27" fillId="0" borderId="8" xfId="8" applyNumberFormat="1" applyFont="1" applyFill="1" applyBorder="1" applyAlignment="1">
      <alignment horizontal="center" vertical="center" wrapText="1"/>
    </xf>
    <xf numFmtId="49" fontId="26" fillId="0" borderId="10" xfId="0" applyNumberFormat="1" applyFont="1" applyFill="1" applyBorder="1" applyAlignment="1">
      <alignment horizontal="center" vertical="center"/>
    </xf>
    <xf numFmtId="49" fontId="26" fillId="0" borderId="11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49" fontId="26" fillId="0" borderId="6" xfId="0" applyNumberFormat="1" applyFont="1" applyFill="1" applyBorder="1" applyAlignment="1">
      <alignment horizontal="center" vertical="center"/>
    </xf>
    <xf numFmtId="176" fontId="26" fillId="0" borderId="0" xfId="0" applyNumberFormat="1" applyFont="1" applyFill="1" applyBorder="1" applyAlignment="1">
      <alignment horizontal="center" vertical="center"/>
    </xf>
    <xf numFmtId="176" fontId="26" fillId="0" borderId="8" xfId="0" applyNumberFormat="1" applyFont="1" applyFill="1" applyBorder="1" applyAlignment="1">
      <alignment horizontal="center" vertical="center"/>
    </xf>
    <xf numFmtId="49" fontId="26" fillId="0" borderId="0" xfId="0" applyNumberFormat="1" applyFont="1" applyFill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0" fontId="19" fillId="2" borderId="12" xfId="0" applyNumberFormat="1" applyFont="1" applyFill="1" applyBorder="1" applyAlignment="1">
      <alignment horizontal="center" vertical="center" wrapText="1"/>
    </xf>
    <xf numFmtId="0" fontId="19" fillId="2" borderId="13" xfId="0" applyNumberFormat="1" applyFont="1" applyFill="1" applyBorder="1" applyAlignment="1">
      <alignment horizontal="center" vertical="center" wrapText="1"/>
    </xf>
    <xf numFmtId="164" fontId="19" fillId="3" borderId="12" xfId="1" applyFont="1" applyFill="1" applyBorder="1" applyAlignment="1">
      <alignment horizontal="center" vertical="center" wrapText="1"/>
    </xf>
    <xf numFmtId="164" fontId="19" fillId="3" borderId="13" xfId="1" applyFont="1" applyFill="1" applyBorder="1" applyAlignment="1">
      <alignment horizontal="center" vertical="center" wrapText="1"/>
    </xf>
    <xf numFmtId="0" fontId="25" fillId="6" borderId="12" xfId="0" applyNumberFormat="1" applyFont="1" applyFill="1" applyBorder="1" applyAlignment="1">
      <alignment horizontal="center" vertical="center" wrapText="1"/>
    </xf>
    <xf numFmtId="0" fontId="25" fillId="6" borderId="13" xfId="0" applyNumberFormat="1" applyFont="1" applyFill="1" applyBorder="1" applyAlignment="1">
      <alignment horizontal="center" vertical="center" wrapText="1"/>
    </xf>
    <xf numFmtId="164" fontId="19" fillId="2" borderId="12" xfId="1" applyFont="1" applyFill="1" applyBorder="1" applyAlignment="1">
      <alignment horizontal="center" vertical="center" wrapText="1"/>
    </xf>
    <xf numFmtId="164" fontId="19" fillId="2" borderId="13" xfId="1" applyFont="1" applyFill="1" applyBorder="1" applyAlignment="1">
      <alignment horizontal="center" vertical="center" wrapText="1"/>
    </xf>
  </cellXfs>
  <cellStyles count="30">
    <cellStyle name="Comma" xfId="1" builtinId="3"/>
    <cellStyle name="Comma 2" xfId="2"/>
    <cellStyle name="Header1" xfId="3"/>
    <cellStyle name="Header2" xfId="4"/>
    <cellStyle name="Komma 2" xfId="5"/>
    <cellStyle name="n" xfId="6"/>
    <cellStyle name="Normal" xfId="0" builtinId="0"/>
    <cellStyle name="Standaard 3" xfId="7"/>
    <cellStyle name="Standaard_STANDAARD LAY-OUT SAMPLES 2009" xfId="8"/>
    <cellStyle name="Stijl 1" xfId="9"/>
    <cellStyle name=" [0.00]_ Att. 1- Cover" xfId="10"/>
    <cellStyle name="_ Att. 1- Cover" xfId="11"/>
    <cellStyle name="?_ Att. 1- Cover" xfId="12"/>
    <cellStyle name="똿뗦먛귟 [0.00]_PRODUCT DETAIL Q1" xfId="13"/>
    <cellStyle name="똿뗦먛귟_PRODUCT DETAIL Q1" xfId="14"/>
    <cellStyle name="믅됞 [0.00]_PRODUCT DETAIL Q1" xfId="15"/>
    <cellStyle name="믅됞_PRODUCT DETAIL Q1" xfId="16"/>
    <cellStyle name="백분율_95" xfId="17"/>
    <cellStyle name="뷭?_BOOKSHIP" xfId="18"/>
    <cellStyle name="콤마 [0]_1202" xfId="19"/>
    <cellStyle name="콤마_1202" xfId="20"/>
    <cellStyle name="통화 [0]_1202" xfId="21"/>
    <cellStyle name="통화_1202" xfId="22"/>
    <cellStyle name="표준_(정보부문)월별인원계획" xfId="23"/>
    <cellStyle name="一般_99Q3647-ALL-CAS2" xfId="24"/>
    <cellStyle name="千分位[0]_Book1" xfId="25"/>
    <cellStyle name="千分位_99Q3647-ALL-CAS2" xfId="26"/>
    <cellStyle name="貨幣 [0]_Book1" xfId="27"/>
    <cellStyle name="貨幣[0]_BRE" xfId="28"/>
    <cellStyle name="貨幣_Book1" xfId="29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[$$-409]* #,##0.00_ ;_-[$$-409]* \-#,##0.00\ ;_-[$$-409]* &quot;-&quot;??_ ;_-@_ 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[$$-409]* #,##0.00_ ;_-[$$-409]* \-#,##0.00\ ;_-[$$-409]* &quot;-&quot;??_ ;_-@_ 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77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7" formatCode="_-[$$-409]* #,##0.00_ ;_-[$$-409]* \-#,##0.00\ ;_-[$$-409]* &quot;-&quot;??_ ;_-@_ 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4" formatCode="#,##0.00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3" formatCode="#,##0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\ _B_F_-;\-* #,##0\ _B_F_-;_-* &quot;-&quot;\ _B_F_-;_-@_-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0"/>
        <name val="Calibri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QuotationMng_ReportHeaderData_View">
              <xs:complexType>
                <xs:sequence>
                  <xs:element name="QuotationID" type="xs:int"/>
                  <xs:element name="QuotationUD" minOccurs="0">
                    <xs:simpleType>
                      <xs:restriction base="xs:string">
                        <xs:maxLength value="17"/>
                      </xs:restriction>
                    </xs:simpleType>
                  </xs:element>
                  <xs:element name="DeliveryTermID" type="xs:int" minOccurs="0"/>
                  <xs:element name="Version" msdata:ReadOnly="true" type="xs:int" minOccurs="0"/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QuotationMng_EurofarQuotationReportData_View" minOccurs="0" maxOccurs="unbounded">
              <xs:complexType>
                <xs:sequence>
                  <xs:element name="QuotationID" type="xs:int" minOccurs="0"/>
                  <xs:element name="QuotationDetailID" type="xs:int"/>
                  <xs:element name="FactoryOrd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/>
                  <xs:element name="OrderQnt40HC" type="xs:decimal" minOccurs="0"/>
                  <xs:element name="PriceDifferenceCod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SalePrice" type="xs:decimal" minOccurs="0"/>
                  <xs:element name="Amount" type="xs:decimal" minOccurs="0"/>
                  <xs:element name="Manufacturer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DS" type="xs:date"/>
                  <xs:element name="Quotation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argetPrice" type="xs:decimal" minOccurs="0"/>
                  <xs:element name="BreakDownPrice" type="xs:decimal" minOccurs="0"/>
                  <xs:element name="Price" type="xs:decimal" minOccurs="0"/>
                </xs:sequence>
              </xs:complexType>
            </xs:element>
            <xs:element name="QuotationMng_FactoryQuotationReportData_View" minOccurs="0" maxOccurs="unbounded">
              <xs:complexType>
                <xs:sequence>
                  <xs:element name="QuotationID" type="xs:int" minOccurs="0"/>
                  <xs:element name="QuotationDetailID" type="xs:int"/>
                  <xs:element name="FactoryOrd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type="xs:int"/>
                  <xs:element name="OrderQnt40HC" type="xs:decimal" minOccurs="0"/>
                  <xs:element name="PurchasingPrice" type="xs:decimal" minOccurs="0"/>
                  <xs:element name="Price" type="xs:decimal" minOccurs="0"/>
                  <xs:element name="Amount" type="xs:decimal" minOccurs="0"/>
                  <xs:element name="Manufacturer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DS" type="xs:date"/>
                  <xs:element name="Quotation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argetPrice" type="xs:decimal" minOccurs="0"/>
                </xs:sequence>
              </xs:complexType>
            </xs:element>
          </xs:sequence>
        </xs:complexType>
        <xs:unique name="Constraint1" msdata:PrimaryKey="true">
          <xs:selector xpath=".//mstns:QuotationMng_ReportHeaderData_View"/>
          <xs:field xpath="mstns:QuotationID"/>
        </xs:unique>
      </xs:element>
    </xs:schema>
  </Schema>
  <Map ID="3" Name="ReportDataObject_Map" RootElement="ReportDataObject" SchemaID="Schema3" ShowImportExportValidationErrors="false" AutoFit="false" Append="false" PreserveSortAFLayout="fals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0</xdr:row>
      <xdr:rowOff>133350</xdr:rowOff>
    </xdr:from>
    <xdr:to>
      <xdr:col>4</xdr:col>
      <xdr:colOff>590550</xdr:colOff>
      <xdr:row>4</xdr:row>
      <xdr:rowOff>19050</xdr:rowOff>
    </xdr:to>
    <xdr:pic>
      <xdr:nvPicPr>
        <xdr:cNvPr id="3044" name="Afbeelding 1" descr="eurofar2007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350" y="133350"/>
          <a:ext cx="258127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28575</xdr:colOff>
      <xdr:row>0</xdr:row>
      <xdr:rowOff>38100</xdr:rowOff>
    </xdr:from>
    <xdr:to>
      <xdr:col>9</xdr:col>
      <xdr:colOff>495300</xdr:colOff>
      <xdr:row>4</xdr:row>
      <xdr:rowOff>104775</xdr:rowOff>
    </xdr:to>
    <xdr:pic>
      <xdr:nvPicPr>
        <xdr:cNvPr id="3045" name="Picture 4" descr="ef copy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05550" y="38100"/>
          <a:ext cx="1724025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5" name="Table5" displayName="Table5" ref="A11:T12" tableType="xml" insertRow="1" totalsRowShown="0" headerRowDxfId="24" dataDxfId="22" headerRowBorderDxfId="23" tableBorderDxfId="21" totalsRowBorderDxfId="20">
  <autoFilter ref="A11:T12"/>
  <tableColumns count="20">
    <tableColumn id="20" uniqueName="ns2:QuotationDetailID" name="ns2:QuotationDetailID" dataDxfId="19">
      <xmlColumnPr mapId="3" xpath="/ns2:ReportDataObject/ns2:QuotationMng_EurofarQuotationReportData_View/ns2:QuotationDetailID" xmlDataType="int"/>
    </tableColumn>
    <tableColumn id="1" uniqueName="ns2:FactoryOrderUD" name="ns2:FactoryOrderUD" dataDxfId="18">
      <xmlColumnPr mapId="3" xpath="/ns2:ReportDataObject/ns2:QuotationMng_EurofarQuotationReportData_View/ns2:FactoryOrderUD" xmlDataType="string"/>
    </tableColumn>
    <tableColumn id="2" uniqueName="ns2:ClientUD" name="ns2:ClientUD" dataDxfId="17">
      <xmlColumnPr mapId="3" xpath="/ns2:ReportDataObject/ns2:QuotationMng_EurofarQuotationReportData_View/ns2:ClientUD" xmlDataType="string"/>
    </tableColumn>
    <tableColumn id="3" uniqueName="ns2:ArticleCode" name="ns2:ArticleCode" dataDxfId="16">
      <xmlColumnPr mapId="3" xpath="/ns2:ReportDataObject/ns2:QuotationMng_EurofarQuotationReportData_View/ns2:ArticleCode" xmlDataType="string"/>
    </tableColumn>
    <tableColumn id="4" uniqueName="ns2:Description" name="ns2:Description" dataDxfId="15">
      <xmlColumnPr mapId="3" xpath="/ns2:ReportDataObject/ns2:QuotationMng_EurofarQuotationReportData_View/ns2:Description" xmlDataType="string"/>
    </tableColumn>
    <tableColumn id="5" uniqueName="ns2:Qnt40HC" name="ns2:Qnt40HC" dataDxfId="14" dataCellStyle="Comma">
      <xmlColumnPr mapId="3" xpath="/ns2:ReportDataObject/ns2:QuotationMng_EurofarQuotationReportData_View/ns2:Qnt40HC" xmlDataType="int"/>
    </tableColumn>
    <tableColumn id="6" uniqueName="ns2:OrderQnt" name="ns2:OrderQnt" dataDxfId="13" dataCellStyle="Comma">
      <xmlColumnPr mapId="3" xpath="/ns2:ReportDataObject/ns2:QuotationMng_EurofarQuotationReportData_View/ns2:OrderQnt" xmlDataType="int"/>
    </tableColumn>
    <tableColumn id="7" uniqueName="ns2:OrderQnt40HC" name="ns2:OrderQnt40HC" dataDxfId="12" dataCellStyle="Comma">
      <xmlColumnPr mapId="3" xpath="/ns2:ReportDataObject/ns2:QuotationMng_EurofarQuotationReportData_View/ns2:OrderQnt40HC" xmlDataType="decimal"/>
    </tableColumn>
    <tableColumn id="8" uniqueName="ns2:PriceDifferenceCode" name="ns2:PriceDifferenceCode" dataDxfId="11">
      <xmlColumnPr mapId="3" xpath="/ns2:ReportDataObject/ns2:QuotationMng_EurofarQuotationReportData_View/ns2:PriceDifferenceCode" xmlDataType="string"/>
    </tableColumn>
    <tableColumn id="9" uniqueName="ns2:SalePrice" name="ns2:SalePrice" dataDxfId="10">
      <xmlColumnPr mapId="3" xpath="/ns2:ReportDataObject/ns2:QuotationMng_EurofarQuotationReportData_View/ns2:SalePrice" xmlDataType="decimal"/>
    </tableColumn>
    <tableColumn id="10" uniqueName="ns2:Amount" name="ns2:Amount" dataDxfId="9">
      <xmlColumnPr mapId="3" xpath="/ns2:ReportDataObject/ns2:QuotationMng_EurofarQuotationReportData_View/ns2:Amount" xmlDataType="decimal"/>
    </tableColumn>
    <tableColumn id="11" uniqueName="ns2:ManufacturerCountryNM" name="ns2:ManufacturerCountryNM" dataDxfId="8">
      <xmlColumnPr mapId="3" xpath="/ns2:ReportDataObject/ns2:QuotationMng_EurofarQuotationReportData_View/ns2:ManufacturerCountryNM" xmlDataType="string"/>
    </tableColumn>
    <tableColumn id="12" uniqueName="ns2:FactoryUD" name="ns2:FactoryUD" dataDxfId="7">
      <xmlColumnPr mapId="3" xpath="/ns2:ReportDataObject/ns2:QuotationMng_EurofarQuotationReportData_View/ns2:FactoryUD" xmlDataType="string"/>
    </tableColumn>
    <tableColumn id="13" uniqueName="ns2:Remark" name="ns2:Remark" dataDxfId="6">
      <xmlColumnPr mapId="3" xpath="/ns2:ReportDataObject/ns2:QuotationMng_EurofarQuotationReportData_View/ns2:Remark" xmlDataType="string"/>
    </tableColumn>
    <tableColumn id="14" uniqueName="ns2:ProductionStatus" name="ns2:ProductionStatus" dataDxfId="5">
      <xmlColumnPr mapId="3" xpath="/ns2:ReportDataObject/ns2:QuotationMng_EurofarQuotationReportData_View/ns2:ProductionStatus" xmlDataType="string"/>
    </tableColumn>
    <tableColumn id="15" uniqueName="ns2:LDS" name="ns2:LDS" dataDxfId="4">
      <xmlColumnPr mapId="3" xpath="/ns2:ReportDataObject/ns2:QuotationMng_EurofarQuotationReportData_View/ns2:LDS" xmlDataType="date"/>
    </tableColumn>
    <tableColumn id="16" uniqueName="ns2:QuotationStatusNM" name="ns2:QuotationStatusNM" dataDxfId="3" dataCellStyle="Comma">
      <xmlColumnPr mapId="3" xpath="/ns2:ReportDataObject/ns2:QuotationMng_EurofarQuotationReportData_View/ns2:QuotationStatusNM" xmlDataType="string"/>
    </tableColumn>
    <tableColumn id="17" uniqueName="ns2:TargetPrice" name="ns2:TargetPrice" dataDxfId="2" dataCellStyle="Comma">
      <xmlColumnPr mapId="3" xpath="/ns2:ReportDataObject/ns2:QuotationMng_EurofarQuotationReportData_View/ns2:TargetPrice" xmlDataType="decimal"/>
    </tableColumn>
    <tableColumn id="18" uniqueName="ns2:BreakDownPrice" name="ns2:BreakDownPrice" dataDxfId="1">
      <xmlColumnPr mapId="3" xpath="/ns2:ReportDataObject/ns2:QuotationMng_EurofarQuotationReportData_View/ns2:BreakDownPrice" xmlDataType="decimal"/>
    </tableColumn>
    <tableColumn id="19" uniqueName="ns2:Price" name="ns2:Price" dataDxfId="0">
      <xmlColumnPr mapId="3" xpath="/ns2:ReportDataObject/ns2:QuotationMng_EurofarQuotationReportData_View/ns2:Price" xmlDataType="decimal"/>
    </tableColumn>
  </tableColumns>
  <tableStyleInfo showFirstColumn="0" showLastColumn="0" showRowStripes="0" showColumnStripes="0"/>
</table>
</file>

<file path=xl/tables/tableSingleCells1.xml><?xml version="1.0" encoding="utf-8"?>
<singleXmlCells xmlns="http://schemas.openxmlformats.org/spreadsheetml/2006/main">
  <singleXmlCell id="1" r="O1" connectionId="0">
    <xmlCellPr id="1" uniqueName="ns2:QuotationUD">
      <xmlPr mapId="3" xpath="/ns2:ReportDataObject/ns2:QuotationMng_ReportHeaderData_View/ns2:QuotationUD" xmlDataType="string"/>
    </xmlCellPr>
  </singleXmlCell>
  <singleXmlCell id="2" r="O3" connectionId="0">
    <xmlCellPr id="1" uniqueName="ns2:Version">
      <xmlPr mapId="3" xpath="/ns2:ReportDataObject/ns2:QuotationMng_ReportHeaderData_View/ns2:Version" xmlDataType="int"/>
    </xmlCellPr>
  </singleXmlCell>
  <singleXmlCell id="3" r="O4" connectionId="0">
    <xmlCellPr id="1" uniqueName="ns2:DeliveryTermNM">
      <xmlPr mapId="3" xpath="/ns2:ReportDataObject/ns2:QuotationMng_ReportHeaderData_View/ns2:DeliveryTermNM" xmlDataType="string"/>
    </xmlCellPr>
  </singleXmlCell>
  <singleXmlCell id="4" r="O5" connectionId="0">
    <xmlCellPr id="1" uniqueName="ns2:PaymentTermNM">
      <xmlPr mapId="3" xpath="/ns2:ReportDataObject/ns2:QuotationMng_ReportHeaderData_View/ns2:PaymentTermNM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T848"/>
  <sheetViews>
    <sheetView tabSelected="1" zoomScaleNormal="100" workbookViewId="0">
      <pane xSplit="10" ySplit="10" topLeftCell="K11" activePane="bottomRight" state="frozen"/>
      <selection pane="topRight" activeCell="J1" sqref="J1"/>
      <selection pane="bottomLeft" activeCell="A12" sqref="A12"/>
      <selection pane="bottomRight" activeCell="B1" sqref="B1:J5"/>
    </sheetView>
  </sheetViews>
  <sheetFormatPr defaultRowHeight="11.25"/>
  <cols>
    <col min="1" max="1" width="0" style="1" hidden="1" customWidth="1"/>
    <col min="2" max="3" width="9.7109375" style="1" customWidth="1"/>
    <col min="4" max="4" width="12.42578125" style="1" customWidth="1"/>
    <col min="5" max="5" width="45.140625" style="1" customWidth="1"/>
    <col min="6" max="8" width="9.7109375" style="1" customWidth="1"/>
    <col min="9" max="9" width="9.140625" style="2" customWidth="1"/>
    <col min="10" max="10" width="10" style="3" customWidth="1"/>
    <col min="11" max="11" width="11.42578125" style="4" customWidth="1"/>
    <col min="12" max="12" width="10" style="3" customWidth="1"/>
    <col min="13" max="13" width="10.5703125" style="1" customWidth="1"/>
    <col min="14" max="14" width="14.42578125" style="1" customWidth="1"/>
    <col min="15" max="15" width="10.5703125" style="1" customWidth="1"/>
    <col min="16" max="16" width="10" style="12" customWidth="1"/>
    <col min="17" max="18" width="10.85546875" style="5" customWidth="1"/>
    <col min="19" max="19" width="10.7109375" style="3" customWidth="1"/>
    <col min="20" max="20" width="10" style="3" customWidth="1"/>
    <col min="21" max="16384" width="9.140625" style="1"/>
  </cols>
  <sheetData>
    <row r="1" spans="1:20" ht="15" customHeight="1">
      <c r="B1" s="78" t="s">
        <v>9</v>
      </c>
      <c r="C1" s="78"/>
      <c r="D1" s="78"/>
      <c r="E1" s="78"/>
      <c r="F1" s="78"/>
      <c r="G1" s="78"/>
      <c r="H1" s="78"/>
      <c r="I1" s="78"/>
      <c r="J1" s="78"/>
      <c r="K1" s="25"/>
      <c r="L1" s="24"/>
      <c r="M1" s="28" t="s">
        <v>19</v>
      </c>
      <c r="N1" s="29"/>
      <c r="O1" s="83" t="s">
        <v>24</v>
      </c>
      <c r="P1" s="84"/>
      <c r="S1" s="25"/>
      <c r="T1" s="25"/>
    </row>
    <row r="2" spans="1:20" ht="15" customHeight="1">
      <c r="B2" s="78"/>
      <c r="C2" s="78"/>
      <c r="D2" s="78"/>
      <c r="E2" s="78"/>
      <c r="F2" s="78"/>
      <c r="G2" s="78"/>
      <c r="H2" s="78"/>
      <c r="I2" s="78"/>
      <c r="J2" s="78"/>
      <c r="K2" s="25"/>
      <c r="L2" s="24"/>
      <c r="M2" s="30" t="s">
        <v>11</v>
      </c>
      <c r="N2" s="31"/>
      <c r="O2" s="85">
        <f ca="1">NOW()</f>
        <v>42716.395022569443</v>
      </c>
      <c r="P2" s="86"/>
      <c r="R2" s="36"/>
      <c r="S2" s="25"/>
      <c r="T2" s="25"/>
    </row>
    <row r="3" spans="1:20" ht="15" customHeight="1">
      <c r="B3" s="78"/>
      <c r="C3" s="78"/>
      <c r="D3" s="78"/>
      <c r="E3" s="78"/>
      <c r="F3" s="78"/>
      <c r="G3" s="78"/>
      <c r="H3" s="78"/>
      <c r="I3" s="78"/>
      <c r="J3" s="78"/>
      <c r="K3" s="25"/>
      <c r="L3" s="24"/>
      <c r="M3" s="30" t="s">
        <v>12</v>
      </c>
      <c r="N3" s="32"/>
      <c r="O3" s="87" t="s">
        <v>25</v>
      </c>
      <c r="P3" s="88"/>
      <c r="S3" s="25"/>
      <c r="T3" s="25"/>
    </row>
    <row r="4" spans="1:20" ht="15" customHeight="1">
      <c r="B4" s="78"/>
      <c r="C4" s="78"/>
      <c r="D4" s="78"/>
      <c r="E4" s="78"/>
      <c r="F4" s="78"/>
      <c r="G4" s="78"/>
      <c r="H4" s="78"/>
      <c r="I4" s="78"/>
      <c r="J4" s="78"/>
      <c r="K4" s="25"/>
      <c r="L4" s="24"/>
      <c r="M4" s="30" t="s">
        <v>13</v>
      </c>
      <c r="N4" s="33"/>
      <c r="O4" s="79" t="s">
        <v>26</v>
      </c>
      <c r="P4" s="80"/>
      <c r="S4" s="25"/>
      <c r="T4" s="25"/>
    </row>
    <row r="5" spans="1:20" ht="15" customHeight="1" thickBot="1">
      <c r="B5" s="78"/>
      <c r="C5" s="78"/>
      <c r="D5" s="78"/>
      <c r="E5" s="78"/>
      <c r="F5" s="78"/>
      <c r="G5" s="78"/>
      <c r="H5" s="78"/>
      <c r="I5" s="78"/>
      <c r="J5" s="78"/>
      <c r="K5" s="25"/>
      <c r="L5" s="24"/>
      <c r="M5" s="34" t="s">
        <v>14</v>
      </c>
      <c r="N5" s="35"/>
      <c r="O5" s="81" t="s">
        <v>27</v>
      </c>
      <c r="P5" s="82"/>
      <c r="S5" s="1"/>
      <c r="T5" s="25"/>
    </row>
    <row r="6" spans="1:20">
      <c r="D6" s="11"/>
      <c r="E6" s="11"/>
      <c r="F6" s="11"/>
      <c r="G6" s="11"/>
      <c r="H6" s="11"/>
      <c r="I6" s="11"/>
      <c r="J6" s="11"/>
      <c r="K6" s="11"/>
      <c r="L6" s="11"/>
      <c r="S6" s="11"/>
      <c r="T6" s="11"/>
    </row>
    <row r="7" spans="1:20" ht="18.95" customHeight="1">
      <c r="B7" s="89" t="s">
        <v>3</v>
      </c>
      <c r="C7" s="89" t="s">
        <v>4</v>
      </c>
      <c r="D7" s="89" t="s">
        <v>1</v>
      </c>
      <c r="E7" s="89" t="s">
        <v>2</v>
      </c>
      <c r="F7" s="89" t="s">
        <v>7</v>
      </c>
      <c r="G7" s="89" t="s">
        <v>8</v>
      </c>
      <c r="H7" s="89" t="s">
        <v>6</v>
      </c>
      <c r="I7" s="95" t="s">
        <v>21</v>
      </c>
      <c r="J7" s="89" t="s">
        <v>22</v>
      </c>
      <c r="K7" s="89" t="s">
        <v>17</v>
      </c>
      <c r="L7" s="89" t="s">
        <v>16</v>
      </c>
      <c r="M7" s="89" t="s">
        <v>18</v>
      </c>
      <c r="N7" s="89" t="s">
        <v>10</v>
      </c>
      <c r="O7" s="89" t="s">
        <v>5</v>
      </c>
      <c r="P7" s="89" t="s">
        <v>0</v>
      </c>
      <c r="Q7" s="89" t="s">
        <v>20</v>
      </c>
      <c r="R7" s="91" t="s">
        <v>15</v>
      </c>
      <c r="S7" s="93" t="s">
        <v>23</v>
      </c>
      <c r="T7" s="89" t="s">
        <v>47</v>
      </c>
    </row>
    <row r="8" spans="1:20" ht="18.95" customHeight="1">
      <c r="B8" s="90"/>
      <c r="C8" s="90"/>
      <c r="D8" s="90"/>
      <c r="E8" s="90"/>
      <c r="F8" s="90"/>
      <c r="G8" s="90"/>
      <c r="H8" s="90"/>
      <c r="I8" s="96"/>
      <c r="J8" s="90"/>
      <c r="K8" s="90"/>
      <c r="L8" s="90"/>
      <c r="M8" s="90"/>
      <c r="N8" s="90"/>
      <c r="O8" s="90"/>
      <c r="P8" s="90"/>
      <c r="Q8" s="90"/>
      <c r="R8" s="92"/>
      <c r="S8" s="94"/>
      <c r="T8" s="90"/>
    </row>
    <row r="9" spans="1:20">
      <c r="B9" s="26"/>
      <c r="C9" s="26"/>
      <c r="D9" s="26"/>
      <c r="E9" s="26"/>
      <c r="F9" s="26"/>
      <c r="G9" s="72">
        <f>SUM(Table5[ns2:OrderQnt])</f>
        <v>0</v>
      </c>
      <c r="H9" s="70">
        <f>SUM(Table5[ns2:OrderQnt40HC])</f>
        <v>0</v>
      </c>
      <c r="I9" s="42"/>
      <c r="J9" s="43"/>
      <c r="K9" s="74">
        <f>SUM(Table5[ns2:Amount])</f>
        <v>0</v>
      </c>
      <c r="L9" s="26"/>
      <c r="M9" s="26"/>
      <c r="N9" s="26"/>
      <c r="O9" s="26"/>
      <c r="P9" s="26"/>
      <c r="Q9" s="26"/>
      <c r="R9" s="27"/>
      <c r="S9" s="26"/>
      <c r="T9" s="27"/>
    </row>
    <row r="10" spans="1:20">
      <c r="B10" s="37"/>
      <c r="C10" s="37"/>
      <c r="D10" s="37"/>
      <c r="E10" s="37"/>
      <c r="F10" s="37"/>
      <c r="G10" s="73">
        <f>SUBTOTAL(9,Table5[ns2:OrderQnt])</f>
        <v>0</v>
      </c>
      <c r="H10" s="71">
        <f>SUBTOTAL(9,Table5[ns2:OrderQnt40HC])</f>
        <v>0</v>
      </c>
      <c r="I10" s="44"/>
      <c r="J10" s="45"/>
      <c r="K10" s="75">
        <f>SUBTOTAL(9,Table5[ns2:Amount])</f>
        <v>0</v>
      </c>
      <c r="L10" s="37"/>
      <c r="M10" s="37"/>
      <c r="N10" s="39"/>
      <c r="O10" s="40"/>
      <c r="P10" s="41"/>
      <c r="Q10" s="38"/>
      <c r="R10" s="38"/>
      <c r="S10" s="37"/>
      <c r="T10" s="46"/>
    </row>
    <row r="11" spans="1:20" s="13" customFormat="1">
      <c r="A11" s="76" t="s">
        <v>48</v>
      </c>
      <c r="B11" s="53" t="s">
        <v>28</v>
      </c>
      <c r="C11" s="54" t="s">
        <v>29</v>
      </c>
      <c r="D11" s="54" t="s">
        <v>30</v>
      </c>
      <c r="E11" s="54" t="s">
        <v>31</v>
      </c>
      <c r="F11" s="55" t="s">
        <v>32</v>
      </c>
      <c r="G11" s="56" t="s">
        <v>33</v>
      </c>
      <c r="H11" s="57" t="s">
        <v>34</v>
      </c>
      <c r="I11" s="58" t="s">
        <v>35</v>
      </c>
      <c r="J11" s="59" t="s">
        <v>36</v>
      </c>
      <c r="K11" s="60" t="s">
        <v>37</v>
      </c>
      <c r="L11" s="59" t="s">
        <v>38</v>
      </c>
      <c r="M11" s="54" t="s">
        <v>39</v>
      </c>
      <c r="N11" s="54" t="s">
        <v>40</v>
      </c>
      <c r="O11" s="54" t="s">
        <v>41</v>
      </c>
      <c r="P11" s="61" t="s">
        <v>42</v>
      </c>
      <c r="Q11" s="57" t="s">
        <v>43</v>
      </c>
      <c r="R11" s="57" t="s">
        <v>44</v>
      </c>
      <c r="S11" s="59" t="s">
        <v>45</v>
      </c>
      <c r="T11" s="62" t="s">
        <v>46</v>
      </c>
    </row>
    <row r="12" spans="1:20" s="13" customFormat="1">
      <c r="B12" s="47"/>
      <c r="C12" s="48"/>
      <c r="D12" s="63"/>
      <c r="E12" s="48"/>
      <c r="F12" s="64"/>
      <c r="G12" s="65"/>
      <c r="H12" s="69"/>
      <c r="I12" s="49"/>
      <c r="J12" s="66"/>
      <c r="K12" s="67"/>
      <c r="L12" s="50"/>
      <c r="M12" s="48"/>
      <c r="N12" s="48"/>
      <c r="O12" s="48"/>
      <c r="P12" s="51"/>
      <c r="Q12" s="52"/>
      <c r="R12" s="68"/>
      <c r="S12" s="66"/>
      <c r="T12" s="77"/>
    </row>
    <row r="13" spans="1:20" s="13" customFormat="1">
      <c r="B13" s="15"/>
      <c r="F13" s="17"/>
      <c r="G13" s="18"/>
      <c r="H13" s="19"/>
      <c r="I13" s="7"/>
      <c r="J13" s="20"/>
      <c r="K13" s="21"/>
      <c r="L13" s="20"/>
      <c r="P13" s="16"/>
      <c r="Q13" s="14"/>
      <c r="R13" s="14"/>
      <c r="S13" s="20"/>
      <c r="T13" s="20"/>
    </row>
    <row r="14" spans="1:20" s="13" customFormat="1">
      <c r="B14" s="15"/>
      <c r="F14" s="17"/>
      <c r="G14" s="18"/>
      <c r="H14" s="19"/>
      <c r="I14" s="7"/>
      <c r="J14" s="20"/>
      <c r="K14" s="21"/>
      <c r="L14" s="20"/>
      <c r="P14" s="16"/>
      <c r="Q14" s="14"/>
      <c r="R14" s="14"/>
      <c r="S14" s="20"/>
      <c r="T14" s="20"/>
    </row>
    <row r="15" spans="1:20" s="13" customFormat="1">
      <c r="B15" s="15"/>
      <c r="F15" s="17"/>
      <c r="G15" s="18"/>
      <c r="H15" s="19"/>
      <c r="I15" s="7"/>
      <c r="J15" s="20"/>
      <c r="K15" s="21"/>
      <c r="L15" s="20"/>
      <c r="P15" s="16"/>
      <c r="Q15" s="14"/>
      <c r="R15" s="14"/>
      <c r="S15" s="20"/>
      <c r="T15" s="20"/>
    </row>
    <row r="16" spans="1:20" s="13" customFormat="1">
      <c r="B16" s="15"/>
      <c r="F16" s="17"/>
      <c r="G16" s="18"/>
      <c r="H16" s="19"/>
      <c r="I16" s="7"/>
      <c r="J16" s="20"/>
      <c r="K16" s="21"/>
      <c r="L16" s="20"/>
      <c r="P16" s="16"/>
      <c r="Q16" s="14"/>
      <c r="R16" s="14"/>
      <c r="S16" s="20"/>
      <c r="T16" s="20"/>
    </row>
    <row r="17" spans="2:20" s="13" customFormat="1">
      <c r="B17" s="15"/>
      <c r="F17" s="17"/>
      <c r="G17" s="18"/>
      <c r="H17" s="19"/>
      <c r="I17" s="7"/>
      <c r="J17" s="20"/>
      <c r="K17" s="21"/>
      <c r="L17" s="20"/>
      <c r="P17" s="16"/>
      <c r="Q17" s="14"/>
      <c r="R17" s="14"/>
      <c r="S17" s="20"/>
      <c r="T17" s="20"/>
    </row>
    <row r="18" spans="2:20" s="13" customFormat="1">
      <c r="B18" s="15"/>
      <c r="F18" s="17"/>
      <c r="G18" s="18"/>
      <c r="H18" s="19"/>
      <c r="I18" s="7"/>
      <c r="J18" s="20"/>
      <c r="K18" s="21"/>
      <c r="L18" s="20"/>
      <c r="P18" s="16"/>
      <c r="Q18" s="14"/>
      <c r="R18" s="14"/>
      <c r="S18" s="20"/>
      <c r="T18" s="20"/>
    </row>
    <row r="19" spans="2:20" s="13" customFormat="1">
      <c r="B19" s="15"/>
      <c r="F19" s="17"/>
      <c r="G19" s="18"/>
      <c r="H19" s="19"/>
      <c r="I19" s="7"/>
      <c r="J19" s="20"/>
      <c r="K19" s="21"/>
      <c r="L19" s="20"/>
      <c r="P19" s="16"/>
      <c r="Q19" s="14"/>
      <c r="R19" s="14"/>
      <c r="S19" s="20"/>
      <c r="T19" s="20"/>
    </row>
    <row r="20" spans="2:20" s="13" customFormat="1">
      <c r="B20" s="15"/>
      <c r="F20" s="17"/>
      <c r="G20" s="18"/>
      <c r="H20" s="19"/>
      <c r="I20" s="7"/>
      <c r="J20" s="20"/>
      <c r="K20" s="21"/>
      <c r="L20" s="20"/>
      <c r="P20" s="16"/>
      <c r="Q20" s="14"/>
      <c r="R20" s="14"/>
      <c r="S20" s="20"/>
      <c r="T20" s="20"/>
    </row>
    <row r="21" spans="2:20" s="13" customFormat="1">
      <c r="B21" s="15"/>
      <c r="F21" s="17"/>
      <c r="G21" s="18"/>
      <c r="H21" s="19"/>
      <c r="I21" s="7"/>
      <c r="J21" s="20"/>
      <c r="K21" s="21"/>
      <c r="L21" s="20"/>
      <c r="P21" s="16"/>
      <c r="Q21" s="14"/>
      <c r="R21" s="14"/>
      <c r="S21" s="20"/>
      <c r="T21" s="20"/>
    </row>
    <row r="22" spans="2:20" s="13" customFormat="1">
      <c r="B22" s="15"/>
      <c r="F22" s="17"/>
      <c r="G22" s="18"/>
      <c r="H22" s="19"/>
      <c r="I22" s="7"/>
      <c r="J22" s="20"/>
      <c r="K22" s="21"/>
      <c r="L22" s="20"/>
      <c r="P22" s="16"/>
      <c r="Q22" s="14"/>
      <c r="R22" s="14"/>
      <c r="S22" s="20"/>
      <c r="T22" s="20"/>
    </row>
    <row r="23" spans="2:20" s="13" customFormat="1">
      <c r="B23" s="15"/>
      <c r="F23" s="17"/>
      <c r="G23" s="18"/>
      <c r="H23" s="19"/>
      <c r="I23" s="7"/>
      <c r="J23" s="20"/>
      <c r="K23" s="21"/>
      <c r="L23" s="20"/>
      <c r="P23" s="16"/>
      <c r="Q23" s="14"/>
      <c r="R23" s="14"/>
      <c r="S23" s="20"/>
      <c r="T23" s="20"/>
    </row>
    <row r="24" spans="2:20" s="13" customFormat="1">
      <c r="B24" s="15"/>
      <c r="F24" s="17"/>
      <c r="G24" s="18"/>
      <c r="H24" s="19"/>
      <c r="I24" s="7"/>
      <c r="J24" s="20"/>
      <c r="K24" s="21"/>
      <c r="L24" s="20"/>
      <c r="P24" s="16"/>
      <c r="Q24" s="14"/>
      <c r="R24" s="14"/>
      <c r="S24" s="20"/>
      <c r="T24" s="20"/>
    </row>
    <row r="25" spans="2:20" s="13" customFormat="1">
      <c r="B25" s="15"/>
      <c r="F25" s="17"/>
      <c r="G25" s="18"/>
      <c r="H25" s="19"/>
      <c r="I25" s="7"/>
      <c r="J25" s="20"/>
      <c r="K25" s="21"/>
      <c r="L25" s="20"/>
      <c r="P25" s="16"/>
      <c r="Q25" s="14"/>
      <c r="R25" s="14"/>
      <c r="S25" s="20"/>
      <c r="T25" s="20"/>
    </row>
    <row r="26" spans="2:20" s="13" customFormat="1">
      <c r="B26" s="15"/>
      <c r="F26" s="17"/>
      <c r="G26" s="18"/>
      <c r="H26" s="19"/>
      <c r="I26" s="7"/>
      <c r="J26" s="20"/>
      <c r="K26" s="21"/>
      <c r="L26" s="20"/>
      <c r="P26" s="16"/>
      <c r="Q26" s="14"/>
      <c r="R26" s="14"/>
      <c r="S26" s="20"/>
      <c r="T26" s="20"/>
    </row>
    <row r="27" spans="2:20" s="13" customFormat="1">
      <c r="B27" s="15"/>
      <c r="F27" s="17"/>
      <c r="G27" s="18"/>
      <c r="H27" s="19"/>
      <c r="I27" s="7"/>
      <c r="J27" s="20"/>
      <c r="K27" s="21"/>
      <c r="L27" s="20"/>
      <c r="P27" s="16"/>
      <c r="Q27" s="14"/>
      <c r="R27" s="14"/>
      <c r="S27" s="20"/>
      <c r="T27" s="20"/>
    </row>
    <row r="28" spans="2:20" s="13" customFormat="1">
      <c r="B28" s="15"/>
      <c r="F28" s="17"/>
      <c r="G28" s="18"/>
      <c r="H28" s="19"/>
      <c r="I28" s="7"/>
      <c r="J28" s="20"/>
      <c r="K28" s="21"/>
      <c r="L28" s="20"/>
      <c r="P28" s="16"/>
      <c r="Q28" s="14"/>
      <c r="R28" s="14"/>
      <c r="S28" s="20"/>
      <c r="T28" s="20"/>
    </row>
    <row r="29" spans="2:20" s="13" customFormat="1">
      <c r="B29" s="15"/>
      <c r="F29" s="17"/>
      <c r="G29" s="18"/>
      <c r="H29" s="19"/>
      <c r="I29" s="7"/>
      <c r="J29" s="20"/>
      <c r="K29" s="21"/>
      <c r="L29" s="20"/>
      <c r="P29" s="16"/>
      <c r="Q29" s="14"/>
      <c r="R29" s="14"/>
      <c r="S29" s="20"/>
      <c r="T29" s="20"/>
    </row>
    <row r="30" spans="2:20" s="13" customFormat="1">
      <c r="B30" s="15"/>
      <c r="F30" s="17"/>
      <c r="G30" s="18"/>
      <c r="H30" s="19"/>
      <c r="I30" s="7"/>
      <c r="J30" s="20"/>
      <c r="K30" s="21"/>
      <c r="L30" s="20"/>
      <c r="P30" s="16"/>
      <c r="Q30" s="14"/>
      <c r="R30" s="14"/>
      <c r="S30" s="20"/>
      <c r="T30" s="20"/>
    </row>
    <row r="31" spans="2:20" s="13" customFormat="1">
      <c r="B31" s="15"/>
      <c r="F31" s="17"/>
      <c r="G31" s="18"/>
      <c r="H31" s="19"/>
      <c r="I31" s="7"/>
      <c r="J31" s="20"/>
      <c r="K31" s="21"/>
      <c r="L31" s="20"/>
      <c r="P31" s="16"/>
      <c r="Q31" s="14"/>
      <c r="R31" s="14"/>
      <c r="S31" s="20"/>
      <c r="T31" s="20"/>
    </row>
    <row r="32" spans="2:20" s="13" customFormat="1">
      <c r="B32" s="15"/>
      <c r="F32" s="17"/>
      <c r="G32" s="18"/>
      <c r="H32" s="19"/>
      <c r="I32" s="7"/>
      <c r="J32" s="20"/>
      <c r="K32" s="21"/>
      <c r="L32" s="20"/>
      <c r="P32" s="16"/>
      <c r="Q32" s="14"/>
      <c r="R32" s="14"/>
      <c r="S32" s="20"/>
      <c r="T32" s="20"/>
    </row>
    <row r="33" spans="2:20" s="13" customFormat="1">
      <c r="B33" s="15"/>
      <c r="F33" s="17"/>
      <c r="G33" s="18"/>
      <c r="H33" s="19"/>
      <c r="I33" s="7"/>
      <c r="J33" s="20"/>
      <c r="K33" s="21"/>
      <c r="L33" s="20"/>
      <c r="P33" s="16"/>
      <c r="Q33" s="14"/>
      <c r="R33" s="14"/>
      <c r="S33" s="20"/>
      <c r="T33" s="20"/>
    </row>
    <row r="34" spans="2:20" s="13" customFormat="1">
      <c r="B34" s="15"/>
      <c r="F34" s="17"/>
      <c r="G34" s="18"/>
      <c r="H34" s="19"/>
      <c r="I34" s="7"/>
      <c r="J34" s="20"/>
      <c r="K34" s="21"/>
      <c r="L34" s="20"/>
      <c r="P34" s="16"/>
      <c r="Q34" s="14"/>
      <c r="R34" s="14"/>
      <c r="S34" s="20"/>
      <c r="T34" s="20"/>
    </row>
    <row r="35" spans="2:20" s="13" customFormat="1">
      <c r="B35" s="15"/>
      <c r="F35" s="17"/>
      <c r="G35" s="18"/>
      <c r="H35" s="19"/>
      <c r="I35" s="7"/>
      <c r="J35" s="20"/>
      <c r="K35" s="21"/>
      <c r="L35" s="20"/>
      <c r="P35" s="16"/>
      <c r="Q35" s="14"/>
      <c r="R35" s="14"/>
      <c r="S35" s="20"/>
      <c r="T35" s="20"/>
    </row>
    <row r="36" spans="2:20" s="13" customFormat="1">
      <c r="B36" s="15"/>
      <c r="F36" s="17"/>
      <c r="G36" s="18"/>
      <c r="H36" s="19"/>
      <c r="I36" s="7"/>
      <c r="J36" s="20"/>
      <c r="K36" s="21"/>
      <c r="L36" s="20"/>
      <c r="P36" s="16"/>
      <c r="Q36" s="14"/>
      <c r="R36" s="14"/>
      <c r="S36" s="20"/>
      <c r="T36" s="20"/>
    </row>
    <row r="37" spans="2:20" s="13" customFormat="1">
      <c r="B37" s="15"/>
      <c r="F37" s="17"/>
      <c r="G37" s="18"/>
      <c r="H37" s="19"/>
      <c r="I37" s="7"/>
      <c r="J37" s="20"/>
      <c r="K37" s="21"/>
      <c r="L37" s="20"/>
      <c r="P37" s="16"/>
      <c r="Q37" s="14"/>
      <c r="R37" s="14"/>
      <c r="S37" s="20"/>
      <c r="T37" s="20"/>
    </row>
    <row r="38" spans="2:20" s="13" customFormat="1">
      <c r="B38" s="15"/>
      <c r="F38" s="17"/>
      <c r="G38" s="18"/>
      <c r="H38" s="19"/>
      <c r="I38" s="7"/>
      <c r="J38" s="20"/>
      <c r="K38" s="21"/>
      <c r="L38" s="20"/>
      <c r="P38" s="16"/>
      <c r="Q38" s="14"/>
      <c r="R38" s="14"/>
      <c r="S38" s="20"/>
      <c r="T38" s="20"/>
    </row>
    <row r="39" spans="2:20" s="13" customFormat="1">
      <c r="B39" s="15"/>
      <c r="F39" s="17"/>
      <c r="G39" s="18"/>
      <c r="H39" s="19"/>
      <c r="I39" s="7"/>
      <c r="J39" s="20"/>
      <c r="K39" s="21"/>
      <c r="L39" s="20"/>
      <c r="P39" s="16"/>
      <c r="Q39" s="14"/>
      <c r="R39" s="14"/>
      <c r="S39" s="20"/>
      <c r="T39" s="20"/>
    </row>
    <row r="40" spans="2:20" s="13" customFormat="1">
      <c r="B40" s="15"/>
      <c r="F40" s="17"/>
      <c r="G40" s="18"/>
      <c r="H40" s="19"/>
      <c r="I40" s="7"/>
      <c r="J40" s="20"/>
      <c r="K40" s="21"/>
      <c r="L40" s="20"/>
      <c r="P40" s="16"/>
      <c r="Q40" s="14"/>
      <c r="R40" s="14"/>
      <c r="S40" s="20"/>
      <c r="T40" s="20"/>
    </row>
    <row r="41" spans="2:20" s="13" customFormat="1">
      <c r="B41" s="15"/>
      <c r="F41" s="17"/>
      <c r="G41" s="18"/>
      <c r="H41" s="19"/>
      <c r="I41" s="7"/>
      <c r="J41" s="20"/>
      <c r="K41" s="21"/>
      <c r="L41" s="20"/>
      <c r="P41" s="16"/>
      <c r="Q41" s="14"/>
      <c r="R41" s="14"/>
      <c r="S41" s="20"/>
      <c r="T41" s="20"/>
    </row>
    <row r="42" spans="2:20" s="13" customFormat="1">
      <c r="B42" s="15"/>
      <c r="F42" s="17"/>
      <c r="G42" s="18"/>
      <c r="H42" s="19"/>
      <c r="I42" s="7"/>
      <c r="J42" s="20"/>
      <c r="K42" s="21"/>
      <c r="L42" s="20"/>
      <c r="P42" s="16"/>
      <c r="Q42" s="14"/>
      <c r="R42" s="14"/>
      <c r="S42" s="20"/>
      <c r="T42" s="20"/>
    </row>
    <row r="43" spans="2:20" s="13" customFormat="1">
      <c r="B43" s="15"/>
      <c r="F43" s="17"/>
      <c r="G43" s="18"/>
      <c r="H43" s="19"/>
      <c r="I43" s="7"/>
      <c r="J43" s="20"/>
      <c r="K43" s="21"/>
      <c r="L43" s="20"/>
      <c r="P43" s="16"/>
      <c r="Q43" s="14"/>
      <c r="R43" s="14"/>
      <c r="S43" s="20"/>
      <c r="T43" s="20"/>
    </row>
    <row r="44" spans="2:20" s="13" customFormat="1">
      <c r="B44" s="15"/>
      <c r="F44" s="17"/>
      <c r="G44" s="18"/>
      <c r="H44" s="19"/>
      <c r="I44" s="7"/>
      <c r="J44" s="20"/>
      <c r="K44" s="21"/>
      <c r="L44" s="20"/>
      <c r="P44" s="16"/>
      <c r="Q44" s="14"/>
      <c r="R44" s="14"/>
      <c r="S44" s="20"/>
      <c r="T44" s="20"/>
    </row>
    <row r="45" spans="2:20" s="13" customFormat="1">
      <c r="B45" s="15"/>
      <c r="F45" s="17"/>
      <c r="G45" s="18"/>
      <c r="H45" s="19"/>
      <c r="I45" s="7"/>
      <c r="J45" s="20"/>
      <c r="K45" s="21"/>
      <c r="L45" s="20"/>
      <c r="P45" s="16"/>
      <c r="Q45" s="14"/>
      <c r="R45" s="14"/>
      <c r="S45" s="20"/>
      <c r="T45" s="20"/>
    </row>
    <row r="46" spans="2:20" s="13" customFormat="1">
      <c r="B46" s="15"/>
      <c r="F46" s="17"/>
      <c r="G46" s="18"/>
      <c r="H46" s="19"/>
      <c r="I46" s="7"/>
      <c r="J46" s="20"/>
      <c r="K46" s="21"/>
      <c r="L46" s="20"/>
      <c r="P46" s="16"/>
      <c r="Q46" s="14"/>
      <c r="R46" s="14"/>
      <c r="S46" s="20"/>
      <c r="T46" s="20"/>
    </row>
    <row r="47" spans="2:20" s="13" customFormat="1">
      <c r="B47" s="15"/>
      <c r="F47" s="17"/>
      <c r="G47" s="18"/>
      <c r="H47" s="19"/>
      <c r="I47" s="7"/>
      <c r="J47" s="20"/>
      <c r="K47" s="21"/>
      <c r="L47" s="20"/>
      <c r="P47" s="16"/>
      <c r="Q47" s="14"/>
      <c r="R47" s="14"/>
      <c r="S47" s="20"/>
      <c r="T47" s="20"/>
    </row>
    <row r="48" spans="2:20" s="13" customFormat="1">
      <c r="B48" s="15"/>
      <c r="F48" s="17"/>
      <c r="G48" s="18"/>
      <c r="H48" s="19"/>
      <c r="I48" s="7"/>
      <c r="J48" s="20"/>
      <c r="K48" s="21"/>
      <c r="L48" s="20"/>
      <c r="P48" s="16"/>
      <c r="Q48" s="14"/>
      <c r="R48" s="14"/>
      <c r="S48" s="20"/>
      <c r="T48" s="20"/>
    </row>
    <row r="49" spans="2:20" s="13" customFormat="1">
      <c r="B49" s="15"/>
      <c r="F49" s="17"/>
      <c r="G49" s="18"/>
      <c r="H49" s="19"/>
      <c r="I49" s="7"/>
      <c r="J49" s="20"/>
      <c r="K49" s="21"/>
      <c r="L49" s="20"/>
      <c r="P49" s="16"/>
      <c r="Q49" s="14"/>
      <c r="R49" s="14"/>
      <c r="S49" s="20"/>
      <c r="T49" s="20"/>
    </row>
    <row r="50" spans="2:20" s="13" customFormat="1">
      <c r="B50" s="15"/>
      <c r="F50" s="17"/>
      <c r="G50" s="18"/>
      <c r="H50" s="19"/>
      <c r="I50" s="7"/>
      <c r="J50" s="20"/>
      <c r="K50" s="21"/>
      <c r="L50" s="20"/>
      <c r="P50" s="16"/>
      <c r="Q50" s="14"/>
      <c r="R50" s="14"/>
      <c r="S50" s="20"/>
      <c r="T50" s="20"/>
    </row>
    <row r="51" spans="2:20" s="13" customFormat="1">
      <c r="B51" s="15"/>
      <c r="F51" s="17"/>
      <c r="G51" s="18"/>
      <c r="H51" s="19"/>
      <c r="I51" s="7"/>
      <c r="J51" s="20"/>
      <c r="K51" s="21"/>
      <c r="L51" s="20"/>
      <c r="P51" s="16"/>
      <c r="Q51" s="14"/>
      <c r="R51" s="14"/>
      <c r="S51" s="20"/>
      <c r="T51" s="20"/>
    </row>
    <row r="52" spans="2:20" s="13" customFormat="1">
      <c r="B52" s="15"/>
      <c r="F52" s="17"/>
      <c r="G52" s="18"/>
      <c r="H52" s="19"/>
      <c r="I52" s="7"/>
      <c r="J52" s="20"/>
      <c r="K52" s="21"/>
      <c r="L52" s="20"/>
      <c r="P52" s="16"/>
      <c r="Q52" s="14"/>
      <c r="R52" s="14"/>
      <c r="S52" s="20"/>
      <c r="T52" s="20"/>
    </row>
    <row r="53" spans="2:20" s="13" customFormat="1">
      <c r="B53" s="15"/>
      <c r="F53" s="17"/>
      <c r="G53" s="18"/>
      <c r="H53" s="19"/>
      <c r="I53" s="7"/>
      <c r="J53" s="20"/>
      <c r="K53" s="21"/>
      <c r="L53" s="20"/>
      <c r="P53" s="16"/>
      <c r="Q53" s="14"/>
      <c r="R53" s="14"/>
      <c r="S53" s="20"/>
      <c r="T53" s="20"/>
    </row>
    <row r="54" spans="2:20" s="13" customFormat="1">
      <c r="B54" s="15"/>
      <c r="F54" s="17"/>
      <c r="G54" s="18"/>
      <c r="H54" s="19"/>
      <c r="I54" s="7"/>
      <c r="J54" s="20"/>
      <c r="K54" s="21"/>
      <c r="L54" s="20"/>
      <c r="P54" s="16"/>
      <c r="Q54" s="14"/>
      <c r="R54" s="14"/>
      <c r="S54" s="20"/>
      <c r="T54" s="20"/>
    </row>
    <row r="55" spans="2:20" s="13" customFormat="1">
      <c r="B55" s="15"/>
      <c r="F55" s="17"/>
      <c r="G55" s="18"/>
      <c r="H55" s="19"/>
      <c r="I55" s="7"/>
      <c r="J55" s="20"/>
      <c r="K55" s="21"/>
      <c r="L55" s="20"/>
      <c r="P55" s="16"/>
      <c r="Q55" s="14"/>
      <c r="R55" s="14"/>
      <c r="S55" s="20"/>
      <c r="T55" s="20"/>
    </row>
    <row r="56" spans="2:20" s="13" customFormat="1">
      <c r="B56" s="15"/>
      <c r="F56" s="17"/>
      <c r="G56" s="18"/>
      <c r="H56" s="19"/>
      <c r="I56" s="7"/>
      <c r="J56" s="20"/>
      <c r="K56" s="21"/>
      <c r="L56" s="20"/>
      <c r="P56" s="16"/>
      <c r="Q56" s="14"/>
      <c r="R56" s="14"/>
      <c r="S56" s="20"/>
      <c r="T56" s="20"/>
    </row>
    <row r="57" spans="2:20" s="13" customFormat="1">
      <c r="B57" s="15"/>
      <c r="F57" s="17"/>
      <c r="G57" s="18"/>
      <c r="H57" s="19"/>
      <c r="I57" s="7"/>
      <c r="J57" s="20"/>
      <c r="K57" s="21"/>
      <c r="L57" s="20"/>
      <c r="P57" s="16"/>
      <c r="Q57" s="14"/>
      <c r="R57" s="14"/>
      <c r="S57" s="20"/>
      <c r="T57" s="20"/>
    </row>
    <row r="58" spans="2:20" s="13" customFormat="1">
      <c r="B58" s="15"/>
      <c r="F58" s="17"/>
      <c r="G58" s="18"/>
      <c r="H58" s="19"/>
      <c r="I58" s="7"/>
      <c r="J58" s="20"/>
      <c r="K58" s="21"/>
      <c r="L58" s="20"/>
      <c r="P58" s="16"/>
      <c r="Q58" s="14"/>
      <c r="R58" s="14"/>
      <c r="S58" s="20"/>
      <c r="T58" s="20"/>
    </row>
    <row r="59" spans="2:20" s="13" customFormat="1">
      <c r="B59" s="15"/>
      <c r="F59" s="17"/>
      <c r="G59" s="18"/>
      <c r="H59" s="19"/>
      <c r="I59" s="7"/>
      <c r="J59" s="20"/>
      <c r="K59" s="21"/>
      <c r="L59" s="20"/>
      <c r="P59" s="16"/>
      <c r="Q59" s="14"/>
      <c r="R59" s="14"/>
      <c r="S59" s="20"/>
      <c r="T59" s="20"/>
    </row>
    <row r="60" spans="2:20" s="13" customFormat="1">
      <c r="B60" s="15"/>
      <c r="F60" s="17"/>
      <c r="G60" s="18"/>
      <c r="H60" s="19"/>
      <c r="I60" s="7"/>
      <c r="J60" s="20"/>
      <c r="K60" s="21"/>
      <c r="L60" s="20"/>
      <c r="P60" s="16"/>
      <c r="Q60" s="14"/>
      <c r="R60" s="14"/>
      <c r="S60" s="20"/>
      <c r="T60" s="20"/>
    </row>
    <row r="61" spans="2:20" s="13" customFormat="1">
      <c r="B61" s="15"/>
      <c r="F61" s="17"/>
      <c r="G61" s="18"/>
      <c r="H61" s="19"/>
      <c r="I61" s="7"/>
      <c r="J61" s="20"/>
      <c r="K61" s="21"/>
      <c r="L61" s="20"/>
      <c r="P61" s="16"/>
      <c r="Q61" s="14"/>
      <c r="R61" s="14"/>
      <c r="S61" s="20"/>
      <c r="T61" s="20"/>
    </row>
    <row r="62" spans="2:20" s="13" customFormat="1">
      <c r="B62" s="15"/>
      <c r="F62" s="17"/>
      <c r="G62" s="18"/>
      <c r="H62" s="19"/>
      <c r="I62" s="7"/>
      <c r="J62" s="20"/>
      <c r="K62" s="21"/>
      <c r="L62" s="20"/>
      <c r="P62" s="16"/>
      <c r="Q62" s="14"/>
      <c r="R62" s="14"/>
      <c r="S62" s="20"/>
      <c r="T62" s="20"/>
    </row>
    <row r="63" spans="2:20" s="13" customFormat="1">
      <c r="B63" s="15"/>
      <c r="F63" s="17"/>
      <c r="G63" s="18"/>
      <c r="H63" s="19"/>
      <c r="I63" s="7"/>
      <c r="J63" s="20"/>
      <c r="K63" s="21"/>
      <c r="L63" s="20"/>
      <c r="P63" s="16"/>
      <c r="Q63" s="14"/>
      <c r="R63" s="14"/>
      <c r="S63" s="20"/>
      <c r="T63" s="20"/>
    </row>
    <row r="64" spans="2:20" s="13" customFormat="1">
      <c r="B64" s="15"/>
      <c r="F64" s="17"/>
      <c r="G64" s="18"/>
      <c r="H64" s="19"/>
      <c r="I64" s="7"/>
      <c r="J64" s="20"/>
      <c r="K64" s="21"/>
      <c r="L64" s="20"/>
      <c r="P64" s="16"/>
      <c r="Q64" s="14"/>
      <c r="R64" s="14"/>
      <c r="S64" s="20"/>
      <c r="T64" s="20"/>
    </row>
    <row r="65" spans="2:20" s="13" customFormat="1">
      <c r="B65" s="15"/>
      <c r="F65" s="17"/>
      <c r="G65" s="18"/>
      <c r="H65" s="19"/>
      <c r="I65" s="7"/>
      <c r="J65" s="20"/>
      <c r="K65" s="21"/>
      <c r="L65" s="20"/>
      <c r="P65" s="16"/>
      <c r="Q65" s="14"/>
      <c r="R65" s="14"/>
      <c r="S65" s="20"/>
      <c r="T65" s="20"/>
    </row>
    <row r="66" spans="2:20" s="13" customFormat="1">
      <c r="B66" s="15"/>
      <c r="F66" s="17"/>
      <c r="G66" s="18"/>
      <c r="H66" s="19"/>
      <c r="I66" s="7"/>
      <c r="J66" s="20"/>
      <c r="K66" s="21"/>
      <c r="L66" s="20"/>
      <c r="P66" s="16"/>
      <c r="Q66" s="14"/>
      <c r="R66" s="14"/>
      <c r="S66" s="20"/>
      <c r="T66" s="20"/>
    </row>
    <row r="67" spans="2:20" s="13" customFormat="1">
      <c r="B67" s="15"/>
      <c r="F67" s="17"/>
      <c r="G67" s="18"/>
      <c r="H67" s="19"/>
      <c r="I67" s="7"/>
      <c r="J67" s="20"/>
      <c r="K67" s="21"/>
      <c r="L67" s="20"/>
      <c r="P67" s="16"/>
      <c r="Q67" s="14"/>
      <c r="R67" s="14"/>
      <c r="S67" s="20"/>
      <c r="T67" s="20"/>
    </row>
    <row r="68" spans="2:20" s="13" customFormat="1">
      <c r="B68" s="15"/>
      <c r="F68" s="17"/>
      <c r="G68" s="18"/>
      <c r="H68" s="19"/>
      <c r="I68" s="7"/>
      <c r="J68" s="20"/>
      <c r="K68" s="21"/>
      <c r="L68" s="20"/>
      <c r="P68" s="16"/>
      <c r="Q68" s="14"/>
      <c r="R68" s="14"/>
      <c r="S68" s="20"/>
      <c r="T68" s="20"/>
    </row>
    <row r="69" spans="2:20" s="13" customFormat="1">
      <c r="B69" s="15"/>
      <c r="F69" s="17"/>
      <c r="G69" s="18"/>
      <c r="H69" s="19"/>
      <c r="I69" s="7"/>
      <c r="J69" s="20"/>
      <c r="K69" s="21"/>
      <c r="L69" s="20"/>
      <c r="P69" s="16"/>
      <c r="Q69" s="14"/>
      <c r="R69" s="14"/>
      <c r="S69" s="20"/>
      <c r="T69" s="20"/>
    </row>
    <row r="70" spans="2:20" s="13" customFormat="1">
      <c r="B70" s="15"/>
      <c r="F70" s="17"/>
      <c r="G70" s="18"/>
      <c r="H70" s="19"/>
      <c r="I70" s="7"/>
      <c r="J70" s="20"/>
      <c r="K70" s="21"/>
      <c r="L70" s="20"/>
      <c r="P70" s="16"/>
      <c r="Q70" s="14"/>
      <c r="R70" s="14"/>
      <c r="S70" s="20"/>
      <c r="T70" s="20"/>
    </row>
    <row r="71" spans="2:20" s="13" customFormat="1">
      <c r="B71" s="15"/>
      <c r="F71" s="17"/>
      <c r="G71" s="18"/>
      <c r="H71" s="19"/>
      <c r="I71" s="7"/>
      <c r="J71" s="20"/>
      <c r="K71" s="21"/>
      <c r="L71" s="20"/>
      <c r="P71" s="16"/>
      <c r="Q71" s="14"/>
      <c r="R71" s="14"/>
      <c r="S71" s="20"/>
      <c r="T71" s="20"/>
    </row>
    <row r="72" spans="2:20" s="13" customFormat="1">
      <c r="B72" s="15"/>
      <c r="F72" s="17"/>
      <c r="G72" s="18"/>
      <c r="H72" s="19"/>
      <c r="I72" s="7"/>
      <c r="J72" s="20"/>
      <c r="K72" s="21"/>
      <c r="L72" s="20"/>
      <c r="P72" s="16"/>
      <c r="Q72" s="14"/>
      <c r="R72" s="14"/>
      <c r="S72" s="20"/>
      <c r="T72" s="20"/>
    </row>
    <row r="73" spans="2:20" s="13" customFormat="1">
      <c r="B73" s="15"/>
      <c r="F73" s="17"/>
      <c r="G73" s="18"/>
      <c r="H73" s="19"/>
      <c r="I73" s="7"/>
      <c r="J73" s="20"/>
      <c r="K73" s="21"/>
      <c r="L73" s="20"/>
      <c r="P73" s="16"/>
      <c r="Q73" s="14"/>
      <c r="R73" s="14"/>
      <c r="S73" s="20"/>
      <c r="T73" s="20"/>
    </row>
    <row r="74" spans="2:20" s="13" customFormat="1">
      <c r="B74" s="15"/>
      <c r="F74" s="17"/>
      <c r="G74" s="18"/>
      <c r="H74" s="19"/>
      <c r="I74" s="7"/>
      <c r="J74" s="20"/>
      <c r="K74" s="21"/>
      <c r="L74" s="20"/>
      <c r="P74" s="16"/>
      <c r="Q74" s="14"/>
      <c r="R74" s="14"/>
      <c r="S74" s="20"/>
      <c r="T74" s="20"/>
    </row>
    <row r="75" spans="2:20" s="13" customFormat="1">
      <c r="B75" s="15"/>
      <c r="F75" s="17"/>
      <c r="G75" s="18"/>
      <c r="H75" s="19"/>
      <c r="I75" s="7"/>
      <c r="J75" s="20"/>
      <c r="K75" s="21"/>
      <c r="L75" s="20"/>
      <c r="P75" s="16"/>
      <c r="Q75" s="14"/>
      <c r="R75" s="14"/>
      <c r="S75" s="20"/>
      <c r="T75" s="20"/>
    </row>
    <row r="76" spans="2:20" s="13" customFormat="1">
      <c r="B76" s="15"/>
      <c r="F76" s="17"/>
      <c r="G76" s="18"/>
      <c r="H76" s="19"/>
      <c r="I76" s="7"/>
      <c r="J76" s="20"/>
      <c r="K76" s="21"/>
      <c r="L76" s="20"/>
      <c r="P76" s="16"/>
      <c r="Q76" s="14"/>
      <c r="R76" s="14"/>
      <c r="S76" s="20"/>
      <c r="T76" s="20"/>
    </row>
    <row r="77" spans="2:20" s="13" customFormat="1">
      <c r="B77" s="15"/>
      <c r="F77" s="17"/>
      <c r="G77" s="18"/>
      <c r="H77" s="19"/>
      <c r="I77" s="7"/>
      <c r="J77" s="20"/>
      <c r="K77" s="21"/>
      <c r="L77" s="20"/>
      <c r="P77" s="16"/>
      <c r="Q77" s="14"/>
      <c r="R77" s="14"/>
      <c r="S77" s="20"/>
      <c r="T77" s="20"/>
    </row>
    <row r="78" spans="2:20" s="13" customFormat="1">
      <c r="B78" s="15"/>
      <c r="F78" s="17"/>
      <c r="G78" s="18"/>
      <c r="H78" s="19"/>
      <c r="I78" s="7"/>
      <c r="J78" s="20"/>
      <c r="K78" s="21"/>
      <c r="L78" s="20"/>
      <c r="P78" s="16"/>
      <c r="Q78" s="14"/>
      <c r="R78" s="14"/>
      <c r="S78" s="20"/>
      <c r="T78" s="20"/>
    </row>
    <row r="79" spans="2:20" s="13" customFormat="1">
      <c r="B79" s="15"/>
      <c r="F79" s="17"/>
      <c r="G79" s="18"/>
      <c r="H79" s="19"/>
      <c r="I79" s="7"/>
      <c r="J79" s="20"/>
      <c r="K79" s="21"/>
      <c r="L79" s="20"/>
      <c r="P79" s="16"/>
      <c r="Q79" s="14"/>
      <c r="R79" s="14"/>
      <c r="S79" s="20"/>
      <c r="T79" s="20"/>
    </row>
    <row r="80" spans="2:20" s="13" customFormat="1">
      <c r="B80" s="15"/>
      <c r="F80" s="17"/>
      <c r="G80" s="18"/>
      <c r="H80" s="19"/>
      <c r="I80" s="7"/>
      <c r="J80" s="20"/>
      <c r="K80" s="21"/>
      <c r="L80" s="20"/>
      <c r="P80" s="16"/>
      <c r="Q80" s="14"/>
      <c r="R80" s="14"/>
      <c r="S80" s="20"/>
      <c r="T80" s="20"/>
    </row>
    <row r="81" spans="2:20" s="13" customFormat="1">
      <c r="B81" s="15"/>
      <c r="F81" s="17"/>
      <c r="G81" s="18"/>
      <c r="H81" s="19"/>
      <c r="I81" s="7"/>
      <c r="J81" s="20"/>
      <c r="K81" s="21"/>
      <c r="L81" s="20"/>
      <c r="P81" s="16"/>
      <c r="Q81" s="14"/>
      <c r="R81" s="14"/>
      <c r="S81" s="20"/>
      <c r="T81" s="20"/>
    </row>
    <row r="82" spans="2:20" s="13" customFormat="1">
      <c r="B82" s="15"/>
      <c r="F82" s="17"/>
      <c r="G82" s="18"/>
      <c r="H82" s="19"/>
      <c r="I82" s="7"/>
      <c r="J82" s="20"/>
      <c r="K82" s="21"/>
      <c r="L82" s="20"/>
      <c r="P82" s="16"/>
      <c r="Q82" s="14"/>
      <c r="R82" s="14"/>
      <c r="S82" s="20"/>
      <c r="T82" s="20"/>
    </row>
    <row r="83" spans="2:20" s="13" customFormat="1">
      <c r="B83" s="15"/>
      <c r="F83" s="17"/>
      <c r="G83" s="18"/>
      <c r="H83" s="19"/>
      <c r="I83" s="7"/>
      <c r="J83" s="20"/>
      <c r="K83" s="21"/>
      <c r="L83" s="20"/>
      <c r="P83" s="16"/>
      <c r="Q83" s="14"/>
      <c r="R83" s="14"/>
      <c r="S83" s="20"/>
      <c r="T83" s="20"/>
    </row>
    <row r="84" spans="2:20" s="13" customFormat="1">
      <c r="B84" s="15"/>
      <c r="F84" s="17"/>
      <c r="G84" s="18"/>
      <c r="H84" s="19"/>
      <c r="I84" s="7"/>
      <c r="J84" s="20"/>
      <c r="K84" s="21"/>
      <c r="L84" s="20"/>
      <c r="P84" s="16"/>
      <c r="Q84" s="14"/>
      <c r="R84" s="14"/>
      <c r="S84" s="20"/>
      <c r="T84" s="20"/>
    </row>
    <row r="85" spans="2:20" s="13" customFormat="1">
      <c r="B85" s="15"/>
      <c r="F85" s="17"/>
      <c r="G85" s="18"/>
      <c r="H85" s="19"/>
      <c r="I85" s="7"/>
      <c r="J85" s="20"/>
      <c r="K85" s="21"/>
      <c r="L85" s="20"/>
      <c r="P85" s="16"/>
      <c r="Q85" s="14"/>
      <c r="R85" s="14"/>
      <c r="S85" s="20"/>
      <c r="T85" s="20"/>
    </row>
    <row r="86" spans="2:20" s="13" customFormat="1">
      <c r="B86" s="15"/>
      <c r="F86" s="17"/>
      <c r="G86" s="18"/>
      <c r="H86" s="19"/>
      <c r="I86" s="7"/>
      <c r="J86" s="20"/>
      <c r="K86" s="21"/>
      <c r="L86" s="20"/>
      <c r="P86" s="16"/>
      <c r="Q86" s="14"/>
      <c r="R86" s="14"/>
      <c r="S86" s="20"/>
      <c r="T86" s="20"/>
    </row>
    <row r="87" spans="2:20" s="13" customFormat="1">
      <c r="B87" s="15"/>
      <c r="F87" s="17"/>
      <c r="G87" s="18"/>
      <c r="H87" s="19"/>
      <c r="I87" s="7"/>
      <c r="J87" s="20"/>
      <c r="K87" s="21"/>
      <c r="L87" s="20"/>
      <c r="P87" s="16"/>
      <c r="Q87" s="14"/>
      <c r="R87" s="14"/>
      <c r="S87" s="20"/>
      <c r="T87" s="20"/>
    </row>
    <row r="88" spans="2:20" s="13" customFormat="1">
      <c r="B88" s="15"/>
      <c r="F88" s="17"/>
      <c r="G88" s="18"/>
      <c r="H88" s="19"/>
      <c r="I88" s="7"/>
      <c r="J88" s="20"/>
      <c r="K88" s="21"/>
      <c r="L88" s="20"/>
      <c r="P88" s="16"/>
      <c r="Q88" s="14"/>
      <c r="R88" s="14"/>
      <c r="S88" s="20"/>
      <c r="T88" s="20"/>
    </row>
    <row r="89" spans="2:20" s="13" customFormat="1">
      <c r="B89" s="15"/>
      <c r="F89" s="17"/>
      <c r="G89" s="18"/>
      <c r="H89" s="19"/>
      <c r="I89" s="7"/>
      <c r="J89" s="20"/>
      <c r="K89" s="21"/>
      <c r="L89" s="20"/>
      <c r="P89" s="16"/>
      <c r="Q89" s="14"/>
      <c r="R89" s="14"/>
      <c r="S89" s="20"/>
      <c r="T89" s="20"/>
    </row>
    <row r="90" spans="2:20" s="13" customFormat="1">
      <c r="B90" s="15"/>
      <c r="F90" s="17"/>
      <c r="G90" s="18"/>
      <c r="H90" s="19"/>
      <c r="I90" s="7"/>
      <c r="J90" s="20"/>
      <c r="K90" s="21"/>
      <c r="L90" s="20"/>
      <c r="P90" s="16"/>
      <c r="Q90" s="14"/>
      <c r="R90" s="14"/>
      <c r="S90" s="20"/>
      <c r="T90" s="20"/>
    </row>
    <row r="91" spans="2:20" s="13" customFormat="1">
      <c r="B91" s="15"/>
      <c r="F91" s="17"/>
      <c r="G91" s="18"/>
      <c r="H91" s="19"/>
      <c r="I91" s="7"/>
      <c r="J91" s="20"/>
      <c r="K91" s="21"/>
      <c r="L91" s="20"/>
      <c r="P91" s="16"/>
      <c r="Q91" s="14"/>
      <c r="R91" s="14"/>
      <c r="S91" s="20"/>
      <c r="T91" s="20"/>
    </row>
    <row r="92" spans="2:20" s="13" customFormat="1">
      <c r="B92" s="15"/>
      <c r="F92" s="17"/>
      <c r="G92" s="18"/>
      <c r="H92" s="19"/>
      <c r="I92" s="7"/>
      <c r="J92" s="20"/>
      <c r="K92" s="21"/>
      <c r="L92" s="20"/>
      <c r="P92" s="16"/>
      <c r="Q92" s="14"/>
      <c r="R92" s="14"/>
      <c r="S92" s="20"/>
      <c r="T92" s="20"/>
    </row>
    <row r="93" spans="2:20" s="13" customFormat="1">
      <c r="B93" s="15"/>
      <c r="F93" s="17"/>
      <c r="G93" s="18"/>
      <c r="H93" s="19"/>
      <c r="I93" s="7"/>
      <c r="J93" s="20"/>
      <c r="K93" s="21"/>
      <c r="L93" s="20"/>
      <c r="P93" s="16"/>
      <c r="Q93" s="14"/>
      <c r="R93" s="14"/>
      <c r="S93" s="20"/>
      <c r="T93" s="20"/>
    </row>
    <row r="94" spans="2:20" s="13" customFormat="1">
      <c r="B94" s="15"/>
      <c r="F94" s="17"/>
      <c r="G94" s="18"/>
      <c r="H94" s="19"/>
      <c r="I94" s="7"/>
      <c r="J94" s="20"/>
      <c r="K94" s="21"/>
      <c r="L94" s="20"/>
      <c r="P94" s="16"/>
      <c r="Q94" s="14"/>
      <c r="R94" s="14"/>
      <c r="S94" s="20"/>
      <c r="T94" s="20"/>
    </row>
    <row r="95" spans="2:20" s="13" customFormat="1">
      <c r="B95" s="15"/>
      <c r="F95" s="17"/>
      <c r="G95" s="18"/>
      <c r="H95" s="19"/>
      <c r="I95" s="7"/>
      <c r="J95" s="20"/>
      <c r="K95" s="21"/>
      <c r="L95" s="20"/>
      <c r="P95" s="16"/>
      <c r="Q95" s="14"/>
      <c r="R95" s="14"/>
      <c r="S95" s="20"/>
      <c r="T95" s="20"/>
    </row>
    <row r="96" spans="2:20" s="13" customFormat="1">
      <c r="B96" s="15"/>
      <c r="F96" s="17"/>
      <c r="G96" s="18"/>
      <c r="H96" s="19"/>
      <c r="I96" s="7"/>
      <c r="J96" s="20"/>
      <c r="K96" s="21"/>
      <c r="L96" s="20"/>
      <c r="P96" s="16"/>
      <c r="Q96" s="14"/>
      <c r="R96" s="14"/>
      <c r="S96" s="20"/>
      <c r="T96" s="20"/>
    </row>
    <row r="97" spans="2:20" s="13" customFormat="1">
      <c r="B97" s="15"/>
      <c r="F97" s="17"/>
      <c r="G97" s="18"/>
      <c r="H97" s="19"/>
      <c r="I97" s="7"/>
      <c r="J97" s="20"/>
      <c r="K97" s="21"/>
      <c r="L97" s="20"/>
      <c r="P97" s="16"/>
      <c r="Q97" s="14"/>
      <c r="R97" s="14"/>
      <c r="S97" s="20"/>
      <c r="T97" s="20"/>
    </row>
    <row r="98" spans="2:20" s="13" customFormat="1">
      <c r="B98" s="15"/>
      <c r="F98" s="17"/>
      <c r="G98" s="18"/>
      <c r="H98" s="19"/>
      <c r="I98" s="7"/>
      <c r="J98" s="20"/>
      <c r="K98" s="21"/>
      <c r="L98" s="20"/>
      <c r="P98" s="16"/>
      <c r="Q98" s="14"/>
      <c r="R98" s="14"/>
      <c r="S98" s="20"/>
      <c r="T98" s="20"/>
    </row>
    <row r="99" spans="2:20" s="13" customFormat="1">
      <c r="B99" s="15"/>
      <c r="F99" s="17"/>
      <c r="G99" s="18"/>
      <c r="H99" s="19"/>
      <c r="I99" s="7"/>
      <c r="J99" s="20"/>
      <c r="K99" s="21"/>
      <c r="L99" s="20"/>
      <c r="P99" s="16"/>
      <c r="Q99" s="14"/>
      <c r="R99" s="14"/>
      <c r="S99" s="20"/>
      <c r="T99" s="20"/>
    </row>
    <row r="100" spans="2:20" s="13" customFormat="1">
      <c r="B100" s="15"/>
      <c r="F100" s="17"/>
      <c r="G100" s="18"/>
      <c r="H100" s="19"/>
      <c r="I100" s="7"/>
      <c r="J100" s="20"/>
      <c r="K100" s="21"/>
      <c r="L100" s="20"/>
      <c r="P100" s="16"/>
      <c r="Q100" s="14"/>
      <c r="R100" s="14"/>
      <c r="S100" s="20"/>
      <c r="T100" s="20"/>
    </row>
    <row r="101" spans="2:20" s="13" customFormat="1">
      <c r="B101" s="15"/>
      <c r="F101" s="17"/>
      <c r="G101" s="18"/>
      <c r="H101" s="19"/>
      <c r="I101" s="7"/>
      <c r="J101" s="20"/>
      <c r="K101" s="21"/>
      <c r="L101" s="20"/>
      <c r="P101" s="16"/>
      <c r="Q101" s="14"/>
      <c r="R101" s="14"/>
      <c r="S101" s="20"/>
      <c r="T101" s="20"/>
    </row>
    <row r="102" spans="2:20" s="13" customFormat="1">
      <c r="B102" s="15"/>
      <c r="F102" s="17"/>
      <c r="G102" s="18"/>
      <c r="H102" s="19"/>
      <c r="I102" s="7"/>
      <c r="J102" s="20"/>
      <c r="K102" s="21"/>
      <c r="L102" s="20"/>
      <c r="P102" s="16"/>
      <c r="Q102" s="14"/>
      <c r="R102" s="14"/>
      <c r="S102" s="20"/>
      <c r="T102" s="20"/>
    </row>
    <row r="103" spans="2:20" s="13" customFormat="1">
      <c r="B103" s="15"/>
      <c r="F103" s="17"/>
      <c r="G103" s="18"/>
      <c r="H103" s="19"/>
      <c r="I103" s="7"/>
      <c r="J103" s="20"/>
      <c r="K103" s="21"/>
      <c r="L103" s="20"/>
      <c r="P103" s="16"/>
      <c r="Q103" s="14"/>
      <c r="R103" s="14"/>
      <c r="S103" s="20"/>
      <c r="T103" s="20"/>
    </row>
    <row r="104" spans="2:20" s="13" customFormat="1">
      <c r="B104" s="15"/>
      <c r="F104" s="17"/>
      <c r="G104" s="18"/>
      <c r="H104" s="19"/>
      <c r="I104" s="7"/>
      <c r="J104" s="20"/>
      <c r="K104" s="21"/>
      <c r="L104" s="20"/>
      <c r="P104" s="16"/>
      <c r="Q104" s="14"/>
      <c r="R104" s="14"/>
      <c r="S104" s="20"/>
      <c r="T104" s="20"/>
    </row>
    <row r="105" spans="2:20" s="13" customFormat="1">
      <c r="B105" s="15"/>
      <c r="F105" s="17"/>
      <c r="G105" s="18"/>
      <c r="H105" s="19"/>
      <c r="I105" s="7"/>
      <c r="J105" s="20"/>
      <c r="K105" s="21"/>
      <c r="L105" s="20"/>
      <c r="P105" s="16"/>
      <c r="Q105" s="14"/>
      <c r="R105" s="14"/>
      <c r="S105" s="20"/>
      <c r="T105" s="20"/>
    </row>
    <row r="106" spans="2:20" s="13" customFormat="1">
      <c r="B106" s="15"/>
      <c r="F106" s="17"/>
      <c r="G106" s="18"/>
      <c r="H106" s="19"/>
      <c r="I106" s="7"/>
      <c r="J106" s="20"/>
      <c r="K106" s="21"/>
      <c r="L106" s="20"/>
      <c r="P106" s="16"/>
      <c r="Q106" s="14"/>
      <c r="R106" s="14"/>
      <c r="S106" s="20"/>
      <c r="T106" s="20"/>
    </row>
    <row r="107" spans="2:20" s="13" customFormat="1">
      <c r="B107" s="15"/>
      <c r="F107" s="17"/>
      <c r="G107" s="18"/>
      <c r="H107" s="19"/>
      <c r="I107" s="7"/>
      <c r="J107" s="20"/>
      <c r="K107" s="21"/>
      <c r="L107" s="20"/>
      <c r="P107" s="16"/>
      <c r="Q107" s="14"/>
      <c r="R107" s="14"/>
      <c r="S107" s="20"/>
      <c r="T107" s="20"/>
    </row>
    <row r="108" spans="2:20" s="13" customFormat="1">
      <c r="B108" s="15"/>
      <c r="F108" s="17"/>
      <c r="G108" s="18"/>
      <c r="H108" s="19"/>
      <c r="I108" s="7"/>
      <c r="J108" s="20"/>
      <c r="K108" s="21"/>
      <c r="L108" s="20"/>
      <c r="P108" s="16"/>
      <c r="Q108" s="14"/>
      <c r="R108" s="14"/>
      <c r="S108" s="20"/>
      <c r="T108" s="20"/>
    </row>
    <row r="109" spans="2:20" s="13" customFormat="1">
      <c r="B109" s="15"/>
      <c r="F109" s="17"/>
      <c r="G109" s="18"/>
      <c r="H109" s="19"/>
      <c r="I109" s="7"/>
      <c r="J109" s="20"/>
      <c r="K109" s="21"/>
      <c r="L109" s="20"/>
      <c r="P109" s="16"/>
      <c r="Q109" s="14"/>
      <c r="R109" s="14"/>
      <c r="S109" s="20"/>
      <c r="T109" s="20"/>
    </row>
    <row r="110" spans="2:20" s="13" customFormat="1">
      <c r="B110" s="15"/>
      <c r="F110" s="17"/>
      <c r="G110" s="18"/>
      <c r="H110" s="19"/>
      <c r="I110" s="7"/>
      <c r="J110" s="20"/>
      <c r="K110" s="21"/>
      <c r="L110" s="20"/>
      <c r="P110" s="16"/>
      <c r="Q110" s="14"/>
      <c r="R110" s="14"/>
      <c r="S110" s="20"/>
      <c r="T110" s="20"/>
    </row>
    <row r="111" spans="2:20" s="13" customFormat="1">
      <c r="B111" s="15"/>
      <c r="F111" s="17"/>
      <c r="G111" s="18"/>
      <c r="H111" s="19"/>
      <c r="I111" s="7"/>
      <c r="J111" s="20"/>
      <c r="K111" s="21"/>
      <c r="L111" s="20"/>
      <c r="P111" s="16"/>
      <c r="Q111" s="14"/>
      <c r="R111" s="14"/>
      <c r="S111" s="20"/>
      <c r="T111" s="20"/>
    </row>
    <row r="112" spans="2:20" s="13" customFormat="1">
      <c r="B112" s="15"/>
      <c r="F112" s="17"/>
      <c r="G112" s="18"/>
      <c r="H112" s="19"/>
      <c r="I112" s="7"/>
      <c r="J112" s="20"/>
      <c r="K112" s="21"/>
      <c r="L112" s="20"/>
      <c r="P112" s="16"/>
      <c r="Q112" s="14"/>
      <c r="R112" s="14"/>
      <c r="S112" s="20"/>
      <c r="T112" s="20"/>
    </row>
    <row r="113" spans="2:20" s="13" customFormat="1">
      <c r="B113" s="15"/>
      <c r="F113" s="17"/>
      <c r="G113" s="18"/>
      <c r="H113" s="19"/>
      <c r="I113" s="7"/>
      <c r="J113" s="20"/>
      <c r="K113" s="21"/>
      <c r="L113" s="20"/>
      <c r="P113" s="16"/>
      <c r="Q113" s="14"/>
      <c r="R113" s="14"/>
      <c r="S113" s="20"/>
      <c r="T113" s="20"/>
    </row>
    <row r="114" spans="2:20" s="13" customFormat="1">
      <c r="B114" s="15"/>
      <c r="F114" s="17"/>
      <c r="G114" s="18"/>
      <c r="H114" s="19"/>
      <c r="I114" s="7"/>
      <c r="J114" s="20"/>
      <c r="K114" s="21"/>
      <c r="L114" s="20"/>
      <c r="P114" s="16"/>
      <c r="Q114" s="14"/>
      <c r="R114" s="14"/>
      <c r="S114" s="20"/>
      <c r="T114" s="20"/>
    </row>
    <row r="115" spans="2:20" s="13" customFormat="1">
      <c r="B115" s="15"/>
      <c r="F115" s="17"/>
      <c r="G115" s="18"/>
      <c r="H115" s="19"/>
      <c r="I115" s="7"/>
      <c r="J115" s="20"/>
      <c r="K115" s="21"/>
      <c r="L115" s="20"/>
      <c r="P115" s="16"/>
      <c r="Q115" s="14"/>
      <c r="R115" s="14"/>
      <c r="S115" s="20"/>
      <c r="T115" s="20"/>
    </row>
    <row r="116" spans="2:20" s="13" customFormat="1">
      <c r="B116" s="15"/>
      <c r="F116" s="17"/>
      <c r="G116" s="18"/>
      <c r="H116" s="19"/>
      <c r="I116" s="7"/>
      <c r="J116" s="20"/>
      <c r="K116" s="21"/>
      <c r="L116" s="20"/>
      <c r="P116" s="16"/>
      <c r="Q116" s="14"/>
      <c r="R116" s="14"/>
      <c r="S116" s="20"/>
      <c r="T116" s="20"/>
    </row>
    <row r="117" spans="2:20" s="13" customFormat="1">
      <c r="B117" s="15"/>
      <c r="F117" s="17"/>
      <c r="G117" s="18"/>
      <c r="H117" s="19"/>
      <c r="I117" s="7"/>
      <c r="J117" s="20"/>
      <c r="K117" s="21"/>
      <c r="L117" s="20"/>
      <c r="P117" s="16"/>
      <c r="Q117" s="14"/>
      <c r="R117" s="14"/>
      <c r="S117" s="20"/>
      <c r="T117" s="20"/>
    </row>
    <row r="118" spans="2:20" s="13" customFormat="1">
      <c r="B118" s="15"/>
      <c r="F118" s="17"/>
      <c r="G118" s="18"/>
      <c r="H118" s="19"/>
      <c r="I118" s="7"/>
      <c r="J118" s="20"/>
      <c r="K118" s="21"/>
      <c r="L118" s="20"/>
      <c r="P118" s="16"/>
      <c r="Q118" s="14"/>
      <c r="R118" s="14"/>
      <c r="S118" s="20"/>
      <c r="T118" s="20"/>
    </row>
    <row r="119" spans="2:20" s="13" customFormat="1">
      <c r="B119" s="15"/>
      <c r="F119" s="17"/>
      <c r="G119" s="18"/>
      <c r="H119" s="19"/>
      <c r="I119" s="7"/>
      <c r="J119" s="20"/>
      <c r="K119" s="21"/>
      <c r="L119" s="20"/>
      <c r="P119" s="16"/>
      <c r="Q119" s="14"/>
      <c r="R119" s="14"/>
      <c r="S119" s="20"/>
      <c r="T119" s="20"/>
    </row>
    <row r="120" spans="2:20" s="13" customFormat="1">
      <c r="B120" s="15"/>
      <c r="F120" s="17"/>
      <c r="G120" s="18"/>
      <c r="H120" s="19"/>
      <c r="I120" s="7"/>
      <c r="J120" s="20"/>
      <c r="K120" s="21"/>
      <c r="L120" s="20"/>
      <c r="P120" s="16"/>
      <c r="Q120" s="14"/>
      <c r="R120" s="14"/>
      <c r="S120" s="20"/>
      <c r="T120" s="20"/>
    </row>
    <row r="121" spans="2:20" s="13" customFormat="1">
      <c r="B121" s="15"/>
      <c r="F121" s="17"/>
      <c r="G121" s="18"/>
      <c r="H121" s="19"/>
      <c r="I121" s="7"/>
      <c r="J121" s="20"/>
      <c r="K121" s="21"/>
      <c r="L121" s="20"/>
      <c r="P121" s="16"/>
      <c r="Q121" s="14"/>
      <c r="R121" s="14"/>
      <c r="S121" s="20"/>
      <c r="T121" s="20"/>
    </row>
    <row r="122" spans="2:20" s="13" customFormat="1">
      <c r="B122" s="15"/>
      <c r="F122" s="17"/>
      <c r="G122" s="18"/>
      <c r="H122" s="19"/>
      <c r="I122" s="7"/>
      <c r="J122" s="20"/>
      <c r="K122" s="21"/>
      <c r="L122" s="20"/>
      <c r="P122" s="16"/>
      <c r="Q122" s="14"/>
      <c r="R122" s="14"/>
      <c r="S122" s="20"/>
      <c r="T122" s="20"/>
    </row>
    <row r="123" spans="2:20" s="13" customFormat="1">
      <c r="B123" s="15"/>
      <c r="F123" s="17"/>
      <c r="G123" s="18"/>
      <c r="H123" s="19"/>
      <c r="I123" s="7"/>
      <c r="J123" s="20"/>
      <c r="K123" s="21"/>
      <c r="L123" s="20"/>
      <c r="P123" s="16"/>
      <c r="Q123" s="14"/>
      <c r="R123" s="14"/>
      <c r="S123" s="20"/>
      <c r="T123" s="20"/>
    </row>
    <row r="124" spans="2:20" s="13" customFormat="1">
      <c r="B124" s="15"/>
      <c r="F124" s="17"/>
      <c r="G124" s="18"/>
      <c r="H124" s="19"/>
      <c r="I124" s="7"/>
      <c r="J124" s="20"/>
      <c r="K124" s="21"/>
      <c r="L124" s="20"/>
      <c r="P124" s="16"/>
      <c r="Q124" s="14"/>
      <c r="R124" s="14"/>
      <c r="S124" s="20"/>
      <c r="T124" s="20"/>
    </row>
    <row r="125" spans="2:20" s="13" customFormat="1">
      <c r="B125" s="15"/>
      <c r="F125" s="17"/>
      <c r="G125" s="18"/>
      <c r="H125" s="19"/>
      <c r="I125" s="7"/>
      <c r="J125" s="20"/>
      <c r="K125" s="21"/>
      <c r="L125" s="20"/>
      <c r="P125" s="16"/>
      <c r="Q125" s="14"/>
      <c r="R125" s="14"/>
      <c r="S125" s="20"/>
      <c r="T125" s="20"/>
    </row>
    <row r="126" spans="2:20" s="13" customFormat="1">
      <c r="B126" s="15"/>
      <c r="F126" s="17"/>
      <c r="G126" s="18"/>
      <c r="H126" s="19"/>
      <c r="I126" s="7"/>
      <c r="J126" s="20"/>
      <c r="K126" s="21"/>
      <c r="L126" s="20"/>
      <c r="P126" s="16"/>
      <c r="Q126" s="14"/>
      <c r="R126" s="14"/>
      <c r="S126" s="20"/>
      <c r="T126" s="20"/>
    </row>
    <row r="127" spans="2:20" s="13" customFormat="1">
      <c r="B127" s="15"/>
      <c r="F127" s="17"/>
      <c r="G127" s="18"/>
      <c r="H127" s="19"/>
      <c r="I127" s="7"/>
      <c r="J127" s="20"/>
      <c r="K127" s="21"/>
      <c r="L127" s="20"/>
      <c r="P127" s="16"/>
      <c r="Q127" s="14"/>
      <c r="R127" s="14"/>
      <c r="S127" s="20"/>
      <c r="T127" s="20"/>
    </row>
    <row r="128" spans="2:20" s="13" customFormat="1">
      <c r="B128" s="15"/>
      <c r="F128" s="17"/>
      <c r="G128" s="18"/>
      <c r="H128" s="19"/>
      <c r="I128" s="7"/>
      <c r="J128" s="20"/>
      <c r="K128" s="21"/>
      <c r="L128" s="20"/>
      <c r="P128" s="16"/>
      <c r="Q128" s="14"/>
      <c r="R128" s="14"/>
      <c r="S128" s="20"/>
      <c r="T128" s="20"/>
    </row>
    <row r="129" spans="2:20" s="13" customFormat="1">
      <c r="B129" s="15"/>
      <c r="F129" s="17"/>
      <c r="G129" s="18"/>
      <c r="H129" s="19"/>
      <c r="I129" s="7"/>
      <c r="J129" s="20"/>
      <c r="K129" s="21"/>
      <c r="L129" s="20"/>
      <c r="P129" s="16"/>
      <c r="Q129" s="14"/>
      <c r="R129" s="14"/>
      <c r="S129" s="20"/>
      <c r="T129" s="20"/>
    </row>
    <row r="130" spans="2:20" s="13" customFormat="1">
      <c r="B130" s="15"/>
      <c r="F130" s="17"/>
      <c r="G130" s="18"/>
      <c r="H130" s="19"/>
      <c r="I130" s="7"/>
      <c r="J130" s="20"/>
      <c r="K130" s="21"/>
      <c r="L130" s="20"/>
      <c r="P130" s="16"/>
      <c r="Q130" s="14"/>
      <c r="R130" s="14"/>
      <c r="S130" s="20"/>
      <c r="T130" s="20"/>
    </row>
    <row r="131" spans="2:20" s="13" customFormat="1">
      <c r="B131" s="15"/>
      <c r="F131" s="17"/>
      <c r="G131" s="18"/>
      <c r="H131" s="19"/>
      <c r="I131" s="7"/>
      <c r="J131" s="20"/>
      <c r="K131" s="21"/>
      <c r="L131" s="20"/>
      <c r="P131" s="16"/>
      <c r="Q131" s="14"/>
      <c r="R131" s="14"/>
      <c r="S131" s="20"/>
      <c r="T131" s="20"/>
    </row>
    <row r="132" spans="2:20" s="13" customFormat="1">
      <c r="B132" s="15"/>
      <c r="F132" s="17"/>
      <c r="G132" s="18"/>
      <c r="H132" s="19"/>
      <c r="I132" s="7"/>
      <c r="J132" s="20"/>
      <c r="K132" s="21"/>
      <c r="L132" s="20"/>
      <c r="P132" s="16"/>
      <c r="Q132" s="14"/>
      <c r="R132" s="14"/>
      <c r="S132" s="20"/>
      <c r="T132" s="20"/>
    </row>
    <row r="133" spans="2:20" s="13" customFormat="1">
      <c r="B133" s="15"/>
      <c r="F133" s="17"/>
      <c r="G133" s="18"/>
      <c r="H133" s="19"/>
      <c r="I133" s="7"/>
      <c r="J133" s="20"/>
      <c r="K133" s="21"/>
      <c r="L133" s="20"/>
      <c r="P133" s="16"/>
      <c r="Q133" s="14"/>
      <c r="R133" s="14"/>
      <c r="S133" s="20"/>
      <c r="T133" s="20"/>
    </row>
    <row r="134" spans="2:20" s="13" customFormat="1">
      <c r="B134" s="15"/>
      <c r="F134" s="17"/>
      <c r="G134" s="18"/>
      <c r="H134" s="19"/>
      <c r="I134" s="7"/>
      <c r="J134" s="20"/>
      <c r="K134" s="21"/>
      <c r="L134" s="20"/>
      <c r="P134" s="16"/>
      <c r="Q134" s="14"/>
      <c r="R134" s="14"/>
      <c r="S134" s="20"/>
      <c r="T134" s="20"/>
    </row>
    <row r="135" spans="2:20" s="13" customFormat="1">
      <c r="B135" s="15"/>
      <c r="F135" s="17"/>
      <c r="G135" s="18"/>
      <c r="H135" s="19"/>
      <c r="I135" s="7"/>
      <c r="J135" s="20"/>
      <c r="K135" s="21"/>
      <c r="L135" s="20"/>
      <c r="P135" s="16"/>
      <c r="Q135" s="14"/>
      <c r="R135" s="14"/>
      <c r="S135" s="20"/>
      <c r="T135" s="20"/>
    </row>
    <row r="136" spans="2:20" s="13" customFormat="1">
      <c r="B136" s="15"/>
      <c r="F136" s="17"/>
      <c r="G136" s="18"/>
      <c r="H136" s="19"/>
      <c r="I136" s="7"/>
      <c r="J136" s="20"/>
      <c r="K136" s="21"/>
      <c r="L136" s="20"/>
      <c r="P136" s="16"/>
      <c r="Q136" s="14"/>
      <c r="R136" s="14"/>
      <c r="S136" s="20"/>
      <c r="T136" s="20"/>
    </row>
    <row r="137" spans="2:20" s="13" customFormat="1">
      <c r="B137" s="15"/>
      <c r="F137" s="17"/>
      <c r="G137" s="18"/>
      <c r="H137" s="19"/>
      <c r="I137" s="7"/>
      <c r="J137" s="20"/>
      <c r="K137" s="21"/>
      <c r="L137" s="20"/>
      <c r="P137" s="16"/>
      <c r="Q137" s="14"/>
      <c r="R137" s="14"/>
      <c r="S137" s="20"/>
      <c r="T137" s="20"/>
    </row>
    <row r="138" spans="2:20" s="13" customFormat="1">
      <c r="B138" s="15"/>
      <c r="F138" s="17"/>
      <c r="G138" s="18"/>
      <c r="H138" s="19"/>
      <c r="I138" s="7"/>
      <c r="J138" s="20"/>
      <c r="K138" s="21"/>
      <c r="L138" s="20"/>
      <c r="P138" s="16"/>
      <c r="Q138" s="14"/>
      <c r="R138" s="14"/>
      <c r="S138" s="20"/>
      <c r="T138" s="20"/>
    </row>
    <row r="139" spans="2:20" s="13" customFormat="1">
      <c r="B139" s="15"/>
      <c r="F139" s="17"/>
      <c r="G139" s="18"/>
      <c r="H139" s="19"/>
      <c r="I139" s="7"/>
      <c r="J139" s="20"/>
      <c r="K139" s="21"/>
      <c r="L139" s="20"/>
      <c r="P139" s="16"/>
      <c r="Q139" s="14"/>
      <c r="R139" s="14"/>
      <c r="S139" s="20"/>
      <c r="T139" s="20"/>
    </row>
    <row r="140" spans="2:20" s="13" customFormat="1">
      <c r="B140" s="15"/>
      <c r="F140" s="17"/>
      <c r="G140" s="18"/>
      <c r="H140" s="19"/>
      <c r="I140" s="7"/>
      <c r="J140" s="20"/>
      <c r="K140" s="21"/>
      <c r="L140" s="20"/>
      <c r="P140" s="16"/>
      <c r="Q140" s="14"/>
      <c r="R140" s="14"/>
      <c r="S140" s="20"/>
      <c r="T140" s="20"/>
    </row>
    <row r="141" spans="2:20" s="13" customFormat="1">
      <c r="B141" s="15"/>
      <c r="F141" s="17"/>
      <c r="G141" s="18"/>
      <c r="H141" s="19"/>
      <c r="I141" s="7"/>
      <c r="J141" s="20"/>
      <c r="K141" s="21"/>
      <c r="L141" s="20"/>
      <c r="P141" s="16"/>
      <c r="Q141" s="14"/>
      <c r="R141" s="14"/>
      <c r="S141" s="20"/>
      <c r="T141" s="20"/>
    </row>
    <row r="142" spans="2:20" s="13" customFormat="1">
      <c r="B142" s="15"/>
      <c r="F142" s="17"/>
      <c r="G142" s="18"/>
      <c r="H142" s="19"/>
      <c r="I142" s="7"/>
      <c r="J142" s="20"/>
      <c r="K142" s="21"/>
      <c r="L142" s="20"/>
      <c r="P142" s="16"/>
      <c r="Q142" s="14"/>
      <c r="R142" s="14"/>
      <c r="S142" s="20"/>
      <c r="T142" s="20"/>
    </row>
    <row r="143" spans="2:20" s="13" customFormat="1">
      <c r="B143" s="15"/>
      <c r="F143" s="17"/>
      <c r="G143" s="18"/>
      <c r="H143" s="19"/>
      <c r="I143" s="7"/>
      <c r="J143" s="20"/>
      <c r="K143" s="21"/>
      <c r="L143" s="20"/>
      <c r="P143" s="16"/>
      <c r="Q143" s="14"/>
      <c r="R143" s="14"/>
      <c r="S143" s="20"/>
      <c r="T143" s="20"/>
    </row>
    <row r="144" spans="2:20" s="13" customFormat="1">
      <c r="B144" s="15"/>
      <c r="F144" s="17"/>
      <c r="G144" s="18"/>
      <c r="H144" s="19"/>
      <c r="I144" s="7"/>
      <c r="J144" s="20"/>
      <c r="K144" s="21"/>
      <c r="L144" s="20"/>
      <c r="P144" s="16"/>
      <c r="Q144" s="14"/>
      <c r="R144" s="14"/>
      <c r="S144" s="20"/>
      <c r="T144" s="20"/>
    </row>
    <row r="145" spans="2:20" s="13" customFormat="1">
      <c r="B145" s="15"/>
      <c r="F145" s="17"/>
      <c r="G145" s="18"/>
      <c r="H145" s="19"/>
      <c r="I145" s="7"/>
      <c r="J145" s="20"/>
      <c r="K145" s="21"/>
      <c r="L145" s="20"/>
      <c r="P145" s="16"/>
      <c r="Q145" s="14"/>
      <c r="R145" s="14"/>
      <c r="S145" s="20"/>
      <c r="T145" s="20"/>
    </row>
    <row r="146" spans="2:20" s="13" customFormat="1">
      <c r="B146" s="15"/>
      <c r="F146" s="17"/>
      <c r="G146" s="18"/>
      <c r="H146" s="19"/>
      <c r="I146" s="7"/>
      <c r="J146" s="20"/>
      <c r="K146" s="21"/>
      <c r="L146" s="20"/>
      <c r="P146" s="16"/>
      <c r="Q146" s="14"/>
      <c r="R146" s="14"/>
      <c r="S146" s="20"/>
      <c r="T146" s="20"/>
    </row>
    <row r="147" spans="2:20" s="13" customFormat="1">
      <c r="B147" s="15"/>
      <c r="F147" s="17"/>
      <c r="G147" s="18"/>
      <c r="H147" s="19"/>
      <c r="I147" s="7"/>
      <c r="J147" s="20"/>
      <c r="K147" s="21"/>
      <c r="L147" s="20"/>
      <c r="P147" s="16"/>
      <c r="Q147" s="14"/>
      <c r="R147" s="14"/>
      <c r="S147" s="20"/>
      <c r="T147" s="20"/>
    </row>
    <row r="148" spans="2:20" s="13" customFormat="1">
      <c r="B148" s="15"/>
      <c r="F148" s="17"/>
      <c r="G148" s="18"/>
      <c r="H148" s="19"/>
      <c r="I148" s="7"/>
      <c r="J148" s="20"/>
      <c r="K148" s="21"/>
      <c r="L148" s="20"/>
      <c r="P148" s="16"/>
      <c r="Q148" s="14"/>
      <c r="R148" s="14"/>
      <c r="S148" s="20"/>
      <c r="T148" s="20"/>
    </row>
    <row r="149" spans="2:20" s="13" customFormat="1">
      <c r="B149" s="15"/>
      <c r="F149" s="17"/>
      <c r="G149" s="18"/>
      <c r="H149" s="19"/>
      <c r="I149" s="7"/>
      <c r="J149" s="20"/>
      <c r="K149" s="21"/>
      <c r="L149" s="20"/>
      <c r="P149" s="16"/>
      <c r="Q149" s="14"/>
      <c r="R149" s="14"/>
      <c r="S149" s="20"/>
      <c r="T149" s="20"/>
    </row>
    <row r="150" spans="2:20" s="13" customFormat="1">
      <c r="B150" s="15"/>
      <c r="F150" s="17"/>
      <c r="G150" s="18"/>
      <c r="H150" s="19"/>
      <c r="I150" s="7"/>
      <c r="J150" s="20"/>
      <c r="K150" s="21"/>
      <c r="L150" s="20"/>
      <c r="P150" s="16"/>
      <c r="Q150" s="14"/>
      <c r="R150" s="14"/>
      <c r="S150" s="20"/>
      <c r="T150" s="20"/>
    </row>
    <row r="151" spans="2:20" s="13" customFormat="1">
      <c r="B151" s="15"/>
      <c r="F151" s="17"/>
      <c r="G151" s="18"/>
      <c r="H151" s="19"/>
      <c r="I151" s="7"/>
      <c r="J151" s="20"/>
      <c r="K151" s="21"/>
      <c r="L151" s="20"/>
      <c r="P151" s="16"/>
      <c r="Q151" s="14"/>
      <c r="R151" s="14"/>
      <c r="S151" s="20"/>
      <c r="T151" s="20"/>
    </row>
    <row r="152" spans="2:20" s="13" customFormat="1">
      <c r="B152" s="15"/>
      <c r="F152" s="17"/>
      <c r="G152" s="18"/>
      <c r="H152" s="19"/>
      <c r="I152" s="7"/>
      <c r="J152" s="20"/>
      <c r="K152" s="21"/>
      <c r="L152" s="20"/>
      <c r="P152" s="16"/>
      <c r="Q152" s="14"/>
      <c r="R152" s="14"/>
      <c r="S152" s="20"/>
      <c r="T152" s="20"/>
    </row>
    <row r="153" spans="2:20" s="13" customFormat="1">
      <c r="B153" s="15"/>
      <c r="F153" s="17"/>
      <c r="G153" s="18"/>
      <c r="H153" s="19"/>
      <c r="I153" s="7"/>
      <c r="J153" s="20"/>
      <c r="K153" s="21"/>
      <c r="L153" s="20"/>
      <c r="P153" s="16"/>
      <c r="Q153" s="14"/>
      <c r="R153" s="14"/>
      <c r="S153" s="20"/>
      <c r="T153" s="20"/>
    </row>
    <row r="154" spans="2:20" s="13" customFormat="1">
      <c r="B154" s="15"/>
      <c r="F154" s="17"/>
      <c r="G154" s="18"/>
      <c r="H154" s="19"/>
      <c r="I154" s="7"/>
      <c r="J154" s="20"/>
      <c r="K154" s="21"/>
      <c r="L154" s="20"/>
      <c r="P154" s="16"/>
      <c r="Q154" s="14"/>
      <c r="R154" s="14"/>
      <c r="S154" s="20"/>
      <c r="T154" s="20"/>
    </row>
    <row r="155" spans="2:20" s="13" customFormat="1">
      <c r="B155" s="15"/>
      <c r="F155" s="17"/>
      <c r="G155" s="18"/>
      <c r="H155" s="19"/>
      <c r="I155" s="7"/>
      <c r="J155" s="20"/>
      <c r="K155" s="21"/>
      <c r="L155" s="20"/>
      <c r="P155" s="16"/>
      <c r="Q155" s="14"/>
      <c r="R155" s="14"/>
      <c r="S155" s="20"/>
      <c r="T155" s="20"/>
    </row>
    <row r="156" spans="2:20" s="13" customFormat="1">
      <c r="B156" s="15"/>
      <c r="F156" s="17"/>
      <c r="G156" s="18"/>
      <c r="H156" s="19"/>
      <c r="I156" s="7"/>
      <c r="J156" s="20"/>
      <c r="K156" s="21"/>
      <c r="L156" s="20"/>
      <c r="P156" s="16"/>
      <c r="Q156" s="14"/>
      <c r="R156" s="14"/>
      <c r="S156" s="20"/>
      <c r="T156" s="20"/>
    </row>
    <row r="157" spans="2:20" s="13" customFormat="1">
      <c r="B157" s="15"/>
      <c r="F157" s="17"/>
      <c r="G157" s="18"/>
      <c r="H157" s="19"/>
      <c r="I157" s="7"/>
      <c r="J157" s="20"/>
      <c r="K157" s="21"/>
      <c r="L157" s="20"/>
      <c r="P157" s="16"/>
      <c r="Q157" s="14"/>
      <c r="R157" s="14"/>
      <c r="S157" s="20"/>
      <c r="T157" s="20"/>
    </row>
    <row r="158" spans="2:20" s="13" customFormat="1">
      <c r="B158" s="15"/>
      <c r="F158" s="17"/>
      <c r="G158" s="18"/>
      <c r="H158" s="19"/>
      <c r="I158" s="7"/>
      <c r="J158" s="20"/>
      <c r="K158" s="21"/>
      <c r="L158" s="20"/>
      <c r="P158" s="16"/>
      <c r="Q158" s="14"/>
      <c r="R158" s="14"/>
      <c r="S158" s="20"/>
      <c r="T158" s="20"/>
    </row>
    <row r="159" spans="2:20" s="13" customFormat="1">
      <c r="B159" s="15"/>
      <c r="F159" s="17"/>
      <c r="G159" s="18"/>
      <c r="H159" s="19"/>
      <c r="I159" s="7"/>
      <c r="J159" s="20"/>
      <c r="K159" s="21"/>
      <c r="L159" s="20"/>
      <c r="P159" s="16"/>
      <c r="Q159" s="14"/>
      <c r="R159" s="14"/>
      <c r="S159" s="20"/>
      <c r="T159" s="20"/>
    </row>
    <row r="160" spans="2:20" s="13" customFormat="1">
      <c r="B160" s="15"/>
      <c r="F160" s="17"/>
      <c r="G160" s="18"/>
      <c r="H160" s="19"/>
      <c r="I160" s="7"/>
      <c r="J160" s="20"/>
      <c r="K160" s="21"/>
      <c r="L160" s="20"/>
      <c r="P160" s="16"/>
      <c r="Q160" s="14"/>
      <c r="R160" s="14"/>
      <c r="S160" s="20"/>
      <c r="T160" s="20"/>
    </row>
    <row r="161" spans="2:20" s="13" customFormat="1">
      <c r="B161" s="15"/>
      <c r="F161" s="17"/>
      <c r="G161" s="18"/>
      <c r="H161" s="19"/>
      <c r="I161" s="7"/>
      <c r="J161" s="20"/>
      <c r="K161" s="21"/>
      <c r="L161" s="20"/>
      <c r="P161" s="16"/>
      <c r="Q161" s="14"/>
      <c r="R161" s="14"/>
      <c r="S161" s="20"/>
      <c r="T161" s="20"/>
    </row>
    <row r="162" spans="2:20" s="13" customFormat="1">
      <c r="B162" s="15"/>
      <c r="F162" s="17"/>
      <c r="G162" s="18"/>
      <c r="H162" s="19"/>
      <c r="I162" s="7"/>
      <c r="J162" s="20"/>
      <c r="K162" s="21"/>
      <c r="L162" s="20"/>
      <c r="P162" s="16"/>
      <c r="Q162" s="14"/>
      <c r="R162" s="14"/>
      <c r="S162" s="20"/>
      <c r="T162" s="20"/>
    </row>
    <row r="163" spans="2:20" s="13" customFormat="1">
      <c r="B163" s="15"/>
      <c r="F163" s="17"/>
      <c r="G163" s="18"/>
      <c r="H163" s="19"/>
      <c r="I163" s="7"/>
      <c r="J163" s="20"/>
      <c r="K163" s="21"/>
      <c r="L163" s="20"/>
      <c r="P163" s="16"/>
      <c r="Q163" s="14"/>
      <c r="R163" s="14"/>
      <c r="S163" s="20"/>
      <c r="T163" s="20"/>
    </row>
    <row r="164" spans="2:20" s="13" customFormat="1">
      <c r="B164" s="15"/>
      <c r="F164" s="17"/>
      <c r="G164" s="18"/>
      <c r="H164" s="19"/>
      <c r="I164" s="7"/>
      <c r="J164" s="20"/>
      <c r="K164" s="21"/>
      <c r="L164" s="20"/>
      <c r="P164" s="16"/>
      <c r="Q164" s="14"/>
      <c r="R164" s="14"/>
      <c r="S164" s="20"/>
      <c r="T164" s="20"/>
    </row>
    <row r="165" spans="2:20" s="13" customFormat="1">
      <c r="B165" s="15"/>
      <c r="F165" s="17"/>
      <c r="G165" s="18"/>
      <c r="H165" s="19"/>
      <c r="I165" s="7"/>
      <c r="J165" s="20"/>
      <c r="K165" s="21"/>
      <c r="L165" s="20"/>
      <c r="P165" s="16"/>
      <c r="Q165" s="14"/>
      <c r="R165" s="14"/>
      <c r="S165" s="20"/>
      <c r="T165" s="20"/>
    </row>
    <row r="166" spans="2:20" s="13" customFormat="1">
      <c r="B166" s="15"/>
      <c r="F166" s="17"/>
      <c r="G166" s="18"/>
      <c r="H166" s="19"/>
      <c r="I166" s="7"/>
      <c r="J166" s="20"/>
      <c r="K166" s="21"/>
      <c r="L166" s="20"/>
      <c r="P166" s="16"/>
      <c r="Q166" s="14"/>
      <c r="R166" s="14"/>
      <c r="S166" s="20"/>
      <c r="T166" s="20"/>
    </row>
    <row r="167" spans="2:20" s="13" customFormat="1">
      <c r="B167" s="15"/>
      <c r="F167" s="17"/>
      <c r="G167" s="18"/>
      <c r="H167" s="19"/>
      <c r="I167" s="7"/>
      <c r="J167" s="20"/>
      <c r="K167" s="21"/>
      <c r="L167" s="20"/>
      <c r="P167" s="16"/>
      <c r="Q167" s="14"/>
      <c r="R167" s="14"/>
      <c r="S167" s="20"/>
      <c r="T167" s="20"/>
    </row>
    <row r="168" spans="2:20" s="13" customFormat="1">
      <c r="B168" s="15"/>
      <c r="F168" s="17"/>
      <c r="G168" s="18"/>
      <c r="H168" s="19"/>
      <c r="I168" s="7"/>
      <c r="J168" s="20"/>
      <c r="K168" s="21"/>
      <c r="L168" s="20"/>
      <c r="P168" s="16"/>
      <c r="Q168" s="14"/>
      <c r="R168" s="14"/>
      <c r="S168" s="20"/>
      <c r="T168" s="20"/>
    </row>
    <row r="169" spans="2:20" s="13" customFormat="1">
      <c r="B169" s="15"/>
      <c r="F169" s="17"/>
      <c r="G169" s="18"/>
      <c r="H169" s="19"/>
      <c r="I169" s="7"/>
      <c r="J169" s="20"/>
      <c r="K169" s="21"/>
      <c r="L169" s="20"/>
      <c r="P169" s="16"/>
      <c r="Q169" s="14"/>
      <c r="R169" s="14"/>
      <c r="S169" s="20"/>
      <c r="T169" s="20"/>
    </row>
    <row r="170" spans="2:20" s="13" customFormat="1">
      <c r="B170" s="15"/>
      <c r="F170" s="17"/>
      <c r="G170" s="18"/>
      <c r="H170" s="19"/>
      <c r="I170" s="7"/>
      <c r="J170" s="20"/>
      <c r="K170" s="21"/>
      <c r="L170" s="20"/>
      <c r="P170" s="16"/>
      <c r="Q170" s="14"/>
      <c r="R170" s="14"/>
      <c r="S170" s="20"/>
      <c r="T170" s="20"/>
    </row>
    <row r="171" spans="2:20" s="13" customFormat="1">
      <c r="B171" s="15"/>
      <c r="F171" s="17"/>
      <c r="G171" s="18"/>
      <c r="H171" s="19"/>
      <c r="I171" s="7"/>
      <c r="J171" s="20"/>
      <c r="K171" s="21"/>
      <c r="L171" s="20"/>
      <c r="P171" s="16"/>
      <c r="Q171" s="14"/>
      <c r="R171" s="14"/>
      <c r="S171" s="20"/>
      <c r="T171" s="20"/>
    </row>
    <row r="172" spans="2:20" s="13" customFormat="1">
      <c r="B172" s="15"/>
      <c r="F172" s="17"/>
      <c r="G172" s="18"/>
      <c r="H172" s="19"/>
      <c r="I172" s="7"/>
      <c r="J172" s="20"/>
      <c r="K172" s="21"/>
      <c r="L172" s="20"/>
      <c r="P172" s="16"/>
      <c r="Q172" s="14"/>
      <c r="R172" s="14"/>
      <c r="S172" s="20"/>
      <c r="T172" s="20"/>
    </row>
    <row r="173" spans="2:20" s="13" customFormat="1">
      <c r="B173" s="15"/>
      <c r="F173" s="17"/>
      <c r="G173" s="18"/>
      <c r="H173" s="19"/>
      <c r="I173" s="7"/>
      <c r="J173" s="20"/>
      <c r="K173" s="21"/>
      <c r="L173" s="20"/>
      <c r="P173" s="16"/>
      <c r="Q173" s="14"/>
      <c r="R173" s="14"/>
      <c r="S173" s="20"/>
      <c r="T173" s="20"/>
    </row>
    <row r="174" spans="2:20" s="13" customFormat="1">
      <c r="B174" s="15"/>
      <c r="F174" s="17"/>
      <c r="G174" s="18"/>
      <c r="H174" s="19"/>
      <c r="I174" s="7"/>
      <c r="J174" s="20"/>
      <c r="K174" s="21"/>
      <c r="L174" s="20"/>
      <c r="P174" s="16"/>
      <c r="Q174" s="14"/>
      <c r="R174" s="14"/>
      <c r="S174" s="20"/>
      <c r="T174" s="20"/>
    </row>
    <row r="175" spans="2:20" s="13" customFormat="1">
      <c r="B175" s="15"/>
      <c r="F175" s="17"/>
      <c r="G175" s="18"/>
      <c r="H175" s="19"/>
      <c r="I175" s="7"/>
      <c r="J175" s="20"/>
      <c r="K175" s="21"/>
      <c r="L175" s="20"/>
      <c r="P175" s="16"/>
      <c r="Q175" s="14"/>
      <c r="R175" s="14"/>
      <c r="S175" s="20"/>
      <c r="T175" s="20"/>
    </row>
    <row r="176" spans="2:20" s="13" customFormat="1">
      <c r="B176" s="15"/>
      <c r="F176" s="17"/>
      <c r="G176" s="18"/>
      <c r="H176" s="19"/>
      <c r="I176" s="7"/>
      <c r="J176" s="20"/>
      <c r="K176" s="21"/>
      <c r="L176" s="20"/>
      <c r="P176" s="16"/>
      <c r="Q176" s="14"/>
      <c r="R176" s="14"/>
      <c r="S176" s="20"/>
      <c r="T176" s="20"/>
    </row>
    <row r="177" spans="2:20" s="13" customFormat="1">
      <c r="B177" s="15"/>
      <c r="F177" s="17"/>
      <c r="G177" s="18"/>
      <c r="H177" s="19"/>
      <c r="I177" s="7"/>
      <c r="J177" s="20"/>
      <c r="K177" s="21"/>
      <c r="L177" s="20"/>
      <c r="P177" s="16"/>
      <c r="Q177" s="14"/>
      <c r="R177" s="14"/>
      <c r="S177" s="20"/>
      <c r="T177" s="20"/>
    </row>
    <row r="178" spans="2:20" s="13" customFormat="1">
      <c r="B178" s="15"/>
      <c r="F178" s="17"/>
      <c r="G178" s="18"/>
      <c r="H178" s="19"/>
      <c r="I178" s="7"/>
      <c r="J178" s="20"/>
      <c r="K178" s="21"/>
      <c r="L178" s="20"/>
      <c r="P178" s="16"/>
      <c r="Q178" s="14"/>
      <c r="R178" s="14"/>
      <c r="S178" s="20"/>
      <c r="T178" s="20"/>
    </row>
    <row r="179" spans="2:20" s="13" customFormat="1">
      <c r="B179" s="15"/>
      <c r="F179" s="17"/>
      <c r="G179" s="18"/>
      <c r="H179" s="19"/>
      <c r="I179" s="7"/>
      <c r="J179" s="20"/>
      <c r="K179" s="21"/>
      <c r="L179" s="20"/>
      <c r="P179" s="16"/>
      <c r="Q179" s="14"/>
      <c r="R179" s="14"/>
      <c r="S179" s="20"/>
      <c r="T179" s="20"/>
    </row>
    <row r="180" spans="2:20" s="13" customFormat="1">
      <c r="B180" s="15"/>
      <c r="F180" s="17"/>
      <c r="G180" s="18"/>
      <c r="H180" s="19"/>
      <c r="I180" s="7"/>
      <c r="J180" s="20"/>
      <c r="K180" s="21"/>
      <c r="L180" s="20"/>
      <c r="P180" s="16"/>
      <c r="Q180" s="14"/>
      <c r="R180" s="14"/>
      <c r="S180" s="20"/>
      <c r="T180" s="20"/>
    </row>
    <row r="181" spans="2:20" s="13" customFormat="1">
      <c r="B181" s="15"/>
      <c r="F181" s="17"/>
      <c r="G181" s="18"/>
      <c r="H181" s="19"/>
      <c r="I181" s="7"/>
      <c r="J181" s="20"/>
      <c r="K181" s="21"/>
      <c r="L181" s="20"/>
      <c r="P181" s="16"/>
      <c r="Q181" s="14"/>
      <c r="R181" s="14"/>
      <c r="S181" s="20"/>
      <c r="T181" s="20"/>
    </row>
    <row r="182" spans="2:20" s="13" customFormat="1">
      <c r="B182" s="15"/>
      <c r="F182" s="17"/>
      <c r="G182" s="18"/>
      <c r="H182" s="19"/>
      <c r="I182" s="7"/>
      <c r="J182" s="20"/>
      <c r="K182" s="21"/>
      <c r="L182" s="20"/>
      <c r="P182" s="16"/>
      <c r="Q182" s="14"/>
      <c r="R182" s="14"/>
      <c r="S182" s="20"/>
      <c r="T182" s="20"/>
    </row>
    <row r="183" spans="2:20" s="13" customFormat="1">
      <c r="B183" s="15"/>
      <c r="F183" s="17"/>
      <c r="G183" s="18"/>
      <c r="H183" s="19"/>
      <c r="I183" s="7"/>
      <c r="J183" s="20"/>
      <c r="K183" s="21"/>
      <c r="L183" s="20"/>
      <c r="P183" s="16"/>
      <c r="Q183" s="14"/>
      <c r="R183" s="14"/>
      <c r="S183" s="20"/>
      <c r="T183" s="20"/>
    </row>
    <row r="184" spans="2:20" s="13" customFormat="1">
      <c r="B184" s="15"/>
      <c r="F184" s="17"/>
      <c r="G184" s="18"/>
      <c r="H184" s="19"/>
      <c r="I184" s="7"/>
      <c r="J184" s="20"/>
      <c r="K184" s="21"/>
      <c r="L184" s="20"/>
      <c r="P184" s="16"/>
      <c r="Q184" s="14"/>
      <c r="R184" s="14"/>
      <c r="S184" s="20"/>
      <c r="T184" s="20"/>
    </row>
    <row r="185" spans="2:20" s="13" customFormat="1">
      <c r="B185" s="15"/>
      <c r="F185" s="17"/>
      <c r="G185" s="18"/>
      <c r="H185" s="19"/>
      <c r="I185" s="7"/>
      <c r="J185" s="20"/>
      <c r="K185" s="21"/>
      <c r="L185" s="20"/>
      <c r="P185" s="16"/>
      <c r="Q185" s="14"/>
      <c r="R185" s="14"/>
      <c r="S185" s="20"/>
      <c r="T185" s="20"/>
    </row>
    <row r="186" spans="2:20" s="13" customFormat="1">
      <c r="B186" s="15"/>
      <c r="F186" s="17"/>
      <c r="G186" s="18"/>
      <c r="H186" s="19"/>
      <c r="I186" s="7"/>
      <c r="J186" s="20"/>
      <c r="K186" s="21"/>
      <c r="L186" s="20"/>
      <c r="P186" s="16"/>
      <c r="Q186" s="14"/>
      <c r="R186" s="14"/>
      <c r="S186" s="20"/>
      <c r="T186" s="20"/>
    </row>
    <row r="187" spans="2:20" s="13" customFormat="1">
      <c r="B187" s="15"/>
      <c r="F187" s="17"/>
      <c r="G187" s="18"/>
      <c r="H187" s="19"/>
      <c r="I187" s="7"/>
      <c r="J187" s="20"/>
      <c r="K187" s="21"/>
      <c r="L187" s="20"/>
      <c r="P187" s="16"/>
      <c r="Q187" s="14"/>
      <c r="R187" s="14"/>
      <c r="S187" s="20"/>
      <c r="T187" s="20"/>
    </row>
    <row r="188" spans="2:20" s="13" customFormat="1">
      <c r="B188" s="15"/>
      <c r="F188" s="17"/>
      <c r="G188" s="18"/>
      <c r="H188" s="19"/>
      <c r="I188" s="7"/>
      <c r="J188" s="20"/>
      <c r="K188" s="21"/>
      <c r="L188" s="20"/>
      <c r="P188" s="16"/>
      <c r="Q188" s="14"/>
      <c r="R188" s="14"/>
      <c r="S188" s="20"/>
      <c r="T188" s="20"/>
    </row>
    <row r="189" spans="2:20" s="13" customFormat="1">
      <c r="B189" s="15"/>
      <c r="F189" s="17"/>
      <c r="G189" s="18"/>
      <c r="H189" s="19"/>
      <c r="I189" s="7"/>
      <c r="J189" s="20"/>
      <c r="K189" s="21"/>
      <c r="L189" s="20"/>
      <c r="P189" s="16"/>
      <c r="Q189" s="14"/>
      <c r="R189" s="14"/>
      <c r="S189" s="20"/>
      <c r="T189" s="20"/>
    </row>
    <row r="190" spans="2:20" s="13" customFormat="1">
      <c r="B190" s="15"/>
      <c r="F190" s="17"/>
      <c r="G190" s="18"/>
      <c r="H190" s="19"/>
      <c r="I190" s="7"/>
      <c r="J190" s="20"/>
      <c r="K190" s="21"/>
      <c r="L190" s="20"/>
      <c r="P190" s="16"/>
      <c r="Q190" s="14"/>
      <c r="R190" s="14"/>
      <c r="S190" s="20"/>
      <c r="T190" s="20"/>
    </row>
    <row r="191" spans="2:20" s="13" customFormat="1">
      <c r="B191" s="15"/>
      <c r="F191" s="17"/>
      <c r="G191" s="18"/>
      <c r="H191" s="19"/>
      <c r="I191" s="7"/>
      <c r="J191" s="20"/>
      <c r="K191" s="21"/>
      <c r="L191" s="20"/>
      <c r="P191" s="16"/>
      <c r="Q191" s="14"/>
      <c r="R191" s="14"/>
      <c r="S191" s="20"/>
      <c r="T191" s="20"/>
    </row>
    <row r="192" spans="2:20" s="13" customFormat="1">
      <c r="B192" s="15"/>
      <c r="F192" s="17"/>
      <c r="G192" s="18"/>
      <c r="H192" s="19"/>
      <c r="I192" s="7"/>
      <c r="J192" s="20"/>
      <c r="K192" s="21"/>
      <c r="L192" s="20"/>
      <c r="P192" s="16"/>
      <c r="Q192" s="14"/>
      <c r="R192" s="14"/>
      <c r="S192" s="20"/>
      <c r="T192" s="20"/>
    </row>
    <row r="193" spans="2:20" s="13" customFormat="1">
      <c r="B193" s="15"/>
      <c r="F193" s="17"/>
      <c r="G193" s="18"/>
      <c r="H193" s="19"/>
      <c r="I193" s="7"/>
      <c r="J193" s="20"/>
      <c r="K193" s="21"/>
      <c r="L193" s="20"/>
      <c r="P193" s="16"/>
      <c r="Q193" s="14"/>
      <c r="R193" s="14"/>
      <c r="S193" s="20"/>
      <c r="T193" s="20"/>
    </row>
    <row r="194" spans="2:20" s="13" customFormat="1">
      <c r="B194" s="15"/>
      <c r="F194" s="17"/>
      <c r="G194" s="18"/>
      <c r="H194" s="19"/>
      <c r="I194" s="7"/>
      <c r="J194" s="20"/>
      <c r="K194" s="21"/>
      <c r="L194" s="20"/>
      <c r="P194" s="16"/>
      <c r="Q194" s="14"/>
      <c r="R194" s="14"/>
      <c r="S194" s="20"/>
      <c r="T194" s="20"/>
    </row>
    <row r="195" spans="2:20" s="13" customFormat="1">
      <c r="B195" s="15"/>
      <c r="F195" s="17"/>
      <c r="G195" s="18"/>
      <c r="H195" s="19"/>
      <c r="I195" s="7"/>
      <c r="J195" s="20"/>
      <c r="K195" s="21"/>
      <c r="L195" s="20"/>
      <c r="P195" s="16"/>
      <c r="Q195" s="14"/>
      <c r="R195" s="14"/>
      <c r="S195" s="20"/>
      <c r="T195" s="20"/>
    </row>
    <row r="196" spans="2:20" s="13" customFormat="1">
      <c r="B196" s="15"/>
      <c r="F196" s="17"/>
      <c r="G196" s="18"/>
      <c r="H196" s="19"/>
      <c r="I196" s="7"/>
      <c r="J196" s="20"/>
      <c r="K196" s="21"/>
      <c r="L196" s="20"/>
      <c r="P196" s="16"/>
      <c r="Q196" s="14"/>
      <c r="R196" s="14"/>
      <c r="S196" s="20"/>
      <c r="T196" s="20"/>
    </row>
    <row r="197" spans="2:20" s="13" customFormat="1">
      <c r="B197" s="15"/>
      <c r="F197" s="17"/>
      <c r="G197" s="18"/>
      <c r="H197" s="19"/>
      <c r="I197" s="7"/>
      <c r="J197" s="20"/>
      <c r="K197" s="21"/>
      <c r="L197" s="20"/>
      <c r="P197" s="16"/>
      <c r="Q197" s="14"/>
      <c r="R197" s="14"/>
      <c r="S197" s="20"/>
      <c r="T197" s="20"/>
    </row>
    <row r="198" spans="2:20" s="13" customFormat="1">
      <c r="B198" s="15"/>
      <c r="F198" s="17"/>
      <c r="G198" s="18"/>
      <c r="H198" s="19"/>
      <c r="I198" s="7"/>
      <c r="J198" s="20"/>
      <c r="K198" s="21"/>
      <c r="L198" s="20"/>
      <c r="P198" s="16"/>
      <c r="Q198" s="14"/>
      <c r="R198" s="14"/>
      <c r="S198" s="20"/>
      <c r="T198" s="20"/>
    </row>
    <row r="199" spans="2:20" s="13" customFormat="1">
      <c r="B199" s="15"/>
      <c r="F199" s="17"/>
      <c r="G199" s="18"/>
      <c r="H199" s="19"/>
      <c r="I199" s="7"/>
      <c r="J199" s="20"/>
      <c r="K199" s="21"/>
      <c r="L199" s="20"/>
      <c r="P199" s="16"/>
      <c r="Q199" s="14"/>
      <c r="R199" s="14"/>
      <c r="S199" s="20"/>
      <c r="T199" s="20"/>
    </row>
    <row r="200" spans="2:20" s="13" customFormat="1">
      <c r="B200" s="15"/>
      <c r="F200" s="17"/>
      <c r="G200" s="18"/>
      <c r="H200" s="19"/>
      <c r="I200" s="7"/>
      <c r="J200" s="20"/>
      <c r="K200" s="21"/>
      <c r="L200" s="20"/>
      <c r="P200" s="16"/>
      <c r="Q200" s="14"/>
      <c r="R200" s="14"/>
      <c r="S200" s="20"/>
      <c r="T200" s="20"/>
    </row>
    <row r="201" spans="2:20" s="13" customFormat="1">
      <c r="B201" s="15"/>
      <c r="F201" s="17"/>
      <c r="G201" s="18"/>
      <c r="H201" s="19"/>
      <c r="I201" s="7"/>
      <c r="J201" s="20"/>
      <c r="K201" s="21"/>
      <c r="L201" s="20"/>
      <c r="P201" s="16"/>
      <c r="Q201" s="14"/>
      <c r="R201" s="14"/>
      <c r="S201" s="20"/>
      <c r="T201" s="20"/>
    </row>
    <row r="202" spans="2:20" s="13" customFormat="1">
      <c r="B202" s="15"/>
      <c r="F202" s="17"/>
      <c r="G202" s="18"/>
      <c r="H202" s="19"/>
      <c r="I202" s="7"/>
      <c r="J202" s="20"/>
      <c r="K202" s="21"/>
      <c r="L202" s="20"/>
      <c r="P202" s="16"/>
      <c r="Q202" s="14"/>
      <c r="R202" s="14"/>
      <c r="S202" s="20"/>
      <c r="T202" s="20"/>
    </row>
    <row r="203" spans="2:20" s="13" customFormat="1">
      <c r="B203" s="15"/>
      <c r="F203" s="17"/>
      <c r="G203" s="18"/>
      <c r="H203" s="19"/>
      <c r="I203" s="7"/>
      <c r="J203" s="20"/>
      <c r="K203" s="21"/>
      <c r="L203" s="20"/>
      <c r="P203" s="16"/>
      <c r="Q203" s="14"/>
      <c r="R203" s="14"/>
      <c r="S203" s="20"/>
      <c r="T203" s="20"/>
    </row>
    <row r="204" spans="2:20" s="13" customFormat="1">
      <c r="B204" s="15"/>
      <c r="F204" s="17"/>
      <c r="G204" s="18"/>
      <c r="H204" s="19"/>
      <c r="I204" s="7"/>
      <c r="J204" s="20"/>
      <c r="K204" s="21"/>
      <c r="L204" s="20"/>
      <c r="P204" s="16"/>
      <c r="Q204" s="14"/>
      <c r="R204" s="14"/>
      <c r="S204" s="20"/>
      <c r="T204" s="20"/>
    </row>
    <row r="205" spans="2:20" s="13" customFormat="1">
      <c r="B205" s="15"/>
      <c r="F205" s="17"/>
      <c r="G205" s="18"/>
      <c r="H205" s="19"/>
      <c r="I205" s="7"/>
      <c r="J205" s="20"/>
      <c r="K205" s="21"/>
      <c r="L205" s="20"/>
      <c r="P205" s="16"/>
      <c r="Q205" s="14"/>
      <c r="R205" s="14"/>
      <c r="S205" s="20"/>
      <c r="T205" s="20"/>
    </row>
    <row r="206" spans="2:20" s="13" customFormat="1">
      <c r="B206" s="15"/>
      <c r="F206" s="17"/>
      <c r="G206" s="18"/>
      <c r="H206" s="19"/>
      <c r="I206" s="7"/>
      <c r="J206" s="20"/>
      <c r="K206" s="21"/>
      <c r="L206" s="20"/>
      <c r="P206" s="16"/>
      <c r="Q206" s="14"/>
      <c r="R206" s="14"/>
      <c r="S206" s="20"/>
      <c r="T206" s="20"/>
    </row>
    <row r="207" spans="2:20" s="13" customFormat="1">
      <c r="B207" s="15"/>
      <c r="F207" s="17"/>
      <c r="G207" s="18"/>
      <c r="H207" s="19"/>
      <c r="I207" s="7"/>
      <c r="J207" s="20"/>
      <c r="K207" s="21"/>
      <c r="L207" s="20"/>
      <c r="P207" s="16"/>
      <c r="Q207" s="14"/>
      <c r="R207" s="14"/>
      <c r="S207" s="20"/>
      <c r="T207" s="20"/>
    </row>
    <row r="208" spans="2:20" s="13" customFormat="1">
      <c r="B208" s="15"/>
      <c r="F208" s="17"/>
      <c r="G208" s="18"/>
      <c r="H208" s="19"/>
      <c r="I208" s="7"/>
      <c r="J208" s="20"/>
      <c r="K208" s="21"/>
      <c r="L208" s="20"/>
      <c r="P208" s="16"/>
      <c r="Q208" s="14"/>
      <c r="R208" s="14"/>
      <c r="S208" s="20"/>
      <c r="T208" s="20"/>
    </row>
    <row r="209" spans="2:20" s="13" customFormat="1">
      <c r="B209" s="15"/>
      <c r="F209" s="17"/>
      <c r="G209" s="18"/>
      <c r="H209" s="19"/>
      <c r="I209" s="7"/>
      <c r="J209" s="20"/>
      <c r="K209" s="21"/>
      <c r="L209" s="20"/>
      <c r="P209" s="16"/>
      <c r="Q209" s="14"/>
      <c r="R209" s="14"/>
      <c r="S209" s="20"/>
      <c r="T209" s="20"/>
    </row>
    <row r="210" spans="2:20" s="13" customFormat="1">
      <c r="B210" s="15"/>
      <c r="F210" s="17"/>
      <c r="G210" s="18"/>
      <c r="H210" s="19"/>
      <c r="I210" s="7"/>
      <c r="J210" s="20"/>
      <c r="K210" s="21"/>
      <c r="L210" s="20"/>
      <c r="P210" s="16"/>
      <c r="Q210" s="14"/>
      <c r="R210" s="14"/>
      <c r="S210" s="20"/>
      <c r="T210" s="20"/>
    </row>
    <row r="211" spans="2:20" s="13" customFormat="1">
      <c r="B211" s="15"/>
      <c r="F211" s="17"/>
      <c r="G211" s="18"/>
      <c r="H211" s="19"/>
      <c r="I211" s="7"/>
      <c r="J211" s="20"/>
      <c r="K211" s="21"/>
      <c r="L211" s="20"/>
      <c r="P211" s="16"/>
      <c r="Q211" s="14"/>
      <c r="R211" s="14"/>
      <c r="S211" s="20"/>
      <c r="T211" s="20"/>
    </row>
    <row r="212" spans="2:20" s="13" customFormat="1">
      <c r="B212" s="15"/>
      <c r="F212" s="17"/>
      <c r="G212" s="18"/>
      <c r="H212" s="19"/>
      <c r="I212" s="7"/>
      <c r="J212" s="20"/>
      <c r="K212" s="21"/>
      <c r="L212" s="20"/>
      <c r="P212" s="16"/>
      <c r="Q212" s="14"/>
      <c r="R212" s="14"/>
      <c r="S212" s="20"/>
      <c r="T212" s="20"/>
    </row>
    <row r="213" spans="2:20" s="13" customFormat="1">
      <c r="B213" s="15"/>
      <c r="F213" s="17"/>
      <c r="G213" s="18"/>
      <c r="H213" s="19"/>
      <c r="I213" s="7"/>
      <c r="J213" s="20"/>
      <c r="K213" s="21"/>
      <c r="L213" s="20"/>
      <c r="P213" s="16"/>
      <c r="Q213" s="14"/>
      <c r="R213" s="14"/>
      <c r="S213" s="20"/>
      <c r="T213" s="20"/>
    </row>
    <row r="214" spans="2:20" s="13" customFormat="1">
      <c r="B214" s="15"/>
      <c r="F214" s="17"/>
      <c r="G214" s="18"/>
      <c r="H214" s="19"/>
      <c r="I214" s="7"/>
      <c r="J214" s="20"/>
      <c r="K214" s="21"/>
      <c r="L214" s="20"/>
      <c r="P214" s="16"/>
      <c r="Q214" s="14"/>
      <c r="R214" s="14"/>
      <c r="S214" s="20"/>
      <c r="T214" s="20"/>
    </row>
    <row r="215" spans="2:20" s="13" customFormat="1">
      <c r="B215" s="15"/>
      <c r="F215" s="17"/>
      <c r="G215" s="18"/>
      <c r="H215" s="19"/>
      <c r="I215" s="7"/>
      <c r="J215" s="20"/>
      <c r="K215" s="21"/>
      <c r="L215" s="20"/>
      <c r="P215" s="16"/>
      <c r="Q215" s="14"/>
      <c r="R215" s="14"/>
      <c r="S215" s="20"/>
      <c r="T215" s="20"/>
    </row>
    <row r="216" spans="2:20" s="13" customFormat="1">
      <c r="B216" s="15"/>
      <c r="F216" s="17"/>
      <c r="G216" s="18"/>
      <c r="H216" s="19"/>
      <c r="I216" s="7"/>
      <c r="J216" s="20"/>
      <c r="K216" s="21"/>
      <c r="L216" s="20"/>
      <c r="P216" s="16"/>
      <c r="Q216" s="14"/>
      <c r="R216" s="14"/>
      <c r="S216" s="20"/>
      <c r="T216" s="20"/>
    </row>
    <row r="217" spans="2:20" s="13" customFormat="1">
      <c r="B217" s="15"/>
      <c r="F217" s="17"/>
      <c r="G217" s="18"/>
      <c r="H217" s="19"/>
      <c r="I217" s="7"/>
      <c r="J217" s="20"/>
      <c r="K217" s="21"/>
      <c r="L217" s="20"/>
      <c r="P217" s="16"/>
      <c r="Q217" s="14"/>
      <c r="R217" s="14"/>
      <c r="S217" s="20"/>
      <c r="T217" s="20"/>
    </row>
    <row r="218" spans="2:20" s="13" customFormat="1">
      <c r="B218" s="15"/>
      <c r="F218" s="17"/>
      <c r="G218" s="18"/>
      <c r="H218" s="19"/>
      <c r="I218" s="7"/>
      <c r="J218" s="20"/>
      <c r="K218" s="21"/>
      <c r="L218" s="20"/>
      <c r="P218" s="16"/>
      <c r="Q218" s="14"/>
      <c r="R218" s="14"/>
      <c r="S218" s="20"/>
      <c r="T218" s="20"/>
    </row>
    <row r="219" spans="2:20" s="13" customFormat="1">
      <c r="B219" s="15"/>
      <c r="F219" s="17"/>
      <c r="G219" s="18"/>
      <c r="H219" s="19"/>
      <c r="I219" s="7"/>
      <c r="J219" s="20"/>
      <c r="K219" s="21"/>
      <c r="L219" s="20"/>
      <c r="P219" s="16"/>
      <c r="Q219" s="14"/>
      <c r="R219" s="14"/>
      <c r="S219" s="20"/>
      <c r="T219" s="20"/>
    </row>
    <row r="220" spans="2:20" s="13" customFormat="1">
      <c r="B220" s="15"/>
      <c r="F220" s="17"/>
      <c r="G220" s="18"/>
      <c r="H220" s="19"/>
      <c r="I220" s="7"/>
      <c r="J220" s="20"/>
      <c r="K220" s="21"/>
      <c r="L220" s="20"/>
      <c r="P220" s="16"/>
      <c r="Q220" s="14"/>
      <c r="R220" s="14"/>
      <c r="S220" s="20"/>
      <c r="T220" s="20"/>
    </row>
    <row r="221" spans="2:20" s="13" customFormat="1">
      <c r="B221" s="15"/>
      <c r="F221" s="17"/>
      <c r="G221" s="18"/>
      <c r="H221" s="19"/>
      <c r="I221" s="7"/>
      <c r="J221" s="20"/>
      <c r="K221" s="21"/>
      <c r="L221" s="20"/>
      <c r="P221" s="16"/>
      <c r="Q221" s="14"/>
      <c r="R221" s="14"/>
      <c r="S221" s="20"/>
      <c r="T221" s="20"/>
    </row>
    <row r="222" spans="2:20" s="13" customFormat="1">
      <c r="B222" s="15"/>
      <c r="F222" s="17"/>
      <c r="G222" s="18"/>
      <c r="H222" s="19"/>
      <c r="I222" s="7"/>
      <c r="J222" s="20"/>
      <c r="K222" s="21"/>
      <c r="L222" s="20"/>
      <c r="P222" s="16"/>
      <c r="Q222" s="14"/>
      <c r="R222" s="14"/>
      <c r="S222" s="20"/>
      <c r="T222" s="20"/>
    </row>
    <row r="223" spans="2:20" s="13" customFormat="1">
      <c r="B223" s="15"/>
      <c r="F223" s="17"/>
      <c r="G223" s="18"/>
      <c r="H223" s="19"/>
      <c r="I223" s="7"/>
      <c r="J223" s="20"/>
      <c r="K223" s="21"/>
      <c r="L223" s="20"/>
      <c r="P223" s="16"/>
      <c r="Q223" s="14"/>
      <c r="R223" s="14"/>
      <c r="S223" s="20"/>
      <c r="T223" s="20"/>
    </row>
    <row r="224" spans="2:20" s="13" customFormat="1">
      <c r="B224" s="15"/>
      <c r="F224" s="17"/>
      <c r="G224" s="18"/>
      <c r="H224" s="19"/>
      <c r="I224" s="7"/>
      <c r="J224" s="20"/>
      <c r="K224" s="21"/>
      <c r="L224" s="20"/>
      <c r="P224" s="16"/>
      <c r="Q224" s="14"/>
      <c r="R224" s="14"/>
      <c r="S224" s="20"/>
      <c r="T224" s="20"/>
    </row>
    <row r="225" spans="2:20" s="13" customFormat="1">
      <c r="B225" s="15"/>
      <c r="F225" s="17"/>
      <c r="G225" s="18"/>
      <c r="H225" s="19"/>
      <c r="I225" s="7"/>
      <c r="J225" s="20"/>
      <c r="K225" s="21"/>
      <c r="L225" s="20"/>
      <c r="P225" s="16"/>
      <c r="Q225" s="14"/>
      <c r="R225" s="14"/>
      <c r="S225" s="20"/>
      <c r="T225" s="20"/>
    </row>
    <row r="226" spans="2:20" s="13" customFormat="1">
      <c r="B226" s="15"/>
      <c r="F226" s="17"/>
      <c r="G226" s="18"/>
      <c r="H226" s="19"/>
      <c r="I226" s="7"/>
      <c r="J226" s="20"/>
      <c r="K226" s="21"/>
      <c r="L226" s="20"/>
      <c r="P226" s="16"/>
      <c r="Q226" s="14"/>
      <c r="R226" s="14"/>
      <c r="S226" s="20"/>
      <c r="T226" s="20"/>
    </row>
    <row r="227" spans="2:20" s="13" customFormat="1">
      <c r="B227" s="15"/>
      <c r="F227" s="17"/>
      <c r="G227" s="18"/>
      <c r="H227" s="19"/>
      <c r="I227" s="7"/>
      <c r="J227" s="20"/>
      <c r="K227" s="21"/>
      <c r="L227" s="20"/>
      <c r="P227" s="16"/>
      <c r="Q227" s="14"/>
      <c r="R227" s="14"/>
      <c r="S227" s="20"/>
      <c r="T227" s="20"/>
    </row>
    <row r="228" spans="2:20" s="13" customFormat="1">
      <c r="B228" s="15"/>
      <c r="F228" s="17"/>
      <c r="G228" s="18"/>
      <c r="H228" s="19"/>
      <c r="I228" s="7"/>
      <c r="J228" s="20"/>
      <c r="K228" s="21"/>
      <c r="L228" s="20"/>
      <c r="P228" s="16"/>
      <c r="Q228" s="14"/>
      <c r="R228" s="14"/>
      <c r="S228" s="20"/>
      <c r="T228" s="20"/>
    </row>
    <row r="229" spans="2:20" s="13" customFormat="1">
      <c r="B229" s="15"/>
      <c r="F229" s="17"/>
      <c r="G229" s="18"/>
      <c r="H229" s="19"/>
      <c r="I229" s="7"/>
      <c r="J229" s="20"/>
      <c r="K229" s="21"/>
      <c r="L229" s="20"/>
      <c r="P229" s="16"/>
      <c r="Q229" s="14"/>
      <c r="R229" s="14"/>
      <c r="S229" s="20"/>
      <c r="T229" s="20"/>
    </row>
    <row r="230" spans="2:20" s="13" customFormat="1">
      <c r="B230" s="15"/>
      <c r="F230" s="17"/>
      <c r="G230" s="18"/>
      <c r="H230" s="19"/>
      <c r="I230" s="7"/>
      <c r="J230" s="20"/>
      <c r="K230" s="21"/>
      <c r="L230" s="20"/>
      <c r="P230" s="16"/>
      <c r="Q230" s="14"/>
      <c r="R230" s="14"/>
      <c r="S230" s="20"/>
      <c r="T230" s="20"/>
    </row>
    <row r="231" spans="2:20" s="13" customFormat="1">
      <c r="B231" s="15"/>
      <c r="F231" s="17"/>
      <c r="G231" s="18"/>
      <c r="H231" s="19"/>
      <c r="I231" s="7"/>
      <c r="J231" s="20"/>
      <c r="K231" s="21"/>
      <c r="L231" s="20"/>
      <c r="P231" s="16"/>
      <c r="Q231" s="14"/>
      <c r="R231" s="14"/>
      <c r="S231" s="20"/>
      <c r="T231" s="20"/>
    </row>
    <row r="232" spans="2:20" s="13" customFormat="1">
      <c r="B232" s="15"/>
      <c r="F232" s="17"/>
      <c r="G232" s="18"/>
      <c r="H232" s="19"/>
      <c r="I232" s="7"/>
      <c r="J232" s="20"/>
      <c r="K232" s="21"/>
      <c r="L232" s="20"/>
      <c r="P232" s="16"/>
      <c r="Q232" s="14"/>
      <c r="R232" s="14"/>
      <c r="S232" s="20"/>
      <c r="T232" s="20"/>
    </row>
    <row r="233" spans="2:20" s="13" customFormat="1">
      <c r="B233" s="15"/>
      <c r="F233" s="17"/>
      <c r="G233" s="18"/>
      <c r="H233" s="19"/>
      <c r="I233" s="7"/>
      <c r="J233" s="20"/>
      <c r="K233" s="21"/>
      <c r="L233" s="20"/>
      <c r="P233" s="16"/>
      <c r="Q233" s="14"/>
      <c r="R233" s="14"/>
      <c r="S233" s="20"/>
      <c r="T233" s="20"/>
    </row>
    <row r="234" spans="2:20" s="13" customFormat="1">
      <c r="B234" s="15"/>
      <c r="F234" s="17"/>
      <c r="G234" s="18"/>
      <c r="H234" s="19"/>
      <c r="I234" s="7"/>
      <c r="J234" s="20"/>
      <c r="K234" s="21"/>
      <c r="L234" s="20"/>
      <c r="P234" s="16"/>
      <c r="Q234" s="14"/>
      <c r="R234" s="14"/>
      <c r="S234" s="20"/>
      <c r="T234" s="20"/>
    </row>
    <row r="235" spans="2:20" s="13" customFormat="1">
      <c r="B235" s="15"/>
      <c r="F235" s="17"/>
      <c r="G235" s="18"/>
      <c r="H235" s="19"/>
      <c r="I235" s="7"/>
      <c r="J235" s="20"/>
      <c r="K235" s="21"/>
      <c r="L235" s="20"/>
      <c r="P235" s="16"/>
      <c r="Q235" s="14"/>
      <c r="R235" s="14"/>
      <c r="S235" s="20"/>
      <c r="T235" s="20"/>
    </row>
    <row r="236" spans="2:20" s="13" customFormat="1">
      <c r="B236" s="15"/>
      <c r="F236" s="17"/>
      <c r="G236" s="18"/>
      <c r="H236" s="19"/>
      <c r="I236" s="7"/>
      <c r="J236" s="20"/>
      <c r="K236" s="21"/>
      <c r="L236" s="20"/>
      <c r="P236" s="16"/>
      <c r="Q236" s="14"/>
      <c r="R236" s="14"/>
      <c r="S236" s="20"/>
      <c r="T236" s="20"/>
    </row>
    <row r="237" spans="2:20" s="13" customFormat="1">
      <c r="B237" s="15"/>
      <c r="F237" s="17"/>
      <c r="G237" s="18"/>
      <c r="H237" s="19"/>
      <c r="I237" s="7"/>
      <c r="J237" s="20"/>
      <c r="K237" s="21"/>
      <c r="L237" s="20"/>
      <c r="P237" s="16"/>
      <c r="Q237" s="14"/>
      <c r="R237" s="14"/>
      <c r="S237" s="20"/>
      <c r="T237" s="20"/>
    </row>
    <row r="238" spans="2:20" s="13" customFormat="1">
      <c r="B238" s="15"/>
      <c r="F238" s="17"/>
      <c r="G238" s="18"/>
      <c r="H238" s="19"/>
      <c r="I238" s="7"/>
      <c r="J238" s="20"/>
      <c r="K238" s="21"/>
      <c r="L238" s="20"/>
      <c r="P238" s="16"/>
      <c r="Q238" s="14"/>
      <c r="R238" s="14"/>
      <c r="S238" s="20"/>
      <c r="T238" s="20"/>
    </row>
    <row r="239" spans="2:20" s="13" customFormat="1">
      <c r="B239" s="15"/>
      <c r="F239" s="17"/>
      <c r="G239" s="18"/>
      <c r="H239" s="19"/>
      <c r="I239" s="7"/>
      <c r="J239" s="20"/>
      <c r="K239" s="21"/>
      <c r="L239" s="20"/>
      <c r="P239" s="16"/>
      <c r="Q239" s="14"/>
      <c r="R239" s="14"/>
      <c r="S239" s="20"/>
      <c r="T239" s="20"/>
    </row>
    <row r="240" spans="2:20" s="13" customFormat="1">
      <c r="B240" s="15"/>
      <c r="F240" s="17"/>
      <c r="G240" s="18"/>
      <c r="H240" s="19"/>
      <c r="I240" s="7"/>
      <c r="J240" s="20"/>
      <c r="K240" s="21"/>
      <c r="L240" s="20"/>
      <c r="P240" s="16"/>
      <c r="Q240" s="14"/>
      <c r="R240" s="14"/>
      <c r="S240" s="20"/>
      <c r="T240" s="20"/>
    </row>
    <row r="241" spans="2:20" s="13" customFormat="1">
      <c r="B241" s="15"/>
      <c r="F241" s="17"/>
      <c r="G241" s="18"/>
      <c r="H241" s="19"/>
      <c r="I241" s="7"/>
      <c r="J241" s="20"/>
      <c r="K241" s="21"/>
      <c r="L241" s="20"/>
      <c r="P241" s="16"/>
      <c r="Q241" s="14"/>
      <c r="R241" s="14"/>
      <c r="S241" s="20"/>
      <c r="T241" s="20"/>
    </row>
    <row r="242" spans="2:20" s="13" customFormat="1">
      <c r="B242" s="15"/>
      <c r="F242" s="17"/>
      <c r="G242" s="18"/>
      <c r="H242" s="19"/>
      <c r="I242" s="7"/>
      <c r="J242" s="20"/>
      <c r="K242" s="21"/>
      <c r="L242" s="20"/>
      <c r="P242" s="16"/>
      <c r="Q242" s="14"/>
      <c r="R242" s="14"/>
      <c r="S242" s="20"/>
      <c r="T242" s="20"/>
    </row>
    <row r="243" spans="2:20" s="13" customFormat="1">
      <c r="B243" s="15"/>
      <c r="F243" s="17"/>
      <c r="G243" s="18"/>
      <c r="H243" s="19"/>
      <c r="I243" s="7"/>
      <c r="J243" s="20"/>
      <c r="K243" s="21"/>
      <c r="L243" s="20"/>
      <c r="P243" s="16"/>
      <c r="Q243" s="14"/>
      <c r="R243" s="14"/>
      <c r="S243" s="20"/>
      <c r="T243" s="20"/>
    </row>
    <row r="244" spans="2:20" s="13" customFormat="1">
      <c r="B244" s="15"/>
      <c r="F244" s="17"/>
      <c r="G244" s="18"/>
      <c r="H244" s="19"/>
      <c r="I244" s="7"/>
      <c r="J244" s="20"/>
      <c r="K244" s="21"/>
      <c r="L244" s="20"/>
      <c r="P244" s="16"/>
      <c r="Q244" s="14"/>
      <c r="R244" s="14"/>
      <c r="S244" s="20"/>
      <c r="T244" s="20"/>
    </row>
    <row r="245" spans="2:20" s="13" customFormat="1">
      <c r="B245" s="15"/>
      <c r="F245" s="17"/>
      <c r="G245" s="18"/>
      <c r="H245" s="19"/>
      <c r="I245" s="7"/>
      <c r="J245" s="20"/>
      <c r="K245" s="21"/>
      <c r="L245" s="20"/>
      <c r="P245" s="16"/>
      <c r="Q245" s="14"/>
      <c r="R245" s="14"/>
      <c r="S245" s="20"/>
      <c r="T245" s="20"/>
    </row>
    <row r="246" spans="2:20" s="13" customFormat="1">
      <c r="B246" s="15"/>
      <c r="F246" s="17"/>
      <c r="G246" s="18"/>
      <c r="H246" s="19"/>
      <c r="I246" s="7"/>
      <c r="J246" s="20"/>
      <c r="K246" s="21"/>
      <c r="L246" s="20"/>
      <c r="P246" s="16"/>
      <c r="Q246" s="14"/>
      <c r="R246" s="14"/>
      <c r="S246" s="20"/>
      <c r="T246" s="20"/>
    </row>
    <row r="247" spans="2:20" s="13" customFormat="1">
      <c r="B247" s="15"/>
      <c r="F247" s="17"/>
      <c r="G247" s="18"/>
      <c r="H247" s="19"/>
      <c r="I247" s="7"/>
      <c r="J247" s="20"/>
      <c r="K247" s="21"/>
      <c r="L247" s="20"/>
      <c r="P247" s="16"/>
      <c r="Q247" s="14"/>
      <c r="R247" s="14"/>
      <c r="S247" s="20"/>
      <c r="T247" s="20"/>
    </row>
    <row r="248" spans="2:20" s="13" customFormat="1">
      <c r="B248" s="15"/>
      <c r="F248" s="17"/>
      <c r="G248" s="18"/>
      <c r="H248" s="19"/>
      <c r="I248" s="7"/>
      <c r="J248" s="20"/>
      <c r="K248" s="21"/>
      <c r="L248" s="20"/>
      <c r="P248" s="16"/>
      <c r="Q248" s="14"/>
      <c r="R248" s="14"/>
      <c r="S248" s="20"/>
      <c r="T248" s="20"/>
    </row>
    <row r="249" spans="2:20" s="13" customFormat="1">
      <c r="B249" s="15"/>
      <c r="F249" s="17"/>
      <c r="G249" s="18"/>
      <c r="H249" s="19"/>
      <c r="I249" s="7"/>
      <c r="J249" s="20"/>
      <c r="K249" s="21"/>
      <c r="L249" s="20"/>
      <c r="P249" s="16"/>
      <c r="Q249" s="14"/>
      <c r="R249" s="14"/>
      <c r="S249" s="20"/>
      <c r="T249" s="20"/>
    </row>
    <row r="250" spans="2:20" s="13" customFormat="1">
      <c r="B250" s="15"/>
      <c r="F250" s="17"/>
      <c r="G250" s="18"/>
      <c r="H250" s="19"/>
      <c r="I250" s="7"/>
      <c r="J250" s="20"/>
      <c r="K250" s="21"/>
      <c r="L250" s="20"/>
      <c r="P250" s="16"/>
      <c r="Q250" s="14"/>
      <c r="R250" s="14"/>
      <c r="S250" s="20"/>
      <c r="T250" s="20"/>
    </row>
    <row r="251" spans="2:20" s="13" customFormat="1">
      <c r="B251" s="15"/>
      <c r="F251" s="17"/>
      <c r="G251" s="18"/>
      <c r="H251" s="19"/>
      <c r="I251" s="7"/>
      <c r="J251" s="20"/>
      <c r="K251" s="21"/>
      <c r="L251" s="20"/>
      <c r="P251" s="16"/>
      <c r="Q251" s="14"/>
      <c r="R251" s="14"/>
      <c r="S251" s="20"/>
      <c r="T251" s="20"/>
    </row>
    <row r="252" spans="2:20" s="13" customFormat="1">
      <c r="B252" s="15"/>
      <c r="F252" s="17"/>
      <c r="G252" s="18"/>
      <c r="H252" s="19"/>
      <c r="I252" s="7"/>
      <c r="J252" s="20"/>
      <c r="K252" s="21"/>
      <c r="L252" s="20"/>
      <c r="P252" s="16"/>
      <c r="Q252" s="14"/>
      <c r="R252" s="14"/>
      <c r="S252" s="20"/>
      <c r="T252" s="20"/>
    </row>
    <row r="253" spans="2:20" s="13" customFormat="1">
      <c r="B253" s="15"/>
      <c r="F253" s="17"/>
      <c r="G253" s="18"/>
      <c r="H253" s="19"/>
      <c r="I253" s="7"/>
      <c r="J253" s="20"/>
      <c r="K253" s="21"/>
      <c r="L253" s="20"/>
      <c r="P253" s="16"/>
      <c r="Q253" s="14"/>
      <c r="R253" s="14"/>
      <c r="S253" s="20"/>
      <c r="T253" s="20"/>
    </row>
    <row r="254" spans="2:20" s="13" customFormat="1">
      <c r="B254" s="15"/>
      <c r="F254" s="17"/>
      <c r="G254" s="18"/>
      <c r="H254" s="19"/>
      <c r="I254" s="7"/>
      <c r="J254" s="20"/>
      <c r="K254" s="21"/>
      <c r="L254" s="20"/>
      <c r="P254" s="16"/>
      <c r="Q254" s="14"/>
      <c r="R254" s="14"/>
      <c r="S254" s="20"/>
      <c r="T254" s="20"/>
    </row>
    <row r="255" spans="2:20" s="13" customFormat="1">
      <c r="B255" s="15"/>
      <c r="F255" s="17"/>
      <c r="G255" s="18"/>
      <c r="H255" s="19"/>
      <c r="I255" s="7"/>
      <c r="J255" s="20"/>
      <c r="K255" s="21"/>
      <c r="L255" s="20"/>
      <c r="P255" s="16"/>
      <c r="Q255" s="14"/>
      <c r="R255" s="14"/>
      <c r="S255" s="20"/>
      <c r="T255" s="20"/>
    </row>
    <row r="256" spans="2:20" s="13" customFormat="1">
      <c r="B256" s="15"/>
      <c r="F256" s="17"/>
      <c r="G256" s="18"/>
      <c r="H256" s="19"/>
      <c r="I256" s="7"/>
      <c r="J256" s="20"/>
      <c r="K256" s="21"/>
      <c r="L256" s="20"/>
      <c r="P256" s="16"/>
      <c r="Q256" s="14"/>
      <c r="R256" s="14"/>
      <c r="S256" s="20"/>
      <c r="T256" s="20"/>
    </row>
    <row r="257" spans="2:20" s="13" customFormat="1">
      <c r="B257" s="15"/>
      <c r="F257" s="17"/>
      <c r="G257" s="18"/>
      <c r="H257" s="19"/>
      <c r="I257" s="7"/>
      <c r="J257" s="20"/>
      <c r="K257" s="21"/>
      <c r="L257" s="20"/>
      <c r="P257" s="16"/>
      <c r="Q257" s="14"/>
      <c r="R257" s="14"/>
      <c r="S257" s="20"/>
      <c r="T257" s="20"/>
    </row>
    <row r="258" spans="2:20" s="13" customFormat="1">
      <c r="B258" s="15"/>
      <c r="F258" s="17"/>
      <c r="G258" s="18"/>
      <c r="H258" s="19"/>
      <c r="I258" s="7"/>
      <c r="J258" s="20"/>
      <c r="K258" s="21"/>
      <c r="L258" s="20"/>
      <c r="P258" s="16"/>
      <c r="Q258" s="14"/>
      <c r="R258" s="14"/>
      <c r="S258" s="20"/>
      <c r="T258" s="20"/>
    </row>
    <row r="259" spans="2:20" s="13" customFormat="1">
      <c r="B259" s="15"/>
      <c r="F259" s="17"/>
      <c r="G259" s="18"/>
      <c r="H259" s="19"/>
      <c r="I259" s="7"/>
      <c r="J259" s="20"/>
      <c r="K259" s="21"/>
      <c r="L259" s="20"/>
      <c r="P259" s="16"/>
      <c r="Q259" s="14"/>
      <c r="R259" s="14"/>
      <c r="S259" s="20"/>
      <c r="T259" s="20"/>
    </row>
    <row r="260" spans="2:20" s="13" customFormat="1">
      <c r="B260" s="15"/>
      <c r="F260" s="17"/>
      <c r="G260" s="18"/>
      <c r="H260" s="19"/>
      <c r="I260" s="7"/>
      <c r="J260" s="20"/>
      <c r="K260" s="21"/>
      <c r="L260" s="20"/>
      <c r="P260" s="16"/>
      <c r="Q260" s="14"/>
      <c r="R260" s="14"/>
      <c r="S260" s="20"/>
      <c r="T260" s="20"/>
    </row>
    <row r="261" spans="2:20" s="13" customFormat="1">
      <c r="B261" s="15"/>
      <c r="F261" s="17"/>
      <c r="G261" s="18"/>
      <c r="H261" s="19"/>
      <c r="I261" s="7"/>
      <c r="J261" s="20"/>
      <c r="K261" s="21"/>
      <c r="L261" s="20"/>
      <c r="P261" s="16"/>
      <c r="Q261" s="14"/>
      <c r="R261" s="14"/>
      <c r="S261" s="20"/>
      <c r="T261" s="20"/>
    </row>
    <row r="262" spans="2:20" s="13" customFormat="1">
      <c r="B262" s="15"/>
      <c r="F262" s="17"/>
      <c r="G262" s="18"/>
      <c r="H262" s="19"/>
      <c r="I262" s="7"/>
      <c r="J262" s="20"/>
      <c r="K262" s="21"/>
      <c r="L262" s="20"/>
      <c r="P262" s="16"/>
      <c r="Q262" s="14"/>
      <c r="R262" s="14"/>
      <c r="S262" s="20"/>
      <c r="T262" s="20"/>
    </row>
    <row r="263" spans="2:20" s="13" customFormat="1">
      <c r="B263" s="15"/>
      <c r="F263" s="17"/>
      <c r="G263" s="18"/>
      <c r="H263" s="19"/>
      <c r="I263" s="7"/>
      <c r="J263" s="20"/>
      <c r="K263" s="21"/>
      <c r="L263" s="20"/>
      <c r="P263" s="16"/>
      <c r="Q263" s="14"/>
      <c r="R263" s="14"/>
      <c r="S263" s="20"/>
      <c r="T263" s="20"/>
    </row>
    <row r="264" spans="2:20" s="13" customFormat="1">
      <c r="B264" s="15"/>
      <c r="F264" s="17"/>
      <c r="G264" s="18"/>
      <c r="H264" s="19"/>
      <c r="I264" s="7"/>
      <c r="J264" s="20"/>
      <c r="K264" s="21"/>
      <c r="L264" s="20"/>
      <c r="P264" s="16"/>
      <c r="Q264" s="14"/>
      <c r="R264" s="14"/>
      <c r="S264" s="20"/>
      <c r="T264" s="20"/>
    </row>
    <row r="265" spans="2:20" s="13" customFormat="1">
      <c r="B265" s="15"/>
      <c r="F265" s="17"/>
      <c r="G265" s="18"/>
      <c r="H265" s="19"/>
      <c r="I265" s="7"/>
      <c r="J265" s="20"/>
      <c r="K265" s="21"/>
      <c r="L265" s="20"/>
      <c r="P265" s="16"/>
      <c r="Q265" s="14"/>
      <c r="R265" s="14"/>
      <c r="S265" s="20"/>
      <c r="T265" s="20"/>
    </row>
    <row r="266" spans="2:20" s="13" customFormat="1">
      <c r="B266" s="15"/>
      <c r="F266" s="17"/>
      <c r="G266" s="18"/>
      <c r="H266" s="19"/>
      <c r="I266" s="7"/>
      <c r="J266" s="20"/>
      <c r="K266" s="21"/>
      <c r="L266" s="20"/>
      <c r="P266" s="16"/>
      <c r="Q266" s="14"/>
      <c r="R266" s="14"/>
      <c r="S266" s="20"/>
      <c r="T266" s="20"/>
    </row>
    <row r="267" spans="2:20" s="13" customFormat="1">
      <c r="B267" s="15"/>
      <c r="F267" s="17"/>
      <c r="G267" s="18"/>
      <c r="H267" s="19"/>
      <c r="I267" s="7"/>
      <c r="J267" s="20"/>
      <c r="K267" s="21"/>
      <c r="L267" s="20"/>
      <c r="P267" s="16"/>
      <c r="Q267" s="14"/>
      <c r="R267" s="14"/>
      <c r="S267" s="20"/>
      <c r="T267" s="20"/>
    </row>
    <row r="268" spans="2:20" s="13" customFormat="1">
      <c r="B268" s="15"/>
      <c r="F268" s="17"/>
      <c r="G268" s="18"/>
      <c r="H268" s="19"/>
      <c r="I268" s="7"/>
      <c r="J268" s="20"/>
      <c r="K268" s="21"/>
      <c r="L268" s="20"/>
      <c r="P268" s="16"/>
      <c r="Q268" s="14"/>
      <c r="R268" s="14"/>
      <c r="S268" s="20"/>
      <c r="T268" s="20"/>
    </row>
    <row r="269" spans="2:20" s="13" customFormat="1">
      <c r="B269" s="15"/>
      <c r="F269" s="17"/>
      <c r="G269" s="18"/>
      <c r="H269" s="19"/>
      <c r="I269" s="7"/>
      <c r="J269" s="20"/>
      <c r="K269" s="21"/>
      <c r="L269" s="20"/>
      <c r="P269" s="16"/>
      <c r="Q269" s="14"/>
      <c r="R269" s="14"/>
      <c r="S269" s="20"/>
      <c r="T269" s="20"/>
    </row>
    <row r="270" spans="2:20" s="13" customFormat="1">
      <c r="B270" s="15"/>
      <c r="F270" s="17"/>
      <c r="G270" s="18"/>
      <c r="H270" s="19"/>
      <c r="I270" s="7"/>
      <c r="J270" s="20"/>
      <c r="K270" s="21"/>
      <c r="L270" s="20"/>
      <c r="P270" s="16"/>
      <c r="Q270" s="14"/>
      <c r="R270" s="14"/>
      <c r="S270" s="20"/>
      <c r="T270" s="20"/>
    </row>
    <row r="271" spans="2:20" s="13" customFormat="1">
      <c r="B271" s="15"/>
      <c r="F271" s="17"/>
      <c r="G271" s="18"/>
      <c r="H271" s="19"/>
      <c r="I271" s="7"/>
      <c r="J271" s="20"/>
      <c r="K271" s="21"/>
      <c r="L271" s="20"/>
      <c r="P271" s="16"/>
      <c r="Q271" s="14"/>
      <c r="R271" s="14"/>
      <c r="S271" s="20"/>
      <c r="T271" s="20"/>
    </row>
    <row r="272" spans="2:20" s="13" customFormat="1">
      <c r="B272" s="15"/>
      <c r="F272" s="17"/>
      <c r="G272" s="18"/>
      <c r="H272" s="19"/>
      <c r="I272" s="7"/>
      <c r="J272" s="20"/>
      <c r="K272" s="21"/>
      <c r="L272" s="20"/>
      <c r="P272" s="16"/>
      <c r="Q272" s="14"/>
      <c r="R272" s="14"/>
      <c r="S272" s="20"/>
      <c r="T272" s="20"/>
    </row>
    <row r="273" spans="2:20" s="13" customFormat="1">
      <c r="B273" s="15"/>
      <c r="F273" s="17"/>
      <c r="G273" s="18"/>
      <c r="H273" s="19"/>
      <c r="I273" s="7"/>
      <c r="J273" s="20"/>
      <c r="K273" s="21"/>
      <c r="L273" s="20"/>
      <c r="P273" s="16"/>
      <c r="Q273" s="14"/>
      <c r="R273" s="14"/>
      <c r="S273" s="20"/>
      <c r="T273" s="20"/>
    </row>
    <row r="274" spans="2:20" s="13" customFormat="1">
      <c r="B274" s="15"/>
      <c r="F274" s="17"/>
      <c r="G274" s="18"/>
      <c r="H274" s="19"/>
      <c r="I274" s="7"/>
      <c r="J274" s="20"/>
      <c r="K274" s="21"/>
      <c r="L274" s="20"/>
      <c r="P274" s="16"/>
      <c r="Q274" s="14"/>
      <c r="R274" s="14"/>
      <c r="S274" s="20"/>
      <c r="T274" s="20"/>
    </row>
    <row r="275" spans="2:20" s="13" customFormat="1">
      <c r="B275" s="15"/>
      <c r="F275" s="17"/>
      <c r="G275" s="18"/>
      <c r="H275" s="19"/>
      <c r="I275" s="7"/>
      <c r="J275" s="20"/>
      <c r="K275" s="21"/>
      <c r="L275" s="20"/>
      <c r="P275" s="16"/>
      <c r="Q275" s="14"/>
      <c r="R275" s="14"/>
      <c r="S275" s="20"/>
      <c r="T275" s="20"/>
    </row>
    <row r="276" spans="2:20" s="13" customFormat="1">
      <c r="B276" s="15"/>
      <c r="F276" s="17"/>
      <c r="G276" s="18"/>
      <c r="H276" s="19"/>
      <c r="I276" s="7"/>
      <c r="J276" s="20"/>
      <c r="K276" s="21"/>
      <c r="L276" s="20"/>
      <c r="P276" s="16"/>
      <c r="Q276" s="14"/>
      <c r="R276" s="14"/>
      <c r="S276" s="20"/>
      <c r="T276" s="20"/>
    </row>
    <row r="277" spans="2:20" s="13" customFormat="1">
      <c r="B277" s="15"/>
      <c r="F277" s="17"/>
      <c r="G277" s="18"/>
      <c r="H277" s="19"/>
      <c r="I277" s="7"/>
      <c r="J277" s="20"/>
      <c r="K277" s="21"/>
      <c r="L277" s="20"/>
      <c r="P277" s="16"/>
      <c r="Q277" s="14"/>
      <c r="R277" s="14"/>
      <c r="S277" s="20"/>
      <c r="T277" s="20"/>
    </row>
    <row r="278" spans="2:20" s="13" customFormat="1">
      <c r="B278" s="15"/>
      <c r="F278" s="17"/>
      <c r="G278" s="18"/>
      <c r="H278" s="19"/>
      <c r="I278" s="7"/>
      <c r="J278" s="20"/>
      <c r="K278" s="21"/>
      <c r="L278" s="20"/>
      <c r="P278" s="16"/>
      <c r="Q278" s="14"/>
      <c r="R278" s="14"/>
      <c r="S278" s="20"/>
      <c r="T278" s="20"/>
    </row>
    <row r="279" spans="2:20" s="13" customFormat="1">
      <c r="B279" s="15"/>
      <c r="F279" s="17"/>
      <c r="G279" s="18"/>
      <c r="H279" s="19"/>
      <c r="I279" s="7"/>
      <c r="J279" s="20"/>
      <c r="K279" s="21"/>
      <c r="L279" s="20"/>
      <c r="P279" s="16"/>
      <c r="Q279" s="14"/>
      <c r="R279" s="14"/>
      <c r="S279" s="20"/>
      <c r="T279" s="20"/>
    </row>
    <row r="280" spans="2:20" s="13" customFormat="1">
      <c r="B280" s="15"/>
      <c r="F280" s="17"/>
      <c r="G280" s="18"/>
      <c r="H280" s="19"/>
      <c r="I280" s="7"/>
      <c r="J280" s="20"/>
      <c r="K280" s="21"/>
      <c r="L280" s="20"/>
      <c r="P280" s="16"/>
      <c r="Q280" s="14"/>
      <c r="R280" s="14"/>
      <c r="S280" s="20"/>
      <c r="T280" s="20"/>
    </row>
    <row r="281" spans="2:20" s="13" customFormat="1">
      <c r="B281" s="15"/>
      <c r="F281" s="17"/>
      <c r="G281" s="18"/>
      <c r="H281" s="19"/>
      <c r="I281" s="7"/>
      <c r="J281" s="20"/>
      <c r="K281" s="21"/>
      <c r="L281" s="20"/>
      <c r="P281" s="16"/>
      <c r="Q281" s="14"/>
      <c r="R281" s="14"/>
      <c r="S281" s="20"/>
      <c r="T281" s="20"/>
    </row>
    <row r="282" spans="2:20" s="13" customFormat="1">
      <c r="B282" s="15"/>
      <c r="F282" s="17"/>
      <c r="G282" s="18"/>
      <c r="H282" s="19"/>
      <c r="I282" s="7"/>
      <c r="J282" s="20"/>
      <c r="K282" s="21"/>
      <c r="L282" s="20"/>
      <c r="P282" s="16"/>
      <c r="Q282" s="14"/>
      <c r="R282" s="14"/>
      <c r="S282" s="20"/>
      <c r="T282" s="20"/>
    </row>
    <row r="283" spans="2:20" s="13" customFormat="1">
      <c r="B283" s="15"/>
      <c r="F283" s="17"/>
      <c r="G283" s="18"/>
      <c r="H283" s="19"/>
      <c r="I283" s="7"/>
      <c r="J283" s="20"/>
      <c r="K283" s="21"/>
      <c r="L283" s="20"/>
      <c r="P283" s="16"/>
      <c r="Q283" s="14"/>
      <c r="R283" s="14"/>
      <c r="S283" s="20"/>
      <c r="T283" s="20"/>
    </row>
    <row r="284" spans="2:20" s="13" customFormat="1">
      <c r="B284" s="15"/>
      <c r="F284" s="17"/>
      <c r="G284" s="18"/>
      <c r="H284" s="19"/>
      <c r="I284" s="7"/>
      <c r="J284" s="20"/>
      <c r="K284" s="21"/>
      <c r="L284" s="20"/>
      <c r="P284" s="16"/>
      <c r="Q284" s="14"/>
      <c r="R284" s="14"/>
      <c r="S284" s="20"/>
      <c r="T284" s="20"/>
    </row>
    <row r="285" spans="2:20" s="13" customFormat="1">
      <c r="B285" s="15"/>
      <c r="F285" s="17"/>
      <c r="G285" s="18"/>
      <c r="H285" s="19"/>
      <c r="I285" s="7"/>
      <c r="J285" s="20"/>
      <c r="K285" s="21"/>
      <c r="L285" s="20"/>
      <c r="P285" s="16"/>
      <c r="Q285" s="14"/>
      <c r="R285" s="14"/>
      <c r="S285" s="20"/>
      <c r="T285" s="20"/>
    </row>
    <row r="286" spans="2:20" s="13" customFormat="1">
      <c r="B286" s="15"/>
      <c r="F286" s="17"/>
      <c r="G286" s="18"/>
      <c r="H286" s="19"/>
      <c r="I286" s="7"/>
      <c r="J286" s="20"/>
      <c r="K286" s="21"/>
      <c r="L286" s="20"/>
      <c r="P286" s="16"/>
      <c r="Q286" s="14"/>
      <c r="R286" s="14"/>
      <c r="S286" s="20"/>
      <c r="T286" s="20"/>
    </row>
    <row r="287" spans="2:20" s="13" customFormat="1">
      <c r="B287" s="15"/>
      <c r="F287" s="17"/>
      <c r="G287" s="18"/>
      <c r="H287" s="19"/>
      <c r="I287" s="7"/>
      <c r="J287" s="20"/>
      <c r="K287" s="21"/>
      <c r="L287" s="20"/>
      <c r="P287" s="16"/>
      <c r="Q287" s="14"/>
      <c r="R287" s="14"/>
      <c r="S287" s="20"/>
      <c r="T287" s="20"/>
    </row>
    <row r="288" spans="2:20" s="13" customFormat="1">
      <c r="B288" s="15"/>
      <c r="F288" s="17"/>
      <c r="G288" s="18"/>
      <c r="H288" s="19"/>
      <c r="I288" s="7"/>
      <c r="J288" s="20"/>
      <c r="K288" s="21"/>
      <c r="L288" s="20"/>
      <c r="P288" s="16"/>
      <c r="Q288" s="14"/>
      <c r="R288" s="14"/>
      <c r="S288" s="20"/>
      <c r="T288" s="20"/>
    </row>
    <row r="289" spans="2:20" s="13" customFormat="1">
      <c r="B289" s="15"/>
      <c r="F289" s="17"/>
      <c r="G289" s="18"/>
      <c r="H289" s="19"/>
      <c r="I289" s="7"/>
      <c r="J289" s="20"/>
      <c r="K289" s="21"/>
      <c r="L289" s="20"/>
      <c r="P289" s="16"/>
      <c r="Q289" s="14"/>
      <c r="R289" s="14"/>
      <c r="S289" s="20"/>
      <c r="T289" s="20"/>
    </row>
    <row r="290" spans="2:20" s="13" customFormat="1">
      <c r="B290" s="15"/>
      <c r="F290" s="17"/>
      <c r="G290" s="18"/>
      <c r="H290" s="19"/>
      <c r="I290" s="7"/>
      <c r="J290" s="20"/>
      <c r="K290" s="21"/>
      <c r="L290" s="20"/>
      <c r="P290" s="16"/>
      <c r="Q290" s="14"/>
      <c r="R290" s="14"/>
      <c r="S290" s="20"/>
      <c r="T290" s="20"/>
    </row>
    <row r="291" spans="2:20" s="13" customFormat="1">
      <c r="B291" s="15"/>
      <c r="F291" s="17"/>
      <c r="G291" s="18"/>
      <c r="H291" s="19"/>
      <c r="I291" s="7"/>
      <c r="J291" s="20"/>
      <c r="K291" s="21"/>
      <c r="L291" s="20"/>
      <c r="P291" s="16"/>
      <c r="Q291" s="14"/>
      <c r="R291" s="14"/>
      <c r="S291" s="20"/>
      <c r="T291" s="20"/>
    </row>
    <row r="292" spans="2:20" s="13" customFormat="1">
      <c r="B292" s="15"/>
      <c r="F292" s="17"/>
      <c r="G292" s="18"/>
      <c r="H292" s="19"/>
      <c r="I292" s="7"/>
      <c r="J292" s="20"/>
      <c r="K292" s="21"/>
      <c r="L292" s="20"/>
      <c r="P292" s="16"/>
      <c r="Q292" s="14"/>
      <c r="R292" s="14"/>
      <c r="S292" s="20"/>
      <c r="T292" s="20"/>
    </row>
    <row r="293" spans="2:20" s="13" customFormat="1">
      <c r="B293" s="15"/>
      <c r="F293" s="17"/>
      <c r="G293" s="18"/>
      <c r="H293" s="19"/>
      <c r="I293" s="7"/>
      <c r="J293" s="20"/>
      <c r="K293" s="21"/>
      <c r="L293" s="20"/>
      <c r="P293" s="16"/>
      <c r="Q293" s="14"/>
      <c r="R293" s="14"/>
      <c r="S293" s="20"/>
      <c r="T293" s="20"/>
    </row>
    <row r="294" spans="2:20" s="13" customFormat="1">
      <c r="B294" s="15"/>
      <c r="F294" s="17"/>
      <c r="G294" s="18"/>
      <c r="H294" s="19"/>
      <c r="I294" s="7"/>
      <c r="J294" s="20"/>
      <c r="K294" s="21"/>
      <c r="L294" s="20"/>
      <c r="P294" s="16"/>
      <c r="Q294" s="14"/>
      <c r="R294" s="14"/>
      <c r="S294" s="20"/>
      <c r="T294" s="20"/>
    </row>
    <row r="295" spans="2:20" s="13" customFormat="1">
      <c r="B295" s="15"/>
      <c r="F295" s="17"/>
      <c r="G295" s="18"/>
      <c r="H295" s="19"/>
      <c r="I295" s="7"/>
      <c r="J295" s="20"/>
      <c r="K295" s="21"/>
      <c r="L295" s="20"/>
      <c r="P295" s="16"/>
      <c r="Q295" s="14"/>
      <c r="R295" s="14"/>
      <c r="S295" s="20"/>
      <c r="T295" s="20"/>
    </row>
    <row r="296" spans="2:20" s="13" customFormat="1">
      <c r="B296" s="15"/>
      <c r="F296" s="17"/>
      <c r="G296" s="18"/>
      <c r="H296" s="19"/>
      <c r="I296" s="7"/>
      <c r="J296" s="20"/>
      <c r="K296" s="21"/>
      <c r="L296" s="20"/>
      <c r="P296" s="16"/>
      <c r="Q296" s="14"/>
      <c r="R296" s="14"/>
      <c r="S296" s="20"/>
      <c r="T296" s="20"/>
    </row>
    <row r="297" spans="2:20" s="13" customFormat="1">
      <c r="B297" s="15"/>
      <c r="F297" s="17"/>
      <c r="G297" s="18"/>
      <c r="H297" s="19"/>
      <c r="I297" s="7"/>
      <c r="J297" s="20"/>
      <c r="K297" s="21"/>
      <c r="L297" s="20"/>
      <c r="P297" s="16"/>
      <c r="Q297" s="14"/>
      <c r="R297" s="14"/>
      <c r="S297" s="20"/>
      <c r="T297" s="20"/>
    </row>
    <row r="298" spans="2:20" s="13" customFormat="1">
      <c r="B298" s="15"/>
      <c r="F298" s="17"/>
      <c r="G298" s="18"/>
      <c r="H298" s="19"/>
      <c r="I298" s="7"/>
      <c r="J298" s="20"/>
      <c r="K298" s="21"/>
      <c r="L298" s="20"/>
      <c r="P298" s="16"/>
      <c r="Q298" s="14"/>
      <c r="R298" s="14"/>
      <c r="S298" s="20"/>
      <c r="T298" s="20"/>
    </row>
    <row r="299" spans="2:20" s="13" customFormat="1">
      <c r="B299" s="15"/>
      <c r="F299" s="17"/>
      <c r="G299" s="18"/>
      <c r="H299" s="19"/>
      <c r="I299" s="7"/>
      <c r="J299" s="20"/>
      <c r="K299" s="21"/>
      <c r="L299" s="20"/>
      <c r="P299" s="16"/>
      <c r="Q299" s="14"/>
      <c r="R299" s="14"/>
      <c r="S299" s="20"/>
      <c r="T299" s="20"/>
    </row>
    <row r="300" spans="2:20" s="13" customFormat="1">
      <c r="B300" s="15"/>
      <c r="F300" s="17"/>
      <c r="G300" s="18"/>
      <c r="H300" s="19"/>
      <c r="I300" s="7"/>
      <c r="J300" s="20"/>
      <c r="K300" s="21"/>
      <c r="L300" s="20"/>
      <c r="P300" s="16"/>
      <c r="Q300" s="14"/>
      <c r="R300" s="14"/>
      <c r="S300" s="20"/>
      <c r="T300" s="20"/>
    </row>
    <row r="301" spans="2:20" s="13" customFormat="1">
      <c r="B301" s="15"/>
      <c r="F301" s="17"/>
      <c r="G301" s="18"/>
      <c r="H301" s="19"/>
      <c r="I301" s="7"/>
      <c r="J301" s="20"/>
      <c r="K301" s="21"/>
      <c r="L301" s="20"/>
      <c r="P301" s="16"/>
      <c r="Q301" s="14"/>
      <c r="R301" s="14"/>
      <c r="S301" s="20"/>
      <c r="T301" s="20"/>
    </row>
    <row r="302" spans="2:20" s="13" customFormat="1">
      <c r="B302" s="15"/>
      <c r="F302" s="17"/>
      <c r="G302" s="18"/>
      <c r="H302" s="19"/>
      <c r="I302" s="7"/>
      <c r="J302" s="20"/>
      <c r="K302" s="21"/>
      <c r="L302" s="20"/>
      <c r="P302" s="16"/>
      <c r="Q302" s="14"/>
      <c r="R302" s="14"/>
      <c r="S302" s="20"/>
      <c r="T302" s="20"/>
    </row>
    <row r="303" spans="2:20" s="13" customFormat="1">
      <c r="B303" s="15"/>
      <c r="F303" s="17"/>
      <c r="G303" s="18"/>
      <c r="H303" s="19"/>
      <c r="I303" s="7"/>
      <c r="J303" s="20"/>
      <c r="K303" s="21"/>
      <c r="L303" s="20"/>
      <c r="P303" s="16"/>
      <c r="Q303" s="14"/>
      <c r="R303" s="14"/>
      <c r="S303" s="20"/>
      <c r="T303" s="20"/>
    </row>
    <row r="304" spans="2:20" s="13" customFormat="1">
      <c r="B304" s="15"/>
      <c r="F304" s="17"/>
      <c r="G304" s="18"/>
      <c r="H304" s="19"/>
      <c r="I304" s="7"/>
      <c r="J304" s="20"/>
      <c r="K304" s="21"/>
      <c r="L304" s="20"/>
      <c r="P304" s="16"/>
      <c r="Q304" s="14"/>
      <c r="R304" s="14"/>
      <c r="S304" s="20"/>
      <c r="T304" s="20"/>
    </row>
    <row r="305" spans="2:20" s="13" customFormat="1">
      <c r="B305" s="15"/>
      <c r="F305" s="17"/>
      <c r="G305" s="18"/>
      <c r="H305" s="19"/>
      <c r="I305" s="7"/>
      <c r="J305" s="20"/>
      <c r="K305" s="21"/>
      <c r="L305" s="20"/>
      <c r="P305" s="16"/>
      <c r="Q305" s="14"/>
      <c r="R305" s="14"/>
      <c r="S305" s="20"/>
      <c r="T305" s="20"/>
    </row>
    <row r="306" spans="2:20" s="13" customFormat="1">
      <c r="B306" s="15"/>
      <c r="F306" s="17"/>
      <c r="G306" s="18"/>
      <c r="H306" s="19"/>
      <c r="I306" s="7"/>
      <c r="J306" s="20"/>
      <c r="K306" s="21"/>
      <c r="L306" s="20"/>
      <c r="P306" s="16"/>
      <c r="Q306" s="14"/>
      <c r="R306" s="14"/>
      <c r="S306" s="20"/>
      <c r="T306" s="20"/>
    </row>
    <row r="307" spans="2:20" s="13" customFormat="1">
      <c r="B307" s="15"/>
      <c r="F307" s="17"/>
      <c r="G307" s="18"/>
      <c r="H307" s="19"/>
      <c r="I307" s="7"/>
      <c r="J307" s="20"/>
      <c r="K307" s="21"/>
      <c r="L307" s="20"/>
      <c r="P307" s="16"/>
      <c r="Q307" s="14"/>
      <c r="R307" s="14"/>
      <c r="S307" s="20"/>
      <c r="T307" s="20"/>
    </row>
    <row r="308" spans="2:20" s="13" customFormat="1">
      <c r="B308" s="15"/>
      <c r="F308" s="17"/>
      <c r="G308" s="18"/>
      <c r="H308" s="19"/>
      <c r="I308" s="7"/>
      <c r="J308" s="20"/>
      <c r="K308" s="21"/>
      <c r="L308" s="20"/>
      <c r="P308" s="16"/>
      <c r="Q308" s="14"/>
      <c r="R308" s="14"/>
      <c r="S308" s="20"/>
      <c r="T308" s="20"/>
    </row>
    <row r="309" spans="2:20" s="13" customFormat="1">
      <c r="B309" s="15"/>
      <c r="F309" s="17"/>
      <c r="G309" s="18"/>
      <c r="H309" s="19"/>
      <c r="I309" s="7"/>
      <c r="J309" s="20"/>
      <c r="K309" s="21"/>
      <c r="L309" s="20"/>
      <c r="P309" s="16"/>
      <c r="Q309" s="14"/>
      <c r="R309" s="14"/>
      <c r="S309" s="20"/>
      <c r="T309" s="20"/>
    </row>
    <row r="310" spans="2:20" s="13" customFormat="1">
      <c r="B310" s="15"/>
      <c r="F310" s="17"/>
      <c r="G310" s="18"/>
      <c r="H310" s="19"/>
      <c r="I310" s="7"/>
      <c r="J310" s="20"/>
      <c r="K310" s="21"/>
      <c r="L310" s="20"/>
      <c r="P310" s="16"/>
      <c r="Q310" s="14"/>
      <c r="R310" s="14"/>
      <c r="S310" s="20"/>
      <c r="T310" s="20"/>
    </row>
    <row r="311" spans="2:20" s="13" customFormat="1">
      <c r="B311" s="15"/>
      <c r="F311" s="17"/>
      <c r="G311" s="18"/>
      <c r="H311" s="19"/>
      <c r="I311" s="7"/>
      <c r="J311" s="20"/>
      <c r="K311" s="21"/>
      <c r="L311" s="20"/>
      <c r="P311" s="16"/>
      <c r="Q311" s="14"/>
      <c r="R311" s="14"/>
      <c r="S311" s="20"/>
      <c r="T311" s="20"/>
    </row>
    <row r="312" spans="2:20" s="13" customFormat="1">
      <c r="B312" s="15"/>
      <c r="F312" s="17"/>
      <c r="G312" s="18"/>
      <c r="H312" s="19"/>
      <c r="I312" s="7"/>
      <c r="J312" s="20"/>
      <c r="K312" s="21"/>
      <c r="L312" s="20"/>
      <c r="P312" s="16"/>
      <c r="Q312" s="14"/>
      <c r="R312" s="14"/>
      <c r="S312" s="20"/>
      <c r="T312" s="20"/>
    </row>
    <row r="313" spans="2:20" s="13" customFormat="1">
      <c r="B313" s="15"/>
      <c r="F313" s="17"/>
      <c r="G313" s="18"/>
      <c r="H313" s="19"/>
      <c r="I313" s="7"/>
      <c r="J313" s="20"/>
      <c r="K313" s="21"/>
      <c r="L313" s="20"/>
      <c r="P313" s="16"/>
      <c r="Q313" s="14"/>
      <c r="R313" s="14"/>
      <c r="S313" s="20"/>
      <c r="T313" s="20"/>
    </row>
    <row r="314" spans="2:20" s="13" customFormat="1">
      <c r="B314" s="15"/>
      <c r="F314" s="17"/>
      <c r="G314" s="18"/>
      <c r="H314" s="19"/>
      <c r="I314" s="7"/>
      <c r="J314" s="20"/>
      <c r="K314" s="21"/>
      <c r="L314" s="20"/>
      <c r="P314" s="16"/>
      <c r="Q314" s="14"/>
      <c r="R314" s="14"/>
      <c r="S314" s="20"/>
      <c r="T314" s="20"/>
    </row>
    <row r="315" spans="2:20" s="13" customFormat="1">
      <c r="B315" s="15"/>
      <c r="F315" s="17"/>
      <c r="G315" s="18"/>
      <c r="H315" s="19"/>
      <c r="I315" s="7"/>
      <c r="J315" s="20"/>
      <c r="K315" s="21"/>
      <c r="L315" s="20"/>
      <c r="P315" s="16"/>
      <c r="Q315" s="14"/>
      <c r="R315" s="14"/>
      <c r="S315" s="20"/>
      <c r="T315" s="20"/>
    </row>
    <row r="316" spans="2:20" s="13" customFormat="1">
      <c r="B316" s="15"/>
      <c r="F316" s="17"/>
      <c r="G316" s="18"/>
      <c r="H316" s="19"/>
      <c r="I316" s="7"/>
      <c r="J316" s="20"/>
      <c r="K316" s="21"/>
      <c r="L316" s="20"/>
      <c r="P316" s="16"/>
      <c r="Q316" s="14"/>
      <c r="R316" s="14"/>
      <c r="S316" s="20"/>
      <c r="T316" s="20"/>
    </row>
    <row r="317" spans="2:20" s="13" customFormat="1">
      <c r="B317" s="15"/>
      <c r="F317" s="17"/>
      <c r="G317" s="18"/>
      <c r="H317" s="19"/>
      <c r="I317" s="7"/>
      <c r="J317" s="20"/>
      <c r="K317" s="21"/>
      <c r="L317" s="20"/>
      <c r="P317" s="16"/>
      <c r="Q317" s="14"/>
      <c r="R317" s="14"/>
      <c r="S317" s="20"/>
      <c r="T317" s="20"/>
    </row>
    <row r="318" spans="2:20" s="13" customFormat="1">
      <c r="B318" s="15"/>
      <c r="F318" s="17"/>
      <c r="G318" s="18"/>
      <c r="H318" s="19"/>
      <c r="I318" s="7"/>
      <c r="J318" s="20"/>
      <c r="K318" s="21"/>
      <c r="L318" s="20"/>
      <c r="P318" s="16"/>
      <c r="Q318" s="14"/>
      <c r="R318" s="14"/>
      <c r="S318" s="20"/>
      <c r="T318" s="20"/>
    </row>
    <row r="319" spans="2:20" s="13" customFormat="1">
      <c r="B319" s="15"/>
      <c r="F319" s="17"/>
      <c r="G319" s="18"/>
      <c r="H319" s="19"/>
      <c r="I319" s="7"/>
      <c r="J319" s="20"/>
      <c r="K319" s="21"/>
      <c r="L319" s="20"/>
      <c r="P319" s="16"/>
      <c r="Q319" s="14"/>
      <c r="R319" s="14"/>
      <c r="S319" s="20"/>
      <c r="T319" s="20"/>
    </row>
    <row r="320" spans="2:20" s="13" customFormat="1">
      <c r="B320" s="15"/>
      <c r="F320" s="17"/>
      <c r="G320" s="18"/>
      <c r="H320" s="19"/>
      <c r="I320" s="7"/>
      <c r="J320" s="20"/>
      <c r="K320" s="21"/>
      <c r="L320" s="20"/>
      <c r="P320" s="16"/>
      <c r="Q320" s="14"/>
      <c r="R320" s="14"/>
      <c r="S320" s="20"/>
      <c r="T320" s="20"/>
    </row>
    <row r="321" spans="2:20" s="13" customFormat="1">
      <c r="B321" s="15"/>
      <c r="F321" s="17"/>
      <c r="G321" s="18"/>
      <c r="H321" s="19"/>
      <c r="I321" s="7"/>
      <c r="J321" s="20"/>
      <c r="K321" s="21"/>
      <c r="L321" s="20"/>
      <c r="P321" s="16"/>
      <c r="Q321" s="14"/>
      <c r="R321" s="14"/>
      <c r="S321" s="20"/>
      <c r="T321" s="20"/>
    </row>
    <row r="322" spans="2:20" s="13" customFormat="1">
      <c r="B322" s="15"/>
      <c r="F322" s="17"/>
      <c r="G322" s="18"/>
      <c r="H322" s="19"/>
      <c r="I322" s="7"/>
      <c r="J322" s="20"/>
      <c r="K322" s="21"/>
      <c r="L322" s="20"/>
      <c r="P322" s="16"/>
      <c r="Q322" s="14"/>
      <c r="R322" s="14"/>
      <c r="S322" s="20"/>
      <c r="T322" s="20"/>
    </row>
    <row r="323" spans="2:20" s="13" customFormat="1">
      <c r="B323" s="15"/>
      <c r="F323" s="17"/>
      <c r="G323" s="18"/>
      <c r="H323" s="19"/>
      <c r="I323" s="7"/>
      <c r="J323" s="20"/>
      <c r="K323" s="21"/>
      <c r="L323" s="20"/>
      <c r="P323" s="16"/>
      <c r="Q323" s="14"/>
      <c r="R323" s="14"/>
      <c r="S323" s="20"/>
      <c r="T323" s="20"/>
    </row>
    <row r="324" spans="2:20" s="13" customFormat="1">
      <c r="B324" s="15"/>
      <c r="F324" s="17"/>
      <c r="G324" s="18"/>
      <c r="H324" s="19"/>
      <c r="I324" s="7"/>
      <c r="J324" s="20"/>
      <c r="K324" s="21"/>
      <c r="L324" s="20"/>
      <c r="P324" s="16"/>
      <c r="Q324" s="14"/>
      <c r="R324" s="14"/>
      <c r="S324" s="20"/>
      <c r="T324" s="20"/>
    </row>
    <row r="325" spans="2:20" s="13" customFormat="1">
      <c r="B325" s="15"/>
      <c r="F325" s="17"/>
      <c r="G325" s="18"/>
      <c r="H325" s="19"/>
      <c r="I325" s="7"/>
      <c r="J325" s="20"/>
      <c r="K325" s="21"/>
      <c r="L325" s="20"/>
      <c r="P325" s="16"/>
      <c r="Q325" s="14"/>
      <c r="R325" s="14"/>
      <c r="S325" s="20"/>
      <c r="T325" s="20"/>
    </row>
    <row r="326" spans="2:20" s="13" customFormat="1">
      <c r="B326" s="15"/>
      <c r="F326" s="17"/>
      <c r="G326" s="18"/>
      <c r="H326" s="19"/>
      <c r="I326" s="7"/>
      <c r="J326" s="20"/>
      <c r="K326" s="21"/>
      <c r="L326" s="20"/>
      <c r="P326" s="16"/>
      <c r="Q326" s="14"/>
      <c r="R326" s="14"/>
      <c r="S326" s="20"/>
      <c r="T326" s="20"/>
    </row>
    <row r="327" spans="2:20" s="13" customFormat="1">
      <c r="B327" s="15"/>
      <c r="F327" s="17"/>
      <c r="G327" s="18"/>
      <c r="H327" s="19"/>
      <c r="I327" s="7"/>
      <c r="J327" s="20"/>
      <c r="K327" s="21"/>
      <c r="L327" s="20"/>
      <c r="P327" s="16"/>
      <c r="Q327" s="14"/>
      <c r="R327" s="14"/>
      <c r="S327" s="20"/>
      <c r="T327" s="20"/>
    </row>
    <row r="328" spans="2:20" s="13" customFormat="1">
      <c r="B328" s="15"/>
      <c r="F328" s="17"/>
      <c r="G328" s="18"/>
      <c r="H328" s="19"/>
      <c r="I328" s="7"/>
      <c r="J328" s="20"/>
      <c r="K328" s="21"/>
      <c r="L328" s="20"/>
      <c r="P328" s="16"/>
      <c r="Q328" s="14"/>
      <c r="R328" s="14"/>
      <c r="S328" s="20"/>
      <c r="T328" s="20"/>
    </row>
    <row r="329" spans="2:20" s="13" customFormat="1">
      <c r="B329" s="15"/>
      <c r="F329" s="17"/>
      <c r="G329" s="18"/>
      <c r="H329" s="19"/>
      <c r="I329" s="7"/>
      <c r="J329" s="20"/>
      <c r="K329" s="21"/>
      <c r="L329" s="20"/>
      <c r="P329" s="16"/>
      <c r="Q329" s="14"/>
      <c r="R329" s="14"/>
      <c r="S329" s="20"/>
      <c r="T329" s="20"/>
    </row>
    <row r="330" spans="2:20" s="13" customFormat="1">
      <c r="B330" s="15"/>
      <c r="F330" s="17"/>
      <c r="G330" s="18"/>
      <c r="H330" s="19"/>
      <c r="I330" s="7"/>
      <c r="J330" s="20"/>
      <c r="K330" s="21"/>
      <c r="L330" s="20"/>
      <c r="P330" s="16"/>
      <c r="Q330" s="14"/>
      <c r="R330" s="14"/>
      <c r="S330" s="20"/>
      <c r="T330" s="20"/>
    </row>
    <row r="331" spans="2:20" s="13" customFormat="1">
      <c r="B331" s="15"/>
      <c r="F331" s="17"/>
      <c r="G331" s="18"/>
      <c r="H331" s="19"/>
      <c r="I331" s="7"/>
      <c r="J331" s="20"/>
      <c r="K331" s="21"/>
      <c r="L331" s="20"/>
      <c r="P331" s="16"/>
      <c r="Q331" s="14"/>
      <c r="R331" s="14"/>
      <c r="S331" s="20"/>
      <c r="T331" s="20"/>
    </row>
    <row r="332" spans="2:20" s="13" customFormat="1">
      <c r="B332" s="15"/>
      <c r="F332" s="17"/>
      <c r="G332" s="18"/>
      <c r="H332" s="19"/>
      <c r="I332" s="7"/>
      <c r="J332" s="20"/>
      <c r="K332" s="21"/>
      <c r="L332" s="20"/>
      <c r="P332" s="16"/>
      <c r="Q332" s="14"/>
      <c r="R332" s="14"/>
      <c r="S332" s="20"/>
      <c r="T332" s="20"/>
    </row>
    <row r="333" spans="2:20" s="13" customFormat="1">
      <c r="B333" s="15"/>
      <c r="F333" s="17"/>
      <c r="G333" s="18"/>
      <c r="H333" s="19"/>
      <c r="I333" s="7"/>
      <c r="J333" s="20"/>
      <c r="K333" s="21"/>
      <c r="L333" s="20"/>
      <c r="P333" s="16"/>
      <c r="Q333" s="14"/>
      <c r="R333" s="14"/>
      <c r="S333" s="20"/>
      <c r="T333" s="20"/>
    </row>
    <row r="334" spans="2:20" s="13" customFormat="1">
      <c r="B334" s="15"/>
      <c r="F334" s="17"/>
      <c r="G334" s="18"/>
      <c r="H334" s="19"/>
      <c r="I334" s="7"/>
      <c r="J334" s="20"/>
      <c r="K334" s="21"/>
      <c r="L334" s="20"/>
      <c r="P334" s="16"/>
      <c r="Q334" s="14"/>
      <c r="R334" s="14"/>
      <c r="S334" s="20"/>
      <c r="T334" s="20"/>
    </row>
    <row r="335" spans="2:20" s="13" customFormat="1">
      <c r="B335" s="15"/>
      <c r="F335" s="17"/>
      <c r="G335" s="18"/>
      <c r="H335" s="19"/>
      <c r="I335" s="7"/>
      <c r="J335" s="20"/>
      <c r="K335" s="21"/>
      <c r="L335" s="20"/>
      <c r="P335" s="16"/>
      <c r="Q335" s="14"/>
      <c r="R335" s="14"/>
      <c r="S335" s="20"/>
      <c r="T335" s="20"/>
    </row>
    <row r="336" spans="2:20" s="13" customFormat="1">
      <c r="B336" s="15"/>
      <c r="F336" s="17"/>
      <c r="G336" s="18"/>
      <c r="H336" s="19"/>
      <c r="I336" s="7"/>
      <c r="J336" s="20"/>
      <c r="K336" s="21"/>
      <c r="L336" s="20"/>
      <c r="P336" s="16"/>
      <c r="Q336" s="14"/>
      <c r="R336" s="14"/>
      <c r="S336" s="20"/>
      <c r="T336" s="20"/>
    </row>
    <row r="337" spans="2:20" s="13" customFormat="1">
      <c r="B337" s="15"/>
      <c r="F337" s="17"/>
      <c r="G337" s="18"/>
      <c r="H337" s="19"/>
      <c r="I337" s="7"/>
      <c r="J337" s="20"/>
      <c r="K337" s="21"/>
      <c r="L337" s="20"/>
      <c r="P337" s="16"/>
      <c r="Q337" s="14"/>
      <c r="R337" s="14"/>
      <c r="S337" s="20"/>
      <c r="T337" s="20"/>
    </row>
    <row r="338" spans="2:20" s="13" customFormat="1">
      <c r="B338" s="15"/>
      <c r="F338" s="17"/>
      <c r="G338" s="18"/>
      <c r="H338" s="19"/>
      <c r="I338" s="7"/>
      <c r="J338" s="20"/>
      <c r="K338" s="21"/>
      <c r="L338" s="20"/>
      <c r="P338" s="16"/>
      <c r="Q338" s="14"/>
      <c r="R338" s="14"/>
      <c r="S338" s="20"/>
      <c r="T338" s="20"/>
    </row>
    <row r="339" spans="2:20" s="13" customFormat="1">
      <c r="B339" s="15"/>
      <c r="F339" s="17"/>
      <c r="G339" s="18"/>
      <c r="H339" s="19"/>
      <c r="I339" s="7"/>
      <c r="J339" s="20"/>
      <c r="K339" s="21"/>
      <c r="L339" s="20"/>
      <c r="P339" s="16"/>
      <c r="Q339" s="14"/>
      <c r="R339" s="14"/>
      <c r="S339" s="20"/>
      <c r="T339" s="20"/>
    </row>
    <row r="340" spans="2:20" s="13" customFormat="1">
      <c r="B340" s="15"/>
      <c r="F340" s="17"/>
      <c r="G340" s="18"/>
      <c r="H340" s="19"/>
      <c r="I340" s="7"/>
      <c r="J340" s="20"/>
      <c r="K340" s="21"/>
      <c r="L340" s="20"/>
      <c r="P340" s="16"/>
      <c r="Q340" s="14"/>
      <c r="R340" s="14"/>
      <c r="S340" s="20"/>
      <c r="T340" s="20"/>
    </row>
    <row r="341" spans="2:20" s="13" customFormat="1">
      <c r="B341" s="15"/>
      <c r="F341" s="17"/>
      <c r="G341" s="18"/>
      <c r="H341" s="19"/>
      <c r="I341" s="7"/>
      <c r="J341" s="20"/>
      <c r="K341" s="21"/>
      <c r="L341" s="20"/>
      <c r="P341" s="16"/>
      <c r="Q341" s="14"/>
      <c r="R341" s="14"/>
      <c r="S341" s="20"/>
      <c r="T341" s="20"/>
    </row>
    <row r="342" spans="2:20" s="13" customFormat="1">
      <c r="B342" s="15"/>
      <c r="F342" s="17"/>
      <c r="G342" s="18"/>
      <c r="H342" s="19"/>
      <c r="I342" s="7"/>
      <c r="J342" s="20"/>
      <c r="K342" s="21"/>
      <c r="L342" s="20"/>
      <c r="P342" s="16"/>
      <c r="Q342" s="14"/>
      <c r="R342" s="14"/>
      <c r="S342" s="20"/>
      <c r="T342" s="20"/>
    </row>
    <row r="343" spans="2:20" s="13" customFormat="1">
      <c r="B343" s="15"/>
      <c r="F343" s="17"/>
      <c r="G343" s="18"/>
      <c r="H343" s="19"/>
      <c r="I343" s="7"/>
      <c r="J343" s="20"/>
      <c r="K343" s="21"/>
      <c r="L343" s="20"/>
      <c r="P343" s="16"/>
      <c r="Q343" s="14"/>
      <c r="R343" s="14"/>
      <c r="S343" s="20"/>
      <c r="T343" s="20"/>
    </row>
    <row r="344" spans="2:20" s="13" customFormat="1">
      <c r="B344" s="15"/>
      <c r="F344" s="17"/>
      <c r="G344" s="18"/>
      <c r="H344" s="19"/>
      <c r="I344" s="7"/>
      <c r="J344" s="20"/>
      <c r="K344" s="21"/>
      <c r="L344" s="20"/>
      <c r="P344" s="16"/>
      <c r="Q344" s="14"/>
      <c r="R344" s="14"/>
      <c r="S344" s="20"/>
      <c r="T344" s="20"/>
    </row>
    <row r="345" spans="2:20" s="13" customFormat="1">
      <c r="B345" s="15"/>
      <c r="F345" s="17"/>
      <c r="G345" s="18"/>
      <c r="H345" s="19"/>
      <c r="I345" s="7"/>
      <c r="J345" s="20"/>
      <c r="K345" s="21"/>
      <c r="L345" s="20"/>
      <c r="P345" s="16"/>
      <c r="Q345" s="14"/>
      <c r="R345" s="14"/>
      <c r="S345" s="20"/>
      <c r="T345" s="20"/>
    </row>
    <row r="346" spans="2:20" s="13" customFormat="1">
      <c r="B346" s="15"/>
      <c r="F346" s="17"/>
      <c r="G346" s="18"/>
      <c r="H346" s="19"/>
      <c r="I346" s="7"/>
      <c r="J346" s="20"/>
      <c r="K346" s="21"/>
      <c r="L346" s="20"/>
      <c r="P346" s="16"/>
      <c r="Q346" s="14"/>
      <c r="R346" s="14"/>
      <c r="S346" s="20"/>
      <c r="T346" s="20"/>
    </row>
    <row r="347" spans="2:20" s="13" customFormat="1">
      <c r="B347" s="15"/>
      <c r="F347" s="17"/>
      <c r="G347" s="18"/>
      <c r="H347" s="19"/>
      <c r="I347" s="7"/>
      <c r="J347" s="20"/>
      <c r="K347" s="21"/>
      <c r="L347" s="20"/>
      <c r="P347" s="16"/>
      <c r="Q347" s="14"/>
      <c r="R347" s="14"/>
      <c r="S347" s="20"/>
      <c r="T347" s="20"/>
    </row>
    <row r="348" spans="2:20" s="13" customFormat="1">
      <c r="B348" s="15"/>
      <c r="F348" s="17"/>
      <c r="G348" s="18"/>
      <c r="H348" s="19"/>
      <c r="I348" s="7"/>
      <c r="J348" s="20"/>
      <c r="K348" s="21"/>
      <c r="L348" s="20"/>
      <c r="P348" s="16"/>
      <c r="Q348" s="14"/>
      <c r="R348" s="14"/>
      <c r="S348" s="20"/>
      <c r="T348" s="20"/>
    </row>
    <row r="349" spans="2:20" s="13" customFormat="1">
      <c r="B349" s="15"/>
      <c r="F349" s="17"/>
      <c r="G349" s="18"/>
      <c r="H349" s="19"/>
      <c r="I349" s="7"/>
      <c r="J349" s="20"/>
      <c r="K349" s="21"/>
      <c r="L349" s="20"/>
      <c r="P349" s="16"/>
      <c r="Q349" s="14"/>
      <c r="R349" s="14"/>
      <c r="S349" s="20"/>
      <c r="T349" s="20"/>
    </row>
    <row r="350" spans="2:20" s="13" customFormat="1">
      <c r="B350" s="15"/>
      <c r="F350" s="17"/>
      <c r="G350" s="18"/>
      <c r="H350" s="19"/>
      <c r="I350" s="7"/>
      <c r="J350" s="20"/>
      <c r="K350" s="21"/>
      <c r="L350" s="20"/>
      <c r="P350" s="16"/>
      <c r="Q350" s="14"/>
      <c r="R350" s="14"/>
      <c r="S350" s="20"/>
      <c r="T350" s="20"/>
    </row>
    <row r="351" spans="2:20" s="13" customFormat="1">
      <c r="B351" s="15"/>
      <c r="F351" s="17"/>
      <c r="G351" s="18"/>
      <c r="H351" s="19"/>
      <c r="I351" s="7"/>
      <c r="J351" s="20"/>
      <c r="K351" s="21"/>
      <c r="L351" s="20"/>
      <c r="P351" s="16"/>
      <c r="Q351" s="14"/>
      <c r="R351" s="14"/>
      <c r="S351" s="20"/>
      <c r="T351" s="20"/>
    </row>
    <row r="352" spans="2:20" s="13" customFormat="1">
      <c r="B352" s="15"/>
      <c r="F352" s="17"/>
      <c r="G352" s="18"/>
      <c r="H352" s="19"/>
      <c r="I352" s="7"/>
      <c r="J352" s="20"/>
      <c r="K352" s="21"/>
      <c r="L352" s="20"/>
      <c r="P352" s="16"/>
      <c r="Q352" s="14"/>
      <c r="R352" s="14"/>
      <c r="S352" s="20"/>
      <c r="T352" s="20"/>
    </row>
    <row r="353" spans="2:20" s="13" customFormat="1">
      <c r="B353" s="15"/>
      <c r="F353" s="17"/>
      <c r="G353" s="18"/>
      <c r="H353" s="19"/>
      <c r="I353" s="7"/>
      <c r="J353" s="20"/>
      <c r="K353" s="21"/>
      <c r="L353" s="20"/>
      <c r="P353" s="16"/>
      <c r="Q353" s="14"/>
      <c r="R353" s="14"/>
      <c r="S353" s="20"/>
      <c r="T353" s="20"/>
    </row>
    <row r="354" spans="2:20" s="13" customFormat="1">
      <c r="B354" s="15"/>
      <c r="F354" s="17"/>
      <c r="G354" s="18"/>
      <c r="H354" s="19"/>
      <c r="I354" s="7"/>
      <c r="J354" s="20"/>
      <c r="K354" s="21"/>
      <c r="L354" s="20"/>
      <c r="P354" s="16"/>
      <c r="Q354" s="14"/>
      <c r="R354" s="14"/>
      <c r="S354" s="20"/>
      <c r="T354" s="20"/>
    </row>
    <row r="355" spans="2:20" s="13" customFormat="1">
      <c r="B355" s="15"/>
      <c r="F355" s="17"/>
      <c r="G355" s="18"/>
      <c r="H355" s="19"/>
      <c r="I355" s="7"/>
      <c r="J355" s="20"/>
      <c r="K355" s="21"/>
      <c r="L355" s="20"/>
      <c r="P355" s="16"/>
      <c r="Q355" s="14"/>
      <c r="R355" s="14"/>
      <c r="S355" s="20"/>
      <c r="T355" s="20"/>
    </row>
    <row r="356" spans="2:20" s="13" customFormat="1">
      <c r="B356" s="15"/>
      <c r="F356" s="17"/>
      <c r="G356" s="18"/>
      <c r="H356" s="19"/>
      <c r="I356" s="7"/>
      <c r="J356" s="20"/>
      <c r="K356" s="21"/>
      <c r="L356" s="20"/>
      <c r="P356" s="16"/>
      <c r="Q356" s="14"/>
      <c r="R356" s="14"/>
      <c r="S356" s="20"/>
      <c r="T356" s="20"/>
    </row>
    <row r="357" spans="2:20" s="13" customFormat="1">
      <c r="B357" s="15"/>
      <c r="F357" s="17"/>
      <c r="G357" s="18"/>
      <c r="H357" s="19"/>
      <c r="I357" s="7"/>
      <c r="J357" s="20"/>
      <c r="K357" s="21"/>
      <c r="L357" s="20"/>
      <c r="P357" s="16"/>
      <c r="Q357" s="14"/>
      <c r="R357" s="14"/>
      <c r="S357" s="20"/>
      <c r="T357" s="20"/>
    </row>
    <row r="358" spans="2:20" s="13" customFormat="1">
      <c r="B358" s="15"/>
      <c r="F358" s="17"/>
      <c r="G358" s="18"/>
      <c r="H358" s="19"/>
      <c r="I358" s="7"/>
      <c r="J358" s="20"/>
      <c r="K358" s="21"/>
      <c r="L358" s="20"/>
      <c r="P358" s="16"/>
      <c r="Q358" s="14"/>
      <c r="R358" s="14"/>
      <c r="S358" s="20"/>
      <c r="T358" s="20"/>
    </row>
    <row r="359" spans="2:20" s="13" customFormat="1">
      <c r="B359" s="15"/>
      <c r="F359" s="17"/>
      <c r="G359" s="18"/>
      <c r="H359" s="19"/>
      <c r="I359" s="7"/>
      <c r="J359" s="20"/>
      <c r="K359" s="21"/>
      <c r="L359" s="20"/>
      <c r="P359" s="16"/>
      <c r="Q359" s="14"/>
      <c r="R359" s="14"/>
      <c r="S359" s="20"/>
      <c r="T359" s="20"/>
    </row>
    <row r="360" spans="2:20" s="13" customFormat="1">
      <c r="B360" s="15"/>
      <c r="F360" s="17"/>
      <c r="G360" s="18"/>
      <c r="H360" s="19"/>
      <c r="I360" s="7"/>
      <c r="J360" s="20"/>
      <c r="K360" s="21"/>
      <c r="L360" s="20"/>
      <c r="P360" s="16"/>
      <c r="Q360" s="14"/>
      <c r="R360" s="14"/>
      <c r="S360" s="20"/>
      <c r="T360" s="20"/>
    </row>
    <row r="361" spans="2:20" s="13" customFormat="1">
      <c r="B361" s="15"/>
      <c r="F361" s="17"/>
      <c r="G361" s="18"/>
      <c r="H361" s="19"/>
      <c r="I361" s="7"/>
      <c r="J361" s="20"/>
      <c r="K361" s="21"/>
      <c r="L361" s="20"/>
      <c r="P361" s="16"/>
      <c r="Q361" s="14"/>
      <c r="R361" s="14"/>
      <c r="S361" s="20"/>
      <c r="T361" s="20"/>
    </row>
    <row r="362" spans="2:20" s="13" customFormat="1">
      <c r="B362" s="15"/>
      <c r="F362" s="17"/>
      <c r="G362" s="18"/>
      <c r="H362" s="19"/>
      <c r="I362" s="7"/>
      <c r="J362" s="20"/>
      <c r="K362" s="21"/>
      <c r="L362" s="20"/>
      <c r="P362" s="16"/>
      <c r="Q362" s="14"/>
      <c r="R362" s="14"/>
      <c r="S362" s="20"/>
      <c r="T362" s="20"/>
    </row>
    <row r="363" spans="2:20" s="13" customFormat="1">
      <c r="B363" s="15"/>
      <c r="F363" s="17"/>
      <c r="G363" s="18"/>
      <c r="H363" s="19"/>
      <c r="I363" s="7"/>
      <c r="J363" s="20"/>
      <c r="K363" s="21"/>
      <c r="L363" s="20"/>
      <c r="P363" s="16"/>
      <c r="Q363" s="14"/>
      <c r="R363" s="14"/>
      <c r="S363" s="20"/>
      <c r="T363" s="20"/>
    </row>
    <row r="364" spans="2:20" s="13" customFormat="1">
      <c r="B364" s="15"/>
      <c r="F364" s="17"/>
      <c r="G364" s="18"/>
      <c r="H364" s="19"/>
      <c r="I364" s="7"/>
      <c r="J364" s="20"/>
      <c r="K364" s="21"/>
      <c r="L364" s="20"/>
      <c r="P364" s="16"/>
      <c r="Q364" s="14"/>
      <c r="R364" s="14"/>
      <c r="S364" s="20"/>
      <c r="T364" s="20"/>
    </row>
    <row r="365" spans="2:20" s="13" customFormat="1">
      <c r="B365" s="15"/>
      <c r="F365" s="17"/>
      <c r="G365" s="18"/>
      <c r="H365" s="19"/>
      <c r="I365" s="7"/>
      <c r="J365" s="20"/>
      <c r="K365" s="21"/>
      <c r="L365" s="20"/>
      <c r="P365" s="16"/>
      <c r="Q365" s="14"/>
      <c r="R365" s="14"/>
      <c r="S365" s="20"/>
      <c r="T365" s="20"/>
    </row>
    <row r="366" spans="2:20" s="13" customFormat="1">
      <c r="B366" s="15"/>
      <c r="F366" s="17"/>
      <c r="G366" s="18"/>
      <c r="H366" s="19"/>
      <c r="I366" s="7"/>
      <c r="J366" s="20"/>
      <c r="K366" s="21"/>
      <c r="L366" s="20"/>
      <c r="P366" s="16"/>
      <c r="Q366" s="14"/>
      <c r="R366" s="14"/>
      <c r="S366" s="20"/>
      <c r="T366" s="20"/>
    </row>
    <row r="367" spans="2:20" s="13" customFormat="1">
      <c r="B367" s="15"/>
      <c r="F367" s="17"/>
      <c r="G367" s="18"/>
      <c r="H367" s="19"/>
      <c r="I367" s="7"/>
      <c r="J367" s="20"/>
      <c r="K367" s="21"/>
      <c r="L367" s="20"/>
      <c r="P367" s="16"/>
      <c r="Q367" s="14"/>
      <c r="R367" s="14"/>
      <c r="S367" s="20"/>
      <c r="T367" s="20"/>
    </row>
    <row r="368" spans="2:20" s="13" customFormat="1">
      <c r="B368" s="15"/>
      <c r="F368" s="17"/>
      <c r="G368" s="18"/>
      <c r="H368" s="19"/>
      <c r="I368" s="7"/>
      <c r="J368" s="20"/>
      <c r="K368" s="21"/>
      <c r="L368" s="20"/>
      <c r="P368" s="16"/>
      <c r="Q368" s="14"/>
      <c r="R368" s="14"/>
      <c r="S368" s="20"/>
      <c r="T368" s="20"/>
    </row>
    <row r="369" spans="2:20" s="13" customFormat="1">
      <c r="B369" s="15"/>
      <c r="F369" s="17"/>
      <c r="G369" s="18"/>
      <c r="H369" s="19"/>
      <c r="I369" s="7"/>
      <c r="J369" s="20"/>
      <c r="K369" s="21"/>
      <c r="L369" s="20"/>
      <c r="P369" s="16"/>
      <c r="Q369" s="14"/>
      <c r="R369" s="14"/>
      <c r="S369" s="20"/>
      <c r="T369" s="20"/>
    </row>
    <row r="370" spans="2:20" s="13" customFormat="1">
      <c r="B370" s="15"/>
      <c r="F370" s="17"/>
      <c r="G370" s="18"/>
      <c r="H370" s="19"/>
      <c r="I370" s="7"/>
      <c r="J370" s="20"/>
      <c r="K370" s="21"/>
      <c r="L370" s="20"/>
      <c r="P370" s="16"/>
      <c r="Q370" s="14"/>
      <c r="R370" s="14"/>
      <c r="S370" s="20"/>
      <c r="T370" s="20"/>
    </row>
    <row r="371" spans="2:20" s="13" customFormat="1">
      <c r="B371" s="15"/>
      <c r="F371" s="17"/>
      <c r="G371" s="18"/>
      <c r="H371" s="19"/>
      <c r="I371" s="7"/>
      <c r="J371" s="20"/>
      <c r="K371" s="21"/>
      <c r="L371" s="20"/>
      <c r="P371" s="16"/>
      <c r="Q371" s="14"/>
      <c r="R371" s="14"/>
      <c r="S371" s="20"/>
      <c r="T371" s="20"/>
    </row>
    <row r="372" spans="2:20" s="13" customFormat="1">
      <c r="B372" s="15"/>
      <c r="F372" s="17"/>
      <c r="G372" s="18"/>
      <c r="H372" s="19"/>
      <c r="I372" s="7"/>
      <c r="J372" s="20"/>
      <c r="K372" s="21"/>
      <c r="L372" s="20"/>
      <c r="P372" s="16"/>
      <c r="Q372" s="14"/>
      <c r="R372" s="14"/>
      <c r="S372" s="20"/>
      <c r="T372" s="20"/>
    </row>
    <row r="373" spans="2:20" s="13" customFormat="1">
      <c r="B373" s="15"/>
      <c r="F373" s="17"/>
      <c r="G373" s="18"/>
      <c r="H373" s="19"/>
      <c r="I373" s="7"/>
      <c r="J373" s="20"/>
      <c r="K373" s="21"/>
      <c r="L373" s="20"/>
      <c r="P373" s="16"/>
      <c r="Q373" s="14"/>
      <c r="R373" s="14"/>
      <c r="S373" s="20"/>
      <c r="T373" s="20"/>
    </row>
    <row r="374" spans="2:20" s="13" customFormat="1">
      <c r="B374" s="15"/>
      <c r="F374" s="17"/>
      <c r="G374" s="18"/>
      <c r="H374" s="19"/>
      <c r="I374" s="7"/>
      <c r="J374" s="20"/>
      <c r="K374" s="21"/>
      <c r="L374" s="20"/>
      <c r="P374" s="16"/>
      <c r="Q374" s="14"/>
      <c r="R374" s="14"/>
      <c r="S374" s="20"/>
      <c r="T374" s="20"/>
    </row>
    <row r="375" spans="2:20" s="13" customFormat="1">
      <c r="B375" s="15"/>
      <c r="F375" s="17"/>
      <c r="G375" s="18"/>
      <c r="H375" s="19"/>
      <c r="I375" s="7"/>
      <c r="J375" s="20"/>
      <c r="K375" s="21"/>
      <c r="L375" s="20"/>
      <c r="P375" s="16"/>
      <c r="Q375" s="14"/>
      <c r="R375" s="14"/>
      <c r="S375" s="20"/>
      <c r="T375" s="20"/>
    </row>
    <row r="376" spans="2:20" s="13" customFormat="1">
      <c r="B376" s="15"/>
      <c r="F376" s="17"/>
      <c r="G376" s="18"/>
      <c r="H376" s="19"/>
      <c r="I376" s="7"/>
      <c r="J376" s="20"/>
      <c r="K376" s="21"/>
      <c r="L376" s="20"/>
      <c r="P376" s="16"/>
      <c r="Q376" s="14"/>
      <c r="R376" s="14"/>
      <c r="S376" s="20"/>
      <c r="T376" s="20"/>
    </row>
    <row r="377" spans="2:20" s="13" customFormat="1">
      <c r="B377" s="15"/>
      <c r="F377" s="17"/>
      <c r="G377" s="18"/>
      <c r="H377" s="19"/>
      <c r="I377" s="7"/>
      <c r="J377" s="20"/>
      <c r="K377" s="21"/>
      <c r="L377" s="20"/>
      <c r="P377" s="16"/>
      <c r="Q377" s="14"/>
      <c r="R377" s="14"/>
      <c r="S377" s="20"/>
      <c r="T377" s="20"/>
    </row>
    <row r="378" spans="2:20" s="13" customFormat="1">
      <c r="B378" s="15"/>
      <c r="F378" s="17"/>
      <c r="G378" s="18"/>
      <c r="H378" s="19"/>
      <c r="I378" s="7"/>
      <c r="J378" s="20"/>
      <c r="K378" s="21"/>
      <c r="L378" s="20"/>
      <c r="P378" s="16"/>
      <c r="Q378" s="14"/>
      <c r="R378" s="14"/>
      <c r="S378" s="20"/>
      <c r="T378" s="20"/>
    </row>
    <row r="379" spans="2:20" s="13" customFormat="1">
      <c r="B379" s="15"/>
      <c r="F379" s="17"/>
      <c r="G379" s="18"/>
      <c r="H379" s="19"/>
      <c r="I379" s="7"/>
      <c r="J379" s="20"/>
      <c r="K379" s="21"/>
      <c r="L379" s="20"/>
      <c r="P379" s="16"/>
      <c r="Q379" s="14"/>
      <c r="R379" s="14"/>
      <c r="S379" s="20"/>
      <c r="T379" s="20"/>
    </row>
    <row r="380" spans="2:20" s="13" customFormat="1">
      <c r="B380" s="15"/>
      <c r="F380" s="17"/>
      <c r="G380" s="18"/>
      <c r="H380" s="19"/>
      <c r="I380" s="7"/>
      <c r="J380" s="20"/>
      <c r="K380" s="21"/>
      <c r="L380" s="20"/>
      <c r="P380" s="16"/>
      <c r="Q380" s="14"/>
      <c r="R380" s="14"/>
      <c r="S380" s="20"/>
      <c r="T380" s="20"/>
    </row>
    <row r="381" spans="2:20" s="13" customFormat="1">
      <c r="B381" s="15"/>
      <c r="F381" s="17"/>
      <c r="G381" s="18"/>
      <c r="H381" s="19"/>
      <c r="I381" s="7"/>
      <c r="J381" s="20"/>
      <c r="K381" s="21"/>
      <c r="L381" s="20"/>
      <c r="P381" s="16"/>
      <c r="Q381" s="14"/>
      <c r="R381" s="14"/>
      <c r="S381" s="20"/>
      <c r="T381" s="20"/>
    </row>
    <row r="382" spans="2:20" s="13" customFormat="1">
      <c r="B382" s="15"/>
      <c r="F382" s="17"/>
      <c r="G382" s="18"/>
      <c r="H382" s="19"/>
      <c r="I382" s="7"/>
      <c r="J382" s="20"/>
      <c r="K382" s="21"/>
      <c r="L382" s="20"/>
      <c r="P382" s="16"/>
      <c r="Q382" s="14"/>
      <c r="R382" s="14"/>
      <c r="S382" s="20"/>
      <c r="T382" s="20"/>
    </row>
    <row r="383" spans="2:20" s="13" customFormat="1">
      <c r="B383" s="15"/>
      <c r="F383" s="17"/>
      <c r="G383" s="18"/>
      <c r="H383" s="19"/>
      <c r="I383" s="7"/>
      <c r="J383" s="20"/>
      <c r="K383" s="21"/>
      <c r="L383" s="20"/>
      <c r="P383" s="16"/>
      <c r="Q383" s="14"/>
      <c r="R383" s="14"/>
      <c r="S383" s="20"/>
      <c r="T383" s="20"/>
    </row>
    <row r="384" spans="2:20" s="13" customFormat="1">
      <c r="B384" s="15"/>
      <c r="F384" s="17"/>
      <c r="G384" s="18"/>
      <c r="H384" s="19"/>
      <c r="I384" s="7"/>
      <c r="J384" s="20"/>
      <c r="K384" s="21"/>
      <c r="L384" s="20"/>
      <c r="P384" s="16"/>
      <c r="Q384" s="14"/>
      <c r="R384" s="14"/>
      <c r="S384" s="20"/>
      <c r="T384" s="20"/>
    </row>
    <row r="385" spans="2:20" s="13" customFormat="1">
      <c r="B385" s="15"/>
      <c r="F385" s="17"/>
      <c r="G385" s="18"/>
      <c r="H385" s="19"/>
      <c r="I385" s="7"/>
      <c r="J385" s="20"/>
      <c r="K385" s="21"/>
      <c r="L385" s="20"/>
      <c r="P385" s="16"/>
      <c r="Q385" s="14"/>
      <c r="R385" s="14"/>
      <c r="S385" s="20"/>
      <c r="T385" s="20"/>
    </row>
    <row r="386" spans="2:20" s="13" customFormat="1">
      <c r="B386" s="15"/>
      <c r="F386" s="17"/>
      <c r="G386" s="18"/>
      <c r="H386" s="19"/>
      <c r="I386" s="7"/>
      <c r="J386" s="20"/>
      <c r="K386" s="21"/>
      <c r="L386" s="20"/>
      <c r="P386" s="16"/>
      <c r="Q386" s="14"/>
      <c r="R386" s="14"/>
      <c r="S386" s="20"/>
      <c r="T386" s="20"/>
    </row>
    <row r="387" spans="2:20" s="13" customFormat="1">
      <c r="B387" s="15"/>
      <c r="F387" s="17"/>
      <c r="G387" s="18"/>
      <c r="H387" s="19"/>
      <c r="I387" s="7"/>
      <c r="J387" s="20"/>
      <c r="K387" s="21"/>
      <c r="L387" s="20"/>
      <c r="P387" s="16"/>
      <c r="Q387" s="14"/>
      <c r="R387" s="14"/>
      <c r="S387" s="20"/>
      <c r="T387" s="20"/>
    </row>
    <row r="388" spans="2:20" s="13" customFormat="1">
      <c r="B388" s="15"/>
      <c r="F388" s="17"/>
      <c r="G388" s="18"/>
      <c r="H388" s="19"/>
      <c r="I388" s="7"/>
      <c r="J388" s="20"/>
      <c r="K388" s="21"/>
      <c r="L388" s="20"/>
      <c r="P388" s="16"/>
      <c r="Q388" s="14"/>
      <c r="R388" s="14"/>
      <c r="S388" s="20"/>
      <c r="T388" s="20"/>
    </row>
    <row r="389" spans="2:20" s="13" customFormat="1">
      <c r="B389" s="15"/>
      <c r="F389" s="17"/>
      <c r="G389" s="18"/>
      <c r="H389" s="19"/>
      <c r="I389" s="7"/>
      <c r="J389" s="20"/>
      <c r="K389" s="21"/>
      <c r="L389" s="20"/>
      <c r="P389" s="16"/>
      <c r="Q389" s="14"/>
      <c r="R389" s="14"/>
      <c r="S389" s="20"/>
      <c r="T389" s="20"/>
    </row>
    <row r="390" spans="2:20" s="13" customFormat="1">
      <c r="B390" s="15"/>
      <c r="F390" s="17"/>
      <c r="G390" s="18"/>
      <c r="H390" s="19"/>
      <c r="I390" s="7"/>
      <c r="J390" s="20"/>
      <c r="K390" s="21"/>
      <c r="L390" s="20"/>
      <c r="P390" s="16"/>
      <c r="Q390" s="14"/>
      <c r="R390" s="14"/>
      <c r="S390" s="20"/>
      <c r="T390" s="20"/>
    </row>
    <row r="391" spans="2:20" s="13" customFormat="1">
      <c r="B391" s="15"/>
      <c r="F391" s="17"/>
      <c r="G391" s="18"/>
      <c r="H391" s="19"/>
      <c r="I391" s="7"/>
      <c r="J391" s="20"/>
      <c r="K391" s="21"/>
      <c r="L391" s="20"/>
      <c r="P391" s="16"/>
      <c r="Q391" s="14"/>
      <c r="R391" s="14"/>
      <c r="S391" s="20"/>
      <c r="T391" s="20"/>
    </row>
    <row r="392" spans="2:20" s="13" customFormat="1">
      <c r="B392" s="15"/>
      <c r="F392" s="17"/>
      <c r="G392" s="18"/>
      <c r="H392" s="19"/>
      <c r="I392" s="7"/>
      <c r="J392" s="20"/>
      <c r="K392" s="21"/>
      <c r="L392" s="20"/>
      <c r="P392" s="16"/>
      <c r="Q392" s="14"/>
      <c r="R392" s="14"/>
      <c r="S392" s="20"/>
      <c r="T392" s="20"/>
    </row>
    <row r="393" spans="2:20" s="13" customFormat="1">
      <c r="B393" s="15"/>
      <c r="F393" s="17"/>
      <c r="G393" s="18"/>
      <c r="H393" s="19"/>
      <c r="I393" s="7"/>
      <c r="J393" s="20"/>
      <c r="K393" s="21"/>
      <c r="L393" s="20"/>
      <c r="P393" s="16"/>
      <c r="Q393" s="14"/>
      <c r="R393" s="14"/>
      <c r="S393" s="20"/>
      <c r="T393" s="20"/>
    </row>
    <row r="394" spans="2:20" s="13" customFormat="1">
      <c r="B394" s="15"/>
      <c r="F394" s="17"/>
      <c r="G394" s="18"/>
      <c r="H394" s="19"/>
      <c r="I394" s="7"/>
      <c r="J394" s="20"/>
      <c r="K394" s="21"/>
      <c r="L394" s="20"/>
      <c r="P394" s="16"/>
      <c r="Q394" s="14"/>
      <c r="R394" s="14"/>
      <c r="S394" s="20"/>
      <c r="T394" s="20"/>
    </row>
    <row r="395" spans="2:20" s="13" customFormat="1">
      <c r="B395" s="15"/>
      <c r="F395" s="17"/>
      <c r="G395" s="18"/>
      <c r="H395" s="19"/>
      <c r="I395" s="7"/>
      <c r="J395" s="20"/>
      <c r="K395" s="21"/>
      <c r="L395" s="20"/>
      <c r="P395" s="16"/>
      <c r="Q395" s="14"/>
      <c r="R395" s="14"/>
      <c r="S395" s="20"/>
      <c r="T395" s="20"/>
    </row>
    <row r="396" spans="2:20" s="13" customFormat="1">
      <c r="B396" s="15"/>
      <c r="F396" s="17"/>
      <c r="G396" s="18"/>
      <c r="H396" s="19"/>
      <c r="I396" s="7"/>
      <c r="J396" s="20"/>
      <c r="K396" s="21"/>
      <c r="L396" s="20"/>
      <c r="P396" s="16"/>
      <c r="Q396" s="14"/>
      <c r="R396" s="14"/>
      <c r="S396" s="20"/>
      <c r="T396" s="20"/>
    </row>
    <row r="397" spans="2:20" s="13" customFormat="1">
      <c r="B397" s="15"/>
      <c r="F397" s="17"/>
      <c r="G397" s="18"/>
      <c r="H397" s="19"/>
      <c r="I397" s="7"/>
      <c r="J397" s="20"/>
      <c r="K397" s="21"/>
      <c r="L397" s="20"/>
      <c r="P397" s="16"/>
      <c r="Q397" s="14"/>
      <c r="R397" s="14"/>
      <c r="S397" s="20"/>
      <c r="T397" s="20"/>
    </row>
    <row r="398" spans="2:20" s="13" customFormat="1">
      <c r="B398" s="15"/>
      <c r="F398" s="17"/>
      <c r="G398" s="18"/>
      <c r="H398" s="19"/>
      <c r="I398" s="7"/>
      <c r="J398" s="20"/>
      <c r="K398" s="21"/>
      <c r="L398" s="20"/>
      <c r="P398" s="16"/>
      <c r="Q398" s="14"/>
      <c r="R398" s="14"/>
      <c r="S398" s="20"/>
      <c r="T398" s="20"/>
    </row>
    <row r="399" spans="2:20" s="13" customFormat="1">
      <c r="B399" s="15"/>
      <c r="F399" s="17"/>
      <c r="G399" s="18"/>
      <c r="H399" s="19"/>
      <c r="I399" s="7"/>
      <c r="J399" s="20"/>
      <c r="K399" s="21"/>
      <c r="L399" s="20"/>
      <c r="P399" s="16"/>
      <c r="Q399" s="14"/>
      <c r="R399" s="14"/>
      <c r="S399" s="20"/>
      <c r="T399" s="20"/>
    </row>
    <row r="400" spans="2:20" s="13" customFormat="1">
      <c r="B400" s="15"/>
      <c r="F400" s="17"/>
      <c r="G400" s="18"/>
      <c r="H400" s="19"/>
      <c r="I400" s="7"/>
      <c r="J400" s="20"/>
      <c r="K400" s="21"/>
      <c r="L400" s="20"/>
      <c r="P400" s="16"/>
      <c r="Q400" s="14"/>
      <c r="R400" s="14"/>
      <c r="S400" s="20"/>
      <c r="T400" s="20"/>
    </row>
    <row r="401" spans="2:20" s="13" customFormat="1">
      <c r="B401" s="15"/>
      <c r="F401" s="17"/>
      <c r="G401" s="18"/>
      <c r="H401" s="19"/>
      <c r="I401" s="7"/>
      <c r="J401" s="20"/>
      <c r="K401" s="21"/>
      <c r="L401" s="20"/>
      <c r="P401" s="16"/>
      <c r="Q401" s="14"/>
      <c r="R401" s="14"/>
      <c r="S401" s="20"/>
      <c r="T401" s="20"/>
    </row>
    <row r="402" spans="2:20" s="13" customFormat="1">
      <c r="B402" s="15"/>
      <c r="F402" s="17"/>
      <c r="G402" s="18"/>
      <c r="H402" s="19"/>
      <c r="I402" s="7"/>
      <c r="J402" s="20"/>
      <c r="K402" s="21"/>
      <c r="L402" s="20"/>
      <c r="P402" s="16"/>
      <c r="Q402" s="14"/>
      <c r="R402" s="14"/>
      <c r="S402" s="20"/>
      <c r="T402" s="20"/>
    </row>
    <row r="403" spans="2:20" s="13" customFormat="1">
      <c r="B403" s="15"/>
      <c r="F403" s="17"/>
      <c r="G403" s="18"/>
      <c r="H403" s="19"/>
      <c r="I403" s="7"/>
      <c r="J403" s="20"/>
      <c r="K403" s="21"/>
      <c r="L403" s="20"/>
      <c r="P403" s="16"/>
      <c r="Q403" s="14"/>
      <c r="R403" s="14"/>
      <c r="S403" s="20"/>
      <c r="T403" s="20"/>
    </row>
    <row r="404" spans="2:20" s="13" customFormat="1">
      <c r="B404" s="15"/>
      <c r="F404" s="17"/>
      <c r="G404" s="18"/>
      <c r="H404" s="19"/>
      <c r="I404" s="7"/>
      <c r="J404" s="20"/>
      <c r="K404" s="21"/>
      <c r="L404" s="20"/>
      <c r="P404" s="16"/>
      <c r="Q404" s="14"/>
      <c r="R404" s="14"/>
      <c r="S404" s="20"/>
      <c r="T404" s="20"/>
    </row>
    <row r="405" spans="2:20" s="13" customFormat="1">
      <c r="B405" s="15"/>
      <c r="F405" s="17"/>
      <c r="G405" s="18"/>
      <c r="H405" s="19"/>
      <c r="I405" s="7"/>
      <c r="J405" s="20"/>
      <c r="K405" s="21"/>
      <c r="L405" s="20"/>
      <c r="P405" s="16"/>
      <c r="Q405" s="14"/>
      <c r="R405" s="14"/>
      <c r="S405" s="20"/>
      <c r="T405" s="20"/>
    </row>
    <row r="406" spans="2:20" s="13" customFormat="1">
      <c r="B406" s="15"/>
      <c r="F406" s="17"/>
      <c r="G406" s="18"/>
      <c r="H406" s="19"/>
      <c r="I406" s="7"/>
      <c r="J406" s="20"/>
      <c r="K406" s="21"/>
      <c r="L406" s="20"/>
      <c r="P406" s="16"/>
      <c r="Q406" s="14"/>
      <c r="R406" s="14"/>
      <c r="S406" s="20"/>
      <c r="T406" s="20"/>
    </row>
    <row r="407" spans="2:20" s="13" customFormat="1">
      <c r="B407" s="15"/>
      <c r="F407" s="17"/>
      <c r="G407" s="18"/>
      <c r="H407" s="19"/>
      <c r="I407" s="7"/>
      <c r="J407" s="20"/>
      <c r="K407" s="21"/>
      <c r="L407" s="20"/>
      <c r="P407" s="16"/>
      <c r="Q407" s="14"/>
      <c r="R407" s="14"/>
      <c r="S407" s="20"/>
      <c r="T407" s="20"/>
    </row>
    <row r="408" spans="2:20" s="13" customFormat="1">
      <c r="B408" s="15"/>
      <c r="F408" s="17"/>
      <c r="G408" s="18"/>
      <c r="H408" s="19"/>
      <c r="I408" s="7"/>
      <c r="J408" s="20"/>
      <c r="K408" s="21"/>
      <c r="L408" s="20"/>
      <c r="P408" s="16"/>
      <c r="Q408" s="14"/>
      <c r="R408" s="14"/>
      <c r="S408" s="20"/>
      <c r="T408" s="20"/>
    </row>
    <row r="409" spans="2:20" s="13" customFormat="1">
      <c r="B409" s="15"/>
      <c r="F409" s="17"/>
      <c r="G409" s="18"/>
      <c r="H409" s="19"/>
      <c r="I409" s="7"/>
      <c r="J409" s="20"/>
      <c r="K409" s="21"/>
      <c r="L409" s="20"/>
      <c r="P409" s="16"/>
      <c r="Q409" s="14"/>
      <c r="R409" s="14"/>
      <c r="S409" s="20"/>
      <c r="T409" s="20"/>
    </row>
    <row r="410" spans="2:20" s="13" customFormat="1">
      <c r="B410" s="15"/>
      <c r="F410" s="17"/>
      <c r="G410" s="18"/>
      <c r="H410" s="19"/>
      <c r="I410" s="7"/>
      <c r="J410" s="20"/>
      <c r="K410" s="21"/>
      <c r="L410" s="20"/>
      <c r="P410" s="16"/>
      <c r="Q410" s="14"/>
      <c r="R410" s="14"/>
      <c r="S410" s="20"/>
      <c r="T410" s="20"/>
    </row>
    <row r="411" spans="2:20" s="13" customFormat="1">
      <c r="B411" s="15"/>
      <c r="F411" s="17"/>
      <c r="G411" s="18"/>
      <c r="H411" s="19"/>
      <c r="I411" s="7"/>
      <c r="J411" s="20"/>
      <c r="K411" s="21"/>
      <c r="L411" s="20"/>
      <c r="P411" s="16"/>
      <c r="Q411" s="14"/>
      <c r="R411" s="14"/>
      <c r="S411" s="20"/>
      <c r="T411" s="20"/>
    </row>
    <row r="412" spans="2:20" s="13" customFormat="1">
      <c r="B412" s="15"/>
      <c r="F412" s="17"/>
      <c r="G412" s="18"/>
      <c r="H412" s="19"/>
      <c r="I412" s="7"/>
      <c r="J412" s="20"/>
      <c r="K412" s="21"/>
      <c r="L412" s="20"/>
      <c r="P412" s="16"/>
      <c r="Q412" s="14"/>
      <c r="R412" s="14"/>
      <c r="S412" s="20"/>
      <c r="T412" s="20"/>
    </row>
    <row r="413" spans="2:20" s="13" customFormat="1">
      <c r="B413" s="15"/>
      <c r="F413" s="17"/>
      <c r="G413" s="18"/>
      <c r="H413" s="19"/>
      <c r="I413" s="7"/>
      <c r="J413" s="20"/>
      <c r="K413" s="21"/>
      <c r="L413" s="20"/>
      <c r="P413" s="16"/>
      <c r="Q413" s="14"/>
      <c r="R413" s="14"/>
      <c r="S413" s="20"/>
      <c r="T413" s="20"/>
    </row>
    <row r="414" spans="2:20" s="13" customFormat="1">
      <c r="B414" s="15"/>
      <c r="F414" s="17"/>
      <c r="G414" s="18"/>
      <c r="H414" s="19"/>
      <c r="I414" s="7"/>
      <c r="J414" s="20"/>
      <c r="K414" s="21"/>
      <c r="L414" s="20"/>
      <c r="P414" s="16"/>
      <c r="Q414" s="14"/>
      <c r="R414" s="14"/>
      <c r="S414" s="20"/>
      <c r="T414" s="20"/>
    </row>
    <row r="415" spans="2:20" s="13" customFormat="1">
      <c r="B415" s="15"/>
      <c r="F415" s="17"/>
      <c r="G415" s="18"/>
      <c r="H415" s="19"/>
      <c r="I415" s="7"/>
      <c r="J415" s="20"/>
      <c r="K415" s="21"/>
      <c r="L415" s="20"/>
      <c r="P415" s="16"/>
      <c r="Q415" s="14"/>
      <c r="R415" s="14"/>
      <c r="S415" s="20"/>
      <c r="T415" s="20"/>
    </row>
    <row r="416" spans="2:20" s="13" customFormat="1">
      <c r="B416" s="15"/>
      <c r="F416" s="17"/>
      <c r="G416" s="18"/>
      <c r="H416" s="19"/>
      <c r="I416" s="7"/>
      <c r="J416" s="20"/>
      <c r="K416" s="21"/>
      <c r="L416" s="20"/>
      <c r="P416" s="16"/>
      <c r="Q416" s="14"/>
      <c r="R416" s="14"/>
      <c r="S416" s="20"/>
      <c r="T416" s="20"/>
    </row>
    <row r="417" spans="2:20" s="13" customFormat="1">
      <c r="B417" s="15"/>
      <c r="F417" s="17"/>
      <c r="G417" s="18"/>
      <c r="H417" s="19"/>
      <c r="I417" s="7"/>
      <c r="J417" s="20"/>
      <c r="K417" s="21"/>
      <c r="L417" s="20"/>
      <c r="P417" s="16"/>
      <c r="Q417" s="14"/>
      <c r="R417" s="14"/>
      <c r="S417" s="20"/>
      <c r="T417" s="20"/>
    </row>
    <row r="418" spans="2:20" s="13" customFormat="1">
      <c r="B418" s="15"/>
      <c r="F418" s="17"/>
      <c r="G418" s="18"/>
      <c r="H418" s="19"/>
      <c r="I418" s="7"/>
      <c r="J418" s="20"/>
      <c r="K418" s="21"/>
      <c r="L418" s="20"/>
      <c r="P418" s="16"/>
      <c r="Q418" s="14"/>
      <c r="R418" s="14"/>
      <c r="S418" s="20"/>
      <c r="T418" s="20"/>
    </row>
    <row r="419" spans="2:20" s="13" customFormat="1">
      <c r="B419" s="15"/>
      <c r="F419" s="17"/>
      <c r="G419" s="18"/>
      <c r="H419" s="19"/>
      <c r="I419" s="7"/>
      <c r="J419" s="20"/>
      <c r="K419" s="21"/>
      <c r="L419" s="20"/>
      <c r="P419" s="16"/>
      <c r="Q419" s="14"/>
      <c r="R419" s="14"/>
      <c r="S419" s="20"/>
      <c r="T419" s="20"/>
    </row>
    <row r="420" spans="2:20" s="13" customFormat="1">
      <c r="B420" s="15"/>
      <c r="F420" s="17"/>
      <c r="G420" s="18"/>
      <c r="H420" s="19"/>
      <c r="I420" s="7"/>
      <c r="J420" s="20"/>
      <c r="K420" s="21"/>
      <c r="L420" s="20"/>
      <c r="P420" s="16"/>
      <c r="Q420" s="14"/>
      <c r="R420" s="14"/>
      <c r="S420" s="20"/>
      <c r="T420" s="20"/>
    </row>
    <row r="421" spans="2:20" s="13" customFormat="1">
      <c r="B421" s="15"/>
      <c r="F421" s="17"/>
      <c r="G421" s="18"/>
      <c r="H421" s="19"/>
      <c r="I421" s="7"/>
      <c r="J421" s="20"/>
      <c r="K421" s="21"/>
      <c r="L421" s="20"/>
      <c r="P421" s="16"/>
      <c r="Q421" s="14"/>
      <c r="R421" s="14"/>
      <c r="S421" s="20"/>
      <c r="T421" s="20"/>
    </row>
    <row r="422" spans="2:20" s="13" customFormat="1">
      <c r="B422" s="15"/>
      <c r="F422" s="17"/>
      <c r="G422" s="18"/>
      <c r="H422" s="19"/>
      <c r="I422" s="7"/>
      <c r="J422" s="20"/>
      <c r="K422" s="21"/>
      <c r="L422" s="20"/>
      <c r="P422" s="16"/>
      <c r="Q422" s="14"/>
      <c r="R422" s="14"/>
      <c r="S422" s="20"/>
      <c r="T422" s="20"/>
    </row>
    <row r="423" spans="2:20" s="13" customFormat="1">
      <c r="B423" s="15"/>
      <c r="F423" s="17"/>
      <c r="G423" s="18"/>
      <c r="H423" s="19"/>
      <c r="I423" s="7"/>
      <c r="J423" s="20"/>
      <c r="K423" s="21"/>
      <c r="L423" s="20"/>
      <c r="P423" s="16"/>
      <c r="Q423" s="14"/>
      <c r="R423" s="14"/>
      <c r="S423" s="20"/>
      <c r="T423" s="20"/>
    </row>
    <row r="424" spans="2:20" s="13" customFormat="1">
      <c r="B424" s="15"/>
      <c r="F424" s="17"/>
      <c r="G424" s="18"/>
      <c r="H424" s="19"/>
      <c r="I424" s="7"/>
      <c r="J424" s="20"/>
      <c r="K424" s="21"/>
      <c r="L424" s="20"/>
      <c r="P424" s="16"/>
      <c r="Q424" s="14"/>
      <c r="R424" s="14"/>
      <c r="S424" s="20"/>
      <c r="T424" s="20"/>
    </row>
    <row r="425" spans="2:20" s="13" customFormat="1">
      <c r="B425" s="15"/>
      <c r="F425" s="17"/>
      <c r="G425" s="18"/>
      <c r="H425" s="19"/>
      <c r="I425" s="7"/>
      <c r="J425" s="20"/>
      <c r="K425" s="21"/>
      <c r="L425" s="20"/>
      <c r="P425" s="16"/>
      <c r="Q425" s="14"/>
      <c r="R425" s="14"/>
      <c r="S425" s="20"/>
      <c r="T425" s="20"/>
    </row>
    <row r="426" spans="2:20" s="13" customFormat="1">
      <c r="B426" s="15"/>
      <c r="F426" s="17"/>
      <c r="G426" s="18"/>
      <c r="H426" s="19"/>
      <c r="I426" s="7"/>
      <c r="J426" s="20"/>
      <c r="K426" s="21"/>
      <c r="L426" s="20"/>
      <c r="P426" s="16"/>
      <c r="Q426" s="14"/>
      <c r="R426" s="14"/>
      <c r="S426" s="20"/>
      <c r="T426" s="20"/>
    </row>
    <row r="427" spans="2:20" s="13" customFormat="1">
      <c r="B427" s="15"/>
      <c r="F427" s="17"/>
      <c r="G427" s="18"/>
      <c r="H427" s="19"/>
      <c r="I427" s="7"/>
      <c r="J427" s="20"/>
      <c r="K427" s="21"/>
      <c r="L427" s="20"/>
      <c r="P427" s="16"/>
      <c r="Q427" s="14"/>
      <c r="R427" s="14"/>
      <c r="S427" s="20"/>
      <c r="T427" s="20"/>
    </row>
    <row r="428" spans="2:20" s="13" customFormat="1">
      <c r="B428" s="15"/>
      <c r="F428" s="17"/>
      <c r="G428" s="18"/>
      <c r="H428" s="19"/>
      <c r="I428" s="7"/>
      <c r="J428" s="20"/>
      <c r="K428" s="21"/>
      <c r="L428" s="20"/>
      <c r="P428" s="16"/>
      <c r="Q428" s="14"/>
      <c r="R428" s="14"/>
      <c r="S428" s="20"/>
      <c r="T428" s="20"/>
    </row>
    <row r="429" spans="2:20" s="13" customFormat="1">
      <c r="B429" s="15"/>
      <c r="F429" s="17"/>
      <c r="G429" s="18"/>
      <c r="H429" s="19"/>
      <c r="I429" s="7"/>
      <c r="J429" s="20"/>
      <c r="K429" s="21"/>
      <c r="L429" s="20"/>
      <c r="P429" s="16"/>
      <c r="Q429" s="14"/>
      <c r="R429" s="14"/>
      <c r="S429" s="20"/>
      <c r="T429" s="20"/>
    </row>
    <row r="430" spans="2:20" s="13" customFormat="1">
      <c r="B430" s="15"/>
      <c r="F430" s="17"/>
      <c r="G430" s="18"/>
      <c r="H430" s="19"/>
      <c r="I430" s="7"/>
      <c r="J430" s="20"/>
      <c r="K430" s="21"/>
      <c r="L430" s="20"/>
      <c r="P430" s="16"/>
      <c r="Q430" s="14"/>
      <c r="R430" s="14"/>
      <c r="S430" s="20"/>
      <c r="T430" s="20"/>
    </row>
    <row r="431" spans="2:20" s="13" customFormat="1">
      <c r="B431" s="15"/>
      <c r="F431" s="17"/>
      <c r="G431" s="18"/>
      <c r="H431" s="19"/>
      <c r="I431" s="7"/>
      <c r="J431" s="20"/>
      <c r="K431" s="21"/>
      <c r="L431" s="20"/>
      <c r="P431" s="16"/>
      <c r="Q431" s="14"/>
      <c r="R431" s="14"/>
      <c r="S431" s="20"/>
      <c r="T431" s="20"/>
    </row>
    <row r="432" spans="2:20" s="13" customFormat="1">
      <c r="B432" s="15"/>
      <c r="F432" s="17"/>
      <c r="G432" s="18"/>
      <c r="H432" s="19"/>
      <c r="I432" s="7"/>
      <c r="J432" s="20"/>
      <c r="K432" s="21"/>
      <c r="L432" s="20"/>
      <c r="P432" s="16"/>
      <c r="Q432" s="14"/>
      <c r="R432" s="14"/>
      <c r="S432" s="20"/>
      <c r="T432" s="20"/>
    </row>
    <row r="433" spans="2:20" s="13" customFormat="1">
      <c r="B433" s="15"/>
      <c r="F433" s="17"/>
      <c r="G433" s="18"/>
      <c r="H433" s="19"/>
      <c r="I433" s="7"/>
      <c r="J433" s="20"/>
      <c r="K433" s="21"/>
      <c r="L433" s="20"/>
      <c r="P433" s="16"/>
      <c r="Q433" s="14"/>
      <c r="R433" s="14"/>
      <c r="S433" s="20"/>
      <c r="T433" s="20"/>
    </row>
    <row r="434" spans="2:20" s="13" customFormat="1">
      <c r="B434" s="15"/>
      <c r="F434" s="17"/>
      <c r="G434" s="18"/>
      <c r="H434" s="19"/>
      <c r="I434" s="7"/>
      <c r="J434" s="20"/>
      <c r="K434" s="21"/>
      <c r="L434" s="20"/>
      <c r="P434" s="16"/>
      <c r="Q434" s="14"/>
      <c r="R434" s="14"/>
      <c r="S434" s="20"/>
      <c r="T434" s="20"/>
    </row>
    <row r="435" spans="2:20" s="13" customFormat="1">
      <c r="B435" s="15"/>
      <c r="F435" s="17"/>
      <c r="G435" s="18"/>
      <c r="H435" s="19"/>
      <c r="I435" s="7"/>
      <c r="J435" s="20"/>
      <c r="K435" s="21"/>
      <c r="L435" s="20"/>
      <c r="P435" s="16"/>
      <c r="Q435" s="14"/>
      <c r="R435" s="14"/>
      <c r="S435" s="20"/>
      <c r="T435" s="20"/>
    </row>
    <row r="436" spans="2:20" s="13" customFormat="1">
      <c r="B436" s="15"/>
      <c r="F436" s="17"/>
      <c r="G436" s="18"/>
      <c r="H436" s="19"/>
      <c r="I436" s="7"/>
      <c r="J436" s="20"/>
      <c r="K436" s="21"/>
      <c r="L436" s="20"/>
      <c r="P436" s="16"/>
      <c r="Q436" s="14"/>
      <c r="R436" s="14"/>
      <c r="S436" s="20"/>
      <c r="T436" s="20"/>
    </row>
    <row r="437" spans="2:20" s="13" customFormat="1">
      <c r="B437" s="15"/>
      <c r="F437" s="17"/>
      <c r="G437" s="18"/>
      <c r="H437" s="19"/>
      <c r="I437" s="7"/>
      <c r="J437" s="20"/>
      <c r="K437" s="21"/>
      <c r="L437" s="20"/>
      <c r="P437" s="16"/>
      <c r="Q437" s="14"/>
      <c r="R437" s="14"/>
      <c r="S437" s="20"/>
      <c r="T437" s="20"/>
    </row>
    <row r="438" spans="2:20" s="13" customFormat="1">
      <c r="B438" s="15"/>
      <c r="F438" s="17"/>
      <c r="G438" s="18"/>
      <c r="H438" s="19"/>
      <c r="I438" s="7"/>
      <c r="J438" s="20"/>
      <c r="K438" s="21"/>
      <c r="L438" s="20"/>
      <c r="P438" s="16"/>
      <c r="Q438" s="14"/>
      <c r="R438" s="14"/>
      <c r="S438" s="20"/>
      <c r="T438" s="20"/>
    </row>
    <row r="439" spans="2:20" s="13" customFormat="1">
      <c r="B439" s="15"/>
      <c r="F439" s="17"/>
      <c r="G439" s="18"/>
      <c r="H439" s="19"/>
      <c r="I439" s="7"/>
      <c r="J439" s="20"/>
      <c r="K439" s="21"/>
      <c r="L439" s="20"/>
      <c r="P439" s="16"/>
      <c r="Q439" s="14"/>
      <c r="R439" s="14"/>
      <c r="S439" s="20"/>
      <c r="T439" s="20"/>
    </row>
    <row r="440" spans="2:20" s="13" customFormat="1">
      <c r="B440" s="15"/>
      <c r="F440" s="17"/>
      <c r="G440" s="18"/>
      <c r="H440" s="19"/>
      <c r="I440" s="7"/>
      <c r="J440" s="20"/>
      <c r="K440" s="21"/>
      <c r="L440" s="20"/>
      <c r="P440" s="16"/>
      <c r="Q440" s="14"/>
      <c r="R440" s="14"/>
      <c r="S440" s="20"/>
      <c r="T440" s="20"/>
    </row>
    <row r="441" spans="2:20" s="13" customFormat="1">
      <c r="B441" s="15"/>
      <c r="F441" s="17"/>
      <c r="G441" s="18"/>
      <c r="H441" s="19"/>
      <c r="I441" s="7"/>
      <c r="J441" s="20"/>
      <c r="K441" s="21"/>
      <c r="L441" s="20"/>
      <c r="P441" s="16"/>
      <c r="Q441" s="14"/>
      <c r="R441" s="14"/>
      <c r="S441" s="20"/>
      <c r="T441" s="20"/>
    </row>
    <row r="442" spans="2:20" s="13" customFormat="1">
      <c r="B442" s="15"/>
      <c r="F442" s="17"/>
      <c r="G442" s="18"/>
      <c r="H442" s="19"/>
      <c r="I442" s="7"/>
      <c r="J442" s="20"/>
      <c r="K442" s="21"/>
      <c r="L442" s="20"/>
      <c r="P442" s="16"/>
      <c r="Q442" s="14"/>
      <c r="R442" s="14"/>
      <c r="S442" s="20"/>
      <c r="T442" s="20"/>
    </row>
    <row r="443" spans="2:20" s="13" customFormat="1">
      <c r="B443" s="15"/>
      <c r="F443" s="17"/>
      <c r="G443" s="18"/>
      <c r="H443" s="19"/>
      <c r="I443" s="7"/>
      <c r="J443" s="20"/>
      <c r="K443" s="21"/>
      <c r="L443" s="20"/>
      <c r="P443" s="16"/>
      <c r="Q443" s="14"/>
      <c r="R443" s="14"/>
      <c r="S443" s="20"/>
      <c r="T443" s="20"/>
    </row>
    <row r="444" spans="2:20" s="13" customFormat="1">
      <c r="B444" s="15"/>
      <c r="F444" s="17"/>
      <c r="G444" s="18"/>
      <c r="H444" s="19"/>
      <c r="I444" s="7"/>
      <c r="J444" s="20"/>
      <c r="K444" s="21"/>
      <c r="L444" s="20"/>
      <c r="P444" s="16"/>
      <c r="Q444" s="14"/>
      <c r="R444" s="14"/>
      <c r="S444" s="20"/>
      <c r="T444" s="20"/>
    </row>
    <row r="445" spans="2:20" s="13" customFormat="1">
      <c r="B445" s="15"/>
      <c r="F445" s="17"/>
      <c r="G445" s="18"/>
      <c r="H445" s="19"/>
      <c r="I445" s="7"/>
      <c r="J445" s="20"/>
      <c r="K445" s="21"/>
      <c r="L445" s="20"/>
      <c r="P445" s="16"/>
      <c r="Q445" s="14"/>
      <c r="R445" s="14"/>
      <c r="S445" s="20"/>
      <c r="T445" s="20"/>
    </row>
    <row r="446" spans="2:20" s="13" customFormat="1">
      <c r="B446" s="15"/>
      <c r="F446" s="17"/>
      <c r="G446" s="18"/>
      <c r="H446" s="19"/>
      <c r="I446" s="7"/>
      <c r="J446" s="20"/>
      <c r="K446" s="21"/>
      <c r="L446" s="20"/>
      <c r="P446" s="16"/>
      <c r="Q446" s="14"/>
      <c r="R446" s="14"/>
      <c r="S446" s="20"/>
      <c r="T446" s="20"/>
    </row>
    <row r="447" spans="2:20" s="13" customFormat="1">
      <c r="B447" s="15"/>
      <c r="F447" s="17"/>
      <c r="G447" s="18"/>
      <c r="H447" s="19"/>
      <c r="I447" s="7"/>
      <c r="J447" s="20"/>
      <c r="K447" s="21"/>
      <c r="L447" s="20"/>
      <c r="P447" s="16"/>
      <c r="Q447" s="14"/>
      <c r="R447" s="14"/>
      <c r="S447" s="20"/>
      <c r="T447" s="20"/>
    </row>
    <row r="448" spans="2:20" s="13" customFormat="1">
      <c r="B448" s="15"/>
      <c r="F448" s="17"/>
      <c r="G448" s="18"/>
      <c r="H448" s="19"/>
      <c r="I448" s="7"/>
      <c r="J448" s="20"/>
      <c r="K448" s="21"/>
      <c r="L448" s="20"/>
      <c r="P448" s="16"/>
      <c r="Q448" s="14"/>
      <c r="R448" s="14"/>
      <c r="S448" s="20"/>
      <c r="T448" s="20"/>
    </row>
    <row r="449" spans="2:20" s="13" customFormat="1">
      <c r="B449" s="15"/>
      <c r="F449" s="17"/>
      <c r="G449" s="18"/>
      <c r="H449" s="19"/>
      <c r="I449" s="7"/>
      <c r="J449" s="20"/>
      <c r="K449" s="21"/>
      <c r="L449" s="20"/>
      <c r="P449" s="16"/>
      <c r="Q449" s="14"/>
      <c r="R449" s="14"/>
      <c r="S449" s="20"/>
      <c r="T449" s="20"/>
    </row>
    <row r="450" spans="2:20" s="13" customFormat="1">
      <c r="B450" s="15"/>
      <c r="F450" s="17"/>
      <c r="G450" s="18"/>
      <c r="H450" s="19"/>
      <c r="I450" s="7"/>
      <c r="J450" s="20"/>
      <c r="K450" s="21"/>
      <c r="L450" s="20"/>
      <c r="P450" s="16"/>
      <c r="Q450" s="14"/>
      <c r="R450" s="14"/>
      <c r="S450" s="20"/>
      <c r="T450" s="20"/>
    </row>
    <row r="451" spans="2:20" s="13" customFormat="1">
      <c r="B451" s="15"/>
      <c r="F451" s="17"/>
      <c r="G451" s="18"/>
      <c r="H451" s="19"/>
      <c r="I451" s="7"/>
      <c r="J451" s="20"/>
      <c r="K451" s="21"/>
      <c r="L451" s="20"/>
      <c r="P451" s="16"/>
      <c r="Q451" s="14"/>
      <c r="R451" s="14"/>
      <c r="S451" s="20"/>
      <c r="T451" s="20"/>
    </row>
    <row r="452" spans="2:20" s="13" customFormat="1">
      <c r="B452" s="15"/>
      <c r="F452" s="17"/>
      <c r="G452" s="18"/>
      <c r="H452" s="19"/>
      <c r="I452" s="7"/>
      <c r="J452" s="20"/>
      <c r="K452" s="21"/>
      <c r="L452" s="20"/>
      <c r="P452" s="16"/>
      <c r="Q452" s="14"/>
      <c r="R452" s="14"/>
      <c r="S452" s="20"/>
      <c r="T452" s="20"/>
    </row>
    <row r="453" spans="2:20" s="13" customFormat="1">
      <c r="B453" s="15"/>
      <c r="F453" s="17"/>
      <c r="G453" s="18"/>
      <c r="H453" s="19"/>
      <c r="I453" s="7"/>
      <c r="J453" s="20"/>
      <c r="K453" s="21"/>
      <c r="L453" s="20"/>
      <c r="P453" s="16"/>
      <c r="Q453" s="14"/>
      <c r="R453" s="14"/>
      <c r="S453" s="20"/>
      <c r="T453" s="20"/>
    </row>
    <row r="454" spans="2:20" s="13" customFormat="1">
      <c r="B454" s="15"/>
      <c r="F454" s="17"/>
      <c r="G454" s="18"/>
      <c r="H454" s="19"/>
      <c r="I454" s="7"/>
      <c r="J454" s="20"/>
      <c r="K454" s="21"/>
      <c r="L454" s="20"/>
      <c r="P454" s="16"/>
      <c r="Q454" s="14"/>
      <c r="R454" s="14"/>
      <c r="S454" s="20"/>
      <c r="T454" s="20"/>
    </row>
    <row r="455" spans="2:20" s="13" customFormat="1">
      <c r="B455" s="15"/>
      <c r="F455" s="17"/>
      <c r="G455" s="18"/>
      <c r="H455" s="19"/>
      <c r="I455" s="7"/>
      <c r="J455" s="20"/>
      <c r="K455" s="21"/>
      <c r="L455" s="20"/>
      <c r="P455" s="16"/>
      <c r="Q455" s="14"/>
      <c r="R455" s="14"/>
      <c r="S455" s="20"/>
      <c r="T455" s="20"/>
    </row>
    <row r="456" spans="2:20" s="13" customFormat="1">
      <c r="B456" s="15"/>
      <c r="F456" s="17"/>
      <c r="G456" s="18"/>
      <c r="H456" s="19"/>
      <c r="I456" s="7"/>
      <c r="J456" s="20"/>
      <c r="K456" s="21"/>
      <c r="L456" s="20"/>
      <c r="P456" s="16"/>
      <c r="Q456" s="14"/>
      <c r="R456" s="14"/>
      <c r="S456" s="20"/>
      <c r="T456" s="20"/>
    </row>
    <row r="457" spans="2:20" s="13" customFormat="1">
      <c r="B457" s="15"/>
      <c r="F457" s="17"/>
      <c r="G457" s="18"/>
      <c r="H457" s="19"/>
      <c r="I457" s="7"/>
      <c r="J457" s="20"/>
      <c r="K457" s="21"/>
      <c r="L457" s="20"/>
      <c r="P457" s="16"/>
      <c r="Q457" s="14"/>
      <c r="R457" s="14"/>
      <c r="S457" s="20"/>
      <c r="T457" s="20"/>
    </row>
    <row r="458" spans="2:20" s="13" customFormat="1">
      <c r="B458" s="15"/>
      <c r="F458" s="17"/>
      <c r="G458" s="18"/>
      <c r="H458" s="19"/>
      <c r="I458" s="7"/>
      <c r="J458" s="20"/>
      <c r="K458" s="21"/>
      <c r="L458" s="20"/>
      <c r="P458" s="16"/>
      <c r="Q458" s="14"/>
      <c r="R458" s="14"/>
      <c r="S458" s="20"/>
      <c r="T458" s="20"/>
    </row>
    <row r="459" spans="2:20" s="13" customFormat="1">
      <c r="B459" s="15"/>
      <c r="F459" s="17"/>
      <c r="G459" s="18"/>
      <c r="H459" s="19"/>
      <c r="I459" s="7"/>
      <c r="J459" s="20"/>
      <c r="K459" s="21"/>
      <c r="L459" s="20"/>
      <c r="P459" s="16"/>
      <c r="Q459" s="14"/>
      <c r="R459" s="14"/>
      <c r="S459" s="20"/>
      <c r="T459" s="20"/>
    </row>
    <row r="460" spans="2:20" s="13" customFormat="1">
      <c r="B460" s="15"/>
      <c r="F460" s="17"/>
      <c r="G460" s="18"/>
      <c r="H460" s="19"/>
      <c r="I460" s="7"/>
      <c r="J460" s="20"/>
      <c r="K460" s="21"/>
      <c r="L460" s="20"/>
      <c r="P460" s="16"/>
      <c r="Q460" s="14"/>
      <c r="R460" s="14"/>
      <c r="S460" s="20"/>
      <c r="T460" s="20"/>
    </row>
    <row r="461" spans="2:20" s="13" customFormat="1">
      <c r="B461" s="15"/>
      <c r="F461" s="17"/>
      <c r="G461" s="18"/>
      <c r="H461" s="19"/>
      <c r="I461" s="7"/>
      <c r="J461" s="20"/>
      <c r="K461" s="21"/>
      <c r="L461" s="20"/>
      <c r="P461" s="16"/>
      <c r="Q461" s="14"/>
      <c r="R461" s="14"/>
      <c r="S461" s="20"/>
      <c r="T461" s="20"/>
    </row>
    <row r="462" spans="2:20" s="13" customFormat="1">
      <c r="B462" s="15"/>
      <c r="F462" s="17"/>
      <c r="G462" s="18"/>
      <c r="H462" s="19"/>
      <c r="I462" s="7"/>
      <c r="J462" s="20"/>
      <c r="K462" s="21"/>
      <c r="L462" s="20"/>
      <c r="P462" s="16"/>
      <c r="Q462" s="14"/>
      <c r="R462" s="14"/>
      <c r="S462" s="20"/>
      <c r="T462" s="20"/>
    </row>
    <row r="463" spans="2:20" s="13" customFormat="1">
      <c r="B463" s="15"/>
      <c r="F463" s="17"/>
      <c r="G463" s="18"/>
      <c r="H463" s="19"/>
      <c r="I463" s="7"/>
      <c r="J463" s="20"/>
      <c r="K463" s="21"/>
      <c r="L463" s="20"/>
      <c r="P463" s="16"/>
      <c r="Q463" s="14"/>
      <c r="R463" s="14"/>
      <c r="S463" s="20"/>
      <c r="T463" s="20"/>
    </row>
    <row r="464" spans="2:20" s="13" customFormat="1">
      <c r="B464" s="15"/>
      <c r="F464" s="17"/>
      <c r="G464" s="18"/>
      <c r="H464" s="19"/>
      <c r="I464" s="7"/>
      <c r="J464" s="20"/>
      <c r="K464" s="21"/>
      <c r="L464" s="20"/>
      <c r="P464" s="16"/>
      <c r="Q464" s="14"/>
      <c r="R464" s="14"/>
      <c r="S464" s="20"/>
      <c r="T464" s="20"/>
    </row>
    <row r="465" spans="2:20" s="13" customFormat="1">
      <c r="B465" s="15"/>
      <c r="F465" s="17"/>
      <c r="G465" s="18"/>
      <c r="H465" s="19"/>
      <c r="I465" s="7"/>
      <c r="J465" s="20"/>
      <c r="K465" s="21"/>
      <c r="L465" s="20"/>
      <c r="P465" s="16"/>
      <c r="Q465" s="14"/>
      <c r="R465" s="14"/>
      <c r="S465" s="20"/>
      <c r="T465" s="20"/>
    </row>
    <row r="466" spans="2:20" s="13" customFormat="1">
      <c r="B466" s="15"/>
      <c r="F466" s="17"/>
      <c r="G466" s="18"/>
      <c r="H466" s="19"/>
      <c r="I466" s="7"/>
      <c r="J466" s="20"/>
      <c r="K466" s="21"/>
      <c r="L466" s="20"/>
      <c r="P466" s="16"/>
      <c r="Q466" s="14"/>
      <c r="R466" s="14"/>
      <c r="S466" s="20"/>
      <c r="T466" s="20"/>
    </row>
    <row r="467" spans="2:20" s="13" customFormat="1">
      <c r="B467" s="15"/>
      <c r="F467" s="17"/>
      <c r="G467" s="18"/>
      <c r="H467" s="19"/>
      <c r="I467" s="7"/>
      <c r="J467" s="20"/>
      <c r="K467" s="21"/>
      <c r="L467" s="20"/>
      <c r="P467" s="16"/>
      <c r="Q467" s="14"/>
      <c r="R467" s="14"/>
      <c r="S467" s="20"/>
      <c r="T467" s="20"/>
    </row>
    <row r="468" spans="2:20" s="13" customFormat="1">
      <c r="B468" s="15"/>
      <c r="F468" s="17"/>
      <c r="G468" s="18"/>
      <c r="H468" s="19"/>
      <c r="I468" s="7"/>
      <c r="J468" s="20"/>
      <c r="K468" s="21"/>
      <c r="L468" s="20"/>
      <c r="P468" s="16"/>
      <c r="Q468" s="14"/>
      <c r="R468" s="14"/>
      <c r="S468" s="20"/>
      <c r="T468" s="20"/>
    </row>
    <row r="469" spans="2:20" s="13" customFormat="1">
      <c r="B469" s="15"/>
      <c r="F469" s="17"/>
      <c r="G469" s="18"/>
      <c r="H469" s="19"/>
      <c r="I469" s="7"/>
      <c r="J469" s="20"/>
      <c r="K469" s="21"/>
      <c r="L469" s="20"/>
      <c r="P469" s="16"/>
      <c r="Q469" s="14"/>
      <c r="R469" s="14"/>
      <c r="S469" s="20"/>
      <c r="T469" s="20"/>
    </row>
    <row r="470" spans="2:20" s="13" customFormat="1">
      <c r="B470" s="15"/>
      <c r="F470" s="17"/>
      <c r="G470" s="18"/>
      <c r="H470" s="19"/>
      <c r="I470" s="7"/>
      <c r="J470" s="20"/>
      <c r="K470" s="21"/>
      <c r="L470" s="20"/>
      <c r="P470" s="16"/>
      <c r="Q470" s="14"/>
      <c r="R470" s="14"/>
      <c r="S470" s="20"/>
      <c r="T470" s="20"/>
    </row>
    <row r="471" spans="2:20" s="13" customFormat="1">
      <c r="B471" s="15"/>
      <c r="F471" s="17"/>
      <c r="G471" s="18"/>
      <c r="H471" s="19"/>
      <c r="I471" s="7"/>
      <c r="J471" s="20"/>
      <c r="K471" s="21"/>
      <c r="L471" s="20"/>
      <c r="P471" s="16"/>
      <c r="Q471" s="14"/>
      <c r="R471" s="14"/>
      <c r="S471" s="20"/>
      <c r="T471" s="20"/>
    </row>
    <row r="472" spans="2:20" s="13" customFormat="1">
      <c r="B472" s="15"/>
      <c r="F472" s="17"/>
      <c r="G472" s="18"/>
      <c r="H472" s="19"/>
      <c r="I472" s="7"/>
      <c r="J472" s="20"/>
      <c r="K472" s="21"/>
      <c r="L472" s="20"/>
      <c r="P472" s="16"/>
      <c r="Q472" s="14"/>
      <c r="R472" s="14"/>
      <c r="S472" s="20"/>
      <c r="T472" s="20"/>
    </row>
    <row r="473" spans="2:20" s="13" customFormat="1">
      <c r="B473" s="15"/>
      <c r="F473" s="17"/>
      <c r="G473" s="18"/>
      <c r="H473" s="19"/>
      <c r="I473" s="7"/>
      <c r="J473" s="20"/>
      <c r="K473" s="21"/>
      <c r="L473" s="20"/>
      <c r="P473" s="16"/>
      <c r="Q473" s="14"/>
      <c r="R473" s="14"/>
      <c r="S473" s="20"/>
      <c r="T473" s="20"/>
    </row>
    <row r="474" spans="2:20" s="13" customFormat="1">
      <c r="B474" s="15"/>
      <c r="F474" s="17"/>
      <c r="G474" s="18"/>
      <c r="H474" s="19"/>
      <c r="I474" s="7"/>
      <c r="J474" s="20"/>
      <c r="K474" s="21"/>
      <c r="L474" s="20"/>
      <c r="P474" s="16"/>
      <c r="Q474" s="14"/>
      <c r="R474" s="14"/>
      <c r="S474" s="20"/>
      <c r="T474" s="20"/>
    </row>
    <row r="475" spans="2:20" s="13" customFormat="1">
      <c r="B475" s="15"/>
      <c r="F475" s="17"/>
      <c r="G475" s="18"/>
      <c r="H475" s="19"/>
      <c r="I475" s="7"/>
      <c r="J475" s="20"/>
      <c r="K475" s="21"/>
      <c r="L475" s="20"/>
      <c r="P475" s="16"/>
      <c r="Q475" s="14"/>
      <c r="R475" s="14"/>
      <c r="S475" s="20"/>
      <c r="T475" s="20"/>
    </row>
    <row r="476" spans="2:20" s="13" customFormat="1">
      <c r="B476" s="15"/>
      <c r="F476" s="17"/>
      <c r="G476" s="18"/>
      <c r="H476" s="19"/>
      <c r="I476" s="7"/>
      <c r="J476" s="20"/>
      <c r="K476" s="21"/>
      <c r="L476" s="20"/>
      <c r="P476" s="16"/>
      <c r="Q476" s="14"/>
      <c r="R476" s="14"/>
      <c r="S476" s="20"/>
      <c r="T476" s="20"/>
    </row>
    <row r="477" spans="2:20" s="13" customFormat="1">
      <c r="B477" s="15"/>
      <c r="F477" s="17"/>
      <c r="G477" s="18"/>
      <c r="H477" s="19"/>
      <c r="I477" s="7"/>
      <c r="J477" s="20"/>
      <c r="K477" s="21"/>
      <c r="L477" s="20"/>
      <c r="P477" s="16"/>
      <c r="Q477" s="14"/>
      <c r="R477" s="14"/>
      <c r="S477" s="20"/>
      <c r="T477" s="20"/>
    </row>
    <row r="478" spans="2:20" s="13" customFormat="1">
      <c r="B478" s="15"/>
      <c r="F478" s="17"/>
      <c r="G478" s="18"/>
      <c r="H478" s="19"/>
      <c r="I478" s="7"/>
      <c r="J478" s="20"/>
      <c r="K478" s="21"/>
      <c r="L478" s="20"/>
      <c r="P478" s="16"/>
      <c r="Q478" s="14"/>
      <c r="R478" s="14"/>
      <c r="S478" s="20"/>
      <c r="T478" s="20"/>
    </row>
    <row r="479" spans="2:20" s="13" customFormat="1">
      <c r="B479" s="15"/>
      <c r="F479" s="17"/>
      <c r="G479" s="18"/>
      <c r="H479" s="19"/>
      <c r="I479" s="7"/>
      <c r="J479" s="20"/>
      <c r="K479" s="21"/>
      <c r="L479" s="20"/>
      <c r="P479" s="16"/>
      <c r="Q479" s="14"/>
      <c r="R479" s="14"/>
      <c r="S479" s="20"/>
      <c r="T479" s="20"/>
    </row>
    <row r="480" spans="2:20" s="13" customFormat="1">
      <c r="B480" s="15"/>
      <c r="F480" s="17"/>
      <c r="G480" s="18"/>
      <c r="H480" s="19"/>
      <c r="I480" s="7"/>
      <c r="J480" s="20"/>
      <c r="K480" s="21"/>
      <c r="L480" s="20"/>
      <c r="P480" s="16"/>
      <c r="Q480" s="14"/>
      <c r="R480" s="14"/>
      <c r="S480" s="20"/>
      <c r="T480" s="20"/>
    </row>
    <row r="481" spans="2:20" s="13" customFormat="1">
      <c r="B481" s="15"/>
      <c r="F481" s="17"/>
      <c r="G481" s="18"/>
      <c r="H481" s="19"/>
      <c r="I481" s="7"/>
      <c r="J481" s="20"/>
      <c r="K481" s="21"/>
      <c r="L481" s="20"/>
      <c r="P481" s="16"/>
      <c r="Q481" s="14"/>
      <c r="R481" s="14"/>
      <c r="S481" s="20"/>
      <c r="T481" s="20"/>
    </row>
    <row r="482" spans="2:20" s="13" customFormat="1">
      <c r="B482" s="15"/>
      <c r="F482" s="17"/>
      <c r="G482" s="18"/>
      <c r="H482" s="19"/>
      <c r="I482" s="7"/>
      <c r="J482" s="20"/>
      <c r="K482" s="21"/>
      <c r="L482" s="20"/>
      <c r="P482" s="16"/>
      <c r="Q482" s="14"/>
      <c r="R482" s="14"/>
      <c r="S482" s="20"/>
      <c r="T482" s="20"/>
    </row>
    <row r="483" spans="2:20" s="13" customFormat="1">
      <c r="B483" s="15"/>
      <c r="F483" s="17"/>
      <c r="G483" s="18"/>
      <c r="H483" s="19"/>
      <c r="I483" s="7"/>
      <c r="J483" s="20"/>
      <c r="K483" s="21"/>
      <c r="L483" s="20"/>
      <c r="P483" s="16"/>
      <c r="Q483" s="14"/>
      <c r="R483" s="14"/>
      <c r="S483" s="20"/>
      <c r="T483" s="20"/>
    </row>
    <row r="484" spans="2:20" s="13" customFormat="1">
      <c r="B484" s="15"/>
      <c r="F484" s="17"/>
      <c r="G484" s="18"/>
      <c r="H484" s="19"/>
      <c r="I484" s="7"/>
      <c r="J484" s="20"/>
      <c r="K484" s="21"/>
      <c r="L484" s="20"/>
      <c r="P484" s="16"/>
      <c r="Q484" s="14"/>
      <c r="R484" s="14"/>
      <c r="S484" s="20"/>
      <c r="T484" s="20"/>
    </row>
    <row r="485" spans="2:20" s="13" customFormat="1">
      <c r="B485" s="15"/>
      <c r="F485" s="17"/>
      <c r="G485" s="18"/>
      <c r="H485" s="19"/>
      <c r="I485" s="7"/>
      <c r="J485" s="20"/>
      <c r="K485" s="21"/>
      <c r="L485" s="20"/>
      <c r="P485" s="16"/>
      <c r="Q485" s="14"/>
      <c r="R485" s="14"/>
      <c r="S485" s="20"/>
      <c r="T485" s="20"/>
    </row>
    <row r="486" spans="2:20" s="13" customFormat="1">
      <c r="B486" s="15"/>
      <c r="F486" s="17"/>
      <c r="G486" s="18"/>
      <c r="H486" s="19"/>
      <c r="I486" s="7"/>
      <c r="J486" s="20"/>
      <c r="K486" s="21"/>
      <c r="L486" s="20"/>
      <c r="P486" s="16"/>
      <c r="Q486" s="14"/>
      <c r="R486" s="14"/>
      <c r="S486" s="20"/>
      <c r="T486" s="20"/>
    </row>
    <row r="487" spans="2:20" s="13" customFormat="1">
      <c r="B487" s="15"/>
      <c r="F487" s="17"/>
      <c r="G487" s="18"/>
      <c r="H487" s="19"/>
      <c r="I487" s="7"/>
      <c r="J487" s="20"/>
      <c r="K487" s="21"/>
      <c r="L487" s="20"/>
      <c r="P487" s="16"/>
      <c r="Q487" s="14"/>
      <c r="R487" s="14"/>
      <c r="S487" s="20"/>
      <c r="T487" s="20"/>
    </row>
    <row r="488" spans="2:20" s="13" customFormat="1">
      <c r="B488" s="15"/>
      <c r="F488" s="17"/>
      <c r="G488" s="18"/>
      <c r="H488" s="19"/>
      <c r="I488" s="7"/>
      <c r="J488" s="20"/>
      <c r="K488" s="21"/>
      <c r="L488" s="20"/>
      <c r="P488" s="16"/>
      <c r="Q488" s="14"/>
      <c r="R488" s="14"/>
      <c r="S488" s="20"/>
      <c r="T488" s="20"/>
    </row>
    <row r="489" spans="2:20" s="13" customFormat="1">
      <c r="B489" s="15"/>
      <c r="F489" s="17"/>
      <c r="G489" s="18"/>
      <c r="H489" s="19"/>
      <c r="I489" s="7"/>
      <c r="J489" s="20"/>
      <c r="K489" s="21"/>
      <c r="L489" s="20"/>
      <c r="P489" s="16"/>
      <c r="Q489" s="14"/>
      <c r="R489" s="14"/>
      <c r="S489" s="20"/>
      <c r="T489" s="20"/>
    </row>
    <row r="490" spans="2:20" s="13" customFormat="1">
      <c r="B490" s="15"/>
      <c r="F490" s="17"/>
      <c r="G490" s="18"/>
      <c r="H490" s="19"/>
      <c r="I490" s="7"/>
      <c r="J490" s="20"/>
      <c r="K490" s="21"/>
      <c r="L490" s="20"/>
      <c r="P490" s="16"/>
      <c r="Q490" s="14"/>
      <c r="R490" s="14"/>
      <c r="S490" s="20"/>
      <c r="T490" s="20"/>
    </row>
    <row r="491" spans="2:20" s="13" customFormat="1">
      <c r="B491" s="15"/>
      <c r="F491" s="17"/>
      <c r="G491" s="18"/>
      <c r="H491" s="19"/>
      <c r="I491" s="7"/>
      <c r="J491" s="20"/>
      <c r="K491" s="21"/>
      <c r="L491" s="20"/>
      <c r="P491" s="16"/>
      <c r="Q491" s="14"/>
      <c r="R491" s="14"/>
      <c r="S491" s="20"/>
      <c r="T491" s="20"/>
    </row>
    <row r="492" spans="2:20" s="13" customFormat="1">
      <c r="B492" s="15"/>
      <c r="F492" s="17"/>
      <c r="G492" s="18"/>
      <c r="H492" s="19"/>
      <c r="I492" s="7"/>
      <c r="J492" s="20"/>
      <c r="K492" s="21"/>
      <c r="L492" s="20"/>
      <c r="P492" s="16"/>
      <c r="Q492" s="14"/>
      <c r="R492" s="14"/>
      <c r="S492" s="20"/>
      <c r="T492" s="20"/>
    </row>
    <row r="493" spans="2:20" s="13" customFormat="1">
      <c r="B493" s="15"/>
      <c r="F493" s="17"/>
      <c r="G493" s="18"/>
      <c r="H493" s="19"/>
      <c r="I493" s="7"/>
      <c r="J493" s="20"/>
      <c r="K493" s="21"/>
      <c r="L493" s="20"/>
      <c r="P493" s="16"/>
      <c r="Q493" s="14"/>
      <c r="R493" s="14"/>
      <c r="S493" s="20"/>
      <c r="T493" s="20"/>
    </row>
    <row r="494" spans="2:20" s="13" customFormat="1">
      <c r="B494" s="15"/>
      <c r="F494" s="17"/>
      <c r="G494" s="18"/>
      <c r="H494" s="19"/>
      <c r="I494" s="7"/>
      <c r="J494" s="20"/>
      <c r="K494" s="21"/>
      <c r="L494" s="20"/>
      <c r="P494" s="16"/>
      <c r="Q494" s="14"/>
      <c r="R494" s="14"/>
      <c r="S494" s="20"/>
      <c r="T494" s="20"/>
    </row>
    <row r="495" spans="2:20" s="13" customFormat="1">
      <c r="B495" s="15"/>
      <c r="F495" s="17"/>
      <c r="G495" s="18"/>
      <c r="H495" s="19"/>
      <c r="I495" s="7"/>
      <c r="J495" s="20"/>
      <c r="K495" s="21"/>
      <c r="L495" s="20"/>
      <c r="P495" s="16"/>
      <c r="Q495" s="14"/>
      <c r="R495" s="14"/>
      <c r="S495" s="20"/>
      <c r="T495" s="20"/>
    </row>
    <row r="496" spans="2:20" s="13" customFormat="1">
      <c r="B496" s="15"/>
      <c r="F496" s="17"/>
      <c r="G496" s="18"/>
      <c r="H496" s="19"/>
      <c r="I496" s="7"/>
      <c r="J496" s="20"/>
      <c r="K496" s="21"/>
      <c r="L496" s="20"/>
      <c r="P496" s="16"/>
      <c r="Q496" s="14"/>
      <c r="R496" s="14"/>
      <c r="S496" s="20"/>
      <c r="T496" s="20"/>
    </row>
    <row r="497" spans="2:20" s="13" customFormat="1">
      <c r="B497" s="15"/>
      <c r="F497" s="17"/>
      <c r="G497" s="18"/>
      <c r="H497" s="19"/>
      <c r="I497" s="7"/>
      <c r="J497" s="20"/>
      <c r="K497" s="21"/>
      <c r="L497" s="20"/>
      <c r="P497" s="16"/>
      <c r="Q497" s="14"/>
      <c r="R497" s="14"/>
      <c r="S497" s="20"/>
      <c r="T497" s="20"/>
    </row>
    <row r="498" spans="2:20" s="13" customFormat="1">
      <c r="B498" s="15"/>
      <c r="F498" s="17"/>
      <c r="G498" s="18"/>
      <c r="H498" s="19"/>
      <c r="I498" s="7"/>
      <c r="J498" s="20"/>
      <c r="K498" s="21"/>
      <c r="L498" s="20"/>
      <c r="P498" s="16"/>
      <c r="Q498" s="14"/>
      <c r="R498" s="14"/>
      <c r="S498" s="20"/>
      <c r="T498" s="20"/>
    </row>
    <row r="499" spans="2:20" s="13" customFormat="1">
      <c r="B499" s="15"/>
      <c r="F499" s="17"/>
      <c r="G499" s="18"/>
      <c r="H499" s="19"/>
      <c r="I499" s="7"/>
      <c r="J499" s="20"/>
      <c r="K499" s="21"/>
      <c r="L499" s="20"/>
      <c r="P499" s="16"/>
      <c r="Q499" s="14"/>
      <c r="R499" s="14"/>
      <c r="S499" s="20"/>
      <c r="T499" s="20"/>
    </row>
    <row r="500" spans="2:20" s="13" customFormat="1">
      <c r="B500" s="15"/>
      <c r="F500" s="17"/>
      <c r="G500" s="18"/>
      <c r="H500" s="19"/>
      <c r="I500" s="7"/>
      <c r="J500" s="20"/>
      <c r="K500" s="21"/>
      <c r="L500" s="20"/>
      <c r="P500" s="16"/>
      <c r="Q500" s="14"/>
      <c r="R500" s="14"/>
      <c r="S500" s="20"/>
      <c r="T500" s="20"/>
    </row>
    <row r="501" spans="2:20" s="13" customFormat="1">
      <c r="B501" s="15"/>
      <c r="F501" s="17"/>
      <c r="G501" s="18"/>
      <c r="H501" s="19"/>
      <c r="I501" s="7"/>
      <c r="J501" s="20"/>
      <c r="K501" s="21"/>
      <c r="L501" s="20"/>
      <c r="P501" s="16"/>
      <c r="Q501" s="14"/>
      <c r="R501" s="14"/>
      <c r="S501" s="20"/>
      <c r="T501" s="20"/>
    </row>
    <row r="502" spans="2:20" s="13" customFormat="1">
      <c r="B502" s="15"/>
      <c r="F502" s="17"/>
      <c r="G502" s="18"/>
      <c r="H502" s="19"/>
      <c r="I502" s="7"/>
      <c r="J502" s="20"/>
      <c r="K502" s="21"/>
      <c r="L502" s="20"/>
      <c r="P502" s="16"/>
      <c r="Q502" s="14"/>
      <c r="R502" s="14"/>
      <c r="S502" s="20"/>
      <c r="T502" s="20"/>
    </row>
    <row r="503" spans="2:20" s="13" customFormat="1">
      <c r="B503" s="15"/>
      <c r="F503" s="17"/>
      <c r="G503" s="18"/>
      <c r="H503" s="19"/>
      <c r="I503" s="7"/>
      <c r="J503" s="20"/>
      <c r="K503" s="21"/>
      <c r="L503" s="20"/>
      <c r="P503" s="16"/>
      <c r="Q503" s="14"/>
      <c r="R503" s="14"/>
      <c r="S503" s="20"/>
      <c r="T503" s="20"/>
    </row>
    <row r="504" spans="2:20" s="13" customFormat="1">
      <c r="B504" s="15"/>
      <c r="F504" s="17"/>
      <c r="G504" s="18"/>
      <c r="H504" s="19"/>
      <c r="I504" s="7"/>
      <c r="J504" s="20"/>
      <c r="K504" s="21"/>
      <c r="L504" s="20"/>
      <c r="P504" s="16"/>
      <c r="Q504" s="14"/>
      <c r="R504" s="14"/>
      <c r="S504" s="20"/>
      <c r="T504" s="20"/>
    </row>
    <row r="505" spans="2:20" s="13" customFormat="1">
      <c r="B505" s="15"/>
      <c r="F505" s="17"/>
      <c r="G505" s="18"/>
      <c r="H505" s="19"/>
      <c r="I505" s="7"/>
      <c r="J505" s="20"/>
      <c r="K505" s="21"/>
      <c r="L505" s="20"/>
      <c r="P505" s="16"/>
      <c r="Q505" s="14"/>
      <c r="R505" s="14"/>
      <c r="S505" s="20"/>
      <c r="T505" s="20"/>
    </row>
    <row r="506" spans="2:20" s="13" customFormat="1">
      <c r="B506" s="15"/>
      <c r="F506" s="17"/>
      <c r="G506" s="18"/>
      <c r="H506" s="19"/>
      <c r="I506" s="7"/>
      <c r="J506" s="20"/>
      <c r="K506" s="21"/>
      <c r="L506" s="20"/>
      <c r="P506" s="16"/>
      <c r="Q506" s="14"/>
      <c r="R506" s="14"/>
      <c r="S506" s="20"/>
      <c r="T506" s="20"/>
    </row>
    <row r="507" spans="2:20" s="13" customFormat="1">
      <c r="B507" s="15"/>
      <c r="F507" s="17"/>
      <c r="G507" s="18"/>
      <c r="H507" s="19"/>
      <c r="I507" s="7"/>
      <c r="J507" s="20"/>
      <c r="K507" s="21"/>
      <c r="L507" s="20"/>
      <c r="P507" s="16"/>
      <c r="Q507" s="14"/>
      <c r="R507" s="14"/>
      <c r="S507" s="20"/>
      <c r="T507" s="20"/>
    </row>
    <row r="508" spans="2:20" s="13" customFormat="1">
      <c r="B508" s="15"/>
      <c r="F508" s="17"/>
      <c r="G508" s="18"/>
      <c r="H508" s="19"/>
      <c r="I508" s="7"/>
      <c r="J508" s="20"/>
      <c r="K508" s="21"/>
      <c r="L508" s="20"/>
      <c r="P508" s="16"/>
      <c r="Q508" s="14"/>
      <c r="R508" s="14"/>
      <c r="S508" s="20"/>
      <c r="T508" s="20"/>
    </row>
    <row r="509" spans="2:20" s="13" customFormat="1">
      <c r="B509" s="15"/>
      <c r="F509" s="17"/>
      <c r="G509" s="18"/>
      <c r="H509" s="19"/>
      <c r="I509" s="7"/>
      <c r="J509" s="20"/>
      <c r="K509" s="21"/>
      <c r="L509" s="20"/>
      <c r="P509" s="16"/>
      <c r="Q509" s="14"/>
      <c r="R509" s="14"/>
      <c r="S509" s="20"/>
      <c r="T509" s="20"/>
    </row>
    <row r="510" spans="2:20" s="13" customFormat="1">
      <c r="B510" s="15"/>
      <c r="F510" s="17"/>
      <c r="G510" s="18"/>
      <c r="H510" s="19"/>
      <c r="I510" s="7"/>
      <c r="J510" s="20"/>
      <c r="K510" s="21"/>
      <c r="L510" s="20"/>
      <c r="P510" s="16"/>
      <c r="Q510" s="14"/>
      <c r="R510" s="14"/>
      <c r="S510" s="20"/>
      <c r="T510" s="20"/>
    </row>
    <row r="511" spans="2:20" s="13" customFormat="1">
      <c r="B511" s="15"/>
      <c r="F511" s="17"/>
      <c r="G511" s="18"/>
      <c r="H511" s="19"/>
      <c r="I511" s="7"/>
      <c r="J511" s="20"/>
      <c r="K511" s="21"/>
      <c r="L511" s="20"/>
      <c r="P511" s="16"/>
      <c r="Q511" s="14"/>
      <c r="R511" s="14"/>
      <c r="S511" s="20"/>
      <c r="T511" s="20"/>
    </row>
    <row r="512" spans="2:20" s="13" customFormat="1">
      <c r="B512" s="15"/>
      <c r="F512" s="17"/>
      <c r="G512" s="18"/>
      <c r="H512" s="19"/>
      <c r="I512" s="7"/>
      <c r="J512" s="20"/>
      <c r="K512" s="21"/>
      <c r="L512" s="20"/>
      <c r="P512" s="16"/>
      <c r="Q512" s="14"/>
      <c r="R512" s="14"/>
      <c r="S512" s="20"/>
      <c r="T512" s="20"/>
    </row>
    <row r="513" spans="2:20" s="13" customFormat="1">
      <c r="B513" s="15"/>
      <c r="F513" s="17"/>
      <c r="G513" s="18"/>
      <c r="H513" s="19"/>
      <c r="I513" s="7"/>
      <c r="J513" s="20"/>
      <c r="K513" s="21"/>
      <c r="L513" s="20"/>
      <c r="P513" s="16"/>
      <c r="Q513" s="14"/>
      <c r="R513" s="14"/>
      <c r="S513" s="20"/>
      <c r="T513" s="20"/>
    </row>
    <row r="514" spans="2:20" s="13" customFormat="1">
      <c r="B514" s="15"/>
      <c r="F514" s="17"/>
      <c r="G514" s="18"/>
      <c r="H514" s="19"/>
      <c r="I514" s="7"/>
      <c r="J514" s="20"/>
      <c r="K514" s="21"/>
      <c r="L514" s="20"/>
      <c r="P514" s="16"/>
      <c r="Q514" s="14"/>
      <c r="R514" s="14"/>
      <c r="S514" s="20"/>
      <c r="T514" s="20"/>
    </row>
    <row r="515" spans="2:20" s="13" customFormat="1">
      <c r="B515" s="15"/>
      <c r="F515" s="17"/>
      <c r="G515" s="18"/>
      <c r="H515" s="19"/>
      <c r="I515" s="7"/>
      <c r="J515" s="20"/>
      <c r="K515" s="21"/>
      <c r="L515" s="20"/>
      <c r="P515" s="16"/>
      <c r="Q515" s="14"/>
      <c r="R515" s="14"/>
      <c r="S515" s="20"/>
      <c r="T515" s="20"/>
    </row>
    <row r="516" spans="2:20" s="13" customFormat="1">
      <c r="B516" s="15"/>
      <c r="F516" s="17"/>
      <c r="G516" s="18"/>
      <c r="H516" s="19"/>
      <c r="I516" s="7"/>
      <c r="J516" s="20"/>
      <c r="K516" s="21"/>
      <c r="L516" s="20"/>
      <c r="P516" s="16"/>
      <c r="Q516" s="14"/>
      <c r="R516" s="14"/>
      <c r="S516" s="20"/>
      <c r="T516" s="20"/>
    </row>
    <row r="517" spans="2:20" s="13" customFormat="1">
      <c r="B517" s="15"/>
      <c r="F517" s="17"/>
      <c r="G517" s="18"/>
      <c r="H517" s="19"/>
      <c r="I517" s="7"/>
      <c r="J517" s="20"/>
      <c r="K517" s="21"/>
      <c r="L517" s="20"/>
      <c r="P517" s="16"/>
      <c r="Q517" s="14"/>
      <c r="R517" s="14"/>
      <c r="S517" s="20"/>
      <c r="T517" s="20"/>
    </row>
    <row r="518" spans="2:20" s="13" customFormat="1">
      <c r="B518" s="15"/>
      <c r="F518" s="17"/>
      <c r="G518" s="18"/>
      <c r="H518" s="19"/>
      <c r="I518" s="7"/>
      <c r="J518" s="20"/>
      <c r="K518" s="21"/>
      <c r="L518" s="20"/>
      <c r="P518" s="16"/>
      <c r="Q518" s="14"/>
      <c r="R518" s="14"/>
      <c r="S518" s="20"/>
      <c r="T518" s="20"/>
    </row>
    <row r="519" spans="2:20" s="13" customFormat="1">
      <c r="B519" s="15"/>
      <c r="F519" s="17"/>
      <c r="G519" s="18"/>
      <c r="H519" s="19"/>
      <c r="I519" s="7"/>
      <c r="J519" s="20"/>
      <c r="K519" s="21"/>
      <c r="L519" s="20"/>
      <c r="P519" s="16"/>
      <c r="Q519" s="14"/>
      <c r="R519" s="14"/>
      <c r="S519" s="20"/>
      <c r="T519" s="20"/>
    </row>
    <row r="520" spans="2:20" s="13" customFormat="1">
      <c r="B520" s="15"/>
      <c r="F520" s="17"/>
      <c r="G520" s="18"/>
      <c r="H520" s="19"/>
      <c r="I520" s="7"/>
      <c r="J520" s="20"/>
      <c r="K520" s="21"/>
      <c r="L520" s="20"/>
      <c r="P520" s="16"/>
      <c r="Q520" s="14"/>
      <c r="R520" s="14"/>
      <c r="S520" s="20"/>
      <c r="T520" s="20"/>
    </row>
    <row r="521" spans="2:20" s="13" customFormat="1">
      <c r="B521" s="15"/>
      <c r="F521" s="17"/>
      <c r="G521" s="18"/>
      <c r="H521" s="19"/>
      <c r="I521" s="7"/>
      <c r="J521" s="20"/>
      <c r="K521" s="21"/>
      <c r="L521" s="20"/>
      <c r="P521" s="16"/>
      <c r="Q521" s="14"/>
      <c r="R521" s="14"/>
      <c r="S521" s="20"/>
      <c r="T521" s="20"/>
    </row>
    <row r="522" spans="2:20" s="13" customFormat="1">
      <c r="B522" s="15"/>
      <c r="F522" s="17"/>
      <c r="G522" s="18"/>
      <c r="H522" s="19"/>
      <c r="I522" s="7"/>
      <c r="J522" s="20"/>
      <c r="K522" s="21"/>
      <c r="L522" s="20"/>
      <c r="P522" s="16"/>
      <c r="Q522" s="14"/>
      <c r="R522" s="14"/>
      <c r="S522" s="20"/>
      <c r="T522" s="20"/>
    </row>
    <row r="523" spans="2:20" s="13" customFormat="1">
      <c r="B523" s="15"/>
      <c r="F523" s="17"/>
      <c r="G523" s="18"/>
      <c r="H523" s="19"/>
      <c r="I523" s="7"/>
      <c r="J523" s="20"/>
      <c r="K523" s="21"/>
      <c r="L523" s="20"/>
      <c r="P523" s="16"/>
      <c r="Q523" s="14"/>
      <c r="R523" s="14"/>
      <c r="S523" s="20"/>
      <c r="T523" s="20"/>
    </row>
    <row r="524" spans="2:20" s="13" customFormat="1">
      <c r="B524" s="15"/>
      <c r="F524" s="17"/>
      <c r="G524" s="18"/>
      <c r="H524" s="19"/>
      <c r="I524" s="7"/>
      <c r="J524" s="20"/>
      <c r="K524" s="21"/>
      <c r="L524" s="20"/>
      <c r="P524" s="16"/>
      <c r="Q524" s="14"/>
      <c r="R524" s="14"/>
      <c r="S524" s="20"/>
      <c r="T524" s="20"/>
    </row>
    <row r="525" spans="2:20" s="13" customFormat="1">
      <c r="B525" s="15"/>
      <c r="F525" s="17"/>
      <c r="G525" s="18"/>
      <c r="H525" s="19"/>
      <c r="I525" s="7"/>
      <c r="J525" s="20"/>
      <c r="K525" s="21"/>
      <c r="L525" s="20"/>
      <c r="P525" s="16"/>
      <c r="Q525" s="14"/>
      <c r="R525" s="14"/>
      <c r="S525" s="20"/>
      <c r="T525" s="20"/>
    </row>
    <row r="526" spans="2:20" s="13" customFormat="1">
      <c r="B526" s="15"/>
      <c r="F526" s="17"/>
      <c r="G526" s="18"/>
      <c r="H526" s="19"/>
      <c r="I526" s="7"/>
      <c r="J526" s="20"/>
      <c r="K526" s="21"/>
      <c r="L526" s="20"/>
      <c r="P526" s="16"/>
      <c r="Q526" s="14"/>
      <c r="R526" s="14"/>
      <c r="S526" s="20"/>
      <c r="T526" s="20"/>
    </row>
    <row r="527" spans="2:20" s="13" customFormat="1">
      <c r="B527" s="15"/>
      <c r="F527" s="17"/>
      <c r="G527" s="18"/>
      <c r="H527" s="19"/>
      <c r="I527" s="7"/>
      <c r="J527" s="20"/>
      <c r="K527" s="21"/>
      <c r="L527" s="20"/>
      <c r="P527" s="16"/>
      <c r="Q527" s="14"/>
      <c r="R527" s="14"/>
      <c r="S527" s="20"/>
      <c r="T527" s="20"/>
    </row>
    <row r="528" spans="2:20" s="13" customFormat="1">
      <c r="B528" s="15"/>
      <c r="F528" s="17"/>
      <c r="G528" s="18"/>
      <c r="H528" s="19"/>
      <c r="I528" s="7"/>
      <c r="J528" s="20"/>
      <c r="K528" s="21"/>
      <c r="L528" s="20"/>
      <c r="P528" s="16"/>
      <c r="Q528" s="14"/>
      <c r="R528" s="14"/>
      <c r="S528" s="20"/>
      <c r="T528" s="20"/>
    </row>
    <row r="529" spans="2:20" s="13" customFormat="1">
      <c r="B529" s="15"/>
      <c r="F529" s="17"/>
      <c r="G529" s="18"/>
      <c r="H529" s="19"/>
      <c r="I529" s="7"/>
      <c r="J529" s="20"/>
      <c r="K529" s="21"/>
      <c r="L529" s="20"/>
      <c r="P529" s="16"/>
      <c r="Q529" s="14"/>
      <c r="R529" s="14"/>
      <c r="S529" s="20"/>
      <c r="T529" s="20"/>
    </row>
    <row r="530" spans="2:20" s="13" customFormat="1">
      <c r="B530" s="15"/>
      <c r="F530" s="17"/>
      <c r="G530" s="18"/>
      <c r="H530" s="19"/>
      <c r="I530" s="7"/>
      <c r="J530" s="20"/>
      <c r="K530" s="21"/>
      <c r="L530" s="20"/>
      <c r="P530" s="16"/>
      <c r="Q530" s="14"/>
      <c r="R530" s="14"/>
      <c r="S530" s="20"/>
      <c r="T530" s="20"/>
    </row>
    <row r="531" spans="2:20" s="13" customFormat="1">
      <c r="B531" s="15"/>
      <c r="F531" s="17"/>
      <c r="G531" s="18"/>
      <c r="H531" s="19"/>
      <c r="I531" s="7"/>
      <c r="J531" s="20"/>
      <c r="K531" s="21"/>
      <c r="L531" s="20"/>
      <c r="P531" s="16"/>
      <c r="Q531" s="14"/>
      <c r="R531" s="14"/>
      <c r="S531" s="20"/>
      <c r="T531" s="20"/>
    </row>
    <row r="532" spans="2:20" s="13" customFormat="1">
      <c r="B532" s="15"/>
      <c r="F532" s="17"/>
      <c r="G532" s="18"/>
      <c r="H532" s="19"/>
      <c r="I532" s="7"/>
      <c r="J532" s="20"/>
      <c r="K532" s="21"/>
      <c r="L532" s="20"/>
      <c r="P532" s="16"/>
      <c r="Q532" s="14"/>
      <c r="R532" s="14"/>
      <c r="S532" s="20"/>
      <c r="T532" s="20"/>
    </row>
    <row r="533" spans="2:20" s="13" customFormat="1">
      <c r="B533" s="15"/>
      <c r="F533" s="17"/>
      <c r="G533" s="18"/>
      <c r="H533" s="19"/>
      <c r="I533" s="7"/>
      <c r="J533" s="20"/>
      <c r="K533" s="21"/>
      <c r="L533" s="20"/>
      <c r="P533" s="16"/>
      <c r="Q533" s="14"/>
      <c r="R533" s="14"/>
      <c r="S533" s="20"/>
      <c r="T533" s="20"/>
    </row>
    <row r="534" spans="2:20" s="13" customFormat="1">
      <c r="B534" s="15"/>
      <c r="F534" s="17"/>
      <c r="G534" s="18"/>
      <c r="H534" s="19"/>
      <c r="I534" s="7"/>
      <c r="J534" s="20"/>
      <c r="K534" s="21"/>
      <c r="L534" s="20"/>
      <c r="P534" s="16"/>
      <c r="Q534" s="14"/>
      <c r="R534" s="14"/>
      <c r="S534" s="20"/>
      <c r="T534" s="20"/>
    </row>
    <row r="535" spans="2:20" s="13" customFormat="1">
      <c r="B535" s="15"/>
      <c r="F535" s="17"/>
      <c r="G535" s="18"/>
      <c r="H535" s="19"/>
      <c r="I535" s="7"/>
      <c r="J535" s="20"/>
      <c r="K535" s="21"/>
      <c r="L535" s="20"/>
      <c r="P535" s="16"/>
      <c r="Q535" s="14"/>
      <c r="R535" s="14"/>
      <c r="S535" s="20"/>
      <c r="T535" s="20"/>
    </row>
    <row r="536" spans="2:20" s="13" customFormat="1">
      <c r="B536" s="15"/>
      <c r="F536" s="17"/>
      <c r="G536" s="18"/>
      <c r="H536" s="19"/>
      <c r="I536" s="7"/>
      <c r="J536" s="20"/>
      <c r="K536" s="21"/>
      <c r="L536" s="20"/>
      <c r="P536" s="16"/>
      <c r="Q536" s="14"/>
      <c r="R536" s="14"/>
      <c r="S536" s="20"/>
      <c r="T536" s="20"/>
    </row>
    <row r="537" spans="2:20" s="13" customFormat="1">
      <c r="B537" s="15"/>
      <c r="F537" s="17"/>
      <c r="G537" s="18"/>
      <c r="H537" s="19"/>
      <c r="I537" s="7"/>
      <c r="J537" s="20"/>
      <c r="K537" s="21"/>
      <c r="L537" s="20"/>
      <c r="P537" s="16"/>
      <c r="Q537" s="14"/>
      <c r="R537" s="14"/>
      <c r="S537" s="20"/>
      <c r="T537" s="20"/>
    </row>
    <row r="538" spans="2:20" s="13" customFormat="1">
      <c r="B538" s="15"/>
      <c r="F538" s="17"/>
      <c r="G538" s="18"/>
      <c r="H538" s="19"/>
      <c r="I538" s="7"/>
      <c r="J538" s="20"/>
      <c r="K538" s="21"/>
      <c r="L538" s="20"/>
      <c r="P538" s="16"/>
      <c r="Q538" s="14"/>
      <c r="R538" s="14"/>
      <c r="S538" s="20"/>
      <c r="T538" s="20"/>
    </row>
    <row r="539" spans="2:20" s="13" customFormat="1">
      <c r="B539" s="15"/>
      <c r="F539" s="17"/>
      <c r="G539" s="18"/>
      <c r="H539" s="19"/>
      <c r="I539" s="7"/>
      <c r="J539" s="20"/>
      <c r="K539" s="21"/>
      <c r="L539" s="20"/>
      <c r="P539" s="16"/>
      <c r="Q539" s="14"/>
      <c r="R539" s="14"/>
      <c r="S539" s="20"/>
      <c r="T539" s="20"/>
    </row>
    <row r="540" spans="2:20" s="13" customFormat="1">
      <c r="B540" s="15"/>
      <c r="F540" s="17"/>
      <c r="G540" s="18"/>
      <c r="H540" s="19"/>
      <c r="I540" s="7"/>
      <c r="J540" s="20"/>
      <c r="K540" s="21"/>
      <c r="L540" s="20"/>
      <c r="P540" s="16"/>
      <c r="Q540" s="14"/>
      <c r="R540" s="14"/>
      <c r="S540" s="20"/>
      <c r="T540" s="20"/>
    </row>
    <row r="541" spans="2:20" s="13" customFormat="1">
      <c r="B541" s="15"/>
      <c r="F541" s="17"/>
      <c r="G541" s="18"/>
      <c r="H541" s="19"/>
      <c r="I541" s="7"/>
      <c r="J541" s="20"/>
      <c r="K541" s="21"/>
      <c r="L541" s="20"/>
      <c r="P541" s="16"/>
      <c r="Q541" s="14"/>
      <c r="R541" s="14"/>
      <c r="S541" s="20"/>
      <c r="T541" s="20"/>
    </row>
    <row r="542" spans="2:20" s="13" customFormat="1">
      <c r="B542" s="15"/>
      <c r="F542" s="17"/>
      <c r="G542" s="18"/>
      <c r="H542" s="19"/>
      <c r="I542" s="7"/>
      <c r="J542" s="20"/>
      <c r="K542" s="21"/>
      <c r="L542" s="20"/>
      <c r="P542" s="16"/>
      <c r="Q542" s="14"/>
      <c r="R542" s="14"/>
      <c r="S542" s="20"/>
      <c r="T542" s="20"/>
    </row>
    <row r="543" spans="2:20" s="13" customFormat="1">
      <c r="B543" s="15"/>
      <c r="F543" s="17"/>
      <c r="G543" s="18"/>
      <c r="H543" s="19"/>
      <c r="I543" s="7"/>
      <c r="J543" s="20"/>
      <c r="K543" s="21"/>
      <c r="L543" s="20"/>
      <c r="P543" s="16"/>
      <c r="Q543" s="14"/>
      <c r="R543" s="14"/>
      <c r="S543" s="20"/>
      <c r="T543" s="20"/>
    </row>
    <row r="544" spans="2:20" s="13" customFormat="1">
      <c r="B544" s="15"/>
      <c r="F544" s="17"/>
      <c r="G544" s="18"/>
      <c r="H544" s="19"/>
      <c r="I544" s="7"/>
      <c r="J544" s="20"/>
      <c r="K544" s="21"/>
      <c r="L544" s="20"/>
      <c r="P544" s="16"/>
      <c r="Q544" s="14"/>
      <c r="R544" s="14"/>
      <c r="S544" s="20"/>
      <c r="T544" s="20"/>
    </row>
    <row r="545" spans="2:20" s="13" customFormat="1">
      <c r="B545" s="15"/>
      <c r="F545" s="17"/>
      <c r="G545" s="18"/>
      <c r="H545" s="19"/>
      <c r="I545" s="7"/>
      <c r="J545" s="20"/>
      <c r="K545" s="21"/>
      <c r="L545" s="20"/>
      <c r="P545" s="16"/>
      <c r="Q545" s="14"/>
      <c r="R545" s="14"/>
      <c r="S545" s="20"/>
      <c r="T545" s="20"/>
    </row>
    <row r="546" spans="2:20" s="13" customFormat="1">
      <c r="B546" s="15"/>
      <c r="F546" s="17"/>
      <c r="G546" s="18"/>
      <c r="H546" s="19"/>
      <c r="I546" s="7"/>
      <c r="J546" s="20"/>
      <c r="K546" s="21"/>
      <c r="L546" s="20"/>
      <c r="P546" s="16"/>
      <c r="Q546" s="14"/>
      <c r="R546" s="14"/>
      <c r="S546" s="20"/>
      <c r="T546" s="20"/>
    </row>
    <row r="547" spans="2:20" s="13" customFormat="1">
      <c r="B547" s="15"/>
      <c r="F547" s="17"/>
      <c r="G547" s="18"/>
      <c r="H547" s="19"/>
      <c r="I547" s="7"/>
      <c r="J547" s="20"/>
      <c r="K547" s="21"/>
      <c r="L547" s="20"/>
      <c r="P547" s="16"/>
      <c r="Q547" s="14"/>
      <c r="R547" s="14"/>
      <c r="S547" s="20"/>
      <c r="T547" s="20"/>
    </row>
    <row r="548" spans="2:20" s="13" customFormat="1">
      <c r="B548" s="15"/>
      <c r="F548" s="17"/>
      <c r="G548" s="18"/>
      <c r="H548" s="19"/>
      <c r="I548" s="7"/>
      <c r="J548" s="20"/>
      <c r="K548" s="21"/>
      <c r="L548" s="20"/>
      <c r="P548" s="16"/>
      <c r="Q548" s="14"/>
      <c r="R548" s="14"/>
      <c r="S548" s="20"/>
      <c r="T548" s="20"/>
    </row>
    <row r="549" spans="2:20" s="13" customFormat="1">
      <c r="B549" s="15"/>
      <c r="F549" s="17"/>
      <c r="G549" s="18"/>
      <c r="H549" s="19"/>
      <c r="I549" s="7"/>
      <c r="J549" s="20"/>
      <c r="K549" s="21"/>
      <c r="L549" s="20"/>
      <c r="P549" s="16"/>
      <c r="Q549" s="14"/>
      <c r="R549" s="14"/>
      <c r="S549" s="20"/>
      <c r="T549" s="20"/>
    </row>
    <row r="550" spans="2:20" s="13" customFormat="1">
      <c r="B550" s="15"/>
      <c r="F550" s="17"/>
      <c r="G550" s="18"/>
      <c r="H550" s="19"/>
      <c r="I550" s="7"/>
      <c r="J550" s="20"/>
      <c r="K550" s="21"/>
      <c r="L550" s="20"/>
      <c r="P550" s="16"/>
      <c r="Q550" s="14"/>
      <c r="R550" s="14"/>
      <c r="S550" s="20"/>
      <c r="T550" s="20"/>
    </row>
    <row r="551" spans="2:20" s="13" customFormat="1">
      <c r="B551" s="15"/>
      <c r="F551" s="17"/>
      <c r="G551" s="18"/>
      <c r="H551" s="19"/>
      <c r="I551" s="7"/>
      <c r="J551" s="20"/>
      <c r="K551" s="21"/>
      <c r="L551" s="20"/>
      <c r="P551" s="16"/>
      <c r="Q551" s="14"/>
      <c r="R551" s="14"/>
      <c r="S551" s="20"/>
      <c r="T551" s="20"/>
    </row>
    <row r="552" spans="2:20" s="13" customFormat="1">
      <c r="B552" s="15"/>
      <c r="F552" s="17"/>
      <c r="G552" s="18"/>
      <c r="H552" s="19"/>
      <c r="I552" s="7"/>
      <c r="J552" s="20"/>
      <c r="K552" s="21"/>
      <c r="L552" s="20"/>
      <c r="P552" s="16"/>
      <c r="Q552" s="14"/>
      <c r="R552" s="14"/>
      <c r="S552" s="20"/>
      <c r="T552" s="20"/>
    </row>
    <row r="553" spans="2:20" s="13" customFormat="1">
      <c r="B553" s="15"/>
      <c r="F553" s="17"/>
      <c r="G553" s="18"/>
      <c r="H553" s="19"/>
      <c r="I553" s="7"/>
      <c r="J553" s="20"/>
      <c r="K553" s="21"/>
      <c r="L553" s="20"/>
      <c r="P553" s="16"/>
      <c r="Q553" s="14"/>
      <c r="R553" s="14"/>
      <c r="S553" s="20"/>
      <c r="T553" s="20"/>
    </row>
    <row r="554" spans="2:20" s="13" customFormat="1">
      <c r="B554" s="15"/>
      <c r="F554" s="17"/>
      <c r="G554" s="18"/>
      <c r="H554" s="19"/>
      <c r="I554" s="7"/>
      <c r="J554" s="20"/>
      <c r="K554" s="21"/>
      <c r="L554" s="20"/>
      <c r="P554" s="16"/>
      <c r="Q554" s="14"/>
      <c r="R554" s="14"/>
      <c r="S554" s="20"/>
      <c r="T554" s="20"/>
    </row>
    <row r="555" spans="2:20" s="13" customFormat="1">
      <c r="B555" s="15"/>
      <c r="F555" s="17"/>
      <c r="G555" s="18"/>
      <c r="H555" s="19"/>
      <c r="I555" s="7"/>
      <c r="J555" s="20"/>
      <c r="K555" s="21"/>
      <c r="L555" s="20"/>
      <c r="P555" s="16"/>
      <c r="Q555" s="14"/>
      <c r="R555" s="14"/>
      <c r="S555" s="20"/>
      <c r="T555" s="20"/>
    </row>
    <row r="556" spans="2:20" s="13" customFormat="1">
      <c r="B556" s="15"/>
      <c r="F556" s="17"/>
      <c r="G556" s="18"/>
      <c r="H556" s="19"/>
      <c r="I556" s="7"/>
      <c r="J556" s="20"/>
      <c r="K556" s="21"/>
      <c r="L556" s="20"/>
      <c r="P556" s="16"/>
      <c r="Q556" s="14"/>
      <c r="R556" s="14"/>
      <c r="S556" s="20"/>
      <c r="T556" s="20"/>
    </row>
    <row r="557" spans="2:20" s="13" customFormat="1">
      <c r="B557" s="15"/>
      <c r="F557" s="17"/>
      <c r="G557" s="18"/>
      <c r="H557" s="19"/>
      <c r="I557" s="7"/>
      <c r="J557" s="20"/>
      <c r="K557" s="21"/>
      <c r="L557" s="20"/>
      <c r="P557" s="16"/>
      <c r="Q557" s="14"/>
      <c r="R557" s="14"/>
      <c r="S557" s="20"/>
      <c r="T557" s="20"/>
    </row>
    <row r="558" spans="2:20" s="13" customFormat="1">
      <c r="B558" s="15"/>
      <c r="F558" s="17"/>
      <c r="G558" s="18"/>
      <c r="H558" s="19"/>
      <c r="I558" s="7"/>
      <c r="J558" s="20"/>
      <c r="K558" s="21"/>
      <c r="L558" s="20"/>
      <c r="P558" s="16"/>
      <c r="Q558" s="14"/>
      <c r="R558" s="14"/>
      <c r="S558" s="20"/>
      <c r="T558" s="20"/>
    </row>
    <row r="559" spans="2:20" s="13" customFormat="1">
      <c r="B559" s="15"/>
      <c r="F559" s="17"/>
      <c r="G559" s="18"/>
      <c r="H559" s="19"/>
      <c r="I559" s="7"/>
      <c r="J559" s="20"/>
      <c r="K559" s="21"/>
      <c r="L559" s="20"/>
      <c r="P559" s="16"/>
      <c r="Q559" s="14"/>
      <c r="R559" s="14"/>
      <c r="S559" s="20"/>
      <c r="T559" s="20"/>
    </row>
    <row r="560" spans="2:20" s="13" customFormat="1">
      <c r="B560" s="15"/>
      <c r="F560" s="17"/>
      <c r="G560" s="18"/>
      <c r="H560" s="19"/>
      <c r="I560" s="7"/>
      <c r="J560" s="20"/>
      <c r="K560" s="21"/>
      <c r="L560" s="20"/>
      <c r="P560" s="16"/>
      <c r="Q560" s="14"/>
      <c r="R560" s="14"/>
      <c r="S560" s="20"/>
      <c r="T560" s="20"/>
    </row>
    <row r="561" spans="2:20" s="13" customFormat="1">
      <c r="B561" s="15"/>
      <c r="F561" s="17"/>
      <c r="G561" s="18"/>
      <c r="H561" s="19"/>
      <c r="I561" s="7"/>
      <c r="J561" s="20"/>
      <c r="K561" s="21"/>
      <c r="L561" s="20"/>
      <c r="P561" s="16"/>
      <c r="Q561" s="14"/>
      <c r="R561" s="14"/>
      <c r="S561" s="20"/>
      <c r="T561" s="20"/>
    </row>
    <row r="562" spans="2:20" s="13" customFormat="1">
      <c r="B562" s="15"/>
      <c r="F562" s="17"/>
      <c r="G562" s="18"/>
      <c r="H562" s="19"/>
      <c r="I562" s="7"/>
      <c r="J562" s="20"/>
      <c r="K562" s="21"/>
      <c r="L562" s="20"/>
      <c r="P562" s="16"/>
      <c r="Q562" s="14"/>
      <c r="R562" s="14"/>
      <c r="S562" s="20"/>
      <c r="T562" s="20"/>
    </row>
    <row r="563" spans="2:20" s="13" customFormat="1">
      <c r="B563" s="15"/>
      <c r="F563" s="17"/>
      <c r="G563" s="18"/>
      <c r="H563" s="19"/>
      <c r="I563" s="7"/>
      <c r="J563" s="20"/>
      <c r="K563" s="21"/>
      <c r="L563" s="20"/>
      <c r="P563" s="16"/>
      <c r="Q563" s="14"/>
      <c r="R563" s="14"/>
      <c r="S563" s="20"/>
      <c r="T563" s="20"/>
    </row>
    <row r="564" spans="2:20" s="13" customFormat="1">
      <c r="B564" s="15"/>
      <c r="F564" s="17"/>
      <c r="G564" s="18"/>
      <c r="H564" s="19"/>
      <c r="I564" s="7"/>
      <c r="J564" s="20"/>
      <c r="K564" s="21"/>
      <c r="L564" s="20"/>
      <c r="P564" s="16"/>
      <c r="Q564" s="14"/>
      <c r="R564" s="14"/>
      <c r="S564" s="20"/>
      <c r="T564" s="20"/>
    </row>
    <row r="565" spans="2:20" s="13" customFormat="1">
      <c r="B565" s="15"/>
      <c r="F565" s="17"/>
      <c r="G565" s="18"/>
      <c r="H565" s="19"/>
      <c r="I565" s="7"/>
      <c r="J565" s="20"/>
      <c r="K565" s="21"/>
      <c r="L565" s="20"/>
      <c r="P565" s="16"/>
      <c r="Q565" s="14"/>
      <c r="R565" s="14"/>
      <c r="S565" s="20"/>
      <c r="T565" s="20"/>
    </row>
    <row r="566" spans="2:20" s="13" customFormat="1">
      <c r="B566" s="15"/>
      <c r="F566" s="17"/>
      <c r="G566" s="18"/>
      <c r="H566" s="19"/>
      <c r="I566" s="7"/>
      <c r="J566" s="20"/>
      <c r="K566" s="21"/>
      <c r="L566" s="20"/>
      <c r="P566" s="16"/>
      <c r="Q566" s="14"/>
      <c r="R566" s="14"/>
      <c r="S566" s="20"/>
      <c r="T566" s="20"/>
    </row>
    <row r="567" spans="2:20" s="13" customFormat="1">
      <c r="B567" s="15"/>
      <c r="F567" s="17"/>
      <c r="G567" s="18"/>
      <c r="H567" s="19"/>
      <c r="I567" s="7"/>
      <c r="J567" s="20"/>
      <c r="K567" s="21"/>
      <c r="L567" s="20"/>
      <c r="P567" s="16"/>
      <c r="Q567" s="14"/>
      <c r="R567" s="14"/>
      <c r="S567" s="20"/>
      <c r="T567" s="20"/>
    </row>
    <row r="568" spans="2:20" s="13" customFormat="1">
      <c r="B568" s="15"/>
      <c r="F568" s="17"/>
      <c r="G568" s="18"/>
      <c r="H568" s="19"/>
      <c r="I568" s="7"/>
      <c r="J568" s="20"/>
      <c r="K568" s="21"/>
      <c r="L568" s="20"/>
      <c r="P568" s="16"/>
      <c r="Q568" s="14"/>
      <c r="R568" s="14"/>
      <c r="S568" s="20"/>
      <c r="T568" s="20"/>
    </row>
    <row r="569" spans="2:20" s="13" customFormat="1">
      <c r="B569" s="15"/>
      <c r="F569" s="17"/>
      <c r="G569" s="18"/>
      <c r="H569" s="19"/>
      <c r="I569" s="7"/>
      <c r="J569" s="20"/>
      <c r="K569" s="21"/>
      <c r="L569" s="20"/>
      <c r="P569" s="16"/>
      <c r="Q569" s="14"/>
      <c r="R569" s="14"/>
      <c r="S569" s="20"/>
      <c r="T569" s="20"/>
    </row>
    <row r="570" spans="2:20" s="13" customFormat="1">
      <c r="B570" s="15"/>
      <c r="F570" s="17"/>
      <c r="G570" s="18"/>
      <c r="H570" s="19"/>
      <c r="I570" s="7"/>
      <c r="J570" s="20"/>
      <c r="K570" s="21"/>
      <c r="L570" s="20"/>
      <c r="P570" s="16"/>
      <c r="Q570" s="14"/>
      <c r="R570" s="14"/>
      <c r="S570" s="20"/>
      <c r="T570" s="20"/>
    </row>
    <row r="571" spans="2:20" s="13" customFormat="1">
      <c r="B571" s="15"/>
      <c r="F571" s="17"/>
      <c r="G571" s="18"/>
      <c r="H571" s="19"/>
      <c r="I571" s="7"/>
      <c r="J571" s="20"/>
      <c r="K571" s="21"/>
      <c r="L571" s="20"/>
      <c r="P571" s="16"/>
      <c r="Q571" s="14"/>
      <c r="R571" s="14"/>
      <c r="S571" s="20"/>
      <c r="T571" s="20"/>
    </row>
    <row r="572" spans="2:20" s="13" customFormat="1">
      <c r="B572" s="15"/>
      <c r="F572" s="17"/>
      <c r="G572" s="18"/>
      <c r="H572" s="19"/>
      <c r="I572" s="7"/>
      <c r="J572" s="20"/>
      <c r="K572" s="21"/>
      <c r="L572" s="20"/>
      <c r="P572" s="16"/>
      <c r="Q572" s="14"/>
      <c r="R572" s="14"/>
      <c r="S572" s="20"/>
      <c r="T572" s="20"/>
    </row>
    <row r="573" spans="2:20" s="13" customFormat="1">
      <c r="B573" s="15"/>
      <c r="F573" s="17"/>
      <c r="G573" s="18"/>
      <c r="H573" s="19"/>
      <c r="I573" s="7"/>
      <c r="J573" s="20"/>
      <c r="K573" s="21"/>
      <c r="L573" s="20"/>
      <c r="P573" s="16"/>
      <c r="Q573" s="14"/>
      <c r="R573" s="14"/>
      <c r="S573" s="20"/>
      <c r="T573" s="20"/>
    </row>
    <row r="574" spans="2:20" s="13" customFormat="1">
      <c r="B574" s="15"/>
      <c r="F574" s="17"/>
      <c r="G574" s="18"/>
      <c r="H574" s="19"/>
      <c r="I574" s="7"/>
      <c r="J574" s="20"/>
      <c r="K574" s="21"/>
      <c r="L574" s="20"/>
      <c r="P574" s="16"/>
      <c r="Q574" s="14"/>
      <c r="R574" s="14"/>
      <c r="S574" s="20"/>
      <c r="T574" s="20"/>
    </row>
    <row r="575" spans="2:20" s="13" customFormat="1">
      <c r="B575" s="15"/>
      <c r="F575" s="17"/>
      <c r="G575" s="18"/>
      <c r="H575" s="19"/>
      <c r="I575" s="7"/>
      <c r="J575" s="20"/>
      <c r="K575" s="21"/>
      <c r="L575" s="20"/>
      <c r="P575" s="16"/>
      <c r="Q575" s="14"/>
      <c r="R575" s="14"/>
      <c r="S575" s="20"/>
      <c r="T575" s="20"/>
    </row>
    <row r="576" spans="2:20" s="13" customFormat="1">
      <c r="B576" s="15"/>
      <c r="F576" s="17"/>
      <c r="G576" s="18"/>
      <c r="H576" s="19"/>
      <c r="I576" s="7"/>
      <c r="J576" s="20"/>
      <c r="K576" s="21"/>
      <c r="L576" s="20"/>
      <c r="P576" s="16"/>
      <c r="Q576" s="14"/>
      <c r="R576" s="14"/>
      <c r="S576" s="20"/>
      <c r="T576" s="20"/>
    </row>
    <row r="577" spans="2:20" s="13" customFormat="1">
      <c r="B577" s="15"/>
      <c r="F577" s="17"/>
      <c r="G577" s="18"/>
      <c r="H577" s="19"/>
      <c r="I577" s="7"/>
      <c r="J577" s="20"/>
      <c r="K577" s="21"/>
      <c r="L577" s="20"/>
      <c r="P577" s="16"/>
      <c r="Q577" s="14"/>
      <c r="R577" s="14"/>
      <c r="S577" s="20"/>
      <c r="T577" s="20"/>
    </row>
    <row r="578" spans="2:20" s="13" customFormat="1">
      <c r="B578" s="15"/>
      <c r="F578" s="17"/>
      <c r="G578" s="18"/>
      <c r="H578" s="19"/>
      <c r="I578" s="7"/>
      <c r="J578" s="20"/>
      <c r="K578" s="21"/>
      <c r="L578" s="20"/>
      <c r="P578" s="16"/>
      <c r="Q578" s="14"/>
      <c r="R578" s="14"/>
      <c r="S578" s="20"/>
      <c r="T578" s="20"/>
    </row>
    <row r="579" spans="2:20" s="13" customFormat="1">
      <c r="B579" s="15"/>
      <c r="F579" s="17"/>
      <c r="G579" s="18"/>
      <c r="H579" s="19"/>
      <c r="I579" s="7"/>
      <c r="J579" s="20"/>
      <c r="K579" s="21"/>
      <c r="L579" s="20"/>
      <c r="P579" s="16"/>
      <c r="Q579" s="14"/>
      <c r="R579" s="14"/>
      <c r="S579" s="20"/>
      <c r="T579" s="20"/>
    </row>
    <row r="580" spans="2:20" s="13" customFormat="1">
      <c r="B580" s="15"/>
      <c r="F580" s="17"/>
      <c r="G580" s="18"/>
      <c r="H580" s="19"/>
      <c r="I580" s="7"/>
      <c r="J580" s="20"/>
      <c r="K580" s="21"/>
      <c r="L580" s="20"/>
      <c r="P580" s="16"/>
      <c r="Q580" s="14"/>
      <c r="R580" s="14"/>
      <c r="S580" s="20"/>
      <c r="T580" s="20"/>
    </row>
    <row r="581" spans="2:20" s="13" customFormat="1">
      <c r="B581" s="15"/>
      <c r="F581" s="17"/>
      <c r="G581" s="18"/>
      <c r="H581" s="19"/>
      <c r="I581" s="7"/>
      <c r="J581" s="20"/>
      <c r="K581" s="21"/>
      <c r="L581" s="20"/>
      <c r="P581" s="16"/>
      <c r="Q581" s="14"/>
      <c r="R581" s="14"/>
      <c r="S581" s="20"/>
      <c r="T581" s="20"/>
    </row>
    <row r="582" spans="2:20" s="13" customFormat="1">
      <c r="B582" s="15"/>
      <c r="F582" s="17"/>
      <c r="G582" s="18"/>
      <c r="H582" s="19"/>
      <c r="I582" s="7"/>
      <c r="J582" s="20"/>
      <c r="K582" s="21"/>
      <c r="L582" s="20"/>
      <c r="P582" s="16"/>
      <c r="Q582" s="14"/>
      <c r="R582" s="14"/>
      <c r="S582" s="20"/>
      <c r="T582" s="20"/>
    </row>
    <row r="583" spans="2:20" s="13" customFormat="1">
      <c r="B583" s="15"/>
      <c r="F583" s="17"/>
      <c r="G583" s="18"/>
      <c r="H583" s="19"/>
      <c r="I583" s="7"/>
      <c r="J583" s="20"/>
      <c r="K583" s="21"/>
      <c r="L583" s="20"/>
      <c r="P583" s="16"/>
      <c r="Q583" s="14"/>
      <c r="R583" s="14"/>
      <c r="S583" s="20"/>
      <c r="T583" s="20"/>
    </row>
    <row r="584" spans="2:20" s="13" customFormat="1">
      <c r="B584" s="15"/>
      <c r="F584" s="17"/>
      <c r="G584" s="18"/>
      <c r="H584" s="19"/>
      <c r="I584" s="7"/>
      <c r="J584" s="20"/>
      <c r="K584" s="21"/>
      <c r="L584" s="20"/>
      <c r="P584" s="16"/>
      <c r="Q584" s="14"/>
      <c r="R584" s="14"/>
      <c r="S584" s="20"/>
      <c r="T584" s="20"/>
    </row>
    <row r="585" spans="2:20" s="13" customFormat="1">
      <c r="B585" s="15"/>
      <c r="F585" s="17"/>
      <c r="G585" s="18"/>
      <c r="H585" s="19"/>
      <c r="I585" s="7"/>
      <c r="J585" s="20"/>
      <c r="K585" s="21"/>
      <c r="L585" s="20"/>
      <c r="P585" s="16"/>
      <c r="Q585" s="14"/>
      <c r="R585" s="14"/>
      <c r="S585" s="20"/>
      <c r="T585" s="20"/>
    </row>
    <row r="586" spans="2:20" s="13" customFormat="1">
      <c r="B586" s="15"/>
      <c r="F586" s="17"/>
      <c r="G586" s="18"/>
      <c r="H586" s="19"/>
      <c r="I586" s="7"/>
      <c r="J586" s="20"/>
      <c r="K586" s="21"/>
      <c r="L586" s="20"/>
      <c r="P586" s="16"/>
      <c r="Q586" s="14"/>
      <c r="R586" s="14"/>
      <c r="S586" s="20"/>
      <c r="T586" s="20"/>
    </row>
    <row r="587" spans="2:20" s="13" customFormat="1">
      <c r="B587" s="15"/>
      <c r="F587" s="17"/>
      <c r="G587" s="18"/>
      <c r="H587" s="19"/>
      <c r="I587" s="7"/>
      <c r="J587" s="20"/>
      <c r="K587" s="21"/>
      <c r="L587" s="20"/>
      <c r="P587" s="16"/>
      <c r="Q587" s="14"/>
      <c r="R587" s="14"/>
      <c r="S587" s="20"/>
      <c r="T587" s="20"/>
    </row>
    <row r="588" spans="2:20" s="13" customFormat="1">
      <c r="B588" s="15"/>
      <c r="F588" s="17"/>
      <c r="G588" s="18"/>
      <c r="H588" s="19"/>
      <c r="I588" s="7"/>
      <c r="J588" s="20"/>
      <c r="K588" s="21"/>
      <c r="L588" s="20"/>
      <c r="P588" s="16"/>
      <c r="Q588" s="14"/>
      <c r="R588" s="14"/>
      <c r="S588" s="20"/>
      <c r="T588" s="20"/>
    </row>
    <row r="589" spans="2:20" s="13" customFormat="1">
      <c r="B589" s="15"/>
      <c r="F589" s="17"/>
      <c r="G589" s="18"/>
      <c r="H589" s="19"/>
      <c r="I589" s="7"/>
      <c r="J589" s="20"/>
      <c r="K589" s="21"/>
      <c r="L589" s="20"/>
      <c r="P589" s="16"/>
      <c r="Q589" s="14"/>
      <c r="R589" s="14"/>
      <c r="S589" s="20"/>
      <c r="T589" s="20"/>
    </row>
    <row r="590" spans="2:20" s="13" customFormat="1">
      <c r="B590" s="15"/>
      <c r="F590" s="17"/>
      <c r="G590" s="18"/>
      <c r="H590" s="19"/>
      <c r="I590" s="7"/>
      <c r="J590" s="20"/>
      <c r="K590" s="21"/>
      <c r="L590" s="20"/>
      <c r="P590" s="16"/>
      <c r="Q590" s="14"/>
      <c r="R590" s="14"/>
      <c r="S590" s="20"/>
      <c r="T590" s="20"/>
    </row>
    <row r="591" spans="2:20" s="13" customFormat="1">
      <c r="B591" s="15"/>
      <c r="F591" s="17"/>
      <c r="G591" s="18"/>
      <c r="H591" s="19"/>
      <c r="I591" s="7"/>
      <c r="J591" s="20"/>
      <c r="K591" s="21"/>
      <c r="L591" s="20"/>
      <c r="P591" s="16"/>
      <c r="Q591" s="14"/>
      <c r="R591" s="14"/>
      <c r="S591" s="20"/>
      <c r="T591" s="20"/>
    </row>
    <row r="592" spans="2:20" s="13" customFormat="1">
      <c r="B592" s="15"/>
      <c r="F592" s="17"/>
      <c r="G592" s="18"/>
      <c r="H592" s="19"/>
      <c r="I592" s="7"/>
      <c r="J592" s="20"/>
      <c r="K592" s="21"/>
      <c r="L592" s="20"/>
      <c r="P592" s="16"/>
      <c r="Q592" s="14"/>
      <c r="R592" s="14"/>
      <c r="S592" s="20"/>
      <c r="T592" s="20"/>
    </row>
    <row r="593" spans="2:20" s="13" customFormat="1">
      <c r="B593" s="15"/>
      <c r="F593" s="17"/>
      <c r="G593" s="18"/>
      <c r="H593" s="19"/>
      <c r="I593" s="7"/>
      <c r="J593" s="20"/>
      <c r="K593" s="21"/>
      <c r="L593" s="20"/>
      <c r="P593" s="16"/>
      <c r="Q593" s="14"/>
      <c r="R593" s="14"/>
      <c r="S593" s="20"/>
      <c r="T593" s="20"/>
    </row>
    <row r="594" spans="2:20" s="13" customFormat="1">
      <c r="B594" s="15"/>
      <c r="F594" s="17"/>
      <c r="G594" s="18"/>
      <c r="H594" s="19"/>
      <c r="I594" s="7"/>
      <c r="J594" s="20"/>
      <c r="K594" s="21"/>
      <c r="L594" s="20"/>
      <c r="P594" s="16"/>
      <c r="Q594" s="14"/>
      <c r="R594" s="14"/>
      <c r="S594" s="20"/>
      <c r="T594" s="20"/>
    </row>
    <row r="595" spans="2:20" s="13" customFormat="1">
      <c r="B595" s="15"/>
      <c r="F595" s="17"/>
      <c r="G595" s="18"/>
      <c r="H595" s="19"/>
      <c r="I595" s="7"/>
      <c r="J595" s="20"/>
      <c r="K595" s="21"/>
      <c r="L595" s="20"/>
      <c r="P595" s="16"/>
      <c r="Q595" s="14"/>
      <c r="R595" s="14"/>
      <c r="S595" s="20"/>
      <c r="T595" s="20"/>
    </row>
    <row r="596" spans="2:20" s="13" customFormat="1">
      <c r="B596" s="15"/>
      <c r="F596" s="17"/>
      <c r="G596" s="18"/>
      <c r="H596" s="19"/>
      <c r="I596" s="7"/>
      <c r="J596" s="20"/>
      <c r="K596" s="21"/>
      <c r="L596" s="20"/>
      <c r="P596" s="16"/>
      <c r="Q596" s="14"/>
      <c r="R596" s="14"/>
      <c r="S596" s="20"/>
      <c r="T596" s="20"/>
    </row>
    <row r="597" spans="2:20" s="13" customFormat="1">
      <c r="B597" s="15"/>
      <c r="F597" s="17"/>
      <c r="G597" s="18"/>
      <c r="H597" s="19"/>
      <c r="I597" s="7"/>
      <c r="J597" s="20"/>
      <c r="K597" s="21"/>
      <c r="L597" s="20"/>
      <c r="P597" s="16"/>
      <c r="Q597" s="14"/>
      <c r="R597" s="14"/>
      <c r="S597" s="20"/>
      <c r="T597" s="20"/>
    </row>
    <row r="598" spans="2:20" s="13" customFormat="1">
      <c r="B598" s="15"/>
      <c r="F598" s="17"/>
      <c r="G598" s="18"/>
      <c r="H598" s="19"/>
      <c r="I598" s="7"/>
      <c r="J598" s="20"/>
      <c r="K598" s="21"/>
      <c r="L598" s="20"/>
      <c r="P598" s="16"/>
      <c r="Q598" s="14"/>
      <c r="R598" s="14"/>
      <c r="S598" s="20"/>
      <c r="T598" s="20"/>
    </row>
    <row r="599" spans="2:20" s="13" customFormat="1">
      <c r="B599" s="15"/>
      <c r="F599" s="17"/>
      <c r="G599" s="18"/>
      <c r="H599" s="19"/>
      <c r="I599" s="7"/>
      <c r="J599" s="20"/>
      <c r="K599" s="21"/>
      <c r="L599" s="20"/>
      <c r="P599" s="16"/>
      <c r="Q599" s="14"/>
      <c r="R599" s="14"/>
      <c r="S599" s="20"/>
      <c r="T599" s="20"/>
    </row>
    <row r="600" spans="2:20" s="13" customFormat="1">
      <c r="B600" s="15"/>
      <c r="F600" s="17"/>
      <c r="G600" s="18"/>
      <c r="H600" s="19"/>
      <c r="I600" s="7"/>
      <c r="J600" s="20"/>
      <c r="K600" s="21"/>
      <c r="L600" s="20"/>
      <c r="P600" s="16"/>
      <c r="Q600" s="14"/>
      <c r="R600" s="14"/>
      <c r="S600" s="20"/>
      <c r="T600" s="20"/>
    </row>
    <row r="601" spans="2:20" s="13" customFormat="1">
      <c r="B601" s="15"/>
      <c r="F601" s="17"/>
      <c r="G601" s="18"/>
      <c r="H601" s="19"/>
      <c r="I601" s="7"/>
      <c r="J601" s="20"/>
      <c r="K601" s="21"/>
      <c r="L601" s="20"/>
      <c r="P601" s="16"/>
      <c r="Q601" s="14"/>
      <c r="R601" s="14"/>
      <c r="S601" s="20"/>
      <c r="T601" s="20"/>
    </row>
    <row r="602" spans="2:20" s="13" customFormat="1">
      <c r="B602" s="15"/>
      <c r="F602" s="17"/>
      <c r="G602" s="18"/>
      <c r="H602" s="19"/>
      <c r="I602" s="7"/>
      <c r="J602" s="20"/>
      <c r="K602" s="21"/>
      <c r="L602" s="20"/>
      <c r="P602" s="16"/>
      <c r="Q602" s="14"/>
      <c r="R602" s="14"/>
      <c r="S602" s="20"/>
      <c r="T602" s="20"/>
    </row>
    <row r="603" spans="2:20" s="13" customFormat="1">
      <c r="B603" s="15"/>
      <c r="F603" s="17"/>
      <c r="G603" s="18"/>
      <c r="H603" s="19"/>
      <c r="I603" s="7"/>
      <c r="J603" s="20"/>
      <c r="K603" s="21"/>
      <c r="L603" s="20"/>
      <c r="P603" s="16"/>
      <c r="Q603" s="14"/>
      <c r="R603" s="14"/>
      <c r="S603" s="20"/>
      <c r="T603" s="20"/>
    </row>
    <row r="604" spans="2:20" s="13" customFormat="1">
      <c r="B604" s="15"/>
      <c r="F604" s="17"/>
      <c r="G604" s="18"/>
      <c r="H604" s="19"/>
      <c r="I604" s="7"/>
      <c r="J604" s="20"/>
      <c r="K604" s="21"/>
      <c r="L604" s="20"/>
      <c r="P604" s="16"/>
      <c r="Q604" s="14"/>
      <c r="R604" s="14"/>
      <c r="S604" s="20"/>
      <c r="T604" s="20"/>
    </row>
    <row r="605" spans="2:20" s="13" customFormat="1">
      <c r="B605" s="15"/>
      <c r="F605" s="17"/>
      <c r="G605" s="18"/>
      <c r="H605" s="19"/>
      <c r="I605" s="7"/>
      <c r="J605" s="20"/>
      <c r="K605" s="21"/>
      <c r="L605" s="20"/>
      <c r="P605" s="16"/>
      <c r="Q605" s="14"/>
      <c r="R605" s="14"/>
      <c r="S605" s="20"/>
      <c r="T605" s="20"/>
    </row>
    <row r="606" spans="2:20" s="13" customFormat="1">
      <c r="B606" s="15"/>
      <c r="F606" s="17"/>
      <c r="G606" s="18"/>
      <c r="H606" s="19"/>
      <c r="I606" s="7"/>
      <c r="J606" s="20"/>
      <c r="K606" s="21"/>
      <c r="L606" s="20"/>
      <c r="P606" s="16"/>
      <c r="Q606" s="14"/>
      <c r="R606" s="14"/>
      <c r="S606" s="20"/>
      <c r="T606" s="20"/>
    </row>
    <row r="607" spans="2:20" s="13" customFormat="1">
      <c r="B607" s="15"/>
      <c r="F607" s="17"/>
      <c r="G607" s="18"/>
      <c r="H607" s="19"/>
      <c r="I607" s="7"/>
      <c r="J607" s="20"/>
      <c r="K607" s="21"/>
      <c r="L607" s="20"/>
      <c r="P607" s="16"/>
      <c r="Q607" s="14"/>
      <c r="R607" s="14"/>
      <c r="S607" s="20"/>
      <c r="T607" s="20"/>
    </row>
    <row r="608" spans="2:20" s="13" customFormat="1">
      <c r="B608" s="15"/>
      <c r="F608" s="17"/>
      <c r="G608" s="18"/>
      <c r="H608" s="19"/>
      <c r="I608" s="7"/>
      <c r="J608" s="20"/>
      <c r="K608" s="21"/>
      <c r="L608" s="20"/>
      <c r="P608" s="16"/>
      <c r="Q608" s="14"/>
      <c r="R608" s="14"/>
      <c r="S608" s="20"/>
      <c r="T608" s="20"/>
    </row>
    <row r="609" spans="2:20" s="13" customFormat="1">
      <c r="B609" s="15"/>
      <c r="F609" s="17"/>
      <c r="G609" s="18"/>
      <c r="H609" s="19"/>
      <c r="I609" s="7"/>
      <c r="J609" s="20"/>
      <c r="K609" s="21"/>
      <c r="L609" s="20"/>
      <c r="P609" s="16"/>
      <c r="Q609" s="14"/>
      <c r="R609" s="14"/>
      <c r="S609" s="20"/>
      <c r="T609" s="20"/>
    </row>
    <row r="610" spans="2:20" s="13" customFormat="1">
      <c r="B610" s="15"/>
      <c r="F610" s="17"/>
      <c r="G610" s="18"/>
      <c r="H610" s="19"/>
      <c r="I610" s="7"/>
      <c r="J610" s="20"/>
      <c r="K610" s="21"/>
      <c r="L610" s="20"/>
      <c r="P610" s="16"/>
      <c r="Q610" s="14"/>
      <c r="R610" s="14"/>
      <c r="S610" s="20"/>
      <c r="T610" s="20"/>
    </row>
    <row r="611" spans="2:20" s="13" customFormat="1">
      <c r="B611" s="15"/>
      <c r="F611" s="17"/>
      <c r="G611" s="18"/>
      <c r="H611" s="19"/>
      <c r="I611" s="7"/>
      <c r="J611" s="20"/>
      <c r="K611" s="21"/>
      <c r="L611" s="20"/>
      <c r="P611" s="16"/>
      <c r="Q611" s="14"/>
      <c r="R611" s="14"/>
      <c r="S611" s="20"/>
      <c r="T611" s="20"/>
    </row>
    <row r="612" spans="2:20" s="13" customFormat="1">
      <c r="B612" s="15"/>
      <c r="F612" s="17"/>
      <c r="G612" s="18"/>
      <c r="H612" s="19"/>
      <c r="I612" s="7"/>
      <c r="J612" s="20"/>
      <c r="K612" s="21"/>
      <c r="L612" s="20"/>
      <c r="P612" s="16"/>
      <c r="Q612" s="14"/>
      <c r="R612" s="14"/>
      <c r="S612" s="20"/>
      <c r="T612" s="20"/>
    </row>
    <row r="613" spans="2:20" s="13" customFormat="1">
      <c r="B613" s="15"/>
      <c r="F613" s="17"/>
      <c r="G613" s="18"/>
      <c r="H613" s="19"/>
      <c r="I613" s="7"/>
      <c r="J613" s="20"/>
      <c r="K613" s="21"/>
      <c r="L613" s="20"/>
      <c r="P613" s="16"/>
      <c r="Q613" s="14"/>
      <c r="R613" s="14"/>
      <c r="S613" s="20"/>
      <c r="T613" s="20"/>
    </row>
    <row r="614" spans="2:20" s="13" customFormat="1">
      <c r="B614" s="15"/>
      <c r="F614" s="17"/>
      <c r="G614" s="18"/>
      <c r="H614" s="19"/>
      <c r="I614" s="7"/>
      <c r="J614" s="20"/>
      <c r="K614" s="21"/>
      <c r="L614" s="20"/>
      <c r="P614" s="16"/>
      <c r="Q614" s="14"/>
      <c r="R614" s="14"/>
      <c r="S614" s="20"/>
      <c r="T614" s="20"/>
    </row>
    <row r="615" spans="2:20" s="13" customFormat="1">
      <c r="B615" s="15"/>
      <c r="F615" s="17"/>
      <c r="G615" s="18"/>
      <c r="H615" s="19"/>
      <c r="I615" s="7"/>
      <c r="J615" s="20"/>
      <c r="K615" s="21"/>
      <c r="L615" s="20"/>
      <c r="P615" s="16"/>
      <c r="Q615" s="14"/>
      <c r="R615" s="14"/>
      <c r="S615" s="20"/>
      <c r="T615" s="20"/>
    </row>
    <row r="616" spans="2:20" s="13" customFormat="1">
      <c r="B616" s="15"/>
      <c r="F616" s="17"/>
      <c r="G616" s="18"/>
      <c r="H616" s="19"/>
      <c r="I616" s="7"/>
      <c r="J616" s="20"/>
      <c r="K616" s="21"/>
      <c r="L616" s="20"/>
      <c r="P616" s="16"/>
      <c r="Q616" s="14"/>
      <c r="R616" s="14"/>
      <c r="S616" s="20"/>
      <c r="T616" s="20"/>
    </row>
    <row r="617" spans="2:20" s="13" customFormat="1">
      <c r="B617" s="15"/>
      <c r="F617" s="17"/>
      <c r="G617" s="18"/>
      <c r="H617" s="19"/>
      <c r="I617" s="7"/>
      <c r="J617" s="20"/>
      <c r="K617" s="21"/>
      <c r="L617" s="20"/>
      <c r="P617" s="16"/>
      <c r="Q617" s="14"/>
      <c r="R617" s="14"/>
      <c r="S617" s="20"/>
      <c r="T617" s="20"/>
    </row>
    <row r="618" spans="2:20" s="13" customFormat="1">
      <c r="B618" s="15"/>
      <c r="F618" s="17"/>
      <c r="G618" s="18"/>
      <c r="H618" s="19"/>
      <c r="I618" s="7"/>
      <c r="J618" s="20"/>
      <c r="K618" s="21"/>
      <c r="L618" s="20"/>
      <c r="P618" s="16"/>
      <c r="Q618" s="14"/>
      <c r="R618" s="14"/>
      <c r="S618" s="20"/>
      <c r="T618" s="20"/>
    </row>
    <row r="619" spans="2:20" s="13" customFormat="1">
      <c r="B619" s="15"/>
      <c r="F619" s="17"/>
      <c r="G619" s="18"/>
      <c r="H619" s="19"/>
      <c r="I619" s="7"/>
      <c r="J619" s="20"/>
      <c r="K619" s="21"/>
      <c r="L619" s="20"/>
      <c r="P619" s="16"/>
      <c r="Q619" s="14"/>
      <c r="R619" s="14"/>
      <c r="S619" s="20"/>
      <c r="T619" s="20"/>
    </row>
    <row r="620" spans="2:20" s="13" customFormat="1">
      <c r="B620" s="15"/>
      <c r="F620" s="17"/>
      <c r="G620" s="18"/>
      <c r="H620" s="19"/>
      <c r="I620" s="7"/>
      <c r="J620" s="20"/>
      <c r="K620" s="21"/>
      <c r="L620" s="20"/>
      <c r="P620" s="16"/>
      <c r="Q620" s="14"/>
      <c r="R620" s="14"/>
      <c r="S620" s="20"/>
      <c r="T620" s="20"/>
    </row>
    <row r="621" spans="2:20" s="13" customFormat="1">
      <c r="B621" s="15"/>
      <c r="F621" s="17"/>
      <c r="G621" s="18"/>
      <c r="H621" s="19"/>
      <c r="I621" s="7"/>
      <c r="J621" s="20"/>
      <c r="K621" s="21"/>
      <c r="L621" s="20"/>
      <c r="P621" s="16"/>
      <c r="Q621" s="14"/>
      <c r="R621" s="14"/>
      <c r="S621" s="20"/>
      <c r="T621" s="20"/>
    </row>
    <row r="622" spans="2:20" s="13" customFormat="1">
      <c r="B622" s="15"/>
      <c r="F622" s="17"/>
      <c r="G622" s="18"/>
      <c r="H622" s="19"/>
      <c r="I622" s="7"/>
      <c r="J622" s="20"/>
      <c r="K622" s="21"/>
      <c r="L622" s="20"/>
      <c r="P622" s="16"/>
      <c r="Q622" s="14"/>
      <c r="R622" s="14"/>
      <c r="S622" s="20"/>
      <c r="T622" s="20"/>
    </row>
    <row r="623" spans="2:20" s="13" customFormat="1">
      <c r="B623" s="15"/>
      <c r="F623" s="17"/>
      <c r="G623" s="18"/>
      <c r="H623" s="19"/>
      <c r="I623" s="7"/>
      <c r="J623" s="20"/>
      <c r="K623" s="21"/>
      <c r="L623" s="20"/>
      <c r="P623" s="16"/>
      <c r="Q623" s="14"/>
      <c r="R623" s="14"/>
      <c r="S623" s="20"/>
      <c r="T623" s="20"/>
    </row>
    <row r="624" spans="2:20" s="13" customFormat="1">
      <c r="B624" s="15"/>
      <c r="F624" s="17"/>
      <c r="G624" s="18"/>
      <c r="H624" s="19"/>
      <c r="I624" s="7"/>
      <c r="J624" s="20"/>
      <c r="K624" s="21"/>
      <c r="L624" s="20"/>
      <c r="P624" s="16"/>
      <c r="Q624" s="14"/>
      <c r="R624" s="14"/>
      <c r="S624" s="20"/>
      <c r="T624" s="20"/>
    </row>
    <row r="625" spans="2:20" s="6" customFormat="1">
      <c r="B625" s="22"/>
      <c r="I625" s="7"/>
      <c r="J625" s="8"/>
      <c r="K625" s="9"/>
      <c r="L625" s="8"/>
      <c r="P625" s="23"/>
      <c r="Q625" s="10"/>
      <c r="R625" s="10"/>
      <c r="S625" s="8"/>
      <c r="T625" s="8"/>
    </row>
    <row r="626" spans="2:20" s="6" customFormat="1">
      <c r="B626" s="22"/>
      <c r="I626" s="7"/>
      <c r="J626" s="8"/>
      <c r="K626" s="9"/>
      <c r="L626" s="8"/>
      <c r="P626" s="23"/>
      <c r="Q626" s="10"/>
      <c r="R626" s="10"/>
      <c r="S626" s="8"/>
      <c r="T626" s="8"/>
    </row>
    <row r="627" spans="2:20" s="6" customFormat="1">
      <c r="B627" s="22"/>
      <c r="I627" s="7"/>
      <c r="J627" s="8"/>
      <c r="K627" s="9"/>
      <c r="L627" s="8"/>
      <c r="P627" s="23"/>
      <c r="Q627" s="10"/>
      <c r="R627" s="10"/>
      <c r="S627" s="8"/>
      <c r="T627" s="8"/>
    </row>
    <row r="628" spans="2:20" s="6" customFormat="1">
      <c r="B628" s="22"/>
      <c r="I628" s="7"/>
      <c r="J628" s="8"/>
      <c r="K628" s="9"/>
      <c r="L628" s="8"/>
      <c r="P628" s="23"/>
      <c r="Q628" s="10"/>
      <c r="R628" s="10"/>
      <c r="S628" s="8"/>
      <c r="T628" s="8"/>
    </row>
    <row r="629" spans="2:20" s="6" customFormat="1">
      <c r="B629" s="22"/>
      <c r="I629" s="7"/>
      <c r="J629" s="8"/>
      <c r="K629" s="9"/>
      <c r="L629" s="8"/>
      <c r="P629" s="23"/>
      <c r="Q629" s="10"/>
      <c r="R629" s="10"/>
      <c r="S629" s="8"/>
      <c r="T629" s="8"/>
    </row>
    <row r="630" spans="2:20" s="6" customFormat="1">
      <c r="B630" s="22"/>
      <c r="I630" s="7"/>
      <c r="J630" s="8"/>
      <c r="K630" s="9"/>
      <c r="L630" s="8"/>
      <c r="P630" s="23"/>
      <c r="Q630" s="10"/>
      <c r="R630" s="10"/>
      <c r="S630" s="8"/>
      <c r="T630" s="8"/>
    </row>
    <row r="631" spans="2:20" s="6" customFormat="1">
      <c r="B631" s="22"/>
      <c r="I631" s="7"/>
      <c r="J631" s="8"/>
      <c r="K631" s="9"/>
      <c r="L631" s="8"/>
      <c r="P631" s="23"/>
      <c r="Q631" s="10"/>
      <c r="R631" s="10"/>
      <c r="S631" s="8"/>
      <c r="T631" s="8"/>
    </row>
    <row r="632" spans="2:20" s="6" customFormat="1">
      <c r="B632" s="22"/>
      <c r="I632" s="7"/>
      <c r="J632" s="8"/>
      <c r="K632" s="9"/>
      <c r="L632" s="8"/>
      <c r="P632" s="23"/>
      <c r="Q632" s="10"/>
      <c r="R632" s="10"/>
      <c r="S632" s="8"/>
      <c r="T632" s="8"/>
    </row>
    <row r="633" spans="2:20" s="6" customFormat="1">
      <c r="B633" s="22"/>
      <c r="I633" s="7"/>
      <c r="J633" s="8"/>
      <c r="K633" s="9"/>
      <c r="L633" s="8"/>
      <c r="P633" s="23"/>
      <c r="Q633" s="10"/>
      <c r="R633" s="10"/>
      <c r="S633" s="8"/>
      <c r="T633" s="8"/>
    </row>
    <row r="634" spans="2:20" s="6" customFormat="1">
      <c r="B634" s="22"/>
      <c r="I634" s="7"/>
      <c r="J634" s="8"/>
      <c r="K634" s="9"/>
      <c r="L634" s="8"/>
      <c r="P634" s="23"/>
      <c r="Q634" s="10"/>
      <c r="R634" s="10"/>
      <c r="S634" s="8"/>
      <c r="T634" s="8"/>
    </row>
    <row r="635" spans="2:20" s="6" customFormat="1">
      <c r="B635" s="22"/>
      <c r="I635" s="7"/>
      <c r="J635" s="8"/>
      <c r="K635" s="9"/>
      <c r="L635" s="8"/>
      <c r="P635" s="23"/>
      <c r="Q635" s="10"/>
      <c r="R635" s="10"/>
      <c r="S635" s="8"/>
      <c r="T635" s="8"/>
    </row>
    <row r="636" spans="2:20" s="6" customFormat="1">
      <c r="B636" s="22"/>
      <c r="I636" s="7"/>
      <c r="J636" s="8"/>
      <c r="K636" s="9"/>
      <c r="L636" s="8"/>
      <c r="P636" s="23"/>
      <c r="Q636" s="10"/>
      <c r="R636" s="10"/>
      <c r="S636" s="8"/>
      <c r="T636" s="8"/>
    </row>
    <row r="637" spans="2:20" s="6" customFormat="1">
      <c r="B637" s="22"/>
      <c r="I637" s="7"/>
      <c r="J637" s="8"/>
      <c r="K637" s="9"/>
      <c r="L637" s="8"/>
      <c r="P637" s="23"/>
      <c r="Q637" s="10"/>
      <c r="R637" s="10"/>
      <c r="S637" s="8"/>
      <c r="T637" s="8"/>
    </row>
    <row r="638" spans="2:20" s="6" customFormat="1">
      <c r="B638" s="22"/>
      <c r="I638" s="7"/>
      <c r="J638" s="8"/>
      <c r="K638" s="9"/>
      <c r="L638" s="8"/>
      <c r="P638" s="23"/>
      <c r="Q638" s="10"/>
      <c r="R638" s="10"/>
      <c r="S638" s="8"/>
      <c r="T638" s="8"/>
    </row>
    <row r="639" spans="2:20" s="6" customFormat="1">
      <c r="B639" s="22"/>
      <c r="I639" s="7"/>
      <c r="J639" s="8"/>
      <c r="K639" s="9"/>
      <c r="L639" s="8"/>
      <c r="P639" s="23"/>
      <c r="Q639" s="10"/>
      <c r="R639" s="10"/>
      <c r="S639" s="8"/>
      <c r="T639" s="8"/>
    </row>
    <row r="640" spans="2:20" s="6" customFormat="1">
      <c r="B640" s="22"/>
      <c r="I640" s="7"/>
      <c r="J640" s="8"/>
      <c r="K640" s="9"/>
      <c r="L640" s="8"/>
      <c r="P640" s="23"/>
      <c r="Q640" s="10"/>
      <c r="R640" s="10"/>
      <c r="S640" s="8"/>
      <c r="T640" s="8"/>
    </row>
    <row r="641" spans="2:20" s="6" customFormat="1">
      <c r="B641" s="22"/>
      <c r="I641" s="7"/>
      <c r="J641" s="8"/>
      <c r="K641" s="9"/>
      <c r="L641" s="8"/>
      <c r="P641" s="23"/>
      <c r="Q641" s="10"/>
      <c r="R641" s="10"/>
      <c r="S641" s="8"/>
      <c r="T641" s="8"/>
    </row>
    <row r="642" spans="2:20" s="6" customFormat="1">
      <c r="B642" s="22"/>
      <c r="I642" s="7"/>
      <c r="J642" s="8"/>
      <c r="K642" s="9"/>
      <c r="L642" s="8"/>
      <c r="P642" s="23"/>
      <c r="Q642" s="10"/>
      <c r="R642" s="10"/>
      <c r="S642" s="8"/>
      <c r="T642" s="8"/>
    </row>
    <row r="643" spans="2:20" s="6" customFormat="1">
      <c r="B643" s="22"/>
      <c r="I643" s="7"/>
      <c r="J643" s="8"/>
      <c r="K643" s="9"/>
      <c r="L643" s="8"/>
      <c r="P643" s="23"/>
      <c r="Q643" s="10"/>
      <c r="R643" s="10"/>
      <c r="S643" s="8"/>
      <c r="T643" s="8"/>
    </row>
    <row r="644" spans="2:20" s="6" customFormat="1">
      <c r="B644" s="22"/>
      <c r="I644" s="7"/>
      <c r="J644" s="8"/>
      <c r="K644" s="9"/>
      <c r="L644" s="8"/>
      <c r="P644" s="23"/>
      <c r="Q644" s="10"/>
      <c r="R644" s="10"/>
      <c r="S644" s="8"/>
      <c r="T644" s="8"/>
    </row>
    <row r="645" spans="2:20" s="6" customFormat="1">
      <c r="B645" s="22"/>
      <c r="I645" s="7"/>
      <c r="J645" s="8"/>
      <c r="K645" s="9"/>
      <c r="L645" s="8"/>
      <c r="P645" s="23"/>
      <c r="Q645" s="10"/>
      <c r="R645" s="10"/>
      <c r="S645" s="8"/>
      <c r="T645" s="8"/>
    </row>
    <row r="646" spans="2:20" s="6" customFormat="1">
      <c r="B646" s="22"/>
      <c r="I646" s="7"/>
      <c r="J646" s="8"/>
      <c r="K646" s="9"/>
      <c r="L646" s="8"/>
      <c r="P646" s="23"/>
      <c r="Q646" s="10"/>
      <c r="R646" s="10"/>
      <c r="S646" s="8"/>
      <c r="T646" s="8"/>
    </row>
    <row r="647" spans="2:20" s="6" customFormat="1">
      <c r="B647" s="22"/>
      <c r="I647" s="7"/>
      <c r="J647" s="8"/>
      <c r="K647" s="9"/>
      <c r="L647" s="8"/>
      <c r="P647" s="23"/>
      <c r="Q647" s="10"/>
      <c r="R647" s="10"/>
      <c r="S647" s="8"/>
      <c r="T647" s="8"/>
    </row>
    <row r="648" spans="2:20" s="6" customFormat="1">
      <c r="B648" s="22"/>
      <c r="I648" s="7"/>
      <c r="J648" s="8"/>
      <c r="K648" s="9"/>
      <c r="L648" s="8"/>
      <c r="P648" s="23"/>
      <c r="Q648" s="10"/>
      <c r="R648" s="10"/>
      <c r="S648" s="8"/>
      <c r="T648" s="8"/>
    </row>
    <row r="649" spans="2:20" s="6" customFormat="1">
      <c r="B649" s="22"/>
      <c r="I649" s="7"/>
      <c r="J649" s="8"/>
      <c r="K649" s="9"/>
      <c r="L649" s="8"/>
      <c r="P649" s="23"/>
      <c r="Q649" s="10"/>
      <c r="R649" s="10"/>
      <c r="S649" s="8"/>
      <c r="T649" s="8"/>
    </row>
    <row r="650" spans="2:20" s="6" customFormat="1">
      <c r="B650" s="22"/>
      <c r="I650" s="7"/>
      <c r="J650" s="8"/>
      <c r="K650" s="9"/>
      <c r="L650" s="8"/>
      <c r="P650" s="23"/>
      <c r="Q650" s="10"/>
      <c r="R650" s="10"/>
      <c r="S650" s="8"/>
      <c r="T650" s="8"/>
    </row>
    <row r="651" spans="2:20" s="6" customFormat="1">
      <c r="B651" s="22"/>
      <c r="I651" s="7"/>
      <c r="J651" s="8"/>
      <c r="K651" s="9"/>
      <c r="L651" s="8"/>
      <c r="P651" s="23"/>
      <c r="Q651" s="10"/>
      <c r="R651" s="10"/>
      <c r="S651" s="8"/>
      <c r="T651" s="8"/>
    </row>
    <row r="652" spans="2:20" s="6" customFormat="1">
      <c r="B652" s="22"/>
      <c r="I652" s="7"/>
      <c r="J652" s="8"/>
      <c r="K652" s="9"/>
      <c r="L652" s="8"/>
      <c r="P652" s="23"/>
      <c r="Q652" s="10"/>
      <c r="R652" s="10"/>
      <c r="S652" s="8"/>
      <c r="T652" s="8"/>
    </row>
    <row r="653" spans="2:20" s="6" customFormat="1">
      <c r="B653" s="22"/>
      <c r="I653" s="7"/>
      <c r="J653" s="8"/>
      <c r="K653" s="9"/>
      <c r="L653" s="8"/>
      <c r="P653" s="23"/>
      <c r="Q653" s="10"/>
      <c r="R653" s="10"/>
      <c r="S653" s="8"/>
      <c r="T653" s="8"/>
    </row>
    <row r="654" spans="2:20" s="6" customFormat="1">
      <c r="B654" s="22"/>
      <c r="I654" s="7"/>
      <c r="J654" s="8"/>
      <c r="K654" s="9"/>
      <c r="L654" s="8"/>
      <c r="P654" s="23"/>
      <c r="Q654" s="10"/>
      <c r="R654" s="10"/>
      <c r="S654" s="8"/>
      <c r="T654" s="8"/>
    </row>
    <row r="655" spans="2:20" s="6" customFormat="1">
      <c r="B655" s="22"/>
      <c r="I655" s="7"/>
      <c r="J655" s="8"/>
      <c r="K655" s="9"/>
      <c r="L655" s="8"/>
      <c r="P655" s="23"/>
      <c r="Q655" s="10"/>
      <c r="R655" s="10"/>
      <c r="S655" s="8"/>
      <c r="T655" s="8"/>
    </row>
    <row r="656" spans="2:20" s="6" customFormat="1">
      <c r="B656" s="22"/>
      <c r="I656" s="7"/>
      <c r="J656" s="8"/>
      <c r="K656" s="9"/>
      <c r="L656" s="8"/>
      <c r="P656" s="23"/>
      <c r="Q656" s="10"/>
      <c r="R656" s="10"/>
      <c r="S656" s="8"/>
      <c r="T656" s="8"/>
    </row>
    <row r="657" spans="2:20" s="6" customFormat="1">
      <c r="B657" s="22"/>
      <c r="I657" s="7"/>
      <c r="J657" s="8"/>
      <c r="K657" s="9"/>
      <c r="L657" s="8"/>
      <c r="P657" s="23"/>
      <c r="Q657" s="10"/>
      <c r="R657" s="10"/>
      <c r="S657" s="8"/>
      <c r="T657" s="8"/>
    </row>
    <row r="658" spans="2:20" s="6" customFormat="1">
      <c r="B658" s="22"/>
      <c r="I658" s="7"/>
      <c r="J658" s="8"/>
      <c r="K658" s="9"/>
      <c r="L658" s="8"/>
      <c r="P658" s="23"/>
      <c r="Q658" s="10"/>
      <c r="R658" s="10"/>
      <c r="S658" s="8"/>
      <c r="T658" s="8"/>
    </row>
    <row r="659" spans="2:20" s="6" customFormat="1">
      <c r="B659" s="22"/>
      <c r="I659" s="7"/>
      <c r="J659" s="8"/>
      <c r="K659" s="9"/>
      <c r="L659" s="8"/>
      <c r="P659" s="23"/>
      <c r="Q659" s="10"/>
      <c r="R659" s="10"/>
      <c r="S659" s="8"/>
      <c r="T659" s="8"/>
    </row>
    <row r="660" spans="2:20" s="6" customFormat="1">
      <c r="B660" s="22"/>
      <c r="I660" s="7"/>
      <c r="J660" s="8"/>
      <c r="K660" s="9"/>
      <c r="L660" s="8"/>
      <c r="P660" s="23"/>
      <c r="Q660" s="10"/>
      <c r="R660" s="10"/>
      <c r="S660" s="8"/>
      <c r="T660" s="8"/>
    </row>
    <row r="661" spans="2:20" s="6" customFormat="1">
      <c r="B661" s="22"/>
      <c r="I661" s="7"/>
      <c r="J661" s="8"/>
      <c r="K661" s="9"/>
      <c r="L661" s="8"/>
      <c r="P661" s="23"/>
      <c r="Q661" s="10"/>
      <c r="R661" s="10"/>
      <c r="S661" s="8"/>
      <c r="T661" s="8"/>
    </row>
    <row r="662" spans="2:20" s="6" customFormat="1">
      <c r="B662" s="22"/>
      <c r="I662" s="7"/>
      <c r="J662" s="8"/>
      <c r="K662" s="9"/>
      <c r="L662" s="8"/>
      <c r="P662" s="23"/>
      <c r="Q662" s="10"/>
      <c r="R662" s="10"/>
      <c r="S662" s="8"/>
      <c r="T662" s="8"/>
    </row>
    <row r="663" spans="2:20" s="6" customFormat="1">
      <c r="B663" s="22"/>
      <c r="I663" s="7"/>
      <c r="J663" s="8"/>
      <c r="K663" s="9"/>
      <c r="L663" s="8"/>
      <c r="P663" s="23"/>
      <c r="Q663" s="10"/>
      <c r="R663" s="10"/>
      <c r="S663" s="8"/>
      <c r="T663" s="8"/>
    </row>
    <row r="664" spans="2:20" s="6" customFormat="1">
      <c r="B664" s="22"/>
      <c r="I664" s="7"/>
      <c r="J664" s="8"/>
      <c r="K664" s="9"/>
      <c r="L664" s="8"/>
      <c r="P664" s="23"/>
      <c r="Q664" s="10"/>
      <c r="R664" s="10"/>
      <c r="S664" s="8"/>
      <c r="T664" s="8"/>
    </row>
    <row r="665" spans="2:20" s="6" customFormat="1">
      <c r="B665" s="22"/>
      <c r="I665" s="7"/>
      <c r="J665" s="8"/>
      <c r="K665" s="9"/>
      <c r="L665" s="8"/>
      <c r="P665" s="23"/>
      <c r="Q665" s="10"/>
      <c r="R665" s="10"/>
      <c r="S665" s="8"/>
      <c r="T665" s="8"/>
    </row>
    <row r="666" spans="2:20" s="6" customFormat="1">
      <c r="B666" s="22"/>
      <c r="I666" s="7"/>
      <c r="J666" s="8"/>
      <c r="K666" s="9"/>
      <c r="L666" s="8"/>
      <c r="P666" s="23"/>
      <c r="Q666" s="10"/>
      <c r="R666" s="10"/>
      <c r="S666" s="8"/>
      <c r="T666" s="8"/>
    </row>
    <row r="667" spans="2:20" s="6" customFormat="1">
      <c r="B667" s="22"/>
      <c r="I667" s="7"/>
      <c r="J667" s="8"/>
      <c r="K667" s="9"/>
      <c r="L667" s="8"/>
      <c r="P667" s="23"/>
      <c r="Q667" s="10"/>
      <c r="R667" s="10"/>
      <c r="S667" s="8"/>
      <c r="T667" s="8"/>
    </row>
    <row r="668" spans="2:20" s="6" customFormat="1">
      <c r="B668" s="22"/>
      <c r="I668" s="7"/>
      <c r="J668" s="8"/>
      <c r="K668" s="9"/>
      <c r="L668" s="8"/>
      <c r="P668" s="23"/>
      <c r="Q668" s="10"/>
      <c r="R668" s="10"/>
      <c r="S668" s="8"/>
      <c r="T668" s="8"/>
    </row>
    <row r="669" spans="2:20" s="6" customFormat="1">
      <c r="B669" s="22"/>
      <c r="I669" s="7"/>
      <c r="J669" s="8"/>
      <c r="K669" s="9"/>
      <c r="L669" s="8"/>
      <c r="P669" s="23"/>
      <c r="Q669" s="10"/>
      <c r="R669" s="10"/>
      <c r="S669" s="8"/>
      <c r="T669" s="8"/>
    </row>
    <row r="670" spans="2:20" s="6" customFormat="1">
      <c r="B670" s="22"/>
      <c r="I670" s="7"/>
      <c r="J670" s="8"/>
      <c r="K670" s="9"/>
      <c r="L670" s="8"/>
      <c r="P670" s="23"/>
      <c r="Q670" s="10"/>
      <c r="R670" s="10"/>
      <c r="S670" s="8"/>
      <c r="T670" s="8"/>
    </row>
    <row r="671" spans="2:20" s="6" customFormat="1">
      <c r="B671" s="22"/>
      <c r="I671" s="7"/>
      <c r="J671" s="8"/>
      <c r="K671" s="9"/>
      <c r="L671" s="8"/>
      <c r="P671" s="23"/>
      <c r="Q671" s="10"/>
      <c r="R671" s="10"/>
      <c r="S671" s="8"/>
      <c r="T671" s="8"/>
    </row>
    <row r="672" spans="2:20" s="6" customFormat="1">
      <c r="B672" s="22"/>
      <c r="I672" s="7"/>
      <c r="J672" s="8"/>
      <c r="K672" s="9"/>
      <c r="L672" s="8"/>
      <c r="P672" s="23"/>
      <c r="Q672" s="10"/>
      <c r="R672" s="10"/>
      <c r="S672" s="8"/>
      <c r="T672" s="8"/>
    </row>
    <row r="673" spans="2:20" s="6" customFormat="1">
      <c r="B673" s="22"/>
      <c r="I673" s="7"/>
      <c r="J673" s="8"/>
      <c r="K673" s="9"/>
      <c r="L673" s="8"/>
      <c r="P673" s="23"/>
      <c r="Q673" s="10"/>
      <c r="R673" s="10"/>
      <c r="S673" s="8"/>
      <c r="T673" s="8"/>
    </row>
    <row r="674" spans="2:20" s="6" customFormat="1">
      <c r="B674" s="22"/>
      <c r="I674" s="7"/>
      <c r="J674" s="8"/>
      <c r="K674" s="9"/>
      <c r="L674" s="8"/>
      <c r="P674" s="23"/>
      <c r="Q674" s="10"/>
      <c r="R674" s="10"/>
      <c r="S674" s="8"/>
      <c r="T674" s="8"/>
    </row>
    <row r="675" spans="2:20" s="6" customFormat="1">
      <c r="B675" s="22"/>
      <c r="I675" s="7"/>
      <c r="J675" s="8"/>
      <c r="K675" s="9"/>
      <c r="L675" s="8"/>
      <c r="P675" s="23"/>
      <c r="Q675" s="10"/>
      <c r="R675" s="10"/>
      <c r="S675" s="8"/>
      <c r="T675" s="8"/>
    </row>
    <row r="676" spans="2:20" s="6" customFormat="1">
      <c r="B676" s="22"/>
      <c r="I676" s="7"/>
      <c r="J676" s="8"/>
      <c r="K676" s="9"/>
      <c r="L676" s="8"/>
      <c r="P676" s="23"/>
      <c r="Q676" s="10"/>
      <c r="R676" s="10"/>
      <c r="S676" s="8"/>
      <c r="T676" s="8"/>
    </row>
    <row r="677" spans="2:20" s="6" customFormat="1">
      <c r="B677" s="22"/>
      <c r="I677" s="7"/>
      <c r="J677" s="8"/>
      <c r="K677" s="9"/>
      <c r="L677" s="8"/>
      <c r="P677" s="23"/>
      <c r="Q677" s="10"/>
      <c r="R677" s="10"/>
      <c r="S677" s="8"/>
      <c r="T677" s="8"/>
    </row>
    <row r="678" spans="2:20" s="6" customFormat="1">
      <c r="B678" s="22"/>
      <c r="I678" s="7"/>
      <c r="J678" s="8"/>
      <c r="K678" s="9"/>
      <c r="L678" s="8"/>
      <c r="P678" s="23"/>
      <c r="Q678" s="10"/>
      <c r="R678" s="10"/>
      <c r="S678" s="8"/>
      <c r="T678" s="8"/>
    </row>
    <row r="679" spans="2:20" s="6" customFormat="1">
      <c r="B679" s="22"/>
      <c r="I679" s="7"/>
      <c r="J679" s="8"/>
      <c r="K679" s="9"/>
      <c r="L679" s="8"/>
      <c r="P679" s="23"/>
      <c r="Q679" s="10"/>
      <c r="R679" s="10"/>
      <c r="S679" s="8"/>
      <c r="T679" s="8"/>
    </row>
    <row r="680" spans="2:20" s="6" customFormat="1">
      <c r="B680" s="22"/>
      <c r="I680" s="7"/>
      <c r="J680" s="8"/>
      <c r="K680" s="9"/>
      <c r="L680" s="8"/>
      <c r="P680" s="23"/>
      <c r="Q680" s="10"/>
      <c r="R680" s="10"/>
      <c r="S680" s="8"/>
      <c r="T680" s="8"/>
    </row>
    <row r="681" spans="2:20" s="6" customFormat="1">
      <c r="B681" s="22"/>
      <c r="I681" s="7"/>
      <c r="J681" s="8"/>
      <c r="K681" s="9"/>
      <c r="L681" s="8"/>
      <c r="P681" s="23"/>
      <c r="Q681" s="10"/>
      <c r="R681" s="10"/>
      <c r="S681" s="8"/>
      <c r="T681" s="8"/>
    </row>
    <row r="682" spans="2:20" s="6" customFormat="1">
      <c r="B682" s="22"/>
      <c r="I682" s="7"/>
      <c r="J682" s="8"/>
      <c r="K682" s="9"/>
      <c r="L682" s="8"/>
      <c r="P682" s="23"/>
      <c r="Q682" s="10"/>
      <c r="R682" s="10"/>
      <c r="S682" s="8"/>
      <c r="T682" s="8"/>
    </row>
    <row r="683" spans="2:20" s="6" customFormat="1">
      <c r="B683" s="22"/>
      <c r="I683" s="7"/>
      <c r="J683" s="8"/>
      <c r="K683" s="9"/>
      <c r="L683" s="8"/>
      <c r="P683" s="23"/>
      <c r="Q683" s="10"/>
      <c r="R683" s="10"/>
      <c r="S683" s="8"/>
      <c r="T683" s="8"/>
    </row>
    <row r="684" spans="2:20" s="6" customFormat="1">
      <c r="B684" s="22"/>
      <c r="I684" s="7"/>
      <c r="J684" s="8"/>
      <c r="K684" s="9"/>
      <c r="L684" s="8"/>
      <c r="P684" s="23"/>
      <c r="Q684" s="10"/>
      <c r="R684" s="10"/>
      <c r="S684" s="8"/>
      <c r="T684" s="8"/>
    </row>
    <row r="685" spans="2:20" s="6" customFormat="1">
      <c r="B685" s="22"/>
      <c r="I685" s="7"/>
      <c r="J685" s="8"/>
      <c r="K685" s="9"/>
      <c r="L685" s="8"/>
      <c r="P685" s="23"/>
      <c r="Q685" s="10"/>
      <c r="R685" s="10"/>
      <c r="S685" s="8"/>
      <c r="T685" s="8"/>
    </row>
    <row r="686" spans="2:20" s="6" customFormat="1">
      <c r="B686" s="22"/>
      <c r="I686" s="7"/>
      <c r="J686" s="8"/>
      <c r="K686" s="9"/>
      <c r="L686" s="8"/>
      <c r="P686" s="23"/>
      <c r="Q686" s="10"/>
      <c r="R686" s="10"/>
      <c r="S686" s="8"/>
      <c r="T686" s="8"/>
    </row>
    <row r="687" spans="2:20" s="6" customFormat="1">
      <c r="B687" s="22"/>
      <c r="I687" s="7"/>
      <c r="J687" s="8"/>
      <c r="K687" s="9"/>
      <c r="L687" s="8"/>
      <c r="P687" s="23"/>
      <c r="Q687" s="10"/>
      <c r="R687" s="10"/>
      <c r="S687" s="8"/>
      <c r="T687" s="8"/>
    </row>
    <row r="688" spans="2:20" s="6" customFormat="1">
      <c r="B688" s="22"/>
      <c r="I688" s="7"/>
      <c r="J688" s="8"/>
      <c r="K688" s="9"/>
      <c r="L688" s="8"/>
      <c r="P688" s="23"/>
      <c r="Q688" s="10"/>
      <c r="R688" s="10"/>
      <c r="S688" s="8"/>
      <c r="T688" s="8"/>
    </row>
    <row r="689" spans="2:20" s="6" customFormat="1">
      <c r="B689" s="22"/>
      <c r="I689" s="7"/>
      <c r="J689" s="8"/>
      <c r="K689" s="9"/>
      <c r="L689" s="8"/>
      <c r="P689" s="23"/>
      <c r="Q689" s="10"/>
      <c r="R689" s="10"/>
      <c r="S689" s="8"/>
      <c r="T689" s="8"/>
    </row>
    <row r="690" spans="2:20" s="6" customFormat="1">
      <c r="B690" s="22"/>
      <c r="I690" s="7"/>
      <c r="J690" s="8"/>
      <c r="K690" s="9"/>
      <c r="L690" s="8"/>
      <c r="P690" s="23"/>
      <c r="Q690" s="10"/>
      <c r="R690" s="10"/>
      <c r="S690" s="8"/>
      <c r="T690" s="8"/>
    </row>
    <row r="691" spans="2:20" s="6" customFormat="1">
      <c r="B691" s="22"/>
      <c r="I691" s="7"/>
      <c r="J691" s="8"/>
      <c r="K691" s="9"/>
      <c r="L691" s="8"/>
      <c r="P691" s="23"/>
      <c r="Q691" s="10"/>
      <c r="R691" s="10"/>
      <c r="S691" s="8"/>
      <c r="T691" s="8"/>
    </row>
    <row r="692" spans="2:20" s="6" customFormat="1">
      <c r="B692" s="22"/>
      <c r="I692" s="7"/>
      <c r="J692" s="8"/>
      <c r="K692" s="9"/>
      <c r="L692" s="8"/>
      <c r="P692" s="23"/>
      <c r="Q692" s="10"/>
      <c r="R692" s="10"/>
      <c r="S692" s="8"/>
      <c r="T692" s="8"/>
    </row>
    <row r="693" spans="2:20" s="6" customFormat="1">
      <c r="B693" s="22"/>
      <c r="I693" s="7"/>
      <c r="J693" s="8"/>
      <c r="K693" s="9"/>
      <c r="L693" s="8"/>
      <c r="P693" s="23"/>
      <c r="Q693" s="10"/>
      <c r="R693" s="10"/>
      <c r="S693" s="8"/>
      <c r="T693" s="8"/>
    </row>
    <row r="694" spans="2:20" s="6" customFormat="1">
      <c r="B694" s="22"/>
      <c r="I694" s="7"/>
      <c r="J694" s="8"/>
      <c r="K694" s="9"/>
      <c r="L694" s="8"/>
      <c r="P694" s="23"/>
      <c r="Q694" s="10"/>
      <c r="R694" s="10"/>
      <c r="S694" s="8"/>
      <c r="T694" s="8"/>
    </row>
    <row r="695" spans="2:20" s="6" customFormat="1">
      <c r="B695" s="22"/>
      <c r="I695" s="7"/>
      <c r="J695" s="8"/>
      <c r="K695" s="9"/>
      <c r="L695" s="8"/>
      <c r="P695" s="23"/>
      <c r="Q695" s="10"/>
      <c r="R695" s="10"/>
      <c r="S695" s="8"/>
      <c r="T695" s="8"/>
    </row>
    <row r="696" spans="2:20" s="6" customFormat="1">
      <c r="B696" s="22"/>
      <c r="I696" s="7"/>
      <c r="J696" s="8"/>
      <c r="K696" s="9"/>
      <c r="L696" s="8"/>
      <c r="P696" s="23"/>
      <c r="Q696" s="10"/>
      <c r="R696" s="10"/>
      <c r="S696" s="8"/>
      <c r="T696" s="8"/>
    </row>
    <row r="697" spans="2:20" s="6" customFormat="1">
      <c r="B697" s="22"/>
      <c r="I697" s="7"/>
      <c r="J697" s="8"/>
      <c r="K697" s="9"/>
      <c r="L697" s="8"/>
      <c r="P697" s="23"/>
      <c r="Q697" s="10"/>
      <c r="R697" s="10"/>
      <c r="S697" s="8"/>
      <c r="T697" s="8"/>
    </row>
    <row r="698" spans="2:20" s="6" customFormat="1">
      <c r="B698" s="22"/>
      <c r="I698" s="7"/>
      <c r="J698" s="8"/>
      <c r="K698" s="9"/>
      <c r="L698" s="8"/>
      <c r="P698" s="23"/>
      <c r="Q698" s="10"/>
      <c r="R698" s="10"/>
      <c r="S698" s="8"/>
      <c r="T698" s="8"/>
    </row>
    <row r="699" spans="2:20" s="6" customFormat="1">
      <c r="B699" s="22"/>
      <c r="I699" s="7"/>
      <c r="J699" s="8"/>
      <c r="K699" s="9"/>
      <c r="L699" s="8"/>
      <c r="P699" s="23"/>
      <c r="Q699" s="10"/>
      <c r="R699" s="10"/>
      <c r="S699" s="8"/>
      <c r="T699" s="8"/>
    </row>
    <row r="700" spans="2:20" s="6" customFormat="1">
      <c r="B700" s="22"/>
      <c r="I700" s="7"/>
      <c r="J700" s="8"/>
      <c r="K700" s="9"/>
      <c r="L700" s="8"/>
      <c r="P700" s="23"/>
      <c r="Q700" s="10"/>
      <c r="R700" s="10"/>
      <c r="S700" s="8"/>
      <c r="T700" s="8"/>
    </row>
    <row r="701" spans="2:20" s="6" customFormat="1">
      <c r="B701" s="22"/>
      <c r="I701" s="7"/>
      <c r="J701" s="8"/>
      <c r="K701" s="9"/>
      <c r="L701" s="8"/>
      <c r="P701" s="23"/>
      <c r="Q701" s="10"/>
      <c r="R701" s="10"/>
      <c r="S701" s="8"/>
      <c r="T701" s="8"/>
    </row>
    <row r="702" spans="2:20" s="6" customFormat="1">
      <c r="B702" s="22"/>
      <c r="I702" s="7"/>
      <c r="J702" s="8"/>
      <c r="K702" s="9"/>
      <c r="L702" s="8"/>
      <c r="P702" s="23"/>
      <c r="Q702" s="10"/>
      <c r="R702" s="10"/>
      <c r="S702" s="8"/>
      <c r="T702" s="8"/>
    </row>
    <row r="703" spans="2:20" s="6" customFormat="1">
      <c r="B703" s="22"/>
      <c r="I703" s="7"/>
      <c r="J703" s="8"/>
      <c r="K703" s="9"/>
      <c r="L703" s="8"/>
      <c r="P703" s="23"/>
      <c r="Q703" s="10"/>
      <c r="R703" s="10"/>
      <c r="S703" s="8"/>
      <c r="T703" s="8"/>
    </row>
    <row r="704" spans="2:20" s="6" customFormat="1">
      <c r="B704" s="22"/>
      <c r="I704" s="7"/>
      <c r="J704" s="8"/>
      <c r="K704" s="9"/>
      <c r="L704" s="8"/>
      <c r="P704" s="23"/>
      <c r="Q704" s="10"/>
      <c r="R704" s="10"/>
      <c r="S704" s="8"/>
      <c r="T704" s="8"/>
    </row>
    <row r="705" spans="2:20" s="6" customFormat="1">
      <c r="B705" s="22"/>
      <c r="I705" s="7"/>
      <c r="J705" s="8"/>
      <c r="K705" s="9"/>
      <c r="L705" s="8"/>
      <c r="P705" s="23"/>
      <c r="Q705" s="10"/>
      <c r="R705" s="10"/>
      <c r="S705" s="8"/>
      <c r="T705" s="8"/>
    </row>
    <row r="706" spans="2:20" s="6" customFormat="1">
      <c r="I706" s="7"/>
      <c r="J706" s="8"/>
      <c r="K706" s="9"/>
      <c r="L706" s="8"/>
      <c r="P706" s="23"/>
      <c r="Q706" s="10"/>
      <c r="R706" s="10"/>
      <c r="S706" s="8"/>
      <c r="T706" s="8"/>
    </row>
    <row r="707" spans="2:20" s="6" customFormat="1">
      <c r="I707" s="7"/>
      <c r="J707" s="8"/>
      <c r="K707" s="9"/>
      <c r="L707" s="8"/>
      <c r="P707" s="23"/>
      <c r="Q707" s="10"/>
      <c r="R707" s="10"/>
      <c r="S707" s="8"/>
      <c r="T707" s="8"/>
    </row>
    <row r="708" spans="2:20" s="6" customFormat="1">
      <c r="I708" s="7"/>
      <c r="J708" s="8"/>
      <c r="K708" s="9"/>
      <c r="L708" s="8"/>
      <c r="P708" s="23"/>
      <c r="Q708" s="10"/>
      <c r="R708" s="10"/>
      <c r="S708" s="8"/>
      <c r="T708" s="8"/>
    </row>
    <row r="709" spans="2:20" s="6" customFormat="1">
      <c r="I709" s="7"/>
      <c r="J709" s="8"/>
      <c r="K709" s="9"/>
      <c r="L709" s="8"/>
      <c r="P709" s="23"/>
      <c r="Q709" s="10"/>
      <c r="R709" s="10"/>
      <c r="S709" s="8"/>
      <c r="T709" s="8"/>
    </row>
    <row r="710" spans="2:20" s="6" customFormat="1">
      <c r="I710" s="7"/>
      <c r="J710" s="8"/>
      <c r="K710" s="9"/>
      <c r="L710" s="8"/>
      <c r="P710" s="23"/>
      <c r="Q710" s="10"/>
      <c r="R710" s="10"/>
      <c r="S710" s="8"/>
      <c r="T710" s="8"/>
    </row>
    <row r="711" spans="2:20" s="6" customFormat="1">
      <c r="I711" s="7"/>
      <c r="J711" s="8"/>
      <c r="K711" s="9"/>
      <c r="L711" s="8"/>
      <c r="P711" s="23"/>
      <c r="Q711" s="10"/>
      <c r="R711" s="10"/>
      <c r="S711" s="8"/>
      <c r="T711" s="8"/>
    </row>
    <row r="712" spans="2:20" s="6" customFormat="1">
      <c r="I712" s="7"/>
      <c r="J712" s="8"/>
      <c r="K712" s="9"/>
      <c r="L712" s="8"/>
      <c r="P712" s="23"/>
      <c r="Q712" s="10"/>
      <c r="R712" s="10"/>
      <c r="S712" s="8"/>
      <c r="T712" s="8"/>
    </row>
    <row r="713" spans="2:20" s="6" customFormat="1">
      <c r="I713" s="7"/>
      <c r="J713" s="8"/>
      <c r="K713" s="9"/>
      <c r="L713" s="8"/>
      <c r="P713" s="23"/>
      <c r="Q713" s="10"/>
      <c r="R713" s="10"/>
      <c r="S713" s="8"/>
      <c r="T713" s="8"/>
    </row>
    <row r="714" spans="2:20" s="6" customFormat="1">
      <c r="I714" s="7"/>
      <c r="J714" s="8"/>
      <c r="K714" s="9"/>
      <c r="L714" s="8"/>
      <c r="P714" s="23"/>
      <c r="Q714" s="10"/>
      <c r="R714" s="10"/>
      <c r="S714" s="8"/>
      <c r="T714" s="8"/>
    </row>
    <row r="715" spans="2:20" s="6" customFormat="1">
      <c r="I715" s="7"/>
      <c r="J715" s="8"/>
      <c r="K715" s="9"/>
      <c r="L715" s="8"/>
      <c r="P715" s="23"/>
      <c r="Q715" s="10"/>
      <c r="R715" s="10"/>
      <c r="S715" s="8"/>
      <c r="T715" s="8"/>
    </row>
    <row r="716" spans="2:20" s="6" customFormat="1">
      <c r="I716" s="7"/>
      <c r="J716" s="8"/>
      <c r="K716" s="9"/>
      <c r="L716" s="8"/>
      <c r="P716" s="23"/>
      <c r="Q716" s="10"/>
      <c r="R716" s="10"/>
      <c r="S716" s="8"/>
      <c r="T716" s="8"/>
    </row>
    <row r="717" spans="2:20" s="6" customFormat="1">
      <c r="I717" s="7"/>
      <c r="J717" s="8"/>
      <c r="K717" s="9"/>
      <c r="L717" s="8"/>
      <c r="P717" s="23"/>
      <c r="Q717" s="10"/>
      <c r="R717" s="10"/>
      <c r="S717" s="8"/>
      <c r="T717" s="8"/>
    </row>
    <row r="718" spans="2:20" s="6" customFormat="1">
      <c r="I718" s="7"/>
      <c r="J718" s="8"/>
      <c r="K718" s="9"/>
      <c r="L718" s="8"/>
      <c r="P718" s="23"/>
      <c r="Q718" s="10"/>
      <c r="R718" s="10"/>
      <c r="S718" s="8"/>
      <c r="T718" s="8"/>
    </row>
    <row r="719" spans="2:20" s="6" customFormat="1">
      <c r="I719" s="7"/>
      <c r="J719" s="8"/>
      <c r="K719" s="9"/>
      <c r="L719" s="8"/>
      <c r="P719" s="23"/>
      <c r="Q719" s="10"/>
      <c r="R719" s="10"/>
      <c r="S719" s="8"/>
      <c r="T719" s="8"/>
    </row>
    <row r="720" spans="2:20" s="6" customFormat="1">
      <c r="I720" s="7"/>
      <c r="J720" s="8"/>
      <c r="K720" s="9"/>
      <c r="L720" s="8"/>
      <c r="P720" s="23"/>
      <c r="Q720" s="10"/>
      <c r="R720" s="10"/>
      <c r="S720" s="8"/>
      <c r="T720" s="8"/>
    </row>
    <row r="721" spans="9:20" s="6" customFormat="1">
      <c r="I721" s="7"/>
      <c r="J721" s="8"/>
      <c r="K721" s="9"/>
      <c r="L721" s="8"/>
      <c r="P721" s="23"/>
      <c r="Q721" s="10"/>
      <c r="R721" s="10"/>
      <c r="S721" s="8"/>
      <c r="T721" s="8"/>
    </row>
    <row r="722" spans="9:20" s="6" customFormat="1">
      <c r="I722" s="7"/>
      <c r="J722" s="8"/>
      <c r="K722" s="9"/>
      <c r="L722" s="8"/>
      <c r="P722" s="23"/>
      <c r="Q722" s="10"/>
      <c r="R722" s="10"/>
      <c r="S722" s="8"/>
      <c r="T722" s="8"/>
    </row>
    <row r="723" spans="9:20" s="6" customFormat="1">
      <c r="I723" s="7"/>
      <c r="J723" s="8"/>
      <c r="K723" s="9"/>
      <c r="L723" s="8"/>
      <c r="P723" s="23"/>
      <c r="Q723" s="10"/>
      <c r="R723" s="10"/>
      <c r="S723" s="8"/>
      <c r="T723" s="8"/>
    </row>
    <row r="724" spans="9:20" s="6" customFormat="1">
      <c r="I724" s="7"/>
      <c r="J724" s="8"/>
      <c r="K724" s="9"/>
      <c r="L724" s="8"/>
      <c r="P724" s="23"/>
      <c r="Q724" s="10"/>
      <c r="R724" s="10"/>
      <c r="S724" s="8"/>
      <c r="T724" s="8"/>
    </row>
    <row r="725" spans="9:20" s="6" customFormat="1">
      <c r="I725" s="7"/>
      <c r="J725" s="8"/>
      <c r="K725" s="9"/>
      <c r="L725" s="8"/>
      <c r="P725" s="23"/>
      <c r="Q725" s="10"/>
      <c r="R725" s="10"/>
      <c r="S725" s="8"/>
      <c r="T725" s="8"/>
    </row>
    <row r="726" spans="9:20" s="6" customFormat="1">
      <c r="I726" s="7"/>
      <c r="J726" s="8"/>
      <c r="K726" s="9"/>
      <c r="L726" s="8"/>
      <c r="P726" s="23"/>
      <c r="Q726" s="10"/>
      <c r="R726" s="10"/>
      <c r="S726" s="8"/>
      <c r="T726" s="8"/>
    </row>
    <row r="727" spans="9:20" s="6" customFormat="1">
      <c r="I727" s="7"/>
      <c r="J727" s="8"/>
      <c r="K727" s="9"/>
      <c r="L727" s="8"/>
      <c r="P727" s="23"/>
      <c r="Q727" s="10"/>
      <c r="R727" s="10"/>
      <c r="S727" s="8"/>
      <c r="T727" s="8"/>
    </row>
    <row r="728" spans="9:20" s="6" customFormat="1">
      <c r="I728" s="7"/>
      <c r="J728" s="8"/>
      <c r="K728" s="9"/>
      <c r="L728" s="8"/>
      <c r="P728" s="23"/>
      <c r="Q728" s="10"/>
      <c r="R728" s="10"/>
      <c r="S728" s="8"/>
      <c r="T728" s="8"/>
    </row>
    <row r="729" spans="9:20" s="6" customFormat="1">
      <c r="I729" s="7"/>
      <c r="J729" s="8"/>
      <c r="K729" s="9"/>
      <c r="L729" s="8"/>
      <c r="P729" s="23"/>
      <c r="Q729" s="10"/>
      <c r="R729" s="10"/>
      <c r="S729" s="8"/>
      <c r="T729" s="8"/>
    </row>
    <row r="730" spans="9:20" s="6" customFormat="1">
      <c r="I730" s="7"/>
      <c r="J730" s="8"/>
      <c r="K730" s="9"/>
      <c r="L730" s="8"/>
      <c r="P730" s="23"/>
      <c r="Q730" s="10"/>
      <c r="R730" s="10"/>
      <c r="S730" s="8"/>
      <c r="T730" s="8"/>
    </row>
    <row r="731" spans="9:20" s="6" customFormat="1">
      <c r="I731" s="7"/>
      <c r="J731" s="8"/>
      <c r="K731" s="9"/>
      <c r="L731" s="8"/>
      <c r="P731" s="23"/>
      <c r="Q731" s="10"/>
      <c r="R731" s="10"/>
      <c r="S731" s="8"/>
      <c r="T731" s="8"/>
    </row>
    <row r="732" spans="9:20" s="6" customFormat="1">
      <c r="I732" s="7"/>
      <c r="J732" s="8"/>
      <c r="K732" s="9"/>
      <c r="L732" s="8"/>
      <c r="P732" s="23"/>
      <c r="Q732" s="10"/>
      <c r="R732" s="10"/>
      <c r="S732" s="8"/>
      <c r="T732" s="8"/>
    </row>
    <row r="733" spans="9:20" s="6" customFormat="1">
      <c r="I733" s="7"/>
      <c r="J733" s="8"/>
      <c r="K733" s="9"/>
      <c r="L733" s="8"/>
      <c r="P733" s="23"/>
      <c r="Q733" s="10"/>
      <c r="R733" s="10"/>
      <c r="S733" s="8"/>
      <c r="T733" s="8"/>
    </row>
    <row r="734" spans="9:20" s="6" customFormat="1">
      <c r="I734" s="7"/>
      <c r="J734" s="8"/>
      <c r="K734" s="9"/>
      <c r="L734" s="8"/>
      <c r="P734" s="23"/>
      <c r="Q734" s="10"/>
      <c r="R734" s="10"/>
      <c r="S734" s="8"/>
      <c r="T734" s="8"/>
    </row>
    <row r="735" spans="9:20" s="6" customFormat="1">
      <c r="I735" s="7"/>
      <c r="J735" s="8"/>
      <c r="K735" s="9"/>
      <c r="L735" s="8"/>
      <c r="P735" s="23"/>
      <c r="Q735" s="10"/>
      <c r="R735" s="10"/>
      <c r="S735" s="8"/>
      <c r="T735" s="8"/>
    </row>
    <row r="736" spans="9:20" s="6" customFormat="1">
      <c r="I736" s="7"/>
      <c r="J736" s="8"/>
      <c r="K736" s="9"/>
      <c r="L736" s="8"/>
      <c r="P736" s="23"/>
      <c r="Q736" s="10"/>
      <c r="R736" s="10"/>
      <c r="S736" s="8"/>
      <c r="T736" s="8"/>
    </row>
    <row r="737" spans="9:20" s="6" customFormat="1">
      <c r="I737" s="7"/>
      <c r="J737" s="8"/>
      <c r="K737" s="9"/>
      <c r="L737" s="8"/>
      <c r="P737" s="23"/>
      <c r="Q737" s="10"/>
      <c r="R737" s="10"/>
      <c r="S737" s="8"/>
      <c r="T737" s="8"/>
    </row>
    <row r="738" spans="9:20" s="6" customFormat="1">
      <c r="I738" s="7"/>
      <c r="J738" s="8"/>
      <c r="K738" s="9"/>
      <c r="L738" s="8"/>
      <c r="P738" s="23"/>
      <c r="Q738" s="10"/>
      <c r="R738" s="10"/>
      <c r="S738" s="8"/>
      <c r="T738" s="8"/>
    </row>
    <row r="739" spans="9:20" s="6" customFormat="1">
      <c r="I739" s="7"/>
      <c r="J739" s="8"/>
      <c r="K739" s="9"/>
      <c r="L739" s="8"/>
      <c r="P739" s="23"/>
      <c r="Q739" s="10"/>
      <c r="R739" s="10"/>
      <c r="S739" s="8"/>
      <c r="T739" s="8"/>
    </row>
    <row r="740" spans="9:20" s="6" customFormat="1">
      <c r="I740" s="7"/>
      <c r="J740" s="8"/>
      <c r="K740" s="9"/>
      <c r="L740" s="8"/>
      <c r="P740" s="23"/>
      <c r="Q740" s="10"/>
      <c r="R740" s="10"/>
      <c r="S740" s="8"/>
      <c r="T740" s="8"/>
    </row>
    <row r="741" spans="9:20" s="6" customFormat="1">
      <c r="I741" s="7"/>
      <c r="J741" s="8"/>
      <c r="K741" s="9"/>
      <c r="L741" s="8"/>
      <c r="P741" s="23"/>
      <c r="Q741" s="10"/>
      <c r="R741" s="10"/>
      <c r="S741" s="8"/>
      <c r="T741" s="8"/>
    </row>
    <row r="742" spans="9:20" s="6" customFormat="1">
      <c r="I742" s="7"/>
      <c r="J742" s="8"/>
      <c r="K742" s="9"/>
      <c r="L742" s="8"/>
      <c r="P742" s="23"/>
      <c r="Q742" s="10"/>
      <c r="R742" s="10"/>
      <c r="S742" s="8"/>
      <c r="T742" s="8"/>
    </row>
    <row r="743" spans="9:20" s="6" customFormat="1">
      <c r="I743" s="7"/>
      <c r="J743" s="8"/>
      <c r="K743" s="9"/>
      <c r="L743" s="8"/>
      <c r="P743" s="23"/>
      <c r="Q743" s="10"/>
      <c r="R743" s="10"/>
      <c r="S743" s="8"/>
      <c r="T743" s="8"/>
    </row>
    <row r="744" spans="9:20" s="6" customFormat="1">
      <c r="I744" s="7"/>
      <c r="J744" s="8"/>
      <c r="K744" s="9"/>
      <c r="L744" s="8"/>
      <c r="P744" s="23"/>
      <c r="Q744" s="10"/>
      <c r="R744" s="10"/>
      <c r="S744" s="8"/>
      <c r="T744" s="8"/>
    </row>
    <row r="745" spans="9:20" s="6" customFormat="1">
      <c r="I745" s="7"/>
      <c r="J745" s="8"/>
      <c r="K745" s="9"/>
      <c r="L745" s="8"/>
      <c r="P745" s="23"/>
      <c r="Q745" s="10"/>
      <c r="R745" s="10"/>
      <c r="S745" s="8"/>
      <c r="T745" s="8"/>
    </row>
    <row r="746" spans="9:20" s="6" customFormat="1">
      <c r="I746" s="7"/>
      <c r="J746" s="8"/>
      <c r="K746" s="9"/>
      <c r="L746" s="8"/>
      <c r="P746" s="23"/>
      <c r="Q746" s="10"/>
      <c r="R746" s="10"/>
      <c r="S746" s="8"/>
      <c r="T746" s="8"/>
    </row>
    <row r="747" spans="9:20" s="6" customFormat="1">
      <c r="I747" s="7"/>
      <c r="J747" s="8"/>
      <c r="K747" s="9"/>
      <c r="L747" s="8"/>
      <c r="P747" s="23"/>
      <c r="Q747" s="10"/>
      <c r="R747" s="10"/>
      <c r="S747" s="8"/>
      <c r="T747" s="8"/>
    </row>
    <row r="748" spans="9:20" s="6" customFormat="1">
      <c r="I748" s="7"/>
      <c r="J748" s="8"/>
      <c r="K748" s="9"/>
      <c r="L748" s="8"/>
      <c r="P748" s="23"/>
      <c r="Q748" s="10"/>
      <c r="R748" s="10"/>
      <c r="S748" s="8"/>
      <c r="T748" s="8"/>
    </row>
    <row r="749" spans="9:20" s="6" customFormat="1">
      <c r="I749" s="7"/>
      <c r="J749" s="8"/>
      <c r="K749" s="9"/>
      <c r="L749" s="8"/>
      <c r="P749" s="23"/>
      <c r="Q749" s="10"/>
      <c r="R749" s="10"/>
      <c r="S749" s="8"/>
      <c r="T749" s="8"/>
    </row>
    <row r="750" spans="9:20" s="6" customFormat="1">
      <c r="I750" s="7"/>
      <c r="J750" s="8"/>
      <c r="K750" s="9"/>
      <c r="L750" s="8"/>
      <c r="P750" s="23"/>
      <c r="Q750" s="10"/>
      <c r="R750" s="10"/>
      <c r="S750" s="8"/>
      <c r="T750" s="8"/>
    </row>
    <row r="751" spans="9:20" s="6" customFormat="1">
      <c r="I751" s="7"/>
      <c r="J751" s="8"/>
      <c r="K751" s="9"/>
      <c r="L751" s="8"/>
      <c r="P751" s="23"/>
      <c r="Q751" s="10"/>
      <c r="R751" s="10"/>
      <c r="S751" s="8"/>
      <c r="T751" s="8"/>
    </row>
    <row r="752" spans="9:20" s="6" customFormat="1">
      <c r="I752" s="7"/>
      <c r="J752" s="8"/>
      <c r="K752" s="9"/>
      <c r="L752" s="8"/>
      <c r="P752" s="23"/>
      <c r="Q752" s="10"/>
      <c r="R752" s="10"/>
      <c r="S752" s="8"/>
      <c r="T752" s="8"/>
    </row>
    <row r="753" spans="9:20" s="6" customFormat="1">
      <c r="I753" s="7"/>
      <c r="J753" s="8"/>
      <c r="K753" s="9"/>
      <c r="L753" s="8"/>
      <c r="P753" s="23"/>
      <c r="Q753" s="10"/>
      <c r="R753" s="10"/>
      <c r="S753" s="8"/>
      <c r="T753" s="8"/>
    </row>
    <row r="754" spans="9:20" s="6" customFormat="1">
      <c r="I754" s="7"/>
      <c r="J754" s="8"/>
      <c r="K754" s="9"/>
      <c r="L754" s="8"/>
      <c r="P754" s="23"/>
      <c r="Q754" s="10"/>
      <c r="R754" s="10"/>
      <c r="S754" s="8"/>
      <c r="T754" s="8"/>
    </row>
    <row r="755" spans="9:20" s="6" customFormat="1">
      <c r="I755" s="7"/>
      <c r="J755" s="8"/>
      <c r="K755" s="9"/>
      <c r="L755" s="8"/>
      <c r="P755" s="23"/>
      <c r="Q755" s="10"/>
      <c r="R755" s="10"/>
      <c r="S755" s="8"/>
      <c r="T755" s="8"/>
    </row>
    <row r="756" spans="9:20" s="6" customFormat="1">
      <c r="I756" s="7"/>
      <c r="J756" s="8"/>
      <c r="K756" s="9"/>
      <c r="L756" s="8"/>
      <c r="P756" s="23"/>
      <c r="Q756" s="10"/>
      <c r="R756" s="10"/>
      <c r="S756" s="8"/>
      <c r="T756" s="8"/>
    </row>
    <row r="757" spans="9:20" s="6" customFormat="1">
      <c r="I757" s="7"/>
      <c r="J757" s="8"/>
      <c r="K757" s="9"/>
      <c r="L757" s="8"/>
      <c r="P757" s="23"/>
      <c r="Q757" s="10"/>
      <c r="R757" s="10"/>
      <c r="S757" s="8"/>
      <c r="T757" s="8"/>
    </row>
    <row r="758" spans="9:20" s="6" customFormat="1">
      <c r="I758" s="7"/>
      <c r="J758" s="8"/>
      <c r="K758" s="9"/>
      <c r="L758" s="8"/>
      <c r="P758" s="23"/>
      <c r="Q758" s="10"/>
      <c r="R758" s="10"/>
      <c r="S758" s="8"/>
      <c r="T758" s="8"/>
    </row>
    <row r="759" spans="9:20" s="6" customFormat="1">
      <c r="I759" s="7"/>
      <c r="J759" s="8"/>
      <c r="K759" s="9"/>
      <c r="L759" s="8"/>
      <c r="P759" s="23"/>
      <c r="Q759" s="10"/>
      <c r="R759" s="10"/>
      <c r="S759" s="8"/>
      <c r="T759" s="8"/>
    </row>
    <row r="760" spans="9:20" s="6" customFormat="1">
      <c r="I760" s="7"/>
      <c r="J760" s="8"/>
      <c r="K760" s="9"/>
      <c r="L760" s="8"/>
      <c r="P760" s="23"/>
      <c r="Q760" s="10"/>
      <c r="R760" s="10"/>
      <c r="S760" s="8"/>
      <c r="T760" s="8"/>
    </row>
    <row r="761" spans="9:20" s="6" customFormat="1">
      <c r="I761" s="7"/>
      <c r="J761" s="8"/>
      <c r="K761" s="9"/>
      <c r="L761" s="8"/>
      <c r="P761" s="23"/>
      <c r="Q761" s="10"/>
      <c r="R761" s="10"/>
      <c r="S761" s="8"/>
      <c r="T761" s="8"/>
    </row>
    <row r="762" spans="9:20" s="6" customFormat="1">
      <c r="I762" s="7"/>
      <c r="J762" s="8"/>
      <c r="K762" s="9"/>
      <c r="L762" s="8"/>
      <c r="P762" s="23"/>
      <c r="Q762" s="10"/>
      <c r="R762" s="10"/>
      <c r="S762" s="8"/>
      <c r="T762" s="8"/>
    </row>
    <row r="763" spans="9:20" s="6" customFormat="1">
      <c r="I763" s="7"/>
      <c r="J763" s="8"/>
      <c r="K763" s="9"/>
      <c r="L763" s="8"/>
      <c r="P763" s="23"/>
      <c r="Q763" s="10"/>
      <c r="R763" s="10"/>
      <c r="S763" s="8"/>
      <c r="T763" s="8"/>
    </row>
    <row r="764" spans="9:20" s="6" customFormat="1">
      <c r="I764" s="7"/>
      <c r="J764" s="8"/>
      <c r="K764" s="9"/>
      <c r="L764" s="8"/>
      <c r="P764" s="23"/>
      <c r="Q764" s="10"/>
      <c r="R764" s="10"/>
      <c r="S764" s="8"/>
      <c r="T764" s="8"/>
    </row>
    <row r="765" spans="9:20" s="6" customFormat="1">
      <c r="I765" s="7"/>
      <c r="J765" s="8"/>
      <c r="K765" s="9"/>
      <c r="L765" s="8"/>
      <c r="P765" s="23"/>
      <c r="Q765" s="10"/>
      <c r="R765" s="10"/>
      <c r="S765" s="8"/>
      <c r="T765" s="8"/>
    </row>
    <row r="766" spans="9:20" s="6" customFormat="1">
      <c r="I766" s="7"/>
      <c r="J766" s="8"/>
      <c r="K766" s="9"/>
      <c r="L766" s="8"/>
      <c r="P766" s="23"/>
      <c r="Q766" s="10"/>
      <c r="R766" s="10"/>
      <c r="S766" s="8"/>
      <c r="T766" s="8"/>
    </row>
    <row r="767" spans="9:20" s="6" customFormat="1">
      <c r="I767" s="7"/>
      <c r="J767" s="8"/>
      <c r="K767" s="9"/>
      <c r="L767" s="8"/>
      <c r="P767" s="23"/>
      <c r="Q767" s="10"/>
      <c r="R767" s="10"/>
      <c r="S767" s="8"/>
      <c r="T767" s="8"/>
    </row>
    <row r="768" spans="9:20" s="6" customFormat="1">
      <c r="I768" s="7"/>
      <c r="J768" s="8"/>
      <c r="K768" s="9"/>
      <c r="L768" s="8"/>
      <c r="P768" s="23"/>
      <c r="Q768" s="10"/>
      <c r="R768" s="10"/>
      <c r="S768" s="8"/>
      <c r="T768" s="8"/>
    </row>
    <row r="769" spans="9:20" s="6" customFormat="1">
      <c r="I769" s="7"/>
      <c r="J769" s="8"/>
      <c r="K769" s="9"/>
      <c r="L769" s="8"/>
      <c r="P769" s="23"/>
      <c r="Q769" s="10"/>
      <c r="R769" s="10"/>
      <c r="S769" s="8"/>
      <c r="T769" s="8"/>
    </row>
    <row r="770" spans="9:20" s="6" customFormat="1">
      <c r="I770" s="7"/>
      <c r="J770" s="8"/>
      <c r="K770" s="9"/>
      <c r="L770" s="8"/>
      <c r="P770" s="23"/>
      <c r="Q770" s="10"/>
      <c r="R770" s="10"/>
      <c r="S770" s="8"/>
      <c r="T770" s="8"/>
    </row>
    <row r="771" spans="9:20" s="6" customFormat="1">
      <c r="I771" s="7"/>
      <c r="J771" s="8"/>
      <c r="K771" s="9"/>
      <c r="L771" s="8"/>
      <c r="P771" s="23"/>
      <c r="Q771" s="10"/>
      <c r="R771" s="10"/>
      <c r="S771" s="8"/>
      <c r="T771" s="8"/>
    </row>
    <row r="772" spans="9:20" s="6" customFormat="1">
      <c r="I772" s="7"/>
      <c r="J772" s="8"/>
      <c r="K772" s="9"/>
      <c r="L772" s="8"/>
      <c r="P772" s="23"/>
      <c r="Q772" s="10"/>
      <c r="R772" s="10"/>
      <c r="S772" s="8"/>
      <c r="T772" s="8"/>
    </row>
    <row r="773" spans="9:20" s="6" customFormat="1">
      <c r="I773" s="7"/>
      <c r="J773" s="8"/>
      <c r="K773" s="9"/>
      <c r="L773" s="8"/>
      <c r="P773" s="23"/>
      <c r="Q773" s="10"/>
      <c r="R773" s="10"/>
      <c r="S773" s="8"/>
      <c r="T773" s="8"/>
    </row>
    <row r="774" spans="9:20" s="6" customFormat="1">
      <c r="I774" s="7"/>
      <c r="J774" s="8"/>
      <c r="K774" s="9"/>
      <c r="L774" s="8"/>
      <c r="P774" s="23"/>
      <c r="Q774" s="10"/>
      <c r="R774" s="10"/>
      <c r="S774" s="8"/>
      <c r="T774" s="8"/>
    </row>
    <row r="775" spans="9:20" s="6" customFormat="1">
      <c r="I775" s="7"/>
      <c r="J775" s="8"/>
      <c r="K775" s="9"/>
      <c r="L775" s="8"/>
      <c r="P775" s="23"/>
      <c r="Q775" s="10"/>
      <c r="R775" s="10"/>
      <c r="S775" s="8"/>
      <c r="T775" s="8"/>
    </row>
    <row r="776" spans="9:20" s="6" customFormat="1">
      <c r="I776" s="7"/>
      <c r="J776" s="8"/>
      <c r="K776" s="9"/>
      <c r="L776" s="8"/>
      <c r="P776" s="23"/>
      <c r="Q776" s="10"/>
      <c r="R776" s="10"/>
      <c r="S776" s="8"/>
      <c r="T776" s="8"/>
    </row>
    <row r="777" spans="9:20" s="6" customFormat="1">
      <c r="I777" s="7"/>
      <c r="J777" s="8"/>
      <c r="K777" s="9"/>
      <c r="L777" s="8"/>
      <c r="P777" s="23"/>
      <c r="Q777" s="10"/>
      <c r="R777" s="10"/>
      <c r="S777" s="8"/>
      <c r="T777" s="8"/>
    </row>
    <row r="778" spans="9:20" s="6" customFormat="1">
      <c r="I778" s="7"/>
      <c r="J778" s="8"/>
      <c r="K778" s="9"/>
      <c r="L778" s="8"/>
      <c r="P778" s="23"/>
      <c r="Q778" s="10"/>
      <c r="R778" s="10"/>
      <c r="S778" s="8"/>
      <c r="T778" s="8"/>
    </row>
    <row r="779" spans="9:20" s="6" customFormat="1">
      <c r="I779" s="7"/>
      <c r="J779" s="8"/>
      <c r="K779" s="9"/>
      <c r="L779" s="8"/>
      <c r="P779" s="23"/>
      <c r="Q779" s="10"/>
      <c r="R779" s="10"/>
      <c r="S779" s="8"/>
      <c r="T779" s="8"/>
    </row>
    <row r="780" spans="9:20" s="6" customFormat="1">
      <c r="I780" s="7"/>
      <c r="J780" s="8"/>
      <c r="K780" s="9"/>
      <c r="L780" s="8"/>
      <c r="P780" s="23"/>
      <c r="Q780" s="10"/>
      <c r="R780" s="10"/>
      <c r="S780" s="8"/>
      <c r="T780" s="8"/>
    </row>
    <row r="781" spans="9:20" s="6" customFormat="1">
      <c r="I781" s="7"/>
      <c r="J781" s="8"/>
      <c r="K781" s="9"/>
      <c r="L781" s="8"/>
      <c r="P781" s="23"/>
      <c r="Q781" s="10"/>
      <c r="R781" s="10"/>
      <c r="S781" s="8"/>
      <c r="T781" s="8"/>
    </row>
    <row r="782" spans="9:20" s="6" customFormat="1">
      <c r="I782" s="7"/>
      <c r="J782" s="8"/>
      <c r="K782" s="9"/>
      <c r="L782" s="8"/>
      <c r="P782" s="23"/>
      <c r="Q782" s="10"/>
      <c r="R782" s="10"/>
      <c r="S782" s="8"/>
      <c r="T782" s="8"/>
    </row>
    <row r="783" spans="9:20" s="6" customFormat="1">
      <c r="I783" s="7"/>
      <c r="J783" s="8"/>
      <c r="K783" s="9"/>
      <c r="L783" s="8"/>
      <c r="P783" s="23"/>
      <c r="Q783" s="10"/>
      <c r="R783" s="10"/>
      <c r="S783" s="8"/>
      <c r="T783" s="8"/>
    </row>
    <row r="784" spans="9:20" s="6" customFormat="1">
      <c r="I784" s="7"/>
      <c r="J784" s="8"/>
      <c r="K784" s="9"/>
      <c r="L784" s="8"/>
      <c r="P784" s="23"/>
      <c r="Q784" s="10"/>
      <c r="R784" s="10"/>
      <c r="S784" s="8"/>
      <c r="T784" s="8"/>
    </row>
    <row r="785" spans="9:20" s="6" customFormat="1">
      <c r="I785" s="7"/>
      <c r="J785" s="8"/>
      <c r="K785" s="9"/>
      <c r="L785" s="8"/>
      <c r="P785" s="23"/>
      <c r="Q785" s="10"/>
      <c r="R785" s="10"/>
      <c r="S785" s="8"/>
      <c r="T785" s="8"/>
    </row>
    <row r="786" spans="9:20" s="6" customFormat="1">
      <c r="I786" s="7"/>
      <c r="J786" s="8"/>
      <c r="K786" s="9"/>
      <c r="L786" s="8"/>
      <c r="P786" s="23"/>
      <c r="Q786" s="10"/>
      <c r="R786" s="10"/>
      <c r="S786" s="8"/>
      <c r="T786" s="8"/>
    </row>
    <row r="787" spans="9:20" s="6" customFormat="1">
      <c r="I787" s="7"/>
      <c r="J787" s="8"/>
      <c r="K787" s="9"/>
      <c r="L787" s="8"/>
      <c r="P787" s="23"/>
      <c r="Q787" s="10"/>
      <c r="R787" s="10"/>
      <c r="S787" s="8"/>
      <c r="T787" s="8"/>
    </row>
    <row r="788" spans="9:20" s="6" customFormat="1">
      <c r="I788" s="7"/>
      <c r="J788" s="8"/>
      <c r="K788" s="9"/>
      <c r="L788" s="8"/>
      <c r="P788" s="23"/>
      <c r="Q788" s="10"/>
      <c r="R788" s="10"/>
      <c r="S788" s="8"/>
      <c r="T788" s="8"/>
    </row>
    <row r="789" spans="9:20" s="6" customFormat="1">
      <c r="I789" s="7"/>
      <c r="J789" s="8"/>
      <c r="K789" s="9"/>
      <c r="L789" s="8"/>
      <c r="P789" s="23"/>
      <c r="Q789" s="10"/>
      <c r="R789" s="10"/>
      <c r="S789" s="8"/>
      <c r="T789" s="8"/>
    </row>
    <row r="790" spans="9:20" s="6" customFormat="1">
      <c r="I790" s="7"/>
      <c r="J790" s="8"/>
      <c r="K790" s="9"/>
      <c r="L790" s="8"/>
      <c r="P790" s="23"/>
      <c r="Q790" s="10"/>
      <c r="R790" s="10"/>
      <c r="S790" s="8"/>
      <c r="T790" s="8"/>
    </row>
    <row r="791" spans="9:20" s="6" customFormat="1">
      <c r="I791" s="7"/>
      <c r="J791" s="8"/>
      <c r="K791" s="9"/>
      <c r="L791" s="8"/>
      <c r="P791" s="23"/>
      <c r="Q791" s="10"/>
      <c r="R791" s="10"/>
      <c r="S791" s="8"/>
      <c r="T791" s="8"/>
    </row>
    <row r="792" spans="9:20" s="6" customFormat="1">
      <c r="I792" s="7"/>
      <c r="J792" s="8"/>
      <c r="K792" s="9"/>
      <c r="L792" s="8"/>
      <c r="P792" s="23"/>
      <c r="Q792" s="10"/>
      <c r="R792" s="10"/>
      <c r="S792" s="8"/>
      <c r="T792" s="8"/>
    </row>
    <row r="793" spans="9:20" s="6" customFormat="1">
      <c r="I793" s="7"/>
      <c r="J793" s="8"/>
      <c r="K793" s="9"/>
      <c r="L793" s="8"/>
      <c r="P793" s="23"/>
      <c r="Q793" s="10"/>
      <c r="R793" s="10"/>
      <c r="S793" s="8"/>
      <c r="T793" s="8"/>
    </row>
    <row r="794" spans="9:20" s="6" customFormat="1">
      <c r="I794" s="7"/>
      <c r="J794" s="8"/>
      <c r="K794" s="9"/>
      <c r="L794" s="8"/>
      <c r="P794" s="23"/>
      <c r="Q794" s="10"/>
      <c r="R794" s="10"/>
      <c r="S794" s="8"/>
      <c r="T794" s="8"/>
    </row>
    <row r="795" spans="9:20" s="6" customFormat="1">
      <c r="I795" s="7"/>
      <c r="J795" s="8"/>
      <c r="K795" s="9"/>
      <c r="L795" s="8"/>
      <c r="P795" s="23"/>
      <c r="Q795" s="10"/>
      <c r="R795" s="10"/>
      <c r="S795" s="8"/>
      <c r="T795" s="8"/>
    </row>
    <row r="796" spans="9:20" s="6" customFormat="1">
      <c r="I796" s="7"/>
      <c r="J796" s="8"/>
      <c r="K796" s="9"/>
      <c r="L796" s="8"/>
      <c r="P796" s="23"/>
      <c r="Q796" s="10"/>
      <c r="R796" s="10"/>
      <c r="S796" s="8"/>
      <c r="T796" s="8"/>
    </row>
    <row r="797" spans="9:20" s="6" customFormat="1">
      <c r="I797" s="7"/>
      <c r="J797" s="8"/>
      <c r="K797" s="9"/>
      <c r="L797" s="8"/>
      <c r="P797" s="23"/>
      <c r="Q797" s="10"/>
      <c r="R797" s="10"/>
      <c r="S797" s="8"/>
      <c r="T797" s="8"/>
    </row>
    <row r="798" spans="9:20" s="6" customFormat="1">
      <c r="I798" s="7"/>
      <c r="J798" s="8"/>
      <c r="K798" s="9"/>
      <c r="L798" s="8"/>
      <c r="P798" s="23"/>
      <c r="Q798" s="10"/>
      <c r="R798" s="10"/>
      <c r="S798" s="8"/>
      <c r="T798" s="8"/>
    </row>
    <row r="799" spans="9:20" s="6" customFormat="1">
      <c r="I799" s="7"/>
      <c r="J799" s="8"/>
      <c r="K799" s="9"/>
      <c r="L799" s="8"/>
      <c r="P799" s="23"/>
      <c r="Q799" s="10"/>
      <c r="R799" s="10"/>
      <c r="S799" s="8"/>
      <c r="T799" s="8"/>
    </row>
    <row r="800" spans="9:20" s="6" customFormat="1">
      <c r="I800" s="7"/>
      <c r="J800" s="8"/>
      <c r="K800" s="9"/>
      <c r="L800" s="8"/>
      <c r="P800" s="23"/>
      <c r="Q800" s="10"/>
      <c r="R800" s="10"/>
      <c r="S800" s="8"/>
      <c r="T800" s="8"/>
    </row>
    <row r="801" spans="9:20" s="6" customFormat="1">
      <c r="I801" s="7"/>
      <c r="J801" s="8"/>
      <c r="K801" s="9"/>
      <c r="L801" s="8"/>
      <c r="P801" s="23"/>
      <c r="Q801" s="10"/>
      <c r="R801" s="10"/>
      <c r="S801" s="8"/>
      <c r="T801" s="8"/>
    </row>
    <row r="802" spans="9:20" s="6" customFormat="1">
      <c r="I802" s="7"/>
      <c r="J802" s="8"/>
      <c r="K802" s="9"/>
      <c r="L802" s="8"/>
      <c r="P802" s="23"/>
      <c r="Q802" s="10"/>
      <c r="R802" s="10"/>
      <c r="S802" s="8"/>
      <c r="T802" s="8"/>
    </row>
    <row r="803" spans="9:20" s="6" customFormat="1">
      <c r="I803" s="7"/>
      <c r="J803" s="8"/>
      <c r="K803" s="9"/>
      <c r="L803" s="8"/>
      <c r="P803" s="23"/>
      <c r="Q803" s="10"/>
      <c r="R803" s="10"/>
      <c r="S803" s="8"/>
      <c r="T803" s="8"/>
    </row>
    <row r="804" spans="9:20" s="6" customFormat="1">
      <c r="I804" s="7"/>
      <c r="J804" s="8"/>
      <c r="K804" s="9"/>
      <c r="L804" s="8"/>
      <c r="P804" s="23"/>
      <c r="Q804" s="10"/>
      <c r="R804" s="10"/>
      <c r="S804" s="8"/>
      <c r="T804" s="8"/>
    </row>
    <row r="805" spans="9:20" s="6" customFormat="1">
      <c r="I805" s="7"/>
      <c r="J805" s="8"/>
      <c r="K805" s="9"/>
      <c r="L805" s="8"/>
      <c r="P805" s="23"/>
      <c r="Q805" s="10"/>
      <c r="R805" s="10"/>
      <c r="S805" s="8"/>
      <c r="T805" s="8"/>
    </row>
    <row r="806" spans="9:20" s="6" customFormat="1">
      <c r="I806" s="7"/>
      <c r="J806" s="8"/>
      <c r="K806" s="9"/>
      <c r="L806" s="8"/>
      <c r="P806" s="23"/>
      <c r="Q806" s="10"/>
      <c r="R806" s="10"/>
      <c r="S806" s="8"/>
      <c r="T806" s="8"/>
    </row>
    <row r="807" spans="9:20" s="6" customFormat="1">
      <c r="I807" s="7"/>
      <c r="J807" s="8"/>
      <c r="K807" s="9"/>
      <c r="L807" s="8"/>
      <c r="P807" s="23"/>
      <c r="Q807" s="10"/>
      <c r="R807" s="10"/>
      <c r="S807" s="8"/>
      <c r="T807" s="8"/>
    </row>
    <row r="808" spans="9:20" s="6" customFormat="1">
      <c r="I808" s="7"/>
      <c r="J808" s="8"/>
      <c r="K808" s="9"/>
      <c r="L808" s="8"/>
      <c r="P808" s="23"/>
      <c r="Q808" s="10"/>
      <c r="R808" s="10"/>
      <c r="S808" s="8"/>
      <c r="T808" s="8"/>
    </row>
    <row r="809" spans="9:20" s="6" customFormat="1">
      <c r="I809" s="7"/>
      <c r="J809" s="8"/>
      <c r="K809" s="9"/>
      <c r="L809" s="8"/>
      <c r="P809" s="23"/>
      <c r="Q809" s="10"/>
      <c r="R809" s="10"/>
      <c r="S809" s="8"/>
      <c r="T809" s="8"/>
    </row>
    <row r="810" spans="9:20" s="6" customFormat="1">
      <c r="I810" s="7"/>
      <c r="J810" s="8"/>
      <c r="K810" s="9"/>
      <c r="L810" s="8"/>
      <c r="P810" s="23"/>
      <c r="Q810" s="10"/>
      <c r="R810" s="10"/>
      <c r="S810" s="8"/>
      <c r="T810" s="8"/>
    </row>
    <row r="811" spans="9:20" s="6" customFormat="1">
      <c r="I811" s="7"/>
      <c r="J811" s="8"/>
      <c r="K811" s="9"/>
      <c r="L811" s="8"/>
      <c r="P811" s="23"/>
      <c r="Q811" s="10"/>
      <c r="R811" s="10"/>
      <c r="S811" s="8"/>
      <c r="T811" s="8"/>
    </row>
    <row r="812" spans="9:20" s="6" customFormat="1">
      <c r="I812" s="7"/>
      <c r="J812" s="8"/>
      <c r="K812" s="9"/>
      <c r="L812" s="8"/>
      <c r="P812" s="23"/>
      <c r="Q812" s="10"/>
      <c r="R812" s="10"/>
      <c r="S812" s="8"/>
      <c r="T812" s="8"/>
    </row>
    <row r="813" spans="9:20" s="6" customFormat="1">
      <c r="I813" s="7"/>
      <c r="J813" s="8"/>
      <c r="K813" s="9"/>
      <c r="L813" s="8"/>
      <c r="P813" s="23"/>
      <c r="Q813" s="10"/>
      <c r="R813" s="10"/>
      <c r="S813" s="8"/>
      <c r="T813" s="8"/>
    </row>
    <row r="814" spans="9:20" s="6" customFormat="1">
      <c r="I814" s="7"/>
      <c r="J814" s="8"/>
      <c r="K814" s="9"/>
      <c r="L814" s="8"/>
      <c r="P814" s="23"/>
      <c r="Q814" s="10"/>
      <c r="R814" s="10"/>
      <c r="S814" s="8"/>
      <c r="T814" s="8"/>
    </row>
    <row r="815" spans="9:20" s="6" customFormat="1">
      <c r="I815" s="7"/>
      <c r="J815" s="8"/>
      <c r="K815" s="9"/>
      <c r="L815" s="8"/>
      <c r="P815" s="23"/>
      <c r="Q815" s="10"/>
      <c r="R815" s="10"/>
      <c r="S815" s="8"/>
      <c r="T815" s="8"/>
    </row>
    <row r="816" spans="9:20" s="6" customFormat="1">
      <c r="I816" s="7"/>
      <c r="J816" s="8"/>
      <c r="K816" s="9"/>
      <c r="L816" s="8"/>
      <c r="P816" s="23"/>
      <c r="Q816" s="10"/>
      <c r="R816" s="10"/>
      <c r="S816" s="8"/>
      <c r="T816" s="8"/>
    </row>
    <row r="817" spans="9:20" s="6" customFormat="1">
      <c r="I817" s="7"/>
      <c r="J817" s="8"/>
      <c r="K817" s="9"/>
      <c r="L817" s="8"/>
      <c r="P817" s="23"/>
      <c r="Q817" s="10"/>
      <c r="R817" s="10"/>
      <c r="S817" s="8"/>
      <c r="T817" s="8"/>
    </row>
    <row r="818" spans="9:20" s="6" customFormat="1">
      <c r="I818" s="7"/>
      <c r="J818" s="8"/>
      <c r="K818" s="9"/>
      <c r="L818" s="8"/>
      <c r="P818" s="23"/>
      <c r="Q818" s="10"/>
      <c r="R818" s="10"/>
      <c r="S818" s="8"/>
      <c r="T818" s="8"/>
    </row>
    <row r="819" spans="9:20" s="6" customFormat="1">
      <c r="I819" s="7"/>
      <c r="J819" s="8"/>
      <c r="K819" s="9"/>
      <c r="L819" s="8"/>
      <c r="P819" s="23"/>
      <c r="Q819" s="10"/>
      <c r="R819" s="10"/>
      <c r="S819" s="8"/>
      <c r="T819" s="8"/>
    </row>
    <row r="820" spans="9:20" s="6" customFormat="1">
      <c r="I820" s="7"/>
      <c r="J820" s="8"/>
      <c r="K820" s="9"/>
      <c r="L820" s="8"/>
      <c r="P820" s="23"/>
      <c r="Q820" s="10"/>
      <c r="R820" s="10"/>
      <c r="S820" s="8"/>
      <c r="T820" s="8"/>
    </row>
    <row r="821" spans="9:20" s="6" customFormat="1">
      <c r="I821" s="7"/>
      <c r="J821" s="8"/>
      <c r="K821" s="9"/>
      <c r="L821" s="8"/>
      <c r="P821" s="23"/>
      <c r="Q821" s="10"/>
      <c r="R821" s="10"/>
      <c r="S821" s="8"/>
      <c r="T821" s="8"/>
    </row>
    <row r="822" spans="9:20" s="6" customFormat="1">
      <c r="I822" s="7"/>
      <c r="J822" s="8"/>
      <c r="K822" s="9"/>
      <c r="L822" s="8"/>
      <c r="P822" s="23"/>
      <c r="Q822" s="10"/>
      <c r="R822" s="10"/>
      <c r="S822" s="8"/>
      <c r="T822" s="8"/>
    </row>
    <row r="823" spans="9:20" s="6" customFormat="1">
      <c r="I823" s="7"/>
      <c r="J823" s="8"/>
      <c r="K823" s="9"/>
      <c r="L823" s="8"/>
      <c r="P823" s="23"/>
      <c r="Q823" s="10"/>
      <c r="R823" s="10"/>
      <c r="S823" s="8"/>
      <c r="T823" s="8"/>
    </row>
    <row r="824" spans="9:20" s="6" customFormat="1">
      <c r="I824" s="7"/>
      <c r="J824" s="8"/>
      <c r="K824" s="9"/>
      <c r="L824" s="8"/>
      <c r="P824" s="23"/>
      <c r="Q824" s="10"/>
      <c r="R824" s="10"/>
      <c r="S824" s="8"/>
      <c r="T824" s="8"/>
    </row>
    <row r="825" spans="9:20" s="6" customFormat="1">
      <c r="I825" s="7"/>
      <c r="J825" s="8"/>
      <c r="K825" s="9"/>
      <c r="L825" s="8"/>
      <c r="P825" s="23"/>
      <c r="Q825" s="10"/>
      <c r="R825" s="10"/>
      <c r="S825" s="8"/>
      <c r="T825" s="8"/>
    </row>
    <row r="826" spans="9:20" s="6" customFormat="1">
      <c r="I826" s="7"/>
      <c r="J826" s="8"/>
      <c r="K826" s="9"/>
      <c r="L826" s="8"/>
      <c r="P826" s="23"/>
      <c r="Q826" s="10"/>
      <c r="R826" s="10"/>
      <c r="S826" s="8"/>
      <c r="T826" s="8"/>
    </row>
    <row r="827" spans="9:20" s="6" customFormat="1">
      <c r="I827" s="7"/>
      <c r="J827" s="8"/>
      <c r="K827" s="9"/>
      <c r="L827" s="8"/>
      <c r="P827" s="23"/>
      <c r="Q827" s="10"/>
      <c r="R827" s="10"/>
      <c r="S827" s="8"/>
      <c r="T827" s="8"/>
    </row>
    <row r="828" spans="9:20" s="6" customFormat="1">
      <c r="I828" s="7"/>
      <c r="J828" s="8"/>
      <c r="K828" s="9"/>
      <c r="L828" s="8"/>
      <c r="P828" s="23"/>
      <c r="Q828" s="10"/>
      <c r="R828" s="10"/>
      <c r="S828" s="8"/>
      <c r="T828" s="8"/>
    </row>
    <row r="829" spans="9:20" s="6" customFormat="1">
      <c r="I829" s="7"/>
      <c r="J829" s="8"/>
      <c r="K829" s="9"/>
      <c r="L829" s="8"/>
      <c r="P829" s="23"/>
      <c r="Q829" s="10"/>
      <c r="R829" s="10"/>
      <c r="S829" s="8"/>
      <c r="T829" s="8"/>
    </row>
    <row r="830" spans="9:20" s="6" customFormat="1">
      <c r="I830" s="7"/>
      <c r="J830" s="8"/>
      <c r="K830" s="9"/>
      <c r="L830" s="8"/>
      <c r="P830" s="23"/>
      <c r="Q830" s="10"/>
      <c r="R830" s="10"/>
      <c r="S830" s="8"/>
      <c r="T830" s="8"/>
    </row>
    <row r="831" spans="9:20" s="6" customFormat="1">
      <c r="I831" s="7"/>
      <c r="J831" s="8"/>
      <c r="K831" s="9"/>
      <c r="L831" s="8"/>
      <c r="P831" s="23"/>
      <c r="Q831" s="10"/>
      <c r="R831" s="10"/>
      <c r="S831" s="8"/>
      <c r="T831" s="8"/>
    </row>
    <row r="832" spans="9:20" s="6" customFormat="1">
      <c r="I832" s="7"/>
      <c r="J832" s="8"/>
      <c r="K832" s="9"/>
      <c r="L832" s="8"/>
      <c r="P832" s="23"/>
      <c r="Q832" s="10"/>
      <c r="R832" s="10"/>
      <c r="S832" s="8"/>
      <c r="T832" s="8"/>
    </row>
    <row r="833" spans="9:20" s="6" customFormat="1">
      <c r="I833" s="7"/>
      <c r="J833" s="8"/>
      <c r="K833" s="9"/>
      <c r="L833" s="8"/>
      <c r="P833" s="23"/>
      <c r="Q833" s="10"/>
      <c r="R833" s="10"/>
      <c r="S833" s="8"/>
      <c r="T833" s="8"/>
    </row>
    <row r="834" spans="9:20" s="6" customFormat="1">
      <c r="I834" s="7"/>
      <c r="J834" s="8"/>
      <c r="K834" s="9"/>
      <c r="L834" s="8"/>
      <c r="P834" s="23"/>
      <c r="Q834" s="10"/>
      <c r="R834" s="10"/>
      <c r="S834" s="8"/>
      <c r="T834" s="8"/>
    </row>
    <row r="835" spans="9:20" s="6" customFormat="1">
      <c r="I835" s="7"/>
      <c r="J835" s="8"/>
      <c r="K835" s="9"/>
      <c r="L835" s="8"/>
      <c r="P835" s="23"/>
      <c r="Q835" s="10"/>
      <c r="R835" s="10"/>
      <c r="S835" s="8"/>
      <c r="T835" s="8"/>
    </row>
    <row r="836" spans="9:20" s="6" customFormat="1">
      <c r="I836" s="7"/>
      <c r="J836" s="8"/>
      <c r="K836" s="9"/>
      <c r="L836" s="8"/>
      <c r="P836" s="23"/>
      <c r="Q836" s="10"/>
      <c r="R836" s="10"/>
      <c r="S836" s="8"/>
      <c r="T836" s="8"/>
    </row>
    <row r="837" spans="9:20" s="6" customFormat="1">
      <c r="I837" s="7"/>
      <c r="J837" s="8"/>
      <c r="K837" s="9"/>
      <c r="L837" s="8"/>
      <c r="P837" s="23"/>
      <c r="Q837" s="10"/>
      <c r="R837" s="10"/>
      <c r="S837" s="8"/>
      <c r="T837" s="8"/>
    </row>
    <row r="838" spans="9:20" s="6" customFormat="1">
      <c r="I838" s="7"/>
      <c r="J838" s="8"/>
      <c r="K838" s="9"/>
      <c r="L838" s="8"/>
      <c r="P838" s="23"/>
      <c r="Q838" s="10"/>
      <c r="R838" s="10"/>
      <c r="S838" s="8"/>
      <c r="T838" s="8"/>
    </row>
    <row r="839" spans="9:20" s="6" customFormat="1">
      <c r="I839" s="7"/>
      <c r="J839" s="8"/>
      <c r="K839" s="9"/>
      <c r="L839" s="8"/>
      <c r="P839" s="23"/>
      <c r="Q839" s="10"/>
      <c r="R839" s="10"/>
      <c r="S839" s="8"/>
      <c r="T839" s="8"/>
    </row>
    <row r="840" spans="9:20" s="6" customFormat="1">
      <c r="I840" s="7"/>
      <c r="J840" s="8"/>
      <c r="K840" s="9"/>
      <c r="L840" s="8"/>
      <c r="P840" s="23"/>
      <c r="Q840" s="10"/>
      <c r="R840" s="10"/>
      <c r="S840" s="8"/>
      <c r="T840" s="8"/>
    </row>
    <row r="841" spans="9:20" s="6" customFormat="1">
      <c r="I841" s="7"/>
      <c r="J841" s="8"/>
      <c r="K841" s="9"/>
      <c r="L841" s="8"/>
      <c r="P841" s="23"/>
      <c r="Q841" s="10"/>
      <c r="R841" s="10"/>
      <c r="S841" s="8"/>
      <c r="T841" s="8"/>
    </row>
    <row r="842" spans="9:20" s="6" customFormat="1">
      <c r="I842" s="7"/>
      <c r="J842" s="8"/>
      <c r="K842" s="9"/>
      <c r="L842" s="8"/>
      <c r="P842" s="23"/>
      <c r="Q842" s="10"/>
      <c r="R842" s="10"/>
      <c r="S842" s="8"/>
      <c r="T842" s="8"/>
    </row>
    <row r="843" spans="9:20" s="6" customFormat="1">
      <c r="I843" s="7"/>
      <c r="J843" s="8"/>
      <c r="K843" s="9"/>
      <c r="L843" s="8"/>
      <c r="P843" s="23"/>
      <c r="Q843" s="10"/>
      <c r="R843" s="10"/>
      <c r="S843" s="8"/>
      <c r="T843" s="8"/>
    </row>
    <row r="844" spans="9:20" s="6" customFormat="1">
      <c r="I844" s="7"/>
      <c r="J844" s="8"/>
      <c r="K844" s="9"/>
      <c r="L844" s="8"/>
      <c r="P844" s="23"/>
      <c r="Q844" s="10"/>
      <c r="R844" s="10"/>
      <c r="S844" s="8"/>
      <c r="T844" s="8"/>
    </row>
    <row r="845" spans="9:20" s="6" customFormat="1">
      <c r="I845" s="7"/>
      <c r="J845" s="8"/>
      <c r="K845" s="9"/>
      <c r="L845" s="8"/>
      <c r="P845" s="23"/>
      <c r="Q845" s="10"/>
      <c r="R845" s="10"/>
      <c r="S845" s="8"/>
      <c r="T845" s="8"/>
    </row>
    <row r="846" spans="9:20" s="6" customFormat="1">
      <c r="I846" s="7"/>
      <c r="J846" s="8"/>
      <c r="K846" s="9"/>
      <c r="L846" s="8"/>
      <c r="P846" s="23"/>
      <c r="Q846" s="10"/>
      <c r="R846" s="10"/>
      <c r="S846" s="8"/>
      <c r="T846" s="8"/>
    </row>
    <row r="847" spans="9:20" s="6" customFormat="1">
      <c r="I847" s="7"/>
      <c r="J847" s="8"/>
      <c r="K847" s="9"/>
      <c r="L847" s="8"/>
      <c r="P847" s="23"/>
      <c r="Q847" s="10"/>
      <c r="R847" s="10"/>
      <c r="S847" s="8"/>
      <c r="T847" s="8"/>
    </row>
    <row r="848" spans="9:20" s="6" customFormat="1">
      <c r="I848" s="7"/>
      <c r="J848" s="8"/>
      <c r="K848" s="9"/>
      <c r="L848" s="8"/>
      <c r="P848" s="23"/>
      <c r="Q848" s="10"/>
      <c r="R848" s="10"/>
      <c r="S848" s="8"/>
      <c r="T848" s="8"/>
    </row>
  </sheetData>
  <mergeCells count="25">
    <mergeCell ref="R7:R8"/>
    <mergeCell ref="S7:S8"/>
    <mergeCell ref="T7:T8"/>
    <mergeCell ref="I7:I8"/>
    <mergeCell ref="M7:M8"/>
    <mergeCell ref="N7:N8"/>
    <mergeCell ref="O7:O8"/>
    <mergeCell ref="P7:P8"/>
    <mergeCell ref="Q7:Q8"/>
    <mergeCell ref="G7:G8"/>
    <mergeCell ref="H7:H8"/>
    <mergeCell ref="J7:J8"/>
    <mergeCell ref="K7:K8"/>
    <mergeCell ref="L7:L8"/>
    <mergeCell ref="B7:B8"/>
    <mergeCell ref="C7:C8"/>
    <mergeCell ref="D7:D8"/>
    <mergeCell ref="E7:E8"/>
    <mergeCell ref="F7:F8"/>
    <mergeCell ref="B1:J5"/>
    <mergeCell ref="O4:P4"/>
    <mergeCell ref="O5:P5"/>
    <mergeCell ref="O1:P1"/>
    <mergeCell ref="O2:P2"/>
    <mergeCell ref="O3:P3"/>
  </mergeCells>
  <phoneticPr fontId="15" type="noConversion"/>
  <printOptions horizontalCentered="1"/>
  <pageMargins left="0" right="0" top="0.5" bottom="0.5" header="0.05" footer="0.5"/>
  <pageSetup paperSize="9" scale="91" fitToHeight="15" orientation="landscape" r:id="rId1"/>
  <headerFooter>
    <oddHeader>&amp;R&amp;12&amp;F</oddHeader>
    <oddFooter>&amp;C&amp;12Page &amp;P of &amp;N</oddFooter>
  </headerFooter>
  <drawing r:id="rId2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Quotation</vt:lpstr>
      <vt:lpstr>Quotation!Print_Area</vt:lpstr>
      <vt:lpstr>Quotation!Print_Titles</vt:lpstr>
    </vt:vector>
  </TitlesOfParts>
  <Company>Dell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my</cp:lastModifiedBy>
  <cp:lastPrinted>2011-10-11T09:34:51Z</cp:lastPrinted>
  <dcterms:created xsi:type="dcterms:W3CDTF">2009-02-25T10:32:56Z</dcterms:created>
  <dcterms:modified xsi:type="dcterms:W3CDTF">2016-12-12T02:29:06Z</dcterms:modified>
</cp:coreProperties>
</file>