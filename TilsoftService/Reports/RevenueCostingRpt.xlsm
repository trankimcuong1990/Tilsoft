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RevenueCosting" sheetId="1" r:id="rId1"/>
    <sheet name="RevenueCosting_Report" sheetId="2" r:id="rId2"/>
    <sheet name="OtherData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5" i="1" l="1"/>
  <c r="H5" i="1" l="1"/>
  <c r="U5" i="1"/>
  <c r="T5" i="1"/>
  <c r="S5" i="1"/>
  <c r="R5" i="1"/>
  <c r="Q5" i="1"/>
  <c r="P5" i="1"/>
  <c r="O5" i="1"/>
  <c r="N5" i="1"/>
  <c r="M5" i="1"/>
  <c r="J5" i="1" l="1"/>
  <c r="I5" i="1"/>
  <c r="W5" i="1" l="1"/>
  <c r="D2" i="1" l="1"/>
  <c r="A2" i="1"/>
  <c r="K5" i="1"/>
  <c r="G5" i="1"/>
  <c r="E5" i="1"/>
  <c r="D5" i="1"/>
  <c r="C5" i="1"/>
  <c r="B5" i="1"/>
  <c r="A5" i="1" l="1"/>
  <c r="L4" i="1" l="1"/>
  <c r="J4" i="1"/>
  <c r="H4" i="1"/>
  <c r="F4" i="1"/>
</calcChain>
</file>

<file path=xl/sharedStrings.xml><?xml version="1.0" encoding="utf-8"?>
<sst xmlns="http://schemas.openxmlformats.org/spreadsheetml/2006/main" count="25" uniqueCount="24">
  <si>
    <t>BREAKDOWN IN DETAIL SUMMARY</t>
  </si>
  <si>
    <t>No.</t>
  </si>
  <si>
    <t>Order
 No.</t>
  </si>
  <si>
    <t>Client Name</t>
  </si>
  <si>
    <t>Art. Code</t>
  </si>
  <si>
    <t>Art. Description</t>
  </si>
  <si>
    <t>No cont</t>
  </si>
  <si>
    <t>Cont 
Nr</t>
  </si>
  <si>
    <t>Order 
qnt</t>
  </si>
  <si>
    <t>Cost-price
( USD )</t>
  </si>
  <si>
    <t>Amount
( USD )</t>
  </si>
  <si>
    <t>Invoice No.</t>
  </si>
  <si>
    <t>Total Amount
( USD )</t>
  </si>
  <si>
    <t>Material 
Cost</t>
  </si>
  <si>
    <t>Frame 
Cost</t>
  </si>
  <si>
    <t>Sub Material 
Cost</t>
  </si>
  <si>
    <t>Cushion 
Cost</t>
  </si>
  <si>
    <t>Packing 
Cost</t>
  </si>
  <si>
    <t>Hardware
 Cost</t>
  </si>
  <si>
    <t>Other Material 
Cost</t>
  </si>
  <si>
    <t>FSC Cost</t>
  </si>
  <si>
    <t>Special Requirement Cost</t>
  </si>
  <si>
    <t>Management Cost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</si>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</sst>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₫_-;\-* #,##0.00\ _₫_-;_-* &quot;-&quot;??\ _₫_-;_-@_-"/>
    <numFmt numFmtId="164" formatCode="_([$$-409]* #,##0.00_);_([$$-409]* \(#,##0.00\);_([$$-409]* &quot;-&quot;??_);_(@_)"/>
    <numFmt numFmtId="165" formatCode="_(* #,##0.00_);_(* \(#,##0.00\);_(* &quot;-&quot;??_);_(@_)"/>
    <numFmt numFmtId="166" formatCode="_-* #,##0\ _B_F_-;\-* #,##0\ _B_F_-;_-* &quot;-&quot;\ _B_F_-;_-@_-"/>
    <numFmt numFmtId="167" formatCode="_(&quot;$&quot;* #,##0.00_);_(&quot;$&quot;* \(#,##0.00\);_(&quot;$&quot;* &quot;-&quot;??_);_(@_)"/>
    <numFmt numFmtId="168" formatCode="_-* #,##0\ _₫_-;\-* #,##0\ _₫_-;_-* &quot;-&quot;??\ _₫_-;_-@_-"/>
    <numFmt numFmtId="169" formatCode="_-[$$-409]* #,##0.00_ ;_-[$$-409]* \-#,##0.00\ ;_-[$$-409]* &quot;-&quot;??_ ;_-@_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7" tint="-0.499984740745262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b/>
      <sz val="20"/>
      <color theme="4" tint="-0.499984740745262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2"/>
      <color theme="7" tint="-0.499984740745262"/>
      <name val="Calibri"/>
      <family val="2"/>
      <scheme val="minor"/>
    </font>
    <font>
      <sz val="11"/>
      <color indexed="8"/>
      <name val="Calibri"/>
      <family val="2"/>
    </font>
    <font>
      <b/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166" fontId="7" fillId="0" borderId="0" applyFill="0" applyBorder="0" applyAlignment="0" applyProtection="0"/>
    <xf numFmtId="167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/>
    </xf>
    <xf numFmtId="164" fontId="4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6" fontId="8" fillId="2" borderId="1" xfId="2" applyNumberFormat="1" applyFont="1" applyFill="1" applyBorder="1" applyAlignment="1">
      <alignment horizontal="center" vertical="center" wrapText="1"/>
    </xf>
    <xf numFmtId="166" fontId="8" fillId="2" borderId="3" xfId="2" applyNumberFormat="1" applyFont="1" applyFill="1" applyBorder="1" applyAlignment="1">
      <alignment horizontal="center" vertical="center" wrapText="1"/>
    </xf>
    <xf numFmtId="0" fontId="8" fillId="2" borderId="1" xfId="2" applyNumberFormat="1" applyFont="1" applyFill="1" applyBorder="1" applyAlignment="1">
      <alignment horizontal="center" vertical="center" wrapText="1"/>
    </xf>
    <xf numFmtId="167" fontId="8" fillId="2" borderId="1" xfId="4" applyNumberFormat="1" applyFont="1" applyFill="1" applyBorder="1" applyAlignment="1">
      <alignment horizontal="center" vertical="center" wrapText="1"/>
    </xf>
    <xf numFmtId="165" fontId="8" fillId="2" borderId="1" xfId="4" applyNumberFormat="1" applyFont="1" applyFill="1" applyBorder="1" applyAlignment="1">
      <alignment horizontal="center" vertical="center" wrapText="1"/>
    </xf>
    <xf numFmtId="164" fontId="8" fillId="2" borderId="2" xfId="2" applyNumberFormat="1" applyFont="1" applyFill="1" applyBorder="1" applyAlignment="1">
      <alignment horizontal="center" vertical="center" wrapText="1"/>
    </xf>
    <xf numFmtId="43" fontId="9" fillId="3" borderId="4" xfId="1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166" fontId="8" fillId="4" borderId="5" xfId="2" applyNumberFormat="1" applyFont="1" applyFill="1" applyBorder="1" applyAlignment="1">
      <alignment horizontal="center" vertical="center" wrapText="1"/>
    </xf>
    <xf numFmtId="166" fontId="8" fillId="4" borderId="7" xfId="2" applyNumberFormat="1" applyFont="1" applyFill="1" applyBorder="1" applyAlignment="1">
      <alignment horizontal="center" vertical="center" wrapText="1"/>
    </xf>
    <xf numFmtId="164" fontId="8" fillId="4" borderId="5" xfId="2" applyNumberFormat="1" applyFont="1" applyFill="1" applyBorder="1" applyAlignment="1">
      <alignment horizontal="center" vertical="center" wrapText="1"/>
    </xf>
    <xf numFmtId="1" fontId="8" fillId="2" borderId="1" xfId="2" applyNumberFormat="1" applyFont="1" applyFill="1" applyBorder="1" applyAlignment="1">
      <alignment horizontal="center" vertical="center" wrapText="1"/>
    </xf>
    <xf numFmtId="166" fontId="8" fillId="2" borderId="2" xfId="2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168" fontId="8" fillId="4" borderId="5" xfId="1" applyNumberFormat="1" applyFont="1" applyFill="1" applyBorder="1" applyAlignment="1">
      <alignment horizontal="right" vertical="center" wrapText="1"/>
    </xf>
    <xf numFmtId="1" fontId="8" fillId="4" borderId="5" xfId="2" applyNumberFormat="1" applyFont="1" applyFill="1" applyBorder="1" applyAlignment="1">
      <alignment horizontal="center" vertical="center" wrapText="1"/>
    </xf>
    <xf numFmtId="166" fontId="8" fillId="4" borderId="5" xfId="2" applyNumberFormat="1" applyFont="1" applyFill="1" applyBorder="1" applyAlignment="1">
      <alignment horizontal="left" vertical="center" wrapText="1"/>
    </xf>
    <xf numFmtId="166" fontId="8" fillId="4" borderId="6" xfId="2" applyNumberFormat="1" applyFont="1" applyFill="1" applyBorder="1" applyAlignment="1">
      <alignment horizontal="center" vertical="center" wrapText="1"/>
    </xf>
    <xf numFmtId="43" fontId="0" fillId="5" borderId="8" xfId="1" applyFont="1" applyFill="1" applyBorder="1" applyAlignment="1">
      <alignment wrapText="1"/>
    </xf>
    <xf numFmtId="0" fontId="0" fillId="5" borderId="8" xfId="0" applyFill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0" borderId="0" xfId="0" applyFont="1" applyFill="1" applyBorder="1" applyAlignment="1"/>
    <xf numFmtId="43" fontId="3" fillId="0" borderId="0" xfId="1" applyFont="1" applyAlignment="1"/>
    <xf numFmtId="0" fontId="3" fillId="0" borderId="0" xfId="0" applyFont="1" applyAlignment="1"/>
    <xf numFmtId="0" fontId="0" fillId="0" borderId="0" xfId="0" applyAlignment="1"/>
    <xf numFmtId="0" fontId="5" fillId="0" borderId="0" xfId="0" applyFont="1" applyFill="1" applyBorder="1" applyAlignment="1"/>
    <xf numFmtId="0" fontId="6" fillId="0" borderId="0" xfId="0" applyFont="1" applyFill="1" applyBorder="1" applyAlignment="1"/>
    <xf numFmtId="0" fontId="6" fillId="0" borderId="0" xfId="0" applyFont="1" applyAlignment="1"/>
    <xf numFmtId="0" fontId="10" fillId="0" borderId="1" xfId="0" applyFont="1" applyBorder="1" applyAlignment="1">
      <alignment horizont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center" vertical="top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horizontal="center" wrapText="1"/>
    </xf>
    <xf numFmtId="169" fontId="10" fillId="0" borderId="0" xfId="0" applyNumberFormat="1" applyFont="1" applyAlignment="1">
      <alignment wrapText="1"/>
    </xf>
    <xf numFmtId="169" fontId="8" fillId="4" borderId="5" xfId="1" applyNumberFormat="1" applyFont="1" applyFill="1" applyBorder="1" applyAlignment="1">
      <alignment horizontal="right" vertical="center" wrapText="1"/>
    </xf>
    <xf numFmtId="169" fontId="10" fillId="0" borderId="1" xfId="0" applyNumberFormat="1" applyFont="1" applyBorder="1" applyAlignment="1">
      <alignment horizontal="right" vertical="center" wrapText="1"/>
    </xf>
    <xf numFmtId="169" fontId="3" fillId="0" borderId="0" xfId="0" applyNumberFormat="1" applyFont="1" applyFill="1" applyBorder="1" applyAlignment="1">
      <alignment horizontal="center" vertical="center"/>
    </xf>
    <xf numFmtId="169" fontId="6" fillId="0" borderId="0" xfId="0" applyNumberFormat="1" applyFont="1" applyFill="1" applyBorder="1" applyAlignment="1">
      <alignment horizontal="center" vertical="center"/>
    </xf>
    <xf numFmtId="169" fontId="8" fillId="2" borderId="1" xfId="3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wrapText="1"/>
    </xf>
    <xf numFmtId="169" fontId="10" fillId="0" borderId="1" xfId="0" applyNumberFormat="1" applyFont="1" applyBorder="1" applyAlignment="1">
      <alignment wrapText="1"/>
    </xf>
    <xf numFmtId="0" fontId="10" fillId="0" borderId="1" xfId="0" applyFont="1" applyBorder="1" applyAlignment="1">
      <alignment horizontal="right" vertical="center" wrapText="1"/>
    </xf>
    <xf numFmtId="169" fontId="8" fillId="4" borderId="6" xfId="1" applyNumberFormat="1" applyFont="1" applyFill="1" applyBorder="1" applyAlignment="1">
      <alignment horizontal="right" vertical="center" wrapText="1"/>
    </xf>
    <xf numFmtId="169" fontId="8" fillId="4" borderId="5" xfId="2" applyNumberFormat="1" applyFont="1" applyFill="1" applyBorder="1" applyAlignment="1">
      <alignment horizontal="right" vertical="center" wrapText="1"/>
    </xf>
  </cellXfs>
  <cellStyles count="5">
    <cellStyle name="Comma" xfId="1" builtinId="3"/>
    <cellStyle name="Comma 2 5" xfId="4"/>
    <cellStyle name="Currency 3" xfId="3"/>
    <cellStyle name="Normal" xfId="0" builtinId="0"/>
    <cellStyle name="Normal 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8"/>
  <sheetViews>
    <sheetView tabSelected="1" topLeftCell="J1" workbookViewId="0">
      <pane ySplit="4" topLeftCell="A5" activePane="bottomLeft" state="frozen"/>
      <selection pane="bottomLeft" activeCell="V6" sqref="V6"/>
    </sheetView>
  </sheetViews>
  <sheetFormatPr defaultRowHeight="15" x14ac:dyDescent="0.25"/>
  <cols>
    <col min="1" max="1" width="6.7109375" style="27" customWidth="1"/>
    <col min="2" max="2" width="12.42578125" style="26" customWidth="1"/>
    <col min="3" max="3" width="16.42578125" style="26" customWidth="1"/>
    <col min="4" max="4" width="28.7109375" style="26" customWidth="1"/>
    <col min="5" max="5" width="48.140625" style="26" customWidth="1"/>
    <col min="6" max="6" width="9.140625" style="26"/>
    <col min="7" max="7" width="18.7109375" style="26" customWidth="1"/>
    <col min="8" max="8" width="9.140625" style="26"/>
    <col min="9" max="9" width="12.7109375" style="47" customWidth="1"/>
    <col min="10" max="10" width="15.7109375" style="26" customWidth="1"/>
    <col min="11" max="11" width="12.7109375" style="26" customWidth="1"/>
    <col min="12" max="12" width="15.7109375" style="26" customWidth="1"/>
    <col min="13" max="23" width="12.7109375" style="26" customWidth="1"/>
    <col min="24" max="16384" width="9.140625" style="26"/>
  </cols>
  <sheetData>
    <row r="1" spans="1:23" s="31" customFormat="1" ht="26.25" x14ac:dyDescent="0.4">
      <c r="A1" s="18" t="s">
        <v>0</v>
      </c>
      <c r="B1" s="1"/>
      <c r="C1" s="1"/>
      <c r="D1" s="2"/>
      <c r="E1" s="28"/>
      <c r="F1" s="1"/>
      <c r="G1" s="1"/>
      <c r="H1" s="1"/>
      <c r="I1" s="44"/>
      <c r="J1" s="1"/>
      <c r="K1" s="1"/>
      <c r="L1" s="3"/>
      <c r="M1" s="29"/>
      <c r="N1" s="30"/>
      <c r="O1" s="30"/>
      <c r="P1" s="30"/>
      <c r="Q1" s="30"/>
      <c r="R1" s="30"/>
      <c r="S1" s="30"/>
      <c r="T1" s="30"/>
      <c r="U1" s="30"/>
      <c r="V1" s="30"/>
      <c r="W1" s="30"/>
    </row>
    <row r="2" spans="1:23" s="31" customFormat="1" ht="18.75" x14ac:dyDescent="0.3">
      <c r="A2" s="19" t="str">
        <f>"From Date:"&amp; OtherData!A2</f>
        <v>From Date:</v>
      </c>
      <c r="B2" s="4"/>
      <c r="C2" s="4"/>
      <c r="D2" s="32" t="str">
        <f>"To Date: "&amp;OtherData!B2</f>
        <v xml:space="preserve">To Date: </v>
      </c>
      <c r="E2" s="33"/>
      <c r="F2" s="4"/>
      <c r="G2" s="4"/>
      <c r="H2" s="4"/>
      <c r="I2" s="45"/>
      <c r="J2" s="4"/>
      <c r="K2" s="4"/>
      <c r="L2" s="4"/>
      <c r="M2" s="4"/>
      <c r="N2" s="4"/>
      <c r="O2" s="4"/>
      <c r="P2" s="34"/>
      <c r="Q2" s="34"/>
      <c r="R2" s="34"/>
      <c r="S2" s="34"/>
      <c r="T2" s="34"/>
      <c r="U2" s="34"/>
      <c r="V2" s="34"/>
      <c r="W2" s="34"/>
    </row>
    <row r="3" spans="1:23" ht="45" x14ac:dyDescent="0.25">
      <c r="A3" s="16" t="s">
        <v>1</v>
      </c>
      <c r="B3" s="5" t="s">
        <v>2</v>
      </c>
      <c r="C3" s="5" t="s">
        <v>3</v>
      </c>
      <c r="D3" s="5" t="s">
        <v>4</v>
      </c>
      <c r="E3" s="17" t="s">
        <v>5</v>
      </c>
      <c r="F3" s="5" t="s">
        <v>6</v>
      </c>
      <c r="G3" s="6" t="s">
        <v>7</v>
      </c>
      <c r="H3" s="7" t="s">
        <v>8</v>
      </c>
      <c r="I3" s="46" t="s">
        <v>9</v>
      </c>
      <c r="J3" s="8" t="s">
        <v>10</v>
      </c>
      <c r="K3" s="9" t="s">
        <v>11</v>
      </c>
      <c r="L3" s="10" t="s">
        <v>12</v>
      </c>
      <c r="M3" s="11" t="s">
        <v>13</v>
      </c>
      <c r="N3" s="12" t="s">
        <v>14</v>
      </c>
      <c r="O3" s="12" t="s">
        <v>15</v>
      </c>
      <c r="P3" s="12" t="s">
        <v>16</v>
      </c>
      <c r="Q3" s="12" t="s">
        <v>17</v>
      </c>
      <c r="R3" s="12" t="s">
        <v>18</v>
      </c>
      <c r="S3" s="12" t="s">
        <v>19</v>
      </c>
      <c r="T3" s="12" t="s">
        <v>20</v>
      </c>
      <c r="U3" s="12" t="s">
        <v>21</v>
      </c>
      <c r="V3" s="12" t="s">
        <v>22</v>
      </c>
      <c r="W3" s="12" t="s">
        <v>23</v>
      </c>
    </row>
    <row r="4" spans="1:23" x14ac:dyDescent="0.25">
      <c r="A4" s="21"/>
      <c r="B4" s="13"/>
      <c r="C4" s="13"/>
      <c r="D4" s="22"/>
      <c r="E4" s="23" t="s">
        <v>23</v>
      </c>
      <c r="F4" s="20">
        <f>SUM(F5:F277)</f>
        <v>0</v>
      </c>
      <c r="G4" s="14"/>
      <c r="H4" s="20">
        <f>SUM(H5:H277)</f>
        <v>0</v>
      </c>
      <c r="I4" s="51"/>
      <c r="J4" s="42">
        <f>SUM(J5:J277)</f>
        <v>0</v>
      </c>
      <c r="K4" s="15"/>
      <c r="L4" s="50">
        <f>SUM(L5:L277)</f>
        <v>0</v>
      </c>
      <c r="M4" s="24"/>
      <c r="N4" s="25"/>
      <c r="O4" s="25"/>
      <c r="P4" s="25"/>
      <c r="Q4" s="25"/>
      <c r="R4" s="25"/>
      <c r="S4" s="25"/>
      <c r="T4" s="25"/>
      <c r="U4" s="25"/>
      <c r="V4" s="25"/>
      <c r="W4" s="25"/>
    </row>
    <row r="5" spans="1:23" s="39" customFormat="1" ht="12.75" x14ac:dyDescent="0.2">
      <c r="A5" s="35">
        <f>ROW()-4</f>
        <v>1</v>
      </c>
      <c r="B5" s="36" t="str">
        <f>RevenueCosting_Report!A2&amp;""</f>
        <v/>
      </c>
      <c r="C5" s="36" t="str">
        <f>RevenueCosting_Report!B2&amp;""</f>
        <v/>
      </c>
      <c r="D5" s="36" t="str">
        <f>RevenueCosting_Report!C2&amp;""</f>
        <v/>
      </c>
      <c r="E5" s="37" t="str">
        <f>RevenueCosting_Report!D2&amp;""</f>
        <v/>
      </c>
      <c r="F5" s="49"/>
      <c r="G5" s="36" t="str">
        <f>RevenueCosting_Report!F2&amp;""</f>
        <v/>
      </c>
      <c r="H5" s="49">
        <f>RevenueCosting_Report!G2</f>
        <v>0</v>
      </c>
      <c r="I5" s="43">
        <f>RevenueCosting_Report!H2</f>
        <v>0</v>
      </c>
      <c r="J5" s="43">
        <f>RevenueCosting_Report!I2</f>
        <v>0</v>
      </c>
      <c r="K5" s="38" t="str">
        <f>RevenueCosting_Report!J2&amp;""</f>
        <v/>
      </c>
      <c r="L5" s="43"/>
      <c r="M5" s="48">
        <f>IF(RevenueCosting_Report!M2=0,0,RevenueCosting_Report!M2/OtherData!C2)</f>
        <v>0</v>
      </c>
      <c r="N5" s="48">
        <f>IF(RevenueCosting_Report!N2=0,0,RevenueCosting_Report!N2/OtherData!C2)</f>
        <v>0</v>
      </c>
      <c r="O5" s="48">
        <f>IF(RevenueCosting_Report!O2=0,0,RevenueCosting_Report!O2/OtherData!C2)</f>
        <v>0</v>
      </c>
      <c r="P5" s="48">
        <f>IF(RevenueCosting_Report!P2=0,0,RevenueCosting_Report!P2/OtherData!C2)</f>
        <v>0</v>
      </c>
      <c r="Q5" s="48">
        <f>IF(RevenueCosting_Report!Q2=0,0,RevenueCosting_Report!Q2/OtherData!C2)</f>
        <v>0</v>
      </c>
      <c r="R5" s="48">
        <f>IF(RevenueCosting_Report!R2=0,0,RevenueCosting_Report!R2/OtherData!C2)</f>
        <v>0</v>
      </c>
      <c r="S5" s="48">
        <f>IF(RevenueCosting_Report!S2=0,0,RevenueCosting_Report!S2/OtherData!C2)</f>
        <v>0</v>
      </c>
      <c r="T5" s="48">
        <f>IF(RevenueCosting_Report!T2=0,0,RevenueCosting_Report!T2/OtherData!C2)</f>
        <v>0</v>
      </c>
      <c r="U5" s="48">
        <f>IF(RevenueCosting_Report!U2=0,0,RevenueCosting_Report!U2/OtherData!C2)</f>
        <v>0</v>
      </c>
      <c r="V5" s="48">
        <f>IF(RevenueCosting_Report!W2=0,0, SUM(M5:U5)*(RevenueCosting_Report!W2/100))</f>
        <v>0</v>
      </c>
      <c r="W5" s="48">
        <f>SUM(M5:V5)</f>
        <v>0</v>
      </c>
    </row>
    <row r="6" spans="1:23" s="39" customFormat="1" ht="12.75" x14ac:dyDescent="0.2">
      <c r="A6" s="40"/>
      <c r="I6" s="41"/>
      <c r="J6" s="41"/>
      <c r="L6" s="41"/>
    </row>
    <row r="7" spans="1:23" s="39" customFormat="1" ht="12.75" x14ac:dyDescent="0.2">
      <c r="A7" s="40"/>
      <c r="I7" s="41"/>
    </row>
    <row r="8" spans="1:23" s="39" customFormat="1" ht="12.75" x14ac:dyDescent="0.2">
      <c r="A8" s="40"/>
      <c r="I8" s="41"/>
    </row>
    <row r="9" spans="1:23" s="39" customFormat="1" ht="12.75" x14ac:dyDescent="0.2">
      <c r="A9" s="40"/>
      <c r="I9" s="41"/>
    </row>
    <row r="10" spans="1:23" s="39" customFormat="1" ht="12.75" x14ac:dyDescent="0.2">
      <c r="A10" s="40"/>
      <c r="I10" s="41"/>
    </row>
    <row r="11" spans="1:23" s="39" customFormat="1" ht="12.75" x14ac:dyDescent="0.2">
      <c r="A11" s="40"/>
      <c r="I11" s="41"/>
    </row>
    <row r="12" spans="1:23" s="39" customFormat="1" ht="12.75" x14ac:dyDescent="0.2">
      <c r="A12" s="40"/>
      <c r="I12" s="41"/>
    </row>
    <row r="13" spans="1:23" s="39" customFormat="1" ht="12.75" x14ac:dyDescent="0.2">
      <c r="A13" s="40"/>
      <c r="I13" s="41"/>
    </row>
    <row r="14" spans="1:23" s="39" customFormat="1" ht="12.75" x14ac:dyDescent="0.2">
      <c r="A14" s="40"/>
      <c r="I14" s="41"/>
    </row>
    <row r="15" spans="1:23" s="39" customFormat="1" ht="12.75" x14ac:dyDescent="0.2">
      <c r="A15" s="40"/>
      <c r="I15" s="41"/>
    </row>
    <row r="16" spans="1:23" s="39" customFormat="1" ht="12.75" x14ac:dyDescent="0.2">
      <c r="A16" s="40"/>
      <c r="I16" s="41"/>
    </row>
    <row r="17" spans="1:9" s="39" customFormat="1" ht="12.75" x14ac:dyDescent="0.2">
      <c r="A17" s="40"/>
      <c r="I17" s="41"/>
    </row>
    <row r="18" spans="1:9" s="39" customFormat="1" ht="12.75" x14ac:dyDescent="0.2">
      <c r="A18" s="40"/>
      <c r="I18" s="4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10" sqref="C1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16" sqref="G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RevenueCosting</vt:lpstr>
      <vt:lpstr>RevenueCosting_Report</vt:lpstr>
      <vt:lpstr>OtherData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2019-11-15T10:31:26Z</dcterms:modified>
</cp:coreProperties>
</file>