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5090" windowHeight="53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H4" i="1"/>
  <c r="G5" i="1"/>
  <c r="G4" i="1"/>
  <c r="D1" i="1"/>
</calcChain>
</file>

<file path=xl/sharedStrings.xml><?xml version="1.0" encoding="utf-8"?>
<sst xmlns="http://schemas.openxmlformats.org/spreadsheetml/2006/main" count="18" uniqueCount="18">
  <si>
    <t>Column1</t>
  </si>
  <si>
    <t>ns1:BarCode</t>
  </si>
  <si>
    <t>ns1:ImageFile</t>
  </si>
  <si>
    <t>ns1:ArticleCode</t>
  </si>
  <si>
    <t>ns1:Description</t>
  </si>
  <si>
    <t>ns1:ProductStatusNM</t>
  </si>
  <si>
    <t>ns1:Quantity</t>
  </si>
  <si>
    <t>ns1:QntIn40HC</t>
  </si>
  <si>
    <t xml:space="preserve">PHYSICAL STOCK </t>
  </si>
  <si>
    <t>Art.Code</t>
  </si>
  <si>
    <t>Description</t>
  </si>
  <si>
    <t>Quantity</t>
  </si>
  <si>
    <t>Pro Status</t>
  </si>
  <si>
    <t>Barcode</t>
  </si>
  <si>
    <t>Report date</t>
  </si>
  <si>
    <t>Picture</t>
  </si>
  <si>
    <t>Load 40HC</t>
  </si>
  <si>
    <t>Qnt in 40HC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</si>
</sst>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63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charset val="163"/>
      <scheme val="minor"/>
    </font>
    <font>
      <sz val="9"/>
      <color theme="0"/>
      <name val="Calibri"/>
      <family val="2"/>
      <charset val="163"/>
      <scheme val="minor"/>
    </font>
    <font>
      <sz val="24"/>
      <color theme="1"/>
      <name val="Code 128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1" fillId="0" borderId="0" xfId="0" applyNumberFormat="1" applyFont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4" fillId="0" borderId="0" xfId="0" applyFont="1"/>
    <xf numFmtId="49" fontId="5" fillId="0" borderId="1" xfId="0" applyNumberFormat="1" applyFont="1" applyBorder="1"/>
    <xf numFmtId="0" fontId="5" fillId="0" borderId="1" xfId="0" applyFont="1" applyBorder="1"/>
    <xf numFmtId="0" fontId="2" fillId="4" borderId="1" xfId="0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left"/>
    </xf>
    <xf numFmtId="3" fontId="2" fillId="4" borderId="1" xfId="0" applyNumberFormat="1" applyFont="1" applyFill="1" applyBorder="1" applyAlignment="1">
      <alignment horizontal="right" vertical="center" wrapText="1"/>
    </xf>
    <xf numFmtId="3" fontId="4" fillId="0" borderId="1" xfId="0" applyNumberFormat="1" applyFont="1" applyBorder="1" applyAlignment="1">
      <alignment horizontal="right"/>
    </xf>
    <xf numFmtId="4" fontId="2" fillId="4" borderId="1" xfId="0" applyNumberFormat="1" applyFont="1" applyFill="1" applyBorder="1" applyAlignment="1">
      <alignment horizontal="right" vertical="center" wrapText="1"/>
    </xf>
    <xf numFmtId="4" fontId="4" fillId="0" borderId="1" xfId="0" applyNumberFormat="1" applyFont="1" applyBorder="1" applyAlignment="1">
      <alignment horizontal="right"/>
    </xf>
    <xf numFmtId="49" fontId="6" fillId="0" borderId="1" xfId="0" applyNumberFormat="1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Code 128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PhysicalStock_View" minOccurs="0" maxOccurs="unbounded">
              <xs:complexType>
                <xs:sequence>
                  <xs:element name="BarCod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uantity" type="xs:int" minOccurs="0"/>
                  <xs:element name="LoadAbility" type="xs:int" minOccurs="0"/>
                  <xs:element name="QntIn40HC" msdata:ReadOnly="true" type="xs:decimal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6:H7" tableType="xml" insertRow="1" totalsRowShown="0" headerRowDxfId="9" dataDxfId="8">
  <autoFilter ref="A6:H7"/>
  <tableColumns count="8">
    <tableColumn id="9" uniqueName="ns1:ProductStatusNM" name="ns1:ProductStatusNM" dataDxfId="7">
      <xmlColumnPr mapId="1" xpath="/ns1:ReportDataObject/ns1:ReportMng_PhysicalStock_View/ns1:ProductStatusNM" xmlDataType="string"/>
    </tableColumn>
    <tableColumn id="1" uniqueName="ns1:BarCode" name="ns1:BarCode" dataDxfId="6">
      <xmlColumnPr mapId="1" xpath="/ns1:ReportDataObject/ns1:ReportMng_PhysicalStock_View/ns1:BarCode" xmlDataType="string"/>
    </tableColumn>
    <tableColumn id="2" uniqueName="ns1:ImageFile" name="ns1:ImageFile" dataDxfId="5">
      <xmlColumnPr mapId="1" xpath="/ns1:ReportDataObject/ns1:ReportMng_PhysicalStock_View/ns1:ImageFile" xmlDataType="string"/>
    </tableColumn>
    <tableColumn id="3" uniqueName="ns1:ArticleCode" name="ns1:ArticleCode" dataDxfId="4">
      <xmlColumnPr mapId="1" xpath="/ns1:ReportDataObject/ns1:ReportMng_PhysicalStock_View/ns1:ArticleCode" xmlDataType="string"/>
    </tableColumn>
    <tableColumn id="4" uniqueName="ns1:Description" name="ns1:Description" dataDxfId="3">
      <xmlColumnPr mapId="1" xpath="/ns1:ReportDataObject/ns1:ReportMng_PhysicalStock_View/ns1:Description" xmlDataType="string"/>
    </tableColumn>
    <tableColumn id="10" uniqueName="ns1:LoadAbility" name="Column1" dataDxfId="2">
      <xmlColumnPr mapId="1" xpath="/ns1:ReportDataObject/ns1:ReportMng_PhysicalStock_View/ns1:LoadAbility" xmlDataType="int"/>
    </tableColumn>
    <tableColumn id="6" uniqueName="ns1:Quantity" name="ns1:Quantity" dataDxfId="1">
      <xmlColumnPr mapId="1" xpath="/ns1:ReportDataObject/ns1:ReportMng_PhysicalStock_View/ns1:Quantity" xmlDataType="int"/>
    </tableColumn>
    <tableColumn id="8" uniqueName="ns1:QntIn40HC" name="ns1:QntIn40HC" dataDxfId="0">
      <xmlColumnPr mapId="1" xpath="/ns1:ReportDataObject/ns1:ReportMng_PhysicalStock_View/ns1:QntIn40HC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workbookViewId="0">
      <selection activeCell="F10" sqref="F10"/>
    </sheetView>
  </sheetViews>
  <sheetFormatPr defaultRowHeight="15"/>
  <cols>
    <col min="1" max="1" width="15.7109375" customWidth="1"/>
    <col min="2" max="2" width="27.28515625" customWidth="1"/>
    <col min="3" max="4" width="15.7109375" customWidth="1"/>
    <col min="5" max="5" width="42.7109375" customWidth="1"/>
    <col min="6" max="8" width="12.7109375" customWidth="1"/>
  </cols>
  <sheetData>
    <row r="1" spans="1:8" ht="15" customHeight="1">
      <c r="A1" s="14" t="s">
        <v>8</v>
      </c>
      <c r="B1" s="15"/>
      <c r="C1" s="3" t="s">
        <v>14</v>
      </c>
      <c r="D1" s="1">
        <f ca="1">NOW()</f>
        <v>42716.423459027777</v>
      </c>
    </row>
    <row r="2" spans="1:8" ht="15" customHeight="1">
      <c r="A2" s="16"/>
      <c r="B2" s="17"/>
    </row>
    <row r="3" spans="1:8">
      <c r="A3" s="2" t="s">
        <v>12</v>
      </c>
      <c r="B3" s="2" t="s">
        <v>13</v>
      </c>
      <c r="C3" s="2" t="s">
        <v>15</v>
      </c>
      <c r="D3" s="2" t="s">
        <v>9</v>
      </c>
      <c r="E3" s="2" t="s">
        <v>10</v>
      </c>
      <c r="F3" s="2" t="s">
        <v>16</v>
      </c>
      <c r="G3" s="2" t="s">
        <v>11</v>
      </c>
      <c r="H3" s="2" t="s">
        <v>17</v>
      </c>
    </row>
    <row r="4" spans="1:8">
      <c r="A4" s="6"/>
      <c r="B4" s="6"/>
      <c r="C4" s="6"/>
      <c r="D4" s="6"/>
      <c r="E4" s="6"/>
      <c r="F4" s="9"/>
      <c r="G4" s="9">
        <f>SUM(Table1[ns1:Quantity])</f>
        <v>0</v>
      </c>
      <c r="H4" s="11">
        <f>SUM(Table1[ns1:QntIn40HC])</f>
        <v>0</v>
      </c>
    </row>
    <row r="5" spans="1:8">
      <c r="A5" s="6"/>
      <c r="B5" s="6"/>
      <c r="C5" s="6"/>
      <c r="D5" s="6"/>
      <c r="E5" s="6"/>
      <c r="F5" s="9"/>
      <c r="G5" s="9">
        <f>SUBTOTAL(9,Table1[ns1:Quantity])</f>
        <v>0</v>
      </c>
      <c r="H5" s="11">
        <f>SUBTOTAL(9,Table1[ns1:QntIn40HC])</f>
        <v>0</v>
      </c>
    </row>
    <row r="6" spans="1:8">
      <c r="A6" s="4" t="s">
        <v>5</v>
      </c>
      <c r="B6" s="5" t="s">
        <v>1</v>
      </c>
      <c r="C6" s="5" t="s">
        <v>2</v>
      </c>
      <c r="D6" s="5" t="s">
        <v>3</v>
      </c>
      <c r="E6" s="5" t="s">
        <v>4</v>
      </c>
      <c r="F6" s="5" t="s">
        <v>0</v>
      </c>
      <c r="G6" s="5" t="s">
        <v>6</v>
      </c>
      <c r="H6" s="5" t="s">
        <v>7</v>
      </c>
    </row>
    <row r="7" spans="1:8" ht="29.25">
      <c r="A7" s="7"/>
      <c r="B7" s="13"/>
      <c r="C7" s="7"/>
      <c r="D7" s="7"/>
      <c r="E7" s="8"/>
      <c r="F7" s="10"/>
      <c r="G7" s="10"/>
      <c r="H7" s="12"/>
    </row>
  </sheetData>
  <mergeCells count="1">
    <mergeCell ref="A1:B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Quang</cp:lastModifiedBy>
  <dcterms:created xsi:type="dcterms:W3CDTF">2015-06-16T11:37:17Z</dcterms:created>
  <dcterms:modified xsi:type="dcterms:W3CDTF">2016-12-12T03:10:31Z</dcterms:modified>
</cp:coreProperties>
</file>