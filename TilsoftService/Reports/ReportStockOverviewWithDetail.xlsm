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0" windowWidth="15090" windowHeight="5355" tabRatio="807"/>
  </bookViews>
  <sheets>
    <sheet name="StockOverview" sheetId="2" r:id="rId1"/>
    <sheet name="Reservation" sheetId="3" r:id="rId2"/>
    <sheet name="Client" sheetId="4" r:id="rId3"/>
    <sheet name="ReservationData" sheetId="5" r:id="rId4"/>
    <sheet name="ImportOverview" sheetId="6" r:id="rId5"/>
    <sheet name="OrderOverview" sheetId="7" r:id="rId6"/>
    <sheet name="ReservationOverview" sheetId="8" r:id="rId7"/>
    <sheet name="PickingListOverview" sheetId="9" r:id="rId8"/>
    <sheet name="ExportOverview" sheetId="10" r:id="rId9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0" l="1"/>
  <c r="J2" i="10"/>
  <c r="K3" i="9"/>
  <c r="K2" i="9"/>
  <c r="J3" i="9"/>
  <c r="J2" i="9"/>
  <c r="K3" i="8"/>
  <c r="K2" i="8"/>
  <c r="J3" i="7"/>
  <c r="J2" i="7"/>
  <c r="H3" i="7"/>
  <c r="H2" i="7"/>
  <c r="F3" i="6"/>
  <c r="F2" i="6"/>
  <c r="H7" i="2" l="1"/>
  <c r="K9" i="3" l="1"/>
  <c r="S2" i="2" l="1"/>
  <c r="S1" i="2"/>
  <c r="Q2" i="2"/>
  <c r="Q1" i="2"/>
  <c r="O1" i="2"/>
  <c r="Q5" i="2"/>
  <c r="R5" i="2"/>
  <c r="S5" i="2"/>
  <c r="T5" i="2"/>
  <c r="Q4" i="2"/>
  <c r="R4" i="2"/>
  <c r="S4" i="2"/>
  <c r="T4" i="2"/>
  <c r="R7" i="2" l="1"/>
  <c r="T7" i="2"/>
  <c r="S7" i="2"/>
  <c r="Q7" i="2"/>
  <c r="P7" i="2" l="1"/>
  <c r="N7" i="2"/>
  <c r="N4" i="2" s="1"/>
  <c r="M1" i="2" s="1"/>
  <c r="L7" i="2"/>
  <c r="L5" i="2" s="1"/>
  <c r="K2" i="2" s="1"/>
  <c r="J7" i="2"/>
  <c r="J4" i="2" s="1"/>
  <c r="I1" i="2" s="1"/>
  <c r="P5" i="2" l="1"/>
  <c r="O2" i="2" s="1"/>
  <c r="P4" i="2"/>
  <c r="N5" i="2"/>
  <c r="M2" i="2" s="1"/>
  <c r="L4" i="2"/>
  <c r="K1" i="2" s="1"/>
  <c r="J5" i="2"/>
  <c r="I2" i="2" s="1"/>
  <c r="K7" i="3"/>
  <c r="J7" i="3"/>
  <c r="K6" i="3"/>
  <c r="J6" i="3"/>
  <c r="G1" i="3" l="1"/>
  <c r="G5" i="2" l="1"/>
  <c r="H5" i="2"/>
  <c r="I5" i="2"/>
  <c r="K5" i="2"/>
  <c r="M5" i="2"/>
  <c r="O5" i="2"/>
  <c r="G4" i="2"/>
  <c r="H4" i="2"/>
  <c r="I4" i="2"/>
  <c r="K4" i="2"/>
  <c r="M4" i="2"/>
  <c r="O4" i="2"/>
  <c r="D1" i="2"/>
</calcChain>
</file>

<file path=xl/sharedStrings.xml><?xml version="1.0" encoding="utf-8"?>
<sst xmlns="http://schemas.openxmlformats.org/spreadsheetml/2006/main" count="239" uniqueCount="120">
  <si>
    <t>Barcode</t>
  </si>
  <si>
    <t>Picture</t>
  </si>
  <si>
    <t>Art.Code</t>
  </si>
  <si>
    <t>Description</t>
  </si>
  <si>
    <t>Load 40HC</t>
  </si>
  <si>
    <t>Report date</t>
  </si>
  <si>
    <t>Pro Status</t>
  </si>
  <si>
    <t>ns1:ProductStatusNM</t>
  </si>
  <si>
    <t>ns1:BarCode</t>
  </si>
  <si>
    <t>ns1:ImageFile</t>
  </si>
  <si>
    <t>ns1:ArticleCode</t>
  </si>
  <si>
    <t>ns1:Description</t>
  </si>
  <si>
    <t>ns1:Qnt40HC</t>
  </si>
  <si>
    <t>ns1:PhysicalQnt</t>
  </si>
  <si>
    <t>ns1:PhysicalQntIn40HC</t>
  </si>
  <si>
    <t>ns1:OnSeaQnt</t>
  </si>
  <si>
    <t>ns1:TobeShippedQnt</t>
  </si>
  <si>
    <t>ns1:ReservationQnt</t>
  </si>
  <si>
    <t>ns1:FTSQnt</t>
  </si>
  <si>
    <t>STOCK OVER VIEW</t>
  </si>
  <si>
    <t>Physical Qnt</t>
  </si>
  <si>
    <t>Physical Qnt In 40HC</t>
  </si>
  <si>
    <t>On Sea Qnt</t>
  </si>
  <si>
    <t>To Be Shipped Qnt</t>
  </si>
  <si>
    <t>Reservation Qnt</t>
  </si>
  <si>
    <t>ns1:ClientID</t>
  </si>
  <si>
    <t>ns1:ClientUD</t>
  </si>
  <si>
    <t>ns1:ClientNM</t>
  </si>
  <si>
    <t>ns1:KeyID</t>
  </si>
  <si>
    <t>ns1:ReservationQntIn40HC</t>
  </si>
  <si>
    <t xml:space="preserve">Qnt Reservation </t>
  </si>
  <si>
    <t>Reservation  40HC</t>
  </si>
  <si>
    <t>RESERVATION</t>
  </si>
  <si>
    <t>ProductStatusID</t>
  </si>
  <si>
    <t>ns1:ProductStatusID</t>
  </si>
  <si>
    <t>ns1:ProductID</t>
  </si>
  <si>
    <t>Total</t>
  </si>
  <si>
    <t>Sub Total</t>
  </si>
  <si>
    <t>Column1</t>
  </si>
  <si>
    <t>Column2</t>
  </si>
  <si>
    <t>Client Code</t>
  </si>
  <si>
    <t>Column3</t>
  </si>
  <si>
    <t>Column5</t>
  </si>
  <si>
    <t>Total Cont</t>
  </si>
  <si>
    <t>Sub Total Cont</t>
  </si>
  <si>
    <t>FTS Qnt Physical Stock</t>
  </si>
  <si>
    <t>Column6</t>
  </si>
  <si>
    <t>Column7</t>
  </si>
  <si>
    <t>Column62</t>
  </si>
  <si>
    <t>Column8</t>
  </si>
  <si>
    <t>FTS Qnt Physical Stock + OnSea + TBS</t>
  </si>
  <si>
    <t>FTS Qnt Physical Stock + OnSea</t>
  </si>
  <si>
    <t>ns1:ReceiptNo</t>
  </si>
  <si>
    <t>ns1:IsConfirmed</t>
  </si>
  <si>
    <t>ns1:ImportedDate</t>
  </si>
  <si>
    <t>ns1:Quantity</t>
  </si>
  <si>
    <t>ns1:UnitPrice</t>
  </si>
  <si>
    <t>ns1:OfferUD</t>
  </si>
  <si>
    <t>ns1:ProformaInvoiceNo</t>
  </si>
  <si>
    <t>ns1:OrderType</t>
  </si>
  <si>
    <t>ArticleCode</t>
  </si>
  <si>
    <t>Quantity</t>
  </si>
  <si>
    <t>OrderType</t>
  </si>
  <si>
    <t>Confirmed</t>
  </si>
  <si>
    <t>Price</t>
  </si>
  <si>
    <t>Product Status</t>
  </si>
  <si>
    <t>Order Type</t>
  </si>
  <si>
    <t>Client Name</t>
  </si>
  <si>
    <t>IMPORTED OVER VIEW</t>
  </si>
  <si>
    <t>ns1:OrderQnt</t>
  </si>
  <si>
    <t>ns1:OrderQntIn40HC</t>
  </si>
  <si>
    <t>ns1:PaymentTermNM</t>
  </si>
  <si>
    <t>ns1:DeliveryTermNM</t>
  </si>
  <si>
    <t>ns1:Season</t>
  </si>
  <si>
    <t>Season</t>
  </si>
  <si>
    <t>ORDER OVERVIEW</t>
  </si>
  <si>
    <t>Qnt/40HC</t>
  </si>
  <si>
    <t>Client 
Code</t>
  </si>
  <si>
    <t>Order 
Type</t>
  </si>
  <si>
    <t>Delivery 
Term</t>
  </si>
  <si>
    <t>Payment 
Term</t>
  </si>
  <si>
    <t>Order 
Qnt</t>
  </si>
  <si>
    <t>Imported 
Date</t>
  </si>
  <si>
    <t>Product 
Status</t>
  </si>
  <si>
    <t>Invoice No</t>
  </si>
  <si>
    <t>ns1:ProcessingStatusNM</t>
  </si>
  <si>
    <t>ns1:ReservedDate</t>
  </si>
  <si>
    <t>RESERVATION OVERVIEW</t>
  </si>
  <si>
    <t>Status</t>
  </si>
  <si>
    <t>Reserved 
Date</t>
  </si>
  <si>
    <t>Offer</t>
  </si>
  <si>
    <t>Invoice 
No.</t>
  </si>
  <si>
    <t>Client 
Name</t>
  </si>
  <si>
    <t>ns1:CMRNo</t>
  </si>
  <si>
    <t>ns1:PlaningDate</t>
  </si>
  <si>
    <t>ns1:RealPickingDate</t>
  </si>
  <si>
    <t>ns1:PickingClientUD</t>
  </si>
  <si>
    <t>ns1:PickingClientNM</t>
  </si>
  <si>
    <t>ns1:PlaningQuantity</t>
  </si>
  <si>
    <t>ns1:OrderClientUD</t>
  </si>
  <si>
    <t>ns1:OrderClientNM</t>
  </si>
  <si>
    <t>PICKING OVERVIEW</t>
  </si>
  <si>
    <t>CMR No.</t>
  </si>
  <si>
    <t>Planing
Date</t>
  </si>
  <si>
    <t>Picking
Date</t>
  </si>
  <si>
    <t>Picking 
Client Code</t>
  </si>
  <si>
    <t>Picking 
Client Name</t>
  </si>
  <si>
    <t>Order 
Client Code</t>
  </si>
  <si>
    <t>Order 
Client Name</t>
  </si>
  <si>
    <t>Picked
Qnt</t>
  </si>
  <si>
    <t>Planed
Qnt</t>
  </si>
  <si>
    <t>EXPORTED OVERVIEW</t>
  </si>
  <si>
    <t>CMR No</t>
  </si>
  <si>
    <t>Planing 
Date</t>
  </si>
  <si>
    <t>Receipt
No.</t>
  </si>
  <si>
    <t>Invoice.
No</t>
  </si>
  <si>
    <t>Receipt 
No</t>
  </si>
  <si>
    <t>Invoice 
No</t>
  </si>
  <si>
    <t>Receip 
No</t>
  </si>
  <si>
    <t>GoodsID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</si>
</sst>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₫_-;\-* #,##0.00\ _₫_-;_-* &quot;-&quot;??\ _₫_-;_-@_-"/>
    <numFmt numFmtId="164" formatCode="_-* #,##0\ _₫_-;\-* #,##0\ _₫_-;_-* &quot;-&quot;??\ _₫_-;_-@_-"/>
  </numFmts>
  <fonts count="14"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charset val="163"/>
      <scheme val="minor"/>
    </font>
    <font>
      <i/>
      <sz val="9"/>
      <color theme="1"/>
      <name val="Calibri"/>
      <family val="2"/>
      <charset val="163"/>
      <scheme val="minor"/>
    </font>
    <font>
      <i/>
      <sz val="9"/>
      <color theme="1"/>
      <name val="Calibri"/>
      <family val="2"/>
      <scheme val="minor"/>
    </font>
    <font>
      <b/>
      <sz val="10"/>
      <color theme="1"/>
      <name val="Calibri"/>
      <family val="2"/>
      <charset val="163"/>
      <scheme val="minor"/>
    </font>
    <font>
      <b/>
      <sz val="15"/>
      <color rgb="FFFF0000"/>
      <name val="Calibri"/>
      <family val="2"/>
      <charset val="163"/>
      <scheme val="minor"/>
    </font>
    <font>
      <sz val="9"/>
      <color theme="1"/>
      <name val="Calibri"/>
      <family val="2"/>
      <charset val="163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charset val="163"/>
      <scheme val="minor"/>
    </font>
    <font>
      <b/>
      <sz val="11"/>
      <color theme="1"/>
      <name val="Calibri"/>
      <family val="2"/>
      <charset val="163"/>
      <scheme val="minor"/>
    </font>
    <font>
      <b/>
      <sz val="20"/>
      <color rgb="FFFF0000"/>
      <name val="Calibri"/>
      <family val="2"/>
      <charset val="163"/>
      <scheme val="minor"/>
    </font>
    <font>
      <b/>
      <sz val="22"/>
      <color rgb="FFFF0000"/>
      <name val="Calibri"/>
      <family val="2"/>
      <charset val="163"/>
      <scheme val="minor"/>
    </font>
    <font>
      <sz val="25"/>
      <color theme="1"/>
      <name val="Code 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76">
    <xf numFmtId="0" fontId="0" fillId="0" borderId="0" xfId="0"/>
    <xf numFmtId="14" fontId="3" fillId="0" borderId="0" xfId="0" applyNumberFormat="1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5" fillId="0" borderId="0" xfId="0" applyFont="1"/>
    <xf numFmtId="0" fontId="2" fillId="0" borderId="0" xfId="0" applyFont="1" applyAlignment="1">
      <alignment vertical="center"/>
    </xf>
    <xf numFmtId="49" fontId="0" fillId="0" borderId="0" xfId="0" applyNumberFormat="1"/>
    <xf numFmtId="0" fontId="6" fillId="0" borderId="0" xfId="0" applyFont="1" applyAlignment="1">
      <alignment horizontal="center" vertical="center"/>
    </xf>
    <xf numFmtId="0" fontId="0" fillId="0" borderId="1" xfId="0" applyBorder="1"/>
    <xf numFmtId="49" fontId="0" fillId="0" borderId="1" xfId="0" applyNumberFormat="1" applyBorder="1"/>
    <xf numFmtId="0" fontId="4" fillId="4" borderId="1" xfId="0" applyFont="1" applyFill="1" applyBorder="1" applyAlignment="1">
      <alignment horizontal="center" vertical="center" wrapText="1"/>
    </xf>
    <xf numFmtId="0" fontId="1" fillId="0" borderId="1" xfId="0" applyFont="1" applyBorder="1"/>
    <xf numFmtId="0" fontId="4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4" fontId="4" fillId="6" borderId="1" xfId="0" applyNumberFormat="1" applyFont="1" applyFill="1" applyBorder="1" applyAlignment="1">
      <alignment horizontal="right" vertical="center" wrapText="1"/>
    </xf>
    <xf numFmtId="4" fontId="0" fillId="0" borderId="1" xfId="0" applyNumberFormat="1" applyBorder="1"/>
    <xf numFmtId="3" fontId="4" fillId="6" borderId="1" xfId="0" applyNumberFormat="1" applyFont="1" applyFill="1" applyBorder="1" applyAlignment="1">
      <alignment horizontal="right" vertical="center" wrapText="1"/>
    </xf>
    <xf numFmtId="3" fontId="0" fillId="0" borderId="1" xfId="0" applyNumberFormat="1" applyBorder="1"/>
    <xf numFmtId="0" fontId="1" fillId="0" borderId="1" xfId="0" applyFont="1" applyBorder="1" applyAlignment="1">
      <alignment horizontal="right"/>
    </xf>
    <xf numFmtId="43" fontId="0" fillId="0" borderId="0" xfId="1" applyFont="1"/>
    <xf numFmtId="43" fontId="4" fillId="2" borderId="1" xfId="1" applyFont="1" applyFill="1" applyBorder="1" applyAlignment="1">
      <alignment horizontal="center" vertical="center" wrapText="1"/>
    </xf>
    <xf numFmtId="164" fontId="0" fillId="0" borderId="0" xfId="1" applyNumberFormat="1" applyFont="1"/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43" fontId="4" fillId="3" borderId="1" xfId="1" applyFont="1" applyFill="1" applyBorder="1" applyAlignment="1">
      <alignment horizontal="right" vertical="center" wrapText="1"/>
    </xf>
    <xf numFmtId="43" fontId="1" fillId="0" borderId="1" xfId="1" applyFont="1" applyBorder="1"/>
    <xf numFmtId="43" fontId="0" fillId="0" borderId="1" xfId="1" applyFont="1" applyBorder="1"/>
    <xf numFmtId="164" fontId="4" fillId="7" borderId="1" xfId="1" applyNumberFormat="1" applyFont="1" applyFill="1" applyBorder="1"/>
    <xf numFmtId="43" fontId="4" fillId="7" borderId="1" xfId="1" applyFont="1" applyFill="1" applyBorder="1"/>
    <xf numFmtId="0" fontId="4" fillId="7" borderId="1" xfId="0" applyFont="1" applyFill="1" applyBorder="1"/>
    <xf numFmtId="4" fontId="4" fillId="7" borderId="1" xfId="0" applyNumberFormat="1" applyFont="1" applyFill="1" applyBorder="1"/>
    <xf numFmtId="0" fontId="4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right" vertical="center"/>
    </xf>
    <xf numFmtId="0" fontId="0" fillId="8" borderId="1" xfId="0" applyFill="1" applyBorder="1" applyAlignment="1">
      <alignment horizontal="center" vertical="center"/>
    </xf>
    <xf numFmtId="3" fontId="4" fillId="2" borderId="1" xfId="1" applyNumberFormat="1" applyFont="1" applyFill="1" applyBorder="1" applyAlignment="1">
      <alignment horizontal="center" vertical="center" wrapText="1"/>
    </xf>
    <xf numFmtId="3" fontId="4" fillId="3" borderId="1" xfId="1" applyNumberFormat="1" applyFont="1" applyFill="1" applyBorder="1" applyAlignment="1">
      <alignment horizontal="right" vertical="center" wrapText="1"/>
    </xf>
    <xf numFmtId="3" fontId="1" fillId="0" borderId="1" xfId="1" applyNumberFormat="1" applyFont="1" applyBorder="1"/>
    <xf numFmtId="4" fontId="4" fillId="7" borderId="1" xfId="1" applyNumberFormat="1" applyFont="1" applyFill="1" applyBorder="1"/>
    <xf numFmtId="4" fontId="4" fillId="2" borderId="1" xfId="1" applyNumberFormat="1" applyFont="1" applyFill="1" applyBorder="1" applyAlignment="1">
      <alignment horizontal="center" vertical="center" wrapText="1"/>
    </xf>
    <xf numFmtId="4" fontId="4" fillId="3" borderId="1" xfId="1" applyNumberFormat="1" applyFont="1" applyFill="1" applyBorder="1" applyAlignment="1">
      <alignment horizontal="right" vertical="center" wrapText="1"/>
    </xf>
    <xf numFmtId="4" fontId="1" fillId="0" borderId="1" xfId="1" applyNumberFormat="1" applyFont="1" applyBorder="1"/>
    <xf numFmtId="4" fontId="0" fillId="0" borderId="0" xfId="1" applyNumberFormat="1" applyFont="1"/>
    <xf numFmtId="164" fontId="4" fillId="7" borderId="3" xfId="1" applyNumberFormat="1" applyFont="1" applyFill="1" applyBorder="1"/>
    <xf numFmtId="4" fontId="4" fillId="7" borderId="3" xfId="1" applyNumberFormat="1" applyFont="1" applyFill="1" applyBorder="1"/>
    <xf numFmtId="43" fontId="4" fillId="7" borderId="3" xfId="1" applyFont="1" applyFill="1" applyBorder="1"/>
    <xf numFmtId="0" fontId="9" fillId="0" borderId="1" xfId="0" applyFont="1" applyBorder="1"/>
    <xf numFmtId="0" fontId="11" fillId="0" borderId="0" xfId="0" applyFont="1"/>
    <xf numFmtId="0" fontId="12" fillId="0" borderId="0" xfId="0" applyFont="1"/>
    <xf numFmtId="0" fontId="10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7" borderId="0" xfId="0" applyFont="1" applyFill="1" applyAlignment="1">
      <alignment horizontal="right"/>
    </xf>
    <xf numFmtId="3" fontId="0" fillId="7" borderId="1" xfId="0" applyNumberFormat="1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4" fontId="0" fillId="7" borderId="1" xfId="0" applyNumberFormat="1" applyFill="1" applyBorder="1" applyAlignment="1">
      <alignment horizontal="right" vertical="center"/>
    </xf>
    <xf numFmtId="3" fontId="10" fillId="7" borderId="1" xfId="0" applyNumberFormat="1" applyFont="1" applyFill="1" applyBorder="1"/>
    <xf numFmtId="0" fontId="10" fillId="7" borderId="1" xfId="0" applyFont="1" applyFill="1" applyBorder="1" applyAlignment="1">
      <alignment horizontal="right" vertical="center"/>
    </xf>
    <xf numFmtId="3" fontId="10" fillId="7" borderId="1" xfId="0" applyNumberFormat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3" fontId="10" fillId="7" borderId="1" xfId="0" applyNumberFormat="1" applyFont="1" applyFill="1" applyBorder="1" applyAlignment="1">
      <alignment horizontal="right" vertical="center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3" fontId="0" fillId="0" borderId="1" xfId="1" applyNumberFormat="1" applyFont="1" applyBorder="1" applyAlignment="1">
      <alignment horizontal="right" vertical="center"/>
    </xf>
    <xf numFmtId="4" fontId="0" fillId="0" borderId="1" xfId="1" applyNumberFormat="1" applyFont="1" applyBorder="1" applyAlignment="1">
      <alignment horizontal="right" vertical="center"/>
    </xf>
    <xf numFmtId="43" fontId="0" fillId="0" borderId="1" xfId="1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134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5"/>
        <color theme="1"/>
        <name val="Code 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5"/>
        <color theme="1"/>
        <name val="Code 128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2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ReportMng_StockOverview_View" minOccurs="0" maxOccurs="unbounded">
              <xs:complexType>
                <xs:sequence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rCod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mageFil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PhysicalQnt" msdata:ReadOnly="true" type="xs:int" minOccurs="0"/>
                  <xs:element name="PhysicalQntIn40HC" msdata:ReadOnly="true" type="xs:decimal" minOccurs="0"/>
                  <xs:element name="OnSeaQnt" type="xs:int" minOccurs="0"/>
                  <xs:element name="TobeShippedQnt" msdata:ReadOnly="true" type="xs:decimal" minOccurs="0"/>
                  <xs:element name="ReservationQnt" type="xs:int" minOccurs="0"/>
                  <xs:element name="FTSQnt" msdata:ReadOnly="true" type="xs:decimal" minOccurs="0"/>
                </xs:sequence>
              </xs:complexType>
            </xs:element>
            <xs:element name="ReportMng_StockReservationProduct_View" minOccurs="0" maxOccurs="unbounded">
              <xs:complexType>
                <xs:sequence>
                  <xs:element name="ProductStatusID" type="xs:int" minOccurs="0"/>
                  <xs:element name="GoodsID" type="xs:int" minOccurs="0"/>
                  <xs:element name="ProductTyp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rCod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mageFil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ReservationQnt" msdata:ReadOnly="true" type="xs:int" minOccurs="0"/>
                  <xs:element name="ReservationQntIn40HC" msdata:ReadOnly="true" type="xs:decimal" minOccurs="0"/>
                </xs:sequence>
              </xs:complexType>
            </xs:element>
            <xs:element name="ReportMng_StockClient_View" minOccurs="0" maxOccurs="unbounded">
              <xs:complexType>
                <xs:sequence>
                  <xs:element name="ClientID" type="xs:int" minOccurs="0"/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  <xs:element name="ReportMng_StockReservation_View" minOccurs="0" maxOccurs="unbounded">
              <xs:complexType>
                <xs:sequence>
                  <xs:element name="KeyID" msdata:ReadOnly="true" minOccurs="0">
                    <xs:simpleType>
                      <xs:restriction base="xs:string">
                        <xs:maxLength value="92"/>
                      </xs:restriction>
                    </xs:simpleType>
                  </xs:element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rCod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mageFil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ReservationQnt" msdata:ReadOnly="true" type="xs:int" minOccurs="0"/>
                  <xs:element name="ReservationQntIn40HC" msdata:ReadOnly="true" type="xs:decimal" minOccurs="0"/>
                </xs:sequence>
              </xs:complexType>
            </xs:element>
            <xs:element name="ReportMng_ImportedOverview_View" minOccurs="0" maxOccurs="unbounded">
              <xs:complexType>
                <xs:sequence>
                  <xs:element name="Receipt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IsConfirmed" msdata:ReadOnly="true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Imported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uantity" type="xs:int" minOccurs="0"/>
                  <xs:element name="UnitPrice" type="xs:decimal" minOccurs="0"/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fferUD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Typ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  <xs:element name="ReportMng_OrderOverview_View" minOccurs="0" maxOccurs="unbounded">
              <xs:complexType>
                <xs:sequence>
                  <xs:element name="OfferUD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Typ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OrderQnt" type="xs:int" minOccurs="0"/>
                  <xs:element name="UnitPrice" type="xs:decimal" minOccurs="0"/>
                  <xs:element name="OrderQntIn40HC" msdata:ReadOnly="true" type="xs:decimal" minOccurs="0"/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</xs:sequence>
              </xs:complexType>
            </xs:element>
            <xs:element name="ReportMng_ReservationOverview_View" minOccurs="0" maxOccurs="unbounded">
              <xs:complexType>
                <xs:sequence>
                  <xs:element name="Receipt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rocessing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Reserved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OfferUD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Typ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uantity" type="xs:int" minOccurs="0"/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</xs:sequence>
              </xs:complexType>
            </xs:element>
            <xs:element name="ReportMng_PickingListOverview_View" minOccurs="0" maxOccurs="unbounded">
              <xs:complexType>
                <xs:sequence>
                  <xs:element name="Receipt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MR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rocessing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laning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RealPicking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icking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Picking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uantity" type="xs:int" minOccurs="0"/>
                  <xs:element name="PlaningQuantity" type="xs:int" minOccurs="0"/>
                  <xs:element name="OfferUD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rder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Order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Typ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</xs:sequence>
              </xs:complexType>
            </xs:element>
            <xs:element name="ReportMng_ExportedOverview_View" minOccurs="0" maxOccurs="unbounded">
              <xs:complexType>
                <xs:sequence>
                  <xs:element name="Receipt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MR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rocessing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laning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RealPicking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icking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Picking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uantity" type="xs:int" minOccurs="0"/>
                  <xs:element name="UnitPrice" type="xs:decimal" minOccurs="0"/>
                  <xs:element name="OfferUD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rder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Order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Typ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</xs:sequence>
              </xs:complexType>
            </xs:element>
          </xs:sequence>
        </xs:complexType>
      </xs:element>
    </xs:schema>
  </Schema>
  <Map ID="2" Name="ReportDataObject_Map" RootElement="ReportDataObject" SchemaID="Schema2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Table2" displayName="Table2" ref="A6:T7" tableType="xml" totalsRowShown="0" headerRowDxfId="133" headerRowBorderDxfId="132" tableBorderDxfId="131" totalsRowBorderDxfId="130">
  <autoFilter ref="A6:T7"/>
  <tableColumns count="20">
    <tableColumn id="1" uniqueName="ns1:ProductStatusNM" name="ns1:ProductStatusNM" dataDxfId="129">
      <xmlColumnPr mapId="2" xpath="/ns1:ReportDataObject/ns1:ReportMng_StockOverview_View/ns1:ProductStatusNM" xmlDataType="string"/>
    </tableColumn>
    <tableColumn id="2" uniqueName="ns1:BarCode" name="ns1:BarCode" dataDxfId="128">
      <xmlColumnPr mapId="2" xpath="/ns1:ReportDataObject/ns1:ReportMng_StockOverview_View/ns1:BarCode" xmlDataType="string"/>
    </tableColumn>
    <tableColumn id="3" uniqueName="ns1:ImageFile" name="ns1:ImageFile" dataDxfId="127">
      <xmlColumnPr mapId="2" xpath="/ns1:ReportDataObject/ns1:ReportMng_StockOverview_View/ns1:ImageFile" xmlDataType="string"/>
    </tableColumn>
    <tableColumn id="4" uniqueName="ns1:ArticleCode" name="ns1:ArticleCode" dataDxfId="126">
      <xmlColumnPr mapId="2" xpath="/ns1:ReportDataObject/ns1:ReportMng_StockOverview_View/ns1:ArticleCode" xmlDataType="string"/>
    </tableColumn>
    <tableColumn id="5" uniqueName="ns1:Description" name="ns1:Description" dataDxfId="125">
      <xmlColumnPr mapId="2" xpath="/ns1:ReportDataObject/ns1:ReportMng_StockOverview_View/ns1:Description" xmlDataType="string"/>
    </tableColumn>
    <tableColumn id="6" uniqueName="ns1:Qnt40HC" name="ns1:Qnt40HC" dataDxfId="124" dataCellStyle="Comma">
      <xmlColumnPr mapId="2" xpath="/ns1:ReportDataObject/ns1:ReportMng_StockOverview_View/ns1:Qnt40HC" xmlDataType="int"/>
    </tableColumn>
    <tableColumn id="7" uniqueName="ns1:PhysicalQnt" name="ns1:PhysicalQnt" dataDxfId="123" dataCellStyle="Comma">
      <xmlColumnPr mapId="2" xpath="/ns1:ReportDataObject/ns1:ReportMng_StockOverview_View/ns1:PhysicalQnt" xmlDataType="int"/>
    </tableColumn>
    <tableColumn id="8" uniqueName="ns1:PhysicalQntIn40HC" name="ns1:PhysicalQntIn40HC" dataDxfId="122" dataCellStyle="Comma">
      <calculatedColumnFormula>ROUND(IFERROR(Table2[ns1:PhysicalQnt]/Table2[ns1:Qnt40HC],0),2)</calculatedColumnFormula>
    </tableColumn>
    <tableColumn id="9" uniqueName="ns1:OnSeaQnt" name="ns1:OnSeaQnt" dataDxfId="121" dataCellStyle="Comma">
      <xmlColumnPr mapId="2" xpath="/ns1:ReportDataObject/ns1:ReportMng_StockOverview_View/ns1:OnSeaQnt" xmlDataType="int"/>
    </tableColumn>
    <tableColumn id="13" uniqueName="13" name="Column1" dataDxfId="120" dataCellStyle="Comma">
      <calculatedColumnFormula>IFERROR(Table2[ns1:OnSeaQnt]/Table2[ns1:Qnt40HC],0)</calculatedColumnFormula>
    </tableColumn>
    <tableColumn id="10" uniqueName="ns1:TobeShippedQnt" name="ns1:TobeShippedQnt" dataDxfId="119" dataCellStyle="Comma">
      <xmlColumnPr mapId="2" xpath="/ns1:ReportDataObject/ns1:ReportMng_StockOverview_View/ns1:TobeShippedQnt" xmlDataType="decimal"/>
    </tableColumn>
    <tableColumn id="14" uniqueName="14" name="Column2" dataDxfId="118" dataCellStyle="Comma">
      <calculatedColumnFormula>IFERROR(Table2[ns1:TobeShippedQnt]/Table2[ns1:Qnt40HC],0)</calculatedColumnFormula>
    </tableColumn>
    <tableColumn id="11" uniqueName="ns1:ReservationQnt" name="ns1:ReservationQnt" dataDxfId="117" dataCellStyle="Comma">
      <xmlColumnPr mapId="2" xpath="/ns1:ReportDataObject/ns1:ReportMng_StockOverview_View/ns1:ReservationQnt" xmlDataType="int"/>
    </tableColumn>
    <tableColumn id="15" uniqueName="15" name="Column3" dataDxfId="116" dataCellStyle="Comma">
      <calculatedColumnFormula>IFERROR(Table2[ns1:ReservationQnt]/Table2[ns1:Qnt40HC],0)</calculatedColumnFormula>
    </tableColumn>
    <tableColumn id="12" uniqueName="ns1:FTSQnt" name="ns1:FTSQnt" dataDxfId="115" dataCellStyle="Comma">
      <xmlColumnPr mapId="2" xpath="/ns1:ReportDataObject/ns1:ReportMng_StockOverview_View/ns1:FTSQnt" xmlDataType="decimal"/>
    </tableColumn>
    <tableColumn id="17" uniqueName="17" name="Column5" dataDxfId="114" dataCellStyle="Comma">
      <calculatedColumnFormula>IFERROR(Table2[ns1:FTSQnt]/Table2[ns1:Qnt40HC],0)</calculatedColumnFormula>
    </tableColumn>
    <tableColumn id="16" uniqueName="16" name="Column6" dataDxfId="113" dataCellStyle="Comma">
      <calculatedColumnFormula>Table2[ns1:FTSQnt]+Table2[ns1:OnSeaQnt]</calculatedColumnFormula>
    </tableColumn>
    <tableColumn id="19" uniqueName="19" name="Column62" dataDxfId="112" dataCellStyle="Comma">
      <calculatedColumnFormula>IFERROR(Table2[Column6]/Table2[ns1:Qnt40HC],0)</calculatedColumnFormula>
    </tableColumn>
    <tableColumn id="18" uniqueName="18" name="Column7" dataDxfId="111" dataCellStyle="Comma">
      <calculatedColumnFormula>Table2[ns1:FTSQnt]+Table2[ns1:OnSeaQnt]+Table2[ns1:TobeShippedQnt]</calculatedColumnFormula>
    </tableColumn>
    <tableColumn id="20" uniqueName="20" name="Column8" dataDxfId="110" dataCellStyle="Comma">
      <calculatedColumnFormula>IFERROR(Table2[Column7]/Table2[ns1:Qnt40HC],0)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8:M9" tableType="xml" totalsRowShown="0" headerRowDxfId="109" headerRowBorderDxfId="108" tableBorderDxfId="107" totalsRowBorderDxfId="106">
  <autoFilter ref="A8:M9"/>
  <tableColumns count="13">
    <tableColumn id="1" uniqueName="ns1:ProductStatusID" name="ns1:ProductStatusID" dataDxfId="105">
      <xmlColumnPr mapId="2" xpath="/ns1:ReportDataObject/ns1:ReportMng_StockReservationProduct_View/ns1:ProductStatusID" xmlDataType="int"/>
    </tableColumn>
    <tableColumn id="2" uniqueName="ns1:GoodsID" name="ns1:ProductID" dataDxfId="104">
      <xmlColumnPr mapId="2" xpath="/ns1:ReportDataObject/ns1:ReportMng_StockReservationProduct_View/ns1:GoodsID" xmlDataType="int"/>
    </tableColumn>
    <tableColumn id="13" uniqueName="ns1:ProductType" name="Column3" dataDxfId="103">
      <xmlColumnPr mapId="2" xpath="/ns1:ReportDataObject/ns1:ReportMng_StockReservationProduct_View/ns1:ProductType" xmlDataType="string"/>
    </tableColumn>
    <tableColumn id="3" uniqueName="ns1:ProductStatusNM" name="ns1:ProductStatusNM" dataDxfId="102">
      <xmlColumnPr mapId="2" xpath="/ns1:ReportDataObject/ns1:ReportMng_StockReservationProduct_View/ns1:ProductStatusNM" xmlDataType="string"/>
    </tableColumn>
    <tableColumn id="4" uniqueName="ns1:BarCode" name="ns1:BarCode" dataDxfId="101">
      <xmlColumnPr mapId="2" xpath="/ns1:ReportDataObject/ns1:ReportMng_StockReservationProduct_View/ns1:BarCode" xmlDataType="string"/>
    </tableColumn>
    <tableColumn id="5" uniqueName="ns1:ImageFile" name="ns1:ImageFile" dataDxfId="100">
      <xmlColumnPr mapId="2" xpath="/ns1:ReportDataObject/ns1:ReportMng_StockReservationProduct_View/ns1:ImageFile" xmlDataType="string"/>
    </tableColumn>
    <tableColumn id="6" uniqueName="ns1:ArticleCode" name="ns1:ArticleCode" dataDxfId="99">
      <xmlColumnPr mapId="2" xpath="/ns1:ReportDataObject/ns1:ReportMng_StockReservationProduct_View/ns1:ArticleCode" xmlDataType="string"/>
    </tableColumn>
    <tableColumn id="7" uniqueName="ns1:Description" name="ns1:Description" dataDxfId="98">
      <xmlColumnPr mapId="2" xpath="/ns1:ReportDataObject/ns1:ReportMng_StockReservationProduct_View/ns1:Description" xmlDataType="string"/>
    </tableColumn>
    <tableColumn id="8" uniqueName="ns1:Qnt40HC" name="ns1:Qnt40HC" dataDxfId="97">
      <xmlColumnPr mapId="2" xpath="/ns1:ReportDataObject/ns1:ReportMng_StockReservationProduct_View/ns1:Qnt40HC" xmlDataType="int"/>
    </tableColumn>
    <tableColumn id="9" uniqueName="ns1:ReservationQnt" name="ns1:ReservationQnt" dataDxfId="96">
      <xmlColumnPr mapId="2" xpath="/ns1:ReportDataObject/ns1:ReportMng_StockReservationProduct_View/ns1:ReservationQnt" xmlDataType="int"/>
    </tableColumn>
    <tableColumn id="10" uniqueName="ns1:ReservationQntIn40HC" name="ns1:ReservationQntIn40HC" dataDxfId="95">
      <calculatedColumnFormula>IFERROR(Table4[ns1:ReservationQnt]/Table4[ns1:Qnt40HC],0)</calculatedColumnFormula>
    </tableColumn>
    <tableColumn id="12" uniqueName="12" name="Column2" dataDxfId="94"/>
    <tableColumn id="11" uniqueName="11" name="Column1" dataDxfId="9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C2" tableType="xml" insertRow="1" totalsRowShown="0">
  <autoFilter ref="A1:C2"/>
  <tableColumns count="3">
    <tableColumn id="1" uniqueName="ns1:ClientID" name="ns1:ClientID">
      <xmlColumnPr mapId="2" xpath="/ns1:ReportDataObject/ns1:ReportMng_StockClient_View/ns1:ClientID" xmlDataType="int"/>
    </tableColumn>
    <tableColumn id="2" uniqueName="ns1:ClientUD" name="ns1:ClientUD" dataDxfId="92">
      <xmlColumnPr mapId="2" xpath="/ns1:ReportDataObject/ns1:ReportMng_StockClient_View/ns1:ClientUD" xmlDataType="string"/>
    </tableColumn>
    <tableColumn id="3" uniqueName="ns1:ClientNM" name="ns1:ClientNM">
      <xmlColumnPr mapId="2" xpath="/ns1:ReportDataObject/ns1:ReportMng_StockClient_View/ns1:ClientNM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1:I2" tableType="xml" insertRow="1" totalsRowShown="0">
  <autoFilter ref="A1:I2"/>
  <tableColumns count="9">
    <tableColumn id="1" uniqueName="ns1:KeyID" name="ns1:KeyID">
      <xmlColumnPr mapId="2" xpath="/ns1:ReportDataObject/ns1:ReportMng_StockReservation_View/ns1:KeyID" xmlDataType="string"/>
    </tableColumn>
    <tableColumn id="2" uniqueName="ns1:ProductStatusNM" name="ns1:ProductStatusNM">
      <xmlColumnPr mapId="2" xpath="/ns1:ReportDataObject/ns1:ReportMng_StockReservation_View/ns1:ProductStatusNM" xmlDataType="string"/>
    </tableColumn>
    <tableColumn id="3" uniqueName="ns1:BarCode" name="ns1:BarCode">
      <xmlColumnPr mapId="2" xpath="/ns1:ReportDataObject/ns1:ReportMng_StockReservation_View/ns1:BarCode" xmlDataType="string"/>
    </tableColumn>
    <tableColumn id="4" uniqueName="ns1:ImageFile" name="ns1:ImageFile">
      <xmlColumnPr mapId="2" xpath="/ns1:ReportDataObject/ns1:ReportMng_StockReservation_View/ns1:ImageFile" xmlDataType="string"/>
    </tableColumn>
    <tableColumn id="5" uniqueName="ns1:ArticleCode" name="ns1:ArticleCode">
      <xmlColumnPr mapId="2" xpath="/ns1:ReportDataObject/ns1:ReportMng_StockReservation_View/ns1:ArticleCode" xmlDataType="string"/>
    </tableColumn>
    <tableColumn id="6" uniqueName="ns1:Description" name="ns1:Description">
      <xmlColumnPr mapId="2" xpath="/ns1:ReportDataObject/ns1:ReportMng_StockReservation_View/ns1:Description" xmlDataType="string"/>
    </tableColumn>
    <tableColumn id="7" uniqueName="ns1:Qnt40HC" name="ns1:Qnt40HC">
      <xmlColumnPr mapId="2" xpath="/ns1:ReportDataObject/ns1:ReportMng_StockReservation_View/ns1:Qnt40HC" xmlDataType="int"/>
    </tableColumn>
    <tableColumn id="8" uniqueName="ns1:ReservationQnt" name="ns1:ReservationQnt">
      <xmlColumnPr mapId="2" xpath="/ns1:ReportDataObject/ns1:ReportMng_StockReservation_View/ns1:ReservationQnt" xmlDataType="int"/>
    </tableColumn>
    <tableColumn id="9" uniqueName="ns1:ReservationQntIn40HC" name="ns1:ReservationQntIn40HC">
      <xmlColumnPr mapId="2" xpath="/ns1:ReportDataObject/ns1:ReportMng_StockReservation_View/ns1:ReservationQntIn40HC" xmlDataType="decimal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A5:M6" tableType="xml" insertRow="1" totalsRowShown="0" headerRowDxfId="91" headerRowBorderDxfId="90" tableBorderDxfId="89" totalsRowBorderDxfId="88">
  <autoFilter ref="A5:M6"/>
  <tableColumns count="13">
    <tableColumn id="1" uniqueName="ns1:ReceiptNo" name="ns1:ReceiptNo" dataDxfId="87">
      <xmlColumnPr mapId="2" xpath="/ns1:ReportDataObject/ns1:ReportMng_ImportedOverview_View/ns1:ReceiptNo" xmlDataType="string"/>
    </tableColumn>
    <tableColumn id="2" uniqueName="ns1:IsConfirmed" name="ns1:IsConfirmed" dataDxfId="86">
      <xmlColumnPr mapId="2" xpath="/ns1:ReportDataObject/ns1:ReportMng_ImportedOverview_View/ns1:IsConfirmed" xmlDataType="string"/>
    </tableColumn>
    <tableColumn id="3" uniqueName="ns1:ImportedDate" name="ns1:ImportedDate" dataDxfId="85">
      <xmlColumnPr mapId="2" xpath="/ns1:ReportDataObject/ns1:ReportMng_ImportedOverview_View/ns1:ImportedDate" xmlDataType="string"/>
    </tableColumn>
    <tableColumn id="4" uniqueName="ns1:ArticleCode" name="ns1:ArticleCode" dataDxfId="84">
      <xmlColumnPr mapId="2" xpath="/ns1:ReportDataObject/ns1:ReportMng_ImportedOverview_View/ns1:ArticleCode" xmlDataType="string"/>
    </tableColumn>
    <tableColumn id="5" uniqueName="ns1:Description" name="ns1:Description" dataDxfId="83">
      <xmlColumnPr mapId="2" xpath="/ns1:ReportDataObject/ns1:ReportMng_ImportedOverview_View/ns1:Description" xmlDataType="string"/>
    </tableColumn>
    <tableColumn id="6" uniqueName="ns1:Quantity" name="ns1:Quantity" dataDxfId="82">
      <xmlColumnPr mapId="2" xpath="/ns1:ReportDataObject/ns1:ReportMng_ImportedOverview_View/ns1:Quantity" xmlDataType="int"/>
    </tableColumn>
    <tableColumn id="7" uniqueName="ns1:UnitPrice" name="ns1:UnitPrice" dataDxfId="81">
      <xmlColumnPr mapId="2" xpath="/ns1:ReportDataObject/ns1:ReportMng_ImportedOverview_View/ns1:UnitPrice" xmlDataType="decimal"/>
    </tableColumn>
    <tableColumn id="8" uniqueName="ns1:ProductStatusNM" name="ns1:ProductStatusNM" dataDxfId="80">
      <xmlColumnPr mapId="2" xpath="/ns1:ReportDataObject/ns1:ReportMng_ImportedOverview_View/ns1:ProductStatusNM" xmlDataType="string"/>
    </tableColumn>
    <tableColumn id="9" uniqueName="ns1:OfferUD" name="ns1:OfferUD" dataDxfId="79">
      <xmlColumnPr mapId="2" xpath="/ns1:ReportDataObject/ns1:ReportMng_ImportedOverview_View/ns1:OfferUD" xmlDataType="string"/>
    </tableColumn>
    <tableColumn id="10" uniqueName="ns1:ProformaInvoiceNo" name="ns1:ProformaInvoiceNo" dataDxfId="78">
      <xmlColumnPr mapId="2" xpath="/ns1:ReportDataObject/ns1:ReportMng_ImportedOverview_View/ns1:ProformaInvoiceNo" xmlDataType="string"/>
    </tableColumn>
    <tableColumn id="11" uniqueName="ns1:OrderType" name="ns1:OrderType" dataDxfId="77">
      <xmlColumnPr mapId="2" xpath="/ns1:ReportDataObject/ns1:ReportMng_ImportedOverview_View/ns1:OrderType" xmlDataType="string"/>
    </tableColumn>
    <tableColumn id="12" uniqueName="ns1:ClientUD" name="ns1:ClientUD" dataDxfId="76">
      <xmlColumnPr mapId="2" xpath="/ns1:ReportDataObject/ns1:ReportMng_ImportedOverview_View/ns1:ClientUD" xmlDataType="string"/>
    </tableColumn>
    <tableColumn id="13" uniqueName="ns1:ClientNM" name="ns1:ClientNM" dataDxfId="75">
      <xmlColumnPr mapId="2" xpath="/ns1:ReportDataObject/ns1:ReportMng_ImportedOverview_View/ns1:ClientNM" xmlDataType="string"/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A5:M6" tableType="xml" insertRow="1" totalsRowShown="0" headerRowDxfId="74" headerRowBorderDxfId="73" tableBorderDxfId="72" totalsRowBorderDxfId="71">
  <autoFilter ref="A5:M6"/>
  <tableColumns count="13">
    <tableColumn id="1" uniqueName="ns1:OfferUD" name="ns1:OfferUD" dataDxfId="70">
      <xmlColumnPr mapId="2" xpath="/ns1:ReportDataObject/ns1:ReportMng_OrderOverview_View/ns1:OfferUD" xmlDataType="string"/>
    </tableColumn>
    <tableColumn id="2" uniqueName="ns1:ClientUD" name="ns1:ClientUD" dataDxfId="69">
      <xmlColumnPr mapId="2" xpath="/ns1:ReportDataObject/ns1:ReportMng_OrderOverview_View/ns1:ClientUD" xmlDataType="string"/>
    </tableColumn>
    <tableColumn id="3" uniqueName="ns1:ClientNM" name="ns1:ClientNM" dataDxfId="68">
      <xmlColumnPr mapId="2" xpath="/ns1:ReportDataObject/ns1:ReportMng_OrderOverview_View/ns1:ClientNM" xmlDataType="string"/>
    </tableColumn>
    <tableColumn id="4" uniqueName="ns1:ProformaInvoiceNo" name="ns1:ProformaInvoiceNo" dataDxfId="67">
      <xmlColumnPr mapId="2" xpath="/ns1:ReportDataObject/ns1:ReportMng_OrderOverview_View/ns1:ProformaInvoiceNo" xmlDataType="string"/>
    </tableColumn>
    <tableColumn id="5" uniqueName="ns1:OrderType" name="ns1:OrderType" dataDxfId="66">
      <xmlColumnPr mapId="2" xpath="/ns1:ReportDataObject/ns1:ReportMng_OrderOverview_View/ns1:OrderType" xmlDataType="string"/>
    </tableColumn>
    <tableColumn id="6" uniqueName="ns1:ArticleCode" name="ns1:ArticleCode" dataDxfId="65">
      <xmlColumnPr mapId="2" xpath="/ns1:ReportDataObject/ns1:ReportMng_OrderOverview_View/ns1:ArticleCode" xmlDataType="string"/>
    </tableColumn>
    <tableColumn id="7" uniqueName="ns1:Description" name="ns1:Description" dataDxfId="64">
      <xmlColumnPr mapId="2" xpath="/ns1:ReportDataObject/ns1:ReportMng_OrderOverview_View/ns1:Description" xmlDataType="string"/>
    </tableColumn>
    <tableColumn id="8" uniqueName="ns1:OrderQnt" name="ns1:OrderQnt" dataDxfId="63">
      <xmlColumnPr mapId="2" xpath="/ns1:ReportDataObject/ns1:ReportMng_OrderOverview_View/ns1:OrderQnt" xmlDataType="int"/>
    </tableColumn>
    <tableColumn id="9" uniqueName="ns1:UnitPrice" name="ns1:UnitPrice" dataDxfId="62">
      <xmlColumnPr mapId="2" xpath="/ns1:ReportDataObject/ns1:ReportMng_OrderOverview_View/ns1:UnitPrice" xmlDataType="decimal"/>
    </tableColumn>
    <tableColumn id="10" uniqueName="ns1:OrderQntIn40HC" name="ns1:OrderQntIn40HC" dataDxfId="61">
      <xmlColumnPr mapId="2" xpath="/ns1:ReportDataObject/ns1:ReportMng_OrderOverview_View/ns1:OrderQntIn40HC" xmlDataType="decimal"/>
    </tableColumn>
    <tableColumn id="11" uniqueName="ns1:PaymentTermNM" name="ns1:PaymentTermNM" dataDxfId="60">
      <xmlColumnPr mapId="2" xpath="/ns1:ReportDataObject/ns1:ReportMng_OrderOverview_View/ns1:PaymentTermNM" xmlDataType="string"/>
    </tableColumn>
    <tableColumn id="12" uniqueName="ns1:DeliveryTermNM" name="ns1:DeliveryTermNM" dataDxfId="59">
      <xmlColumnPr mapId="2" xpath="/ns1:ReportDataObject/ns1:ReportMng_OrderOverview_View/ns1:DeliveryTermNM" xmlDataType="string"/>
    </tableColumn>
    <tableColumn id="13" uniqueName="ns1:Season" name="ns1:Season" dataDxfId="58">
      <xmlColumnPr mapId="2" xpath="/ns1:ReportDataObject/ns1:ReportMng_OrderOverview_View/ns1:Season" xmlDataType="string"/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A5:L6" tableType="xml" insertRow="1" totalsRowShown="0" headerRowDxfId="57" headerRowBorderDxfId="56" tableBorderDxfId="55" totalsRowBorderDxfId="54">
  <autoFilter ref="A5:L6"/>
  <tableColumns count="12">
    <tableColumn id="1" uniqueName="ns1:ReceiptNo" name="ns1:ReceiptNo" dataDxfId="53">
      <xmlColumnPr mapId="2" xpath="/ns1:ReportDataObject/ns1:ReportMng_ReservationOverview_View/ns1:ReceiptNo" xmlDataType="string"/>
    </tableColumn>
    <tableColumn id="2" uniqueName="ns1:ProcessingStatusNM" name="ns1:ProcessingStatusNM" dataDxfId="52">
      <xmlColumnPr mapId="2" xpath="/ns1:ReportDataObject/ns1:ReportMng_ReservationOverview_View/ns1:ProcessingStatusNM" xmlDataType="string"/>
    </tableColumn>
    <tableColumn id="3" uniqueName="ns1:ReservedDate" name="ns1:ReservedDate" dataDxfId="51">
      <xmlColumnPr mapId="2" xpath="/ns1:ReportDataObject/ns1:ReportMng_ReservationOverview_View/ns1:ReservedDate" xmlDataType="string"/>
    </tableColumn>
    <tableColumn id="4" uniqueName="ns1:OfferUD" name="ns1:OfferUD" dataDxfId="50">
      <xmlColumnPr mapId="2" xpath="/ns1:ReportDataObject/ns1:ReportMng_ReservationOverview_View/ns1:OfferUD" xmlDataType="string"/>
    </tableColumn>
    <tableColumn id="5" uniqueName="ns1:ClientUD" name="ns1:ClientUD" dataDxfId="49">
      <xmlColumnPr mapId="2" xpath="/ns1:ReportDataObject/ns1:ReportMng_ReservationOverview_View/ns1:ClientUD" xmlDataType="string"/>
    </tableColumn>
    <tableColumn id="6" uniqueName="ns1:ClientNM" name="ns1:ClientNM" dataDxfId="48">
      <xmlColumnPr mapId="2" xpath="/ns1:ReportDataObject/ns1:ReportMng_ReservationOverview_View/ns1:ClientNM" xmlDataType="string"/>
    </tableColumn>
    <tableColumn id="7" uniqueName="ns1:ProformaInvoiceNo" name="ns1:ProformaInvoiceNo" dataDxfId="47">
      <xmlColumnPr mapId="2" xpath="/ns1:ReportDataObject/ns1:ReportMng_ReservationOverview_View/ns1:ProformaInvoiceNo" xmlDataType="string"/>
    </tableColumn>
    <tableColumn id="8" uniqueName="ns1:OrderType" name="ns1:OrderType" dataDxfId="46">
      <xmlColumnPr mapId="2" xpath="/ns1:ReportDataObject/ns1:ReportMng_ReservationOverview_View/ns1:OrderType" xmlDataType="string"/>
    </tableColumn>
    <tableColumn id="9" uniqueName="ns1:ArticleCode" name="ns1:ArticleCode" dataDxfId="45">
      <xmlColumnPr mapId="2" xpath="/ns1:ReportDataObject/ns1:ReportMng_ReservationOverview_View/ns1:ArticleCode" xmlDataType="string"/>
    </tableColumn>
    <tableColumn id="10" uniqueName="ns1:Description" name="ns1:Description" dataDxfId="44">
      <xmlColumnPr mapId="2" xpath="/ns1:ReportDataObject/ns1:ReportMng_ReservationOverview_View/ns1:Description" xmlDataType="string"/>
    </tableColumn>
    <tableColumn id="11" uniqueName="ns1:Quantity" name="ns1:Quantity" dataDxfId="43">
      <xmlColumnPr mapId="2" xpath="/ns1:ReportDataObject/ns1:ReportMng_ReservationOverview_View/ns1:Quantity" xmlDataType="int"/>
    </tableColumn>
    <tableColumn id="12" uniqueName="ns1:ProductStatusNM" name="ns1:ProductStatusNM" dataDxfId="42">
      <xmlColumnPr mapId="2" xpath="/ns1:ReportDataObject/ns1:ReportMng_ReservationOverview_View/ns1:ProductStatusNM" xmlDataType="string"/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Q6" tableType="xml" insertRow="1" totalsRowShown="0" headerRowDxfId="41" headerRowBorderDxfId="40" tableBorderDxfId="39" totalsRowBorderDxfId="38">
  <autoFilter ref="A5:Q6"/>
  <tableColumns count="17">
    <tableColumn id="1" uniqueName="ns1:ReceiptNo" name="ns1:ReceiptNo" dataDxfId="37">
      <xmlColumnPr mapId="2" xpath="/ns1:ReportDataObject/ns1:ReportMng_PickingListOverview_View/ns1:ReceiptNo" xmlDataType="string"/>
    </tableColumn>
    <tableColumn id="2" uniqueName="ns1:CMRNo" name="ns1:CMRNo" dataDxfId="36">
      <xmlColumnPr mapId="2" xpath="/ns1:ReportDataObject/ns1:ReportMng_PickingListOverview_View/ns1:CMRNo" xmlDataType="string"/>
    </tableColumn>
    <tableColumn id="3" uniqueName="ns1:ProcessingStatusNM" name="ns1:ProcessingStatusNM" dataDxfId="35">
      <xmlColumnPr mapId="2" xpath="/ns1:ReportDataObject/ns1:ReportMng_PickingListOverview_View/ns1:ProcessingStatusNM" xmlDataType="string"/>
    </tableColumn>
    <tableColumn id="4" uniqueName="ns1:PlaningDate" name="ns1:PlaningDate" dataDxfId="34">
      <xmlColumnPr mapId="2" xpath="/ns1:ReportDataObject/ns1:ReportMng_PickingListOverview_View/ns1:PlaningDate" xmlDataType="string"/>
    </tableColumn>
    <tableColumn id="5" uniqueName="ns1:RealPickingDate" name="ns1:RealPickingDate" dataDxfId="33">
      <xmlColumnPr mapId="2" xpath="/ns1:ReportDataObject/ns1:ReportMng_PickingListOverview_View/ns1:RealPickingDate" xmlDataType="string"/>
    </tableColumn>
    <tableColumn id="6" uniqueName="ns1:PickingClientUD" name="ns1:PickingClientUD" dataDxfId="32">
      <xmlColumnPr mapId="2" xpath="/ns1:ReportDataObject/ns1:ReportMng_PickingListOverview_View/ns1:PickingClientUD" xmlDataType="string"/>
    </tableColumn>
    <tableColumn id="7" uniqueName="ns1:PickingClientNM" name="ns1:PickingClientNM" dataDxfId="31">
      <xmlColumnPr mapId="2" xpath="/ns1:ReportDataObject/ns1:ReportMng_PickingListOverview_View/ns1:PickingClientNM" xmlDataType="string"/>
    </tableColumn>
    <tableColumn id="8" uniqueName="ns1:ArticleCode" name="ns1:ArticleCode" dataDxfId="30">
      <xmlColumnPr mapId="2" xpath="/ns1:ReportDataObject/ns1:ReportMng_PickingListOverview_View/ns1:ArticleCode" xmlDataType="string"/>
    </tableColumn>
    <tableColumn id="9" uniqueName="ns1:Description" name="ns1:Description" dataDxfId="29">
      <xmlColumnPr mapId="2" xpath="/ns1:ReportDataObject/ns1:ReportMng_PickingListOverview_View/ns1:Description" xmlDataType="string"/>
    </tableColumn>
    <tableColumn id="10" uniqueName="ns1:Quantity" name="ns1:Quantity" dataDxfId="28">
      <xmlColumnPr mapId="2" xpath="/ns1:ReportDataObject/ns1:ReportMng_PickingListOverview_View/ns1:Quantity" xmlDataType="int"/>
    </tableColumn>
    <tableColumn id="11" uniqueName="ns1:PlaningQuantity" name="ns1:PlaningQuantity" dataDxfId="27">
      <xmlColumnPr mapId="2" xpath="/ns1:ReportDataObject/ns1:ReportMng_PickingListOverview_View/ns1:PlaningQuantity" xmlDataType="int"/>
    </tableColumn>
    <tableColumn id="12" uniqueName="ns1:OfferUD" name="ns1:OfferUD" dataDxfId="26">
      <xmlColumnPr mapId="2" xpath="/ns1:ReportDataObject/ns1:ReportMng_PickingListOverview_View/ns1:OfferUD" xmlDataType="string"/>
    </tableColumn>
    <tableColumn id="13" uniqueName="ns1:OrderClientUD" name="ns1:OrderClientUD" dataDxfId="25">
      <xmlColumnPr mapId="2" xpath="/ns1:ReportDataObject/ns1:ReportMng_PickingListOverview_View/ns1:OrderClientUD" xmlDataType="string"/>
    </tableColumn>
    <tableColumn id="14" uniqueName="ns1:OrderClientNM" name="ns1:OrderClientNM" dataDxfId="24">
      <xmlColumnPr mapId="2" xpath="/ns1:ReportDataObject/ns1:ReportMng_PickingListOverview_View/ns1:OrderClientNM" xmlDataType="string"/>
    </tableColumn>
    <tableColumn id="15" uniqueName="ns1:ProformaInvoiceNo" name="ns1:ProformaInvoiceNo" dataDxfId="23">
      <xmlColumnPr mapId="2" xpath="/ns1:ReportDataObject/ns1:ReportMng_PickingListOverview_View/ns1:ProformaInvoiceNo" xmlDataType="string"/>
    </tableColumn>
    <tableColumn id="16" uniqueName="ns1:OrderType" name="ns1:OrderType" dataDxfId="22">
      <xmlColumnPr mapId="2" xpath="/ns1:ReportDataObject/ns1:ReportMng_PickingListOverview_View/ns1:OrderType" xmlDataType="string"/>
    </tableColumn>
    <tableColumn id="17" uniqueName="ns1:ProductStatusNM" name="ns1:ProductStatusNM" dataDxfId="21">
      <xmlColumnPr mapId="2" xpath="/ns1:ReportDataObject/ns1:ReportMng_PickingListOverview_View/ns1:ProductStatusNM" xmlDataType="string"/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Q6" tableType="xml" insertRow="1" totalsRowShown="0" headerRowDxfId="20" headerRowBorderDxfId="19" tableBorderDxfId="18" totalsRowBorderDxfId="17">
  <autoFilter ref="A5:Q6"/>
  <tableColumns count="17">
    <tableColumn id="1" uniqueName="ns1:ReceiptNo" name="ns1:ReceiptNo" dataDxfId="16">
      <xmlColumnPr mapId="2" xpath="/ns1:ReportDataObject/ns1:ReportMng_ExportedOverview_View/ns1:ReceiptNo" xmlDataType="string"/>
    </tableColumn>
    <tableColumn id="2" uniqueName="ns1:CMRNo" name="ns1:CMRNo" dataDxfId="15">
      <xmlColumnPr mapId="2" xpath="/ns1:ReportDataObject/ns1:ReportMng_ExportedOverview_View/ns1:CMRNo" xmlDataType="string"/>
    </tableColumn>
    <tableColumn id="3" uniqueName="ns1:ProcessingStatusNM" name="ns1:ProcessingStatusNM" dataDxfId="14">
      <xmlColumnPr mapId="2" xpath="/ns1:ReportDataObject/ns1:ReportMng_ExportedOverview_View/ns1:ProcessingStatusNM" xmlDataType="string"/>
    </tableColumn>
    <tableColumn id="4" uniqueName="ns1:PlaningDate" name="ns1:PlaningDate" dataDxfId="13">
      <xmlColumnPr mapId="2" xpath="/ns1:ReportDataObject/ns1:ReportMng_ExportedOverview_View/ns1:PlaningDate" xmlDataType="string"/>
    </tableColumn>
    <tableColumn id="5" uniqueName="ns1:RealPickingDate" name="ns1:RealPickingDate" dataDxfId="12">
      <xmlColumnPr mapId="2" xpath="/ns1:ReportDataObject/ns1:ReportMng_ExportedOverview_View/ns1:RealPickingDate" xmlDataType="string"/>
    </tableColumn>
    <tableColumn id="6" uniqueName="ns1:PickingClientUD" name="ns1:PickingClientUD" dataDxfId="11">
      <xmlColumnPr mapId="2" xpath="/ns1:ReportDataObject/ns1:ReportMng_ExportedOverview_View/ns1:PickingClientUD" xmlDataType="string"/>
    </tableColumn>
    <tableColumn id="7" uniqueName="ns1:PickingClientNM" name="ns1:PickingClientNM" dataDxfId="10">
      <xmlColumnPr mapId="2" xpath="/ns1:ReportDataObject/ns1:ReportMng_ExportedOverview_View/ns1:PickingClientNM" xmlDataType="string"/>
    </tableColumn>
    <tableColumn id="8" uniqueName="ns1:ArticleCode" name="ns1:ArticleCode" dataDxfId="9">
      <xmlColumnPr mapId="2" xpath="/ns1:ReportDataObject/ns1:ReportMng_ExportedOverview_View/ns1:ArticleCode" xmlDataType="string"/>
    </tableColumn>
    <tableColumn id="9" uniqueName="ns1:Description" name="ns1:Description" dataDxfId="8">
      <xmlColumnPr mapId="2" xpath="/ns1:ReportDataObject/ns1:ReportMng_ExportedOverview_View/ns1:Description" xmlDataType="string"/>
    </tableColumn>
    <tableColumn id="10" uniqueName="ns1:Quantity" name="ns1:Quantity" dataDxfId="7">
      <xmlColumnPr mapId="2" xpath="/ns1:ReportDataObject/ns1:ReportMng_ExportedOverview_View/ns1:Quantity" xmlDataType="int"/>
    </tableColumn>
    <tableColumn id="11" uniqueName="ns1:UnitPrice" name="ns1:UnitPrice" dataDxfId="6">
      <xmlColumnPr mapId="2" xpath="/ns1:ReportDataObject/ns1:ReportMng_ExportedOverview_View/ns1:UnitPrice" xmlDataType="decimal"/>
    </tableColumn>
    <tableColumn id="12" uniqueName="ns1:OfferUD" name="ns1:OfferUD" dataDxfId="5">
      <xmlColumnPr mapId="2" xpath="/ns1:ReportDataObject/ns1:ReportMng_ExportedOverview_View/ns1:OfferUD" xmlDataType="string"/>
    </tableColumn>
    <tableColumn id="13" uniqueName="ns1:OrderClientUD" name="ns1:OrderClientUD" dataDxfId="4">
      <xmlColumnPr mapId="2" xpath="/ns1:ReportDataObject/ns1:ReportMng_ExportedOverview_View/ns1:OrderClientUD" xmlDataType="string"/>
    </tableColumn>
    <tableColumn id="14" uniqueName="ns1:OrderClientNM" name="ns1:OrderClientNM" dataDxfId="3">
      <xmlColumnPr mapId="2" xpath="/ns1:ReportDataObject/ns1:ReportMng_ExportedOverview_View/ns1:OrderClientNM" xmlDataType="string"/>
    </tableColumn>
    <tableColumn id="15" uniqueName="ns1:ProformaInvoiceNo" name="ns1:ProformaInvoiceNo" dataDxfId="2">
      <xmlColumnPr mapId="2" xpath="/ns1:ReportDataObject/ns1:ReportMng_ExportedOverview_View/ns1:ProformaInvoiceNo" xmlDataType="string"/>
    </tableColumn>
    <tableColumn id="16" uniqueName="ns1:OrderType" name="ns1:OrderType" dataDxfId="1">
      <xmlColumnPr mapId="2" xpath="/ns1:ReportDataObject/ns1:ReportMng_ExportedOverview_View/ns1:OrderType" xmlDataType="string"/>
    </tableColumn>
    <tableColumn id="17" uniqueName="ns1:ProductStatusNM" name="ns1:ProductStatusNM" dataDxfId="0">
      <xmlColumnPr mapId="2" xpath="/ns1:ReportDataObject/ns1:ReportMng_ExportedOverview_View/ns1:ProductStatusNM" xmlDataType="string"/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7"/>
  <sheetViews>
    <sheetView showZeros="0" tabSelected="1" zoomScale="85" zoomScaleNormal="85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A7" sqref="A7"/>
    </sheetView>
  </sheetViews>
  <sheetFormatPr defaultRowHeight="15"/>
  <cols>
    <col min="1" max="1" width="12.28515625" customWidth="1"/>
    <col min="2" max="2" width="25.7109375" style="57" customWidth="1"/>
    <col min="3" max="3" width="13.140625" hidden="1" customWidth="1"/>
    <col min="4" max="4" width="16.5703125" customWidth="1"/>
    <col min="5" max="5" width="63" customWidth="1"/>
    <col min="6" max="6" width="10.28515625" style="21" customWidth="1"/>
    <col min="7" max="7" width="8.5703125" style="21" customWidth="1"/>
    <col min="8" max="8" width="10.42578125" style="41" customWidth="1"/>
    <col min="9" max="9" width="8.5703125" style="21" customWidth="1"/>
    <col min="10" max="10" width="8.5703125" style="19" hidden="1" customWidth="1"/>
    <col min="11" max="11" width="8.5703125" style="21" customWidth="1"/>
    <col min="12" max="12" width="8.5703125" style="19" hidden="1" customWidth="1"/>
    <col min="13" max="13" width="8.5703125" style="21" customWidth="1"/>
    <col min="14" max="14" width="8.5703125" style="19" hidden="1" customWidth="1"/>
    <col min="15" max="15" width="8.5703125" style="21" customWidth="1"/>
    <col min="16" max="16" width="10.140625" style="19" hidden="1" customWidth="1"/>
    <col min="18" max="18" width="0" hidden="1" customWidth="1"/>
    <col min="20" max="20" width="0" hidden="1" customWidth="1"/>
  </cols>
  <sheetData>
    <row r="1" spans="1:20" ht="19.5">
      <c r="A1" s="4" t="s">
        <v>19</v>
      </c>
      <c r="C1" s="5" t="s">
        <v>5</v>
      </c>
      <c r="D1" s="1">
        <f ca="1">NOW()</f>
        <v>42716.424569907409</v>
      </c>
      <c r="G1" s="27" t="s">
        <v>43</v>
      </c>
      <c r="H1" s="37"/>
      <c r="I1" s="28">
        <f>J4</f>
        <v>0</v>
      </c>
      <c r="J1" s="28"/>
      <c r="K1" s="28">
        <f>L4</f>
        <v>0</v>
      </c>
      <c r="L1" s="28"/>
      <c r="M1" s="28">
        <f>N4</f>
        <v>0</v>
      </c>
      <c r="N1" s="28"/>
      <c r="O1" s="28">
        <f>P4</f>
        <v>0</v>
      </c>
      <c r="P1" s="28"/>
      <c r="Q1" s="28">
        <f>R4</f>
        <v>0</v>
      </c>
      <c r="R1" s="28"/>
      <c r="S1" s="28">
        <f>T4</f>
        <v>0</v>
      </c>
      <c r="T1" s="28"/>
    </row>
    <row r="2" spans="1:20">
      <c r="G2" s="42" t="s">
        <v>44</v>
      </c>
      <c r="H2" s="43"/>
      <c r="I2" s="44">
        <f>J5</f>
        <v>0</v>
      </c>
      <c r="J2" s="44"/>
      <c r="K2" s="44">
        <f>L5</f>
        <v>0</v>
      </c>
      <c r="L2" s="44"/>
      <c r="M2" s="44">
        <f>N5</f>
        <v>0</v>
      </c>
      <c r="N2" s="44"/>
      <c r="O2" s="44">
        <f>P5</f>
        <v>0</v>
      </c>
      <c r="P2" s="44"/>
      <c r="Q2" s="28">
        <f>R5</f>
        <v>0</v>
      </c>
      <c r="R2" s="44"/>
      <c r="S2" s="28">
        <f>T5</f>
        <v>0</v>
      </c>
      <c r="T2" s="44"/>
    </row>
    <row r="3" spans="1:20" ht="63.75">
      <c r="A3" s="2" t="s">
        <v>6</v>
      </c>
      <c r="B3" s="2" t="s">
        <v>0</v>
      </c>
      <c r="C3" s="2" t="s">
        <v>1</v>
      </c>
      <c r="D3" s="2" t="s">
        <v>2</v>
      </c>
      <c r="E3" s="2" t="s">
        <v>3</v>
      </c>
      <c r="F3" s="34" t="s">
        <v>4</v>
      </c>
      <c r="G3" s="34" t="s">
        <v>20</v>
      </c>
      <c r="H3" s="38" t="s">
        <v>21</v>
      </c>
      <c r="I3" s="34" t="s">
        <v>22</v>
      </c>
      <c r="J3" s="34"/>
      <c r="K3" s="34" t="s">
        <v>23</v>
      </c>
      <c r="L3" s="34"/>
      <c r="M3" s="34" t="s">
        <v>24</v>
      </c>
      <c r="N3" s="34"/>
      <c r="O3" s="34" t="s">
        <v>45</v>
      </c>
      <c r="P3" s="20"/>
      <c r="Q3" s="34" t="s">
        <v>51</v>
      </c>
      <c r="R3" s="20"/>
      <c r="S3" s="20" t="s">
        <v>50</v>
      </c>
      <c r="T3" s="20"/>
    </row>
    <row r="4" spans="1:20">
      <c r="A4" s="22"/>
      <c r="B4" s="22"/>
      <c r="C4" s="22"/>
      <c r="D4" s="22"/>
      <c r="E4" s="23"/>
      <c r="F4" s="35"/>
      <c r="G4" s="35">
        <f>SUM(Table2[ns1:PhysicalQnt])</f>
        <v>0</v>
      </c>
      <c r="H4" s="39">
        <f>SUM(Table2[ns1:PhysicalQntIn40HC])</f>
        <v>0</v>
      </c>
      <c r="I4" s="35">
        <f>SUM(Table2[ns1:OnSeaQnt])</f>
        <v>0</v>
      </c>
      <c r="J4" s="35">
        <f>SUM(Table2[Column1])</f>
        <v>0</v>
      </c>
      <c r="K4" s="35">
        <f>SUM(Table2[ns1:TobeShippedQnt])</f>
        <v>0</v>
      </c>
      <c r="L4" s="35">
        <f>SUM(Table2[Column2])</f>
        <v>0</v>
      </c>
      <c r="M4" s="35">
        <f>SUM(Table2[ns1:ReservationQnt])</f>
        <v>0</v>
      </c>
      <c r="N4" s="35">
        <f>SUM(Table2[Column3])</f>
        <v>0</v>
      </c>
      <c r="O4" s="35">
        <f>SUM(Table2[ns1:FTSQnt])</f>
        <v>0</v>
      </c>
      <c r="P4" s="24">
        <f>SUM(Table2[Column5])</f>
        <v>0</v>
      </c>
      <c r="Q4" s="35">
        <f>SUM(Table2[Column6])</f>
        <v>0</v>
      </c>
      <c r="R4" s="24">
        <f>SUM(Table2[Column62])</f>
        <v>0</v>
      </c>
      <c r="S4" s="35">
        <f>SUM(Table2[Column7])</f>
        <v>0</v>
      </c>
      <c r="T4" s="24">
        <f>SUM(Table2[Column8])</f>
        <v>0</v>
      </c>
    </row>
    <row r="5" spans="1:20">
      <c r="A5" s="22"/>
      <c r="B5" s="22"/>
      <c r="C5" s="22"/>
      <c r="D5" s="22"/>
      <c r="E5" s="23"/>
      <c r="F5" s="35"/>
      <c r="G5" s="35">
        <f>SUBTOTAL(9,Table2[ns1:PhysicalQnt])</f>
        <v>0</v>
      </c>
      <c r="H5" s="39">
        <f>SUBTOTAL(9,Table2[ns1:PhysicalQntIn40HC])</f>
        <v>0</v>
      </c>
      <c r="I5" s="35">
        <f>SUBTOTAL(9,Table2[ns1:OnSeaQnt])</f>
        <v>0</v>
      </c>
      <c r="J5" s="35">
        <f>SUBTOTAL(9,Table2[Column1])</f>
        <v>0</v>
      </c>
      <c r="K5" s="35">
        <f>SUBTOTAL(9,Table2[ns1:TobeShippedQnt])</f>
        <v>0</v>
      </c>
      <c r="L5" s="35">
        <f>SUBTOTAL(9,Table2[Column2])</f>
        <v>0</v>
      </c>
      <c r="M5" s="35">
        <f>SUBTOTAL(9,Table2[ns1:ReservationQnt])</f>
        <v>0</v>
      </c>
      <c r="N5" s="35">
        <f>SUBTOTAL(9,Table2[Column3])</f>
        <v>0</v>
      </c>
      <c r="O5" s="35">
        <f>SUBTOTAL(9,Table2[ns1:FTSQnt])</f>
        <v>0</v>
      </c>
      <c r="P5" s="24">
        <f>SUBTOTAL(9,Table2[Column5])</f>
        <v>0</v>
      </c>
      <c r="Q5" s="35">
        <f>SUBTOTAL(9,Table2[Column6])</f>
        <v>0</v>
      </c>
      <c r="R5" s="24">
        <f>SUBTOTAL(9,Table2[Column62])</f>
        <v>0</v>
      </c>
      <c r="S5" s="35">
        <f>SUBTOTAL(9,Table2[Column7])</f>
        <v>0</v>
      </c>
      <c r="T5" s="24">
        <f>SUBTOTAL(9,Table2[Column8])</f>
        <v>0</v>
      </c>
    </row>
    <row r="6" spans="1:20">
      <c r="A6" s="11" t="s">
        <v>7</v>
      </c>
      <c r="B6" s="64" t="s">
        <v>8</v>
      </c>
      <c r="C6" s="11" t="s">
        <v>9</v>
      </c>
      <c r="D6" s="11" t="s">
        <v>10</v>
      </c>
      <c r="E6" s="11" t="s">
        <v>11</v>
      </c>
      <c r="F6" s="36" t="s">
        <v>12</v>
      </c>
      <c r="G6" s="36" t="s">
        <v>13</v>
      </c>
      <c r="H6" s="40" t="s">
        <v>14</v>
      </c>
      <c r="I6" s="36" t="s">
        <v>15</v>
      </c>
      <c r="J6" s="36" t="s">
        <v>38</v>
      </c>
      <c r="K6" s="36" t="s">
        <v>16</v>
      </c>
      <c r="L6" s="36" t="s">
        <v>39</v>
      </c>
      <c r="M6" s="36" t="s">
        <v>17</v>
      </c>
      <c r="N6" s="36" t="s">
        <v>41</v>
      </c>
      <c r="O6" s="36" t="s">
        <v>18</v>
      </c>
      <c r="P6" s="25" t="s">
        <v>42</v>
      </c>
      <c r="Q6" s="45" t="s">
        <v>46</v>
      </c>
      <c r="R6" s="45" t="s">
        <v>48</v>
      </c>
      <c r="S6" s="45" t="s">
        <v>47</v>
      </c>
      <c r="T6" s="45" t="s">
        <v>49</v>
      </c>
    </row>
    <row r="7" spans="1:20" ht="28.5" customHeight="1">
      <c r="A7" s="63"/>
      <c r="B7" s="65"/>
      <c r="C7" s="9"/>
      <c r="D7" s="66"/>
      <c r="E7" s="73"/>
      <c r="F7" s="67"/>
      <c r="G7" s="67"/>
      <c r="H7" s="68">
        <f>ROUND(IFERROR(Table2[ns1:PhysicalQnt]/Table2[ns1:Qnt40HC],0),2)</f>
        <v>0</v>
      </c>
      <c r="I7" s="67"/>
      <c r="J7" s="67">
        <f>IFERROR(Table2[ns1:OnSeaQnt]/Table2[ns1:Qnt40HC],0)</f>
        <v>0</v>
      </c>
      <c r="K7" s="67"/>
      <c r="L7" s="67">
        <f>IFERROR(Table2[ns1:TobeShippedQnt]/Table2[ns1:Qnt40HC],0)</f>
        <v>0</v>
      </c>
      <c r="M7" s="67"/>
      <c r="N7" s="67">
        <f>IFERROR(Table2[ns1:ReservationQnt]/Table2[ns1:Qnt40HC],0)</f>
        <v>0</v>
      </c>
      <c r="O7" s="67"/>
      <c r="P7" s="69">
        <f>IFERROR(Table2[ns1:FTSQnt]/Table2[ns1:Qnt40HC],0)</f>
        <v>0</v>
      </c>
      <c r="Q7" s="67">
        <f>Table2[ns1:FTSQnt]+Table2[ns1:OnSeaQnt]</f>
        <v>0</v>
      </c>
      <c r="R7" s="69">
        <f>IFERROR(Table2[Column6]/Table2[ns1:Qnt40HC],0)</f>
        <v>0</v>
      </c>
      <c r="S7" s="67">
        <f>Table2[ns1:FTSQnt]+Table2[ns1:OnSeaQnt]+Table2[ns1:TobeShippedQnt]</f>
        <v>0</v>
      </c>
      <c r="T7" s="26">
        <f>IFERROR(Table2[Column7]/Table2[ns1:Qnt40HC],0)</f>
        <v>0</v>
      </c>
    </row>
  </sheetData>
  <pageMargins left="0.7" right="0.7" top="0.75" bottom="0.75" header="0.3" footer="0.3"/>
  <pageSetup paperSize="9" orientation="portrait" horizontalDpi="180" verticalDpi="18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9"/>
  <sheetViews>
    <sheetView zoomScale="85" zoomScaleNormal="85" workbookViewId="0">
      <pane xSplit="11" ySplit="8" topLeftCell="L9" activePane="bottomRight" state="frozen"/>
      <selection activeCell="C1" sqref="C1"/>
      <selection pane="topRight" activeCell="K1" sqref="K1"/>
      <selection pane="bottomLeft" activeCell="C9" sqref="C9"/>
      <selection pane="bottomRight" activeCell="G18" sqref="G18"/>
    </sheetView>
  </sheetViews>
  <sheetFormatPr defaultRowHeight="15"/>
  <cols>
    <col min="1" max="1" width="14.28515625" hidden="1" customWidth="1"/>
    <col min="2" max="2" width="14.140625" hidden="1" customWidth="1"/>
    <col min="3" max="3" width="11.42578125" hidden="1" customWidth="1"/>
    <col min="4" max="4" width="10.42578125" customWidth="1"/>
    <col min="5" max="5" width="25.7109375" style="57" customWidth="1"/>
    <col min="6" max="6" width="10.42578125" hidden="1" customWidth="1"/>
    <col min="7" max="7" width="16.5703125" customWidth="1"/>
    <col min="8" max="8" width="63" customWidth="1"/>
    <col min="9" max="9" width="10.42578125" customWidth="1"/>
    <col min="10" max="10" width="8" customWidth="1"/>
    <col min="11" max="11" width="10.28515625" customWidth="1"/>
    <col min="12" max="12" width="8.85546875" customWidth="1"/>
    <col min="13" max="13" width="3.42578125" customWidth="1"/>
  </cols>
  <sheetData>
    <row r="1" spans="1:13" ht="14.25" customHeight="1">
      <c r="D1" s="74" t="s">
        <v>32</v>
      </c>
      <c r="E1" s="75"/>
      <c r="F1" s="7" t="s">
        <v>5</v>
      </c>
      <c r="G1" s="1">
        <f ca="1">NOW()</f>
        <v>42716.424569907409</v>
      </c>
      <c r="J1" s="29" t="s">
        <v>43</v>
      </c>
      <c r="K1" s="29"/>
      <c r="L1" s="30"/>
      <c r="M1" s="29"/>
    </row>
    <row r="2" spans="1:13" ht="14.25" customHeight="1">
      <c r="D2" s="74"/>
      <c r="E2" s="75"/>
      <c r="J2" s="29" t="s">
        <v>44</v>
      </c>
      <c r="K2" s="29"/>
      <c r="L2" s="30"/>
      <c r="M2" s="29"/>
    </row>
    <row r="3" spans="1:13" ht="44.25" customHeight="1">
      <c r="A3" s="10" t="s">
        <v>33</v>
      </c>
      <c r="B3" s="10" t="s">
        <v>119</v>
      </c>
      <c r="C3" s="10"/>
      <c r="D3" s="2" t="s">
        <v>6</v>
      </c>
      <c r="E3" s="2" t="s">
        <v>0</v>
      </c>
      <c r="F3" s="2" t="s">
        <v>1</v>
      </c>
      <c r="G3" s="2" t="s">
        <v>2</v>
      </c>
      <c r="H3" s="2" t="s">
        <v>3</v>
      </c>
      <c r="I3" s="2" t="s">
        <v>4</v>
      </c>
      <c r="J3" s="2" t="s">
        <v>30</v>
      </c>
      <c r="K3" s="2" t="s">
        <v>31</v>
      </c>
      <c r="L3" s="2"/>
      <c r="M3" s="3"/>
    </row>
    <row r="4" spans="1:13" hidden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3"/>
    </row>
    <row r="5" spans="1:13">
      <c r="A5" s="12"/>
      <c r="B5" s="12"/>
      <c r="C5" s="12"/>
      <c r="D5" s="12"/>
      <c r="E5" s="12"/>
      <c r="F5" s="12"/>
      <c r="G5" s="12"/>
      <c r="H5" s="12"/>
      <c r="I5" s="12"/>
      <c r="J5" s="12"/>
      <c r="K5" s="31" t="s">
        <v>40</v>
      </c>
      <c r="L5" s="32"/>
      <c r="M5" s="33"/>
    </row>
    <row r="6" spans="1:13">
      <c r="A6" s="12"/>
      <c r="B6" s="12"/>
      <c r="C6" s="12"/>
      <c r="D6" s="12"/>
      <c r="E6" s="12"/>
      <c r="F6" s="12"/>
      <c r="G6" s="12"/>
      <c r="H6" s="12"/>
      <c r="I6" s="12" t="s">
        <v>36</v>
      </c>
      <c r="J6" s="16">
        <f>SUM(Table4[ns1:ReservationQnt])</f>
        <v>0</v>
      </c>
      <c r="K6" s="14">
        <f>SUM(Table4[ns1:ReservationQntIn40HC])</f>
        <v>0</v>
      </c>
      <c r="L6" s="16"/>
      <c r="M6" s="14"/>
    </row>
    <row r="7" spans="1:13">
      <c r="A7" s="12"/>
      <c r="B7" s="12"/>
      <c r="C7" s="12"/>
      <c r="D7" s="12"/>
      <c r="E7" s="12"/>
      <c r="F7" s="12"/>
      <c r="G7" s="12"/>
      <c r="H7" s="12"/>
      <c r="I7" s="12" t="s">
        <v>37</v>
      </c>
      <c r="J7" s="16">
        <f>SUBTOTAL(9,Table4[ns1:ReservationQnt])</f>
        <v>0</v>
      </c>
      <c r="K7" s="14">
        <f>SUBTOTAL(9,Table4[ns1:ReservationQntIn40HC])</f>
        <v>0</v>
      </c>
      <c r="L7" s="16"/>
      <c r="M7" s="14"/>
    </row>
    <row r="8" spans="1:13">
      <c r="A8" s="11" t="s">
        <v>34</v>
      </c>
      <c r="B8" s="11" t="s">
        <v>35</v>
      </c>
      <c r="C8" s="11" t="s">
        <v>41</v>
      </c>
      <c r="D8" s="11" t="s">
        <v>7</v>
      </c>
      <c r="E8" s="64" t="s">
        <v>8</v>
      </c>
      <c r="F8" s="11" t="s">
        <v>9</v>
      </c>
      <c r="G8" s="11" t="s">
        <v>10</v>
      </c>
      <c r="H8" s="11" t="s">
        <v>11</v>
      </c>
      <c r="I8" s="11" t="s">
        <v>12</v>
      </c>
      <c r="J8" s="11" t="s">
        <v>17</v>
      </c>
      <c r="K8" s="11" t="s">
        <v>29</v>
      </c>
      <c r="L8" s="18" t="s">
        <v>39</v>
      </c>
      <c r="M8" s="11" t="s">
        <v>38</v>
      </c>
    </row>
    <row r="9" spans="1:13" ht="28.5" customHeight="1">
      <c r="A9" s="8"/>
      <c r="B9" s="8"/>
      <c r="C9" s="9"/>
      <c r="D9" s="63"/>
      <c r="E9" s="65"/>
      <c r="F9" s="9"/>
      <c r="G9" s="66"/>
      <c r="H9" s="73"/>
      <c r="I9" s="70"/>
      <c r="J9" s="71"/>
      <c r="K9" s="72">
        <f>IFERROR(Table4[ns1:ReservationQnt]/Table4[ns1:Qnt40HC],0)</f>
        <v>0</v>
      </c>
      <c r="L9" s="71"/>
      <c r="M9" s="71"/>
    </row>
  </sheetData>
  <mergeCells count="1">
    <mergeCell ref="D1:E2"/>
  </mergeCells>
  <pageMargins left="0.7" right="0.7" top="0.75" bottom="0.75" header="0.3" footer="0.3"/>
  <pageSetup paperSize="9" orientation="portrait" horizontalDpi="180" verticalDpi="18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B2" sqref="B2"/>
    </sheetView>
  </sheetViews>
  <sheetFormatPr defaultRowHeight="15"/>
  <cols>
    <col min="1" max="1" width="13.5703125" bestFit="1" customWidth="1"/>
    <col min="2" max="2" width="14.42578125" bestFit="1" customWidth="1"/>
    <col min="3" max="3" width="54.28515625" customWidth="1"/>
  </cols>
  <sheetData>
    <row r="1" spans="1:3">
      <c r="A1" t="s">
        <v>25</v>
      </c>
      <c r="B1" t="s">
        <v>26</v>
      </c>
      <c r="C1" t="s">
        <v>27</v>
      </c>
    </row>
    <row r="2" spans="1:3">
      <c r="B2" s="6"/>
      <c r="C2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"/>
  <sheetViews>
    <sheetView workbookViewId="0">
      <selection activeCell="B2" sqref="B2"/>
    </sheetView>
  </sheetViews>
  <sheetFormatPr defaultRowHeight="15"/>
  <cols>
    <col min="1" max="1" width="14.7109375" customWidth="1"/>
    <col min="2" max="2" width="22.42578125" bestFit="1" customWidth="1"/>
    <col min="3" max="3" width="14" customWidth="1"/>
    <col min="4" max="4" width="15.140625" bestFit="1" customWidth="1"/>
    <col min="5" max="5" width="15.42578125" customWidth="1"/>
    <col min="6" max="6" width="16.85546875" bestFit="1" customWidth="1"/>
    <col min="7" max="7" width="14.42578125" bestFit="1" customWidth="1"/>
    <col min="8" max="8" width="20.85546875" bestFit="1" customWidth="1"/>
    <col min="9" max="9" width="27.42578125" bestFit="1" customWidth="1"/>
  </cols>
  <sheetData>
    <row r="1" spans="1:9">
      <c r="A1" t="s">
        <v>28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17</v>
      </c>
      <c r="I1" t="s">
        <v>29</v>
      </c>
    </row>
    <row r="2" spans="1:9">
      <c r="A2" s="6"/>
      <c r="B2" s="6"/>
      <c r="C2" s="6"/>
      <c r="D2" s="6"/>
      <c r="E2" s="6"/>
      <c r="F2" s="6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6"/>
  <sheetViews>
    <sheetView zoomScale="85" zoomScaleNormal="85" workbookViewId="0">
      <selection activeCell="B17" sqref="B17"/>
    </sheetView>
  </sheetViews>
  <sheetFormatPr defaultRowHeight="15"/>
  <cols>
    <col min="1" max="1" width="9.28515625" customWidth="1"/>
    <col min="2" max="2" width="9.85546875" customWidth="1"/>
    <col min="3" max="3" width="11.28515625" customWidth="1"/>
    <col min="4" max="4" width="13.5703125" customWidth="1"/>
    <col min="5" max="5" width="45.42578125" customWidth="1"/>
    <col min="6" max="6" width="8.140625" customWidth="1"/>
    <col min="7" max="7" width="9.140625" customWidth="1"/>
    <col min="8" max="8" width="13.42578125" customWidth="1"/>
    <col min="9" max="9" width="16.5703125" customWidth="1"/>
    <col min="10" max="10" width="10.5703125" customWidth="1"/>
    <col min="11" max="11" width="11.7109375" customWidth="1"/>
    <col min="12" max="12" width="11.42578125" customWidth="1"/>
    <col min="13" max="13" width="36.7109375" customWidth="1"/>
  </cols>
  <sheetData>
    <row r="1" spans="1:13" ht="19.5">
      <c r="A1" s="4" t="s">
        <v>68</v>
      </c>
    </row>
    <row r="2" spans="1:13" ht="14.25" customHeight="1">
      <c r="A2" s="46"/>
      <c r="E2" s="55" t="s">
        <v>36</v>
      </c>
      <c r="F2" s="56">
        <f>SUM(Table5[ns1:Quantity])</f>
        <v>0</v>
      </c>
    </row>
    <row r="3" spans="1:13">
      <c r="E3" s="55" t="s">
        <v>37</v>
      </c>
      <c r="F3" s="56">
        <f>SUBTOTAL(9,Table5[ns1:Quantity])</f>
        <v>0</v>
      </c>
    </row>
    <row r="4" spans="1:13" ht="44.25" customHeight="1">
      <c r="A4" s="49" t="s">
        <v>114</v>
      </c>
      <c r="B4" s="48" t="s">
        <v>63</v>
      </c>
      <c r="C4" s="49" t="s">
        <v>82</v>
      </c>
      <c r="D4" s="48" t="s">
        <v>60</v>
      </c>
      <c r="E4" s="48" t="s">
        <v>3</v>
      </c>
      <c r="F4" s="48" t="s">
        <v>61</v>
      </c>
      <c r="G4" s="48" t="s">
        <v>64</v>
      </c>
      <c r="H4" s="49" t="s">
        <v>83</v>
      </c>
      <c r="I4" s="48" t="s">
        <v>90</v>
      </c>
      <c r="J4" s="48" t="s">
        <v>84</v>
      </c>
      <c r="K4" s="48" t="s">
        <v>66</v>
      </c>
      <c r="L4" s="48" t="s">
        <v>40</v>
      </c>
      <c r="M4" s="48" t="s">
        <v>67</v>
      </c>
    </row>
    <row r="5" spans="1:13">
      <c r="A5" s="11" t="s">
        <v>52</v>
      </c>
      <c r="B5" s="11" t="s">
        <v>53</v>
      </c>
      <c r="C5" s="11" t="s">
        <v>54</v>
      </c>
      <c r="D5" s="11" t="s">
        <v>10</v>
      </c>
      <c r="E5" s="11" t="s">
        <v>11</v>
      </c>
      <c r="F5" s="11" t="s">
        <v>55</v>
      </c>
      <c r="G5" s="11" t="s">
        <v>56</v>
      </c>
      <c r="H5" s="11" t="s">
        <v>7</v>
      </c>
      <c r="I5" s="11" t="s">
        <v>57</v>
      </c>
      <c r="J5" s="11" t="s">
        <v>58</v>
      </c>
      <c r="K5" s="11" t="s">
        <v>59</v>
      </c>
      <c r="L5" s="11" t="s">
        <v>26</v>
      </c>
      <c r="M5" s="11" t="s">
        <v>27</v>
      </c>
    </row>
    <row r="6" spans="1:13">
      <c r="A6" s="9"/>
      <c r="B6" s="9"/>
      <c r="C6" s="9"/>
      <c r="D6" s="9"/>
      <c r="E6" s="62"/>
      <c r="F6" s="17"/>
      <c r="G6" s="15"/>
      <c r="H6" s="9"/>
      <c r="I6" s="9"/>
      <c r="J6" s="9"/>
      <c r="K6" s="9"/>
      <c r="L6" s="9"/>
      <c r="M6" s="9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6"/>
  <sheetViews>
    <sheetView zoomScale="85" zoomScaleNormal="85" workbookViewId="0">
      <selection activeCell="B16" sqref="B16"/>
    </sheetView>
  </sheetViews>
  <sheetFormatPr defaultRowHeight="15"/>
  <cols>
    <col min="1" max="1" width="20" customWidth="1"/>
    <col min="2" max="2" width="9.140625" customWidth="1"/>
    <col min="3" max="3" width="17.28515625" customWidth="1"/>
    <col min="4" max="4" width="9.7109375" customWidth="1"/>
    <col min="5" max="5" width="12.42578125" customWidth="1"/>
    <col min="6" max="6" width="13.5703125" customWidth="1"/>
    <col min="7" max="7" width="43.140625" customWidth="1"/>
    <col min="8" max="8" width="7.5703125" customWidth="1"/>
    <col min="9" max="9" width="8" customWidth="1"/>
    <col min="10" max="10" width="8.5703125" customWidth="1"/>
    <col min="11" max="11" width="18.28515625" customWidth="1"/>
    <col min="12" max="12" width="16.42578125" customWidth="1"/>
    <col min="13" max="13" width="11.42578125" customWidth="1"/>
  </cols>
  <sheetData>
    <row r="1" spans="1:13" ht="19.5">
      <c r="A1" s="4" t="s">
        <v>75</v>
      </c>
    </row>
    <row r="2" spans="1:13" ht="14.25" customHeight="1">
      <c r="A2" s="47"/>
      <c r="G2" s="50" t="s">
        <v>36</v>
      </c>
      <c r="H2" s="51">
        <f>SUM(Table6[ns1:OrderQnt])</f>
        <v>0</v>
      </c>
      <c r="I2" s="52"/>
      <c r="J2" s="53">
        <f>SUM(Table6[ns1:OrderQntIn40HC])</f>
        <v>0</v>
      </c>
    </row>
    <row r="3" spans="1:13">
      <c r="G3" s="50" t="s">
        <v>37</v>
      </c>
      <c r="H3" s="51">
        <f>SUBTOTAL(9,Table6[ns1:OrderQnt])</f>
        <v>0</v>
      </c>
      <c r="I3" s="52"/>
      <c r="J3" s="53">
        <f>SUBTOTAL(9,Table6[ns1:OrderQntIn40HC])</f>
        <v>0</v>
      </c>
    </row>
    <row r="4" spans="1:13" ht="44.25" customHeight="1">
      <c r="A4" s="48" t="s">
        <v>90</v>
      </c>
      <c r="B4" s="49" t="s">
        <v>77</v>
      </c>
      <c r="C4" s="48" t="s">
        <v>67</v>
      </c>
      <c r="D4" s="49" t="s">
        <v>115</v>
      </c>
      <c r="E4" s="49" t="s">
        <v>78</v>
      </c>
      <c r="F4" s="48" t="s">
        <v>60</v>
      </c>
      <c r="G4" s="48" t="s">
        <v>3</v>
      </c>
      <c r="H4" s="49" t="s">
        <v>81</v>
      </c>
      <c r="I4" s="48" t="s">
        <v>64</v>
      </c>
      <c r="J4" s="48" t="s">
        <v>76</v>
      </c>
      <c r="K4" s="49" t="s">
        <v>80</v>
      </c>
      <c r="L4" s="49" t="s">
        <v>79</v>
      </c>
      <c r="M4" s="48" t="s">
        <v>74</v>
      </c>
    </row>
    <row r="5" spans="1:13">
      <c r="A5" s="11" t="s">
        <v>57</v>
      </c>
      <c r="B5" s="11" t="s">
        <v>26</v>
      </c>
      <c r="C5" s="11" t="s">
        <v>27</v>
      </c>
      <c r="D5" s="11" t="s">
        <v>58</v>
      </c>
      <c r="E5" s="11" t="s">
        <v>59</v>
      </c>
      <c r="F5" s="11" t="s">
        <v>10</v>
      </c>
      <c r="G5" s="11" t="s">
        <v>11</v>
      </c>
      <c r="H5" s="11" t="s">
        <v>69</v>
      </c>
      <c r="I5" s="11" t="s">
        <v>56</v>
      </c>
      <c r="J5" s="11" t="s">
        <v>70</v>
      </c>
      <c r="K5" s="11" t="s">
        <v>71</v>
      </c>
      <c r="L5" s="11" t="s">
        <v>72</v>
      </c>
      <c r="M5" s="11" t="s">
        <v>73</v>
      </c>
    </row>
    <row r="6" spans="1:13">
      <c r="A6" s="9"/>
      <c r="B6" s="9"/>
      <c r="C6" s="9"/>
      <c r="D6" s="9"/>
      <c r="E6" s="9"/>
      <c r="F6" s="9"/>
      <c r="G6" s="62"/>
      <c r="H6" s="17"/>
      <c r="I6" s="15"/>
      <c r="J6" s="15"/>
      <c r="K6" s="62"/>
      <c r="L6" s="62"/>
      <c r="M6" s="9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6"/>
  <sheetViews>
    <sheetView zoomScale="85" zoomScaleNormal="85" workbookViewId="0">
      <selection activeCell="A18" sqref="A18"/>
    </sheetView>
  </sheetViews>
  <sheetFormatPr defaultRowHeight="15"/>
  <cols>
    <col min="1" max="1" width="9.42578125" customWidth="1"/>
    <col min="2" max="4" width="10.42578125" customWidth="1"/>
    <col min="5" max="5" width="9.42578125" customWidth="1"/>
    <col min="6" max="6" width="20.140625" customWidth="1"/>
    <col min="7" max="7" width="8.28515625" customWidth="1"/>
    <col min="8" max="8" width="12.85546875" customWidth="1"/>
    <col min="9" max="9" width="15.42578125" customWidth="1"/>
    <col min="10" max="10" width="40.42578125" customWidth="1"/>
    <col min="11" max="11" width="7.28515625" customWidth="1"/>
    <col min="12" max="12" width="17.85546875" customWidth="1"/>
  </cols>
  <sheetData>
    <row r="1" spans="1:12" ht="19.5">
      <c r="A1" s="4" t="s">
        <v>87</v>
      </c>
    </row>
    <row r="2" spans="1:12">
      <c r="J2" s="55" t="s">
        <v>36</v>
      </c>
      <c r="K2" s="54">
        <f>SUM(Table7[ns1:Quantity])</f>
        <v>0</v>
      </c>
    </row>
    <row r="3" spans="1:12">
      <c r="J3" s="55" t="s">
        <v>37</v>
      </c>
      <c r="K3" s="54">
        <f>SUBTOTAL(9,Table7[ns1:Quantity])</f>
        <v>0</v>
      </c>
    </row>
    <row r="4" spans="1:12" s="57" customFormat="1" ht="44.25" customHeight="1">
      <c r="A4" s="49" t="s">
        <v>116</v>
      </c>
      <c r="B4" s="48" t="s">
        <v>88</v>
      </c>
      <c r="C4" s="49" t="s">
        <v>89</v>
      </c>
      <c r="D4" s="48" t="s">
        <v>90</v>
      </c>
      <c r="E4" s="49" t="s">
        <v>77</v>
      </c>
      <c r="F4" s="49" t="s">
        <v>92</v>
      </c>
      <c r="G4" s="49" t="s">
        <v>91</v>
      </c>
      <c r="H4" s="48" t="s">
        <v>66</v>
      </c>
      <c r="I4" s="48" t="s">
        <v>60</v>
      </c>
      <c r="J4" s="48" t="s">
        <v>3</v>
      </c>
      <c r="K4" s="48" t="s">
        <v>61</v>
      </c>
      <c r="L4" s="48" t="s">
        <v>65</v>
      </c>
    </row>
    <row r="5" spans="1:12">
      <c r="A5" s="11" t="s">
        <v>52</v>
      </c>
      <c r="B5" s="11" t="s">
        <v>85</v>
      </c>
      <c r="C5" s="11" t="s">
        <v>86</v>
      </c>
      <c r="D5" s="11" t="s">
        <v>57</v>
      </c>
      <c r="E5" s="11" t="s">
        <v>26</v>
      </c>
      <c r="F5" s="11" t="s">
        <v>27</v>
      </c>
      <c r="G5" s="11" t="s">
        <v>58</v>
      </c>
      <c r="H5" s="11" t="s">
        <v>59</v>
      </c>
      <c r="I5" s="11" t="s">
        <v>10</v>
      </c>
      <c r="J5" s="11" t="s">
        <v>11</v>
      </c>
      <c r="K5" s="11" t="s">
        <v>55</v>
      </c>
      <c r="L5" s="11" t="s">
        <v>7</v>
      </c>
    </row>
    <row r="6" spans="1:12">
      <c r="A6" s="9"/>
      <c r="B6" s="9"/>
      <c r="C6" s="9"/>
      <c r="D6" s="9"/>
      <c r="E6" s="9"/>
      <c r="F6" s="9"/>
      <c r="G6" s="9"/>
      <c r="H6" s="9"/>
      <c r="I6" s="9"/>
      <c r="J6" s="62"/>
      <c r="K6" s="17"/>
      <c r="L6" s="9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6"/>
  <sheetViews>
    <sheetView zoomScale="85" zoomScaleNormal="85" workbookViewId="0">
      <selection activeCell="D15" sqref="D15"/>
    </sheetView>
  </sheetViews>
  <sheetFormatPr defaultRowHeight="15"/>
  <cols>
    <col min="1" max="1" width="8.28515625" customWidth="1"/>
    <col min="2" max="2" width="10.42578125" customWidth="1"/>
    <col min="3" max="3" width="9.85546875" customWidth="1"/>
    <col min="4" max="5" width="10.42578125" customWidth="1"/>
    <col min="6" max="6" width="12.42578125" customWidth="1"/>
    <col min="7" max="7" width="18.42578125" customWidth="1"/>
    <col min="8" max="8" width="15.7109375" customWidth="1"/>
    <col min="9" max="9" width="34.5703125" customWidth="1"/>
    <col min="10" max="11" width="8.85546875" customWidth="1"/>
    <col min="12" max="12" width="15.140625" customWidth="1"/>
    <col min="13" max="13" width="10.42578125" customWidth="1"/>
    <col min="14" max="14" width="21.85546875" customWidth="1"/>
    <col min="15" max="15" width="8.5703125" customWidth="1"/>
    <col min="16" max="16" width="13.42578125" customWidth="1"/>
    <col min="17" max="17" width="13.5703125" customWidth="1"/>
  </cols>
  <sheetData>
    <row r="1" spans="1:17" ht="19.5">
      <c r="A1" s="4" t="s">
        <v>101</v>
      </c>
    </row>
    <row r="2" spans="1:17">
      <c r="I2" s="55" t="s">
        <v>36</v>
      </c>
      <c r="J2" s="61">
        <f>SUM(Table8[ns1:Quantity])</f>
        <v>0</v>
      </c>
      <c r="K2" s="61">
        <f>SUM(Table8[ns1:PlaningQuantity])</f>
        <v>0</v>
      </c>
    </row>
    <row r="3" spans="1:17">
      <c r="I3" s="55" t="s">
        <v>37</v>
      </c>
      <c r="J3" s="61">
        <f>SUBTOTAL(9,Table8[ns1:Quantity])</f>
        <v>0</v>
      </c>
      <c r="K3" s="61">
        <f>SUBTOTAL(9,Table8[ns1:PlaningQuantity])</f>
        <v>0</v>
      </c>
    </row>
    <row r="4" spans="1:17" s="59" customFormat="1" ht="44.25" customHeight="1">
      <c r="A4" s="49" t="s">
        <v>116</v>
      </c>
      <c r="B4" s="48" t="s">
        <v>102</v>
      </c>
      <c r="C4" s="48" t="s">
        <v>88</v>
      </c>
      <c r="D4" s="49" t="s">
        <v>103</v>
      </c>
      <c r="E4" s="49" t="s">
        <v>104</v>
      </c>
      <c r="F4" s="49" t="s">
        <v>105</v>
      </c>
      <c r="G4" s="49" t="s">
        <v>106</v>
      </c>
      <c r="H4" s="48" t="s">
        <v>60</v>
      </c>
      <c r="I4" s="48" t="s">
        <v>3</v>
      </c>
      <c r="J4" s="49" t="s">
        <v>109</v>
      </c>
      <c r="K4" s="49" t="s">
        <v>110</v>
      </c>
      <c r="L4" s="48" t="s">
        <v>90</v>
      </c>
      <c r="M4" s="49" t="s">
        <v>107</v>
      </c>
      <c r="N4" s="49" t="s">
        <v>108</v>
      </c>
      <c r="O4" s="49" t="s">
        <v>117</v>
      </c>
      <c r="P4" s="48" t="s">
        <v>62</v>
      </c>
      <c r="Q4" s="48" t="s">
        <v>65</v>
      </c>
    </row>
    <row r="5" spans="1:17" s="58" customFormat="1" ht="14.25" customHeight="1">
      <c r="A5" s="60" t="s">
        <v>52</v>
      </c>
      <c r="B5" s="60" t="s">
        <v>93</v>
      </c>
      <c r="C5" s="60" t="s">
        <v>85</v>
      </c>
      <c r="D5" s="60" t="s">
        <v>94</v>
      </c>
      <c r="E5" s="60" t="s">
        <v>95</v>
      </c>
      <c r="F5" s="60" t="s">
        <v>96</v>
      </c>
      <c r="G5" s="60" t="s">
        <v>97</v>
      </c>
      <c r="H5" s="60" t="s">
        <v>10</v>
      </c>
      <c r="I5" s="60" t="s">
        <v>11</v>
      </c>
      <c r="J5" s="60" t="s">
        <v>55</v>
      </c>
      <c r="K5" s="60" t="s">
        <v>98</v>
      </c>
      <c r="L5" s="60" t="s">
        <v>57</v>
      </c>
      <c r="M5" s="60" t="s">
        <v>99</v>
      </c>
      <c r="N5" s="60" t="s">
        <v>100</v>
      </c>
      <c r="O5" s="60" t="s">
        <v>58</v>
      </c>
      <c r="P5" s="60" t="s">
        <v>59</v>
      </c>
      <c r="Q5" s="60" t="s">
        <v>7</v>
      </c>
    </row>
    <row r="6" spans="1:17">
      <c r="A6" s="9"/>
      <c r="B6" s="9"/>
      <c r="C6" s="9"/>
      <c r="D6" s="9"/>
      <c r="E6" s="9"/>
      <c r="F6" s="63"/>
      <c r="G6" s="9"/>
      <c r="H6" s="9"/>
      <c r="I6" s="62"/>
      <c r="J6" s="17"/>
      <c r="K6" s="17"/>
      <c r="L6" s="9"/>
      <c r="M6" s="63"/>
      <c r="N6" s="9"/>
      <c r="O6" s="9"/>
      <c r="P6" s="9"/>
      <c r="Q6" s="9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6"/>
  <sheetViews>
    <sheetView zoomScale="85" zoomScaleNormal="85" workbookViewId="0">
      <selection activeCell="C13" sqref="C13"/>
    </sheetView>
  </sheetViews>
  <sheetFormatPr defaultRowHeight="15"/>
  <cols>
    <col min="1" max="1" width="8.140625" customWidth="1"/>
    <col min="2" max="2" width="10" customWidth="1"/>
    <col min="3" max="3" width="8" customWidth="1"/>
    <col min="4" max="5" width="10.42578125" customWidth="1"/>
    <col min="6" max="6" width="11.42578125" customWidth="1"/>
    <col min="7" max="7" width="18.5703125" customWidth="1"/>
    <col min="8" max="8" width="15.85546875" customWidth="1"/>
    <col min="9" max="9" width="28.42578125" customWidth="1"/>
    <col min="10" max="10" width="8.140625" customWidth="1"/>
    <col min="11" max="11" width="7.85546875" customWidth="1"/>
    <col min="12" max="12" width="15.5703125" customWidth="1"/>
    <col min="13" max="13" width="10.42578125" customWidth="1"/>
    <col min="14" max="14" width="21.7109375" customWidth="1"/>
    <col min="15" max="15" width="9.5703125" customWidth="1"/>
    <col min="16" max="16" width="15.140625" customWidth="1"/>
    <col min="17" max="17" width="12.5703125" customWidth="1"/>
  </cols>
  <sheetData>
    <row r="1" spans="1:17" ht="19.5">
      <c r="A1" s="4" t="s">
        <v>111</v>
      </c>
    </row>
    <row r="2" spans="1:17">
      <c r="I2" s="55" t="s">
        <v>36</v>
      </c>
      <c r="J2" s="61">
        <f>SUM(Table9[ns1:Quantity])</f>
        <v>0</v>
      </c>
    </row>
    <row r="3" spans="1:17">
      <c r="I3" s="55" t="s">
        <v>37</v>
      </c>
      <c r="J3" s="61">
        <f>SUBTOTAL(9,Table9[ns1:Quantity])</f>
        <v>0</v>
      </c>
    </row>
    <row r="4" spans="1:17" ht="44.25" customHeight="1">
      <c r="A4" s="49" t="s">
        <v>118</v>
      </c>
      <c r="B4" s="48" t="s">
        <v>112</v>
      </c>
      <c r="C4" s="48" t="s">
        <v>88</v>
      </c>
      <c r="D4" s="49" t="s">
        <v>113</v>
      </c>
      <c r="E4" s="49" t="s">
        <v>104</v>
      </c>
      <c r="F4" s="49" t="s">
        <v>105</v>
      </c>
      <c r="G4" s="49" t="s">
        <v>106</v>
      </c>
      <c r="H4" s="48" t="s">
        <v>60</v>
      </c>
      <c r="I4" s="48" t="s">
        <v>3</v>
      </c>
      <c r="J4" s="48" t="s">
        <v>61</v>
      </c>
      <c r="K4" s="48" t="s">
        <v>64</v>
      </c>
      <c r="L4" s="48" t="s">
        <v>90</v>
      </c>
      <c r="M4" s="49" t="s">
        <v>107</v>
      </c>
      <c r="N4" s="49" t="s">
        <v>108</v>
      </c>
      <c r="O4" s="49" t="s">
        <v>117</v>
      </c>
      <c r="P4" s="48" t="s">
        <v>62</v>
      </c>
      <c r="Q4" s="48" t="s">
        <v>65</v>
      </c>
    </row>
    <row r="5" spans="1:17">
      <c r="A5" s="11" t="s">
        <v>52</v>
      </c>
      <c r="B5" s="11" t="s">
        <v>93</v>
      </c>
      <c r="C5" s="11" t="s">
        <v>85</v>
      </c>
      <c r="D5" s="11" t="s">
        <v>94</v>
      </c>
      <c r="E5" s="11" t="s">
        <v>95</v>
      </c>
      <c r="F5" s="11" t="s">
        <v>96</v>
      </c>
      <c r="G5" s="11" t="s">
        <v>97</v>
      </c>
      <c r="H5" s="11" t="s">
        <v>10</v>
      </c>
      <c r="I5" s="11" t="s">
        <v>11</v>
      </c>
      <c r="J5" s="11" t="s">
        <v>55</v>
      </c>
      <c r="K5" s="11" t="s">
        <v>56</v>
      </c>
      <c r="L5" s="11" t="s">
        <v>57</v>
      </c>
      <c r="M5" s="11" t="s">
        <v>99</v>
      </c>
      <c r="N5" s="11" t="s">
        <v>100</v>
      </c>
      <c r="O5" s="11" t="s">
        <v>58</v>
      </c>
      <c r="P5" s="11" t="s">
        <v>59</v>
      </c>
      <c r="Q5" s="11" t="s">
        <v>7</v>
      </c>
    </row>
    <row r="6" spans="1:17">
      <c r="A6" s="9"/>
      <c r="B6" s="9"/>
      <c r="C6" s="9"/>
      <c r="D6" s="9"/>
      <c r="E6" s="9"/>
      <c r="F6" s="63"/>
      <c r="G6" s="9"/>
      <c r="H6" s="9"/>
      <c r="I6" s="62"/>
      <c r="J6" s="17"/>
      <c r="K6" s="8"/>
      <c r="L6" s="9"/>
      <c r="M6" s="9"/>
      <c r="N6" s="9"/>
      <c r="O6" s="9"/>
      <c r="P6" s="9"/>
      <c r="Q6" s="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StockOverview</vt:lpstr>
      <vt:lpstr>Reservation</vt:lpstr>
      <vt:lpstr>Client</vt:lpstr>
      <vt:lpstr>ReservationData</vt:lpstr>
      <vt:lpstr>ImportOverview</vt:lpstr>
      <vt:lpstr>OrderOverview</vt:lpstr>
      <vt:lpstr>ReservationOverview</vt:lpstr>
      <vt:lpstr>PickingListOverview</vt:lpstr>
      <vt:lpstr>ExportOverview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my.nguyen</dc:creator>
  <cp:lastModifiedBy>Quang</cp:lastModifiedBy>
  <cp:lastPrinted>2015-05-13T12:22:58Z</cp:lastPrinted>
  <dcterms:created xsi:type="dcterms:W3CDTF">2015-03-27T06:16:18Z</dcterms:created>
  <dcterms:modified xsi:type="dcterms:W3CDTF">2016-12-12T03:11:32Z</dcterms:modified>
</cp:coreProperties>
</file>