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8800" windowHeight="12435"/>
  </bookViews>
  <sheets>
    <sheet name="Summary Per Order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AT5" i="1" l="1"/>
  <c r="AU5" i="1"/>
  <c r="AV5" i="1"/>
  <c r="AW5" i="1"/>
  <c r="AT4" i="1"/>
  <c r="AU4" i="1"/>
  <c r="AV4" i="1"/>
  <c r="AW4" i="1"/>
  <c r="AO5" i="1"/>
  <c r="AO4" i="1"/>
  <c r="AJ5" i="1"/>
  <c r="AJ4" i="1"/>
  <c r="W5" i="1"/>
  <c r="W4" i="1"/>
  <c r="V5" i="1"/>
  <c r="V4" i="1"/>
  <c r="Y5" i="1"/>
  <c r="Z5" i="1"/>
  <c r="AA5" i="1"/>
  <c r="AB5" i="1"/>
  <c r="Y4" i="1"/>
  <c r="Z4" i="1"/>
  <c r="AA4" i="1"/>
  <c r="AB4" i="1"/>
  <c r="X5" i="1"/>
  <c r="X4" i="1"/>
  <c r="AX7" i="1" l="1"/>
  <c r="AS7" i="1"/>
  <c r="AQ7" i="1"/>
  <c r="AP7" i="1"/>
  <c r="AP5" i="1" l="1"/>
  <c r="AP4" i="1"/>
  <c r="AS5" i="1"/>
  <c r="AS4" i="1"/>
  <c r="AY7" i="1"/>
  <c r="AX5" i="1"/>
  <c r="AX4" i="1"/>
  <c r="AY5" i="1" l="1"/>
  <c r="AY4" i="1"/>
  <c r="AZ7" i="1"/>
</calcChain>
</file>

<file path=xl/sharedStrings.xml><?xml version="1.0" encoding="utf-8"?>
<sst xmlns="http://schemas.openxmlformats.org/spreadsheetml/2006/main" count="118" uniqueCount="118">
  <si>
    <t>ns1:OfferUD</t>
  </si>
  <si>
    <t>ns1:OfferDate</t>
  </si>
  <si>
    <t>ns1:ClientUD</t>
  </si>
  <si>
    <t>ns1:ClientNM</t>
  </si>
  <si>
    <t>ns1:ClientCountryNM</t>
  </si>
  <si>
    <t>ns1:SaleNM</t>
  </si>
  <si>
    <t>ns1:Currency</t>
  </si>
  <si>
    <t>ns1:TotalOfferQnt</t>
  </si>
  <si>
    <t>ns1:OfferAmountInUSD</t>
  </si>
  <si>
    <t>ns1:OfferAmountInEUR</t>
  </si>
  <si>
    <t>ns1:OfferAmountConvertToEUR</t>
  </si>
  <si>
    <t>ns1:ProformaInvoiceNo</t>
  </si>
  <si>
    <t>ns1:SaleOrderInvoiceDate</t>
  </si>
  <si>
    <t>ns1:TrackingStatusNM</t>
  </si>
  <si>
    <t>ns1:SaleOrderAmountInUSD</t>
  </si>
  <si>
    <t>ns1:SaleOrderAmountInEUR</t>
  </si>
  <si>
    <t>ns1:SaleOrderAmountConvertToEUR</t>
  </si>
  <si>
    <t>ns1:EurofarInvoiceNo</t>
  </si>
  <si>
    <t>ns1:EurofarInvoiceDate</t>
  </si>
  <si>
    <t>ns1:InvoiceCurrency</t>
  </si>
  <si>
    <t>ns1:EurofarNetAmountInUSD</t>
  </si>
  <si>
    <t>ns1:EurofarNetAmountInEUR</t>
  </si>
  <si>
    <t>ns1:EurofarNetAmountConvertToEUR</t>
  </si>
  <si>
    <t>ns1:EurofarVATAmountInUSD</t>
  </si>
  <si>
    <t>ns1:EurofarVATAmountInEUR</t>
  </si>
  <si>
    <t>ns1:EurofarVATAmountConvertToEUR</t>
  </si>
  <si>
    <t>ns1:EurofarTotalAmountConvertToEUR</t>
  </si>
  <si>
    <t>ns1:BLNo</t>
  </si>
  <si>
    <t>ns1:ContainerNo</t>
  </si>
  <si>
    <t>ns1:SupplierNM</t>
  </si>
  <si>
    <t>ns1:SupplierUD</t>
  </si>
  <si>
    <t>ns1:FactoryInvoiceNo</t>
  </si>
  <si>
    <t>ns1:PurchasingInvoiceNo</t>
  </si>
  <si>
    <t>ns1:PurchasingInvoiceDate</t>
  </si>
  <si>
    <t>ns1:FactoryInvoiceAmount</t>
  </si>
  <si>
    <t>ns1:PoDName</t>
  </si>
  <si>
    <t>ns1:ETA</t>
  </si>
  <si>
    <t>ns1:DeliveryTerm</t>
  </si>
  <si>
    <t>ns1:PaymentTerm</t>
  </si>
  <si>
    <t>ns1:FactoryInvoiceAmountConvertoToEUR</t>
  </si>
  <si>
    <t>ns1:GrossMarginGoods</t>
  </si>
  <si>
    <t>ns1:GrossMarginPercentGoods</t>
  </si>
  <si>
    <t>ns1:CommissionPercent</t>
  </si>
  <si>
    <t>ns1:CommissionAmount</t>
  </si>
  <si>
    <t>ns1:SeaFreightAmount</t>
  </si>
  <si>
    <t>ns1:TruckingAmount</t>
  </si>
  <si>
    <t>ns1:DemurageAmount</t>
  </si>
  <si>
    <t>ns1:ChargedClientAmount</t>
  </si>
  <si>
    <t>ns1:TotalTransportCost</t>
  </si>
  <si>
    <t>ns1:GrossMargin</t>
  </si>
  <si>
    <t>ns1:GrossMarginPercent</t>
  </si>
  <si>
    <t>Offer</t>
  </si>
  <si>
    <t>Offer Date</t>
  </si>
  <si>
    <t>Client Code</t>
  </si>
  <si>
    <t>Client Name</t>
  </si>
  <si>
    <t>Client Country</t>
  </si>
  <si>
    <t>Acc Manager</t>
  </si>
  <si>
    <t>Offer Currency</t>
  </si>
  <si>
    <t>Offer Qnt</t>
  </si>
  <si>
    <t>Offer Amount In USD</t>
  </si>
  <si>
    <t>Offer Amount In EUR</t>
  </si>
  <si>
    <t>Offer Amount Convert to EUR</t>
  </si>
  <si>
    <t>Prof.Invoice No</t>
  </si>
  <si>
    <t>Sale Order Invoice Date</t>
  </si>
  <si>
    <t>Order Status</t>
  </si>
  <si>
    <t>Sale Order Amount In USD</t>
  </si>
  <si>
    <t>Sale Order Amount In EUR</t>
  </si>
  <si>
    <t>Sale Order Amount Convert to EUR</t>
  </si>
  <si>
    <t>Eurofar Commercial Invoice No</t>
  </si>
  <si>
    <t>Eurofar Invoice Date</t>
  </si>
  <si>
    <t>Eurofar Invoice Currency</t>
  </si>
  <si>
    <t>Eurofar Invoice Net Amount In USD</t>
  </si>
  <si>
    <t>Eurofar Invoice Net Amount In EUR</t>
  </si>
  <si>
    <t>Eurofar Invoice Net Amount Convert to EUR</t>
  </si>
  <si>
    <t>Eurofar Invoice VAT Amount In USD</t>
  </si>
  <si>
    <t>Eurofar Invoice VAT Amount In EUR</t>
  </si>
  <si>
    <t>Eurofar Invoice VAT Amount Convert To EUR</t>
  </si>
  <si>
    <t>Eurofar Total Amount Convert To EUR</t>
  </si>
  <si>
    <t>BL No</t>
  </si>
  <si>
    <t>Container No</t>
  </si>
  <si>
    <t>Supplier Name</t>
  </si>
  <si>
    <t>Supplier Code</t>
  </si>
  <si>
    <t>Factory Invoice No</t>
  </si>
  <si>
    <t>Purchasing Invoice No</t>
  </si>
  <si>
    <t>Purchasing Invoice Date</t>
  </si>
  <si>
    <t>Factory Invoice Amount</t>
  </si>
  <si>
    <t>POD</t>
  </si>
  <si>
    <t>ETA</t>
  </si>
  <si>
    <t>Delivery Term</t>
  </si>
  <si>
    <t>Payment Term</t>
  </si>
  <si>
    <t>Factory Invoice Amount Convert To EUR</t>
  </si>
  <si>
    <t>Gross Margin Goods</t>
  </si>
  <si>
    <t>Gross Margin Goods (%)</t>
  </si>
  <si>
    <t>Comission Amount</t>
  </si>
  <si>
    <t>SeaFreight</t>
  </si>
  <si>
    <t>Trucking Amount</t>
  </si>
  <si>
    <t>Demurage Amount</t>
  </si>
  <si>
    <t>Charged Client</t>
  </si>
  <si>
    <t>Total Transport Cost</t>
  </si>
  <si>
    <t>Gross Margin</t>
  </si>
  <si>
    <t>Gross Margin (%)</t>
  </si>
  <si>
    <t>(A)</t>
  </si>
  <si>
    <t>(B)</t>
  </si>
  <si>
    <t>(A-B)</t>
  </si>
  <si>
    <t>(A-B)/A</t>
  </si>
  <si>
    <t>( C )</t>
  </si>
  <si>
    <t>(G)</t>
  </si>
  <si>
    <t>(D)</t>
  </si>
  <si>
    <t>( E)</t>
  </si>
  <si>
    <t>(F)</t>
  </si>
  <si>
    <t>(L)</t>
  </si>
  <si>
    <t>(H = D+E+F-L)</t>
  </si>
  <si>
    <t>(A-B-G-H)</t>
  </si>
  <si>
    <t>(A-B-G-H)/A</t>
  </si>
  <si>
    <t>Total</t>
  </si>
  <si>
    <t>Sub Total</t>
  </si>
  <si>
    <t>Commission Percent (%)</t>
  </si>
  <si>
    <t>ns1:Season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</si>
</sst>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b/>
      <sz val="11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3" fillId="0" borderId="0" xfId="0" applyFont="1"/>
    <xf numFmtId="49" fontId="0" fillId="0" borderId="1" xfId="0" applyNumberFormat="1" applyBorder="1"/>
    <xf numFmtId="4" fontId="0" fillId="0" borderId="1" xfId="0" applyNumberFormat="1" applyBorder="1"/>
    <xf numFmtId="3" fontId="0" fillId="0" borderId="1" xfId="0" applyNumberFormat="1" applyBorder="1"/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left" vertical="center" wrapText="1"/>
    </xf>
    <xf numFmtId="0" fontId="1" fillId="0" borderId="1" xfId="0" applyFont="1" applyBorder="1"/>
    <xf numFmtId="0" fontId="4" fillId="0" borderId="2" xfId="0" applyFont="1" applyBorder="1"/>
    <xf numFmtId="49" fontId="0" fillId="0" borderId="3" xfId="0" applyNumberFormat="1" applyBorder="1"/>
    <xf numFmtId="0" fontId="0" fillId="2" borderId="1" xfId="0" applyFill="1" applyBorder="1" applyAlignment="1">
      <alignment horizontal="right" vertical="center" wrapText="1"/>
    </xf>
    <xf numFmtId="4" fontId="0" fillId="2" borderId="1" xfId="0" applyNumberFormat="1" applyFill="1" applyBorder="1" applyAlignment="1">
      <alignment horizontal="right" vertical="center" wrapText="1"/>
    </xf>
  </cellXfs>
  <cellStyles count="1">
    <cellStyle name="Normal" xfId="0" builtinId="0"/>
  </cellStyles>
  <dxfs count="5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SummaryPerOrder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type="xs:string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TotalOfferQnt" type="xs:int" minOccurs="0"/>
                  <xs:element name="OfferAmountInUSD" type="xs:decimal" minOccurs="0"/>
                  <xs:element name="OfferAmountInEUR" type="xs:decimal" minOccurs="0"/>
                  <xs:element name="OfferAmountConvertToEUR" type="xs:decimal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SaleOrderInvoiceDat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Tracking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OrderAmountInUSD" type="xs:decimal" minOccurs="0"/>
                  <xs:element name="SaleOrderAmountInEUR" type="xs:decimal" minOccurs="0"/>
                  <xs:element name="SaleOrderAmountConvertToEUR" type="xs:decimal" minOccurs="0"/>
                  <xs:element name="Eurofar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EurofarInvoiceDat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Invoice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EurofarNetAmountInUSD" type="xs:decimal" minOccurs="0"/>
                  <xs:element name="EurofarNetAmountInEUR" type="xs:decimal" minOccurs="0"/>
                  <xs:element name="EurofarNetAmountConvertToEUR" type="xs:decimal" minOccurs="0"/>
                  <xs:element name="EurofarVATAmountInUSD" type="xs:decimal" minOccurs="0"/>
                  <xs:element name="EurofarVATAmountInEUR" type="xs:decimal" minOccurs="0"/>
                  <xs:element name="EurofarVATAmountConvertToEUR" type="xs:decimal" minOccurs="0"/>
                  <xs:element name="EurofarTotalAmountConvertToEUR" type="xs:decimal" minOccurs="0"/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Suppli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ppli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urchasing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urchasingInvoiceDat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actoryInvoiceAmount" type="xs:decimal" minOccurs="0"/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TA" type="xs:string" minOccurs="0"/>
                  <xs:element name="DeliveryTer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aymentTer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InvoiceAmountConvertoToEUR" type="xs:decimal" minOccurs="0"/>
                  <xs:element name="GrossMarginGoods" type="xs:decimal" minOccurs="0"/>
                  <xs:element name="GrossMarginPercentGoods" type="xs:decimal" minOccurs="0"/>
                  <xs:element name="CommissionPercent" type="xs:decimal" minOccurs="0"/>
                  <xs:element name="CommissionAmount" type="xs:decimal" minOccurs="0"/>
                  <xs:element name="SeaFreightAmount" type="xs:decimal" minOccurs="0"/>
                  <xs:element name="TruckingAmount" type="xs:decimal" minOccurs="0"/>
                  <xs:element name="DemurageAmount" type="xs:decimal" minOccurs="0"/>
                  <xs:element name="ChargedClientAmount" type="xs:decimal" minOccurs="0"/>
                  <xs:element name="TotalTransportCost" type="xs:decimal" minOccurs="0"/>
                  <xs:element name="GrossMargin" type="xs:decimal" minOccurs="0"/>
                  <xs:element name="GrossMarginPercent" type="xs:decimal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6:AZ7" tableType="xml" totalsRowShown="0" headerRowDxfId="55" headerRowBorderDxfId="54" tableBorderDxfId="53" totalsRowBorderDxfId="52">
  <autoFilter ref="A6:AZ7"/>
  <tableColumns count="52">
    <tableColumn id="52" uniqueName="ns1:Season" name="ns1:Season" dataDxfId="51">
      <xmlColumnPr mapId="1" xpath="/ns1:ReportDataObject/ns1:Report_SummaryPerOrder_View/ns1:Season" xmlDataType="string"/>
    </tableColumn>
    <tableColumn id="1" uniqueName="ns1:OfferUD" name="ns1:OfferUD" dataDxfId="50">
      <xmlColumnPr mapId="1" xpath="/ns1:ReportDataObject/ns1:Report_SummaryPerOrder_View/ns1:OfferUD" xmlDataType="string"/>
    </tableColumn>
    <tableColumn id="2" uniqueName="ns1:OfferDate" name="ns1:OfferDate" dataDxfId="49">
      <xmlColumnPr mapId="1" xpath="/ns1:ReportDataObject/ns1:Report_SummaryPerOrder_View/ns1:OfferDate" xmlDataType="string"/>
    </tableColumn>
    <tableColumn id="3" uniqueName="ns1:ClientUD" name="ns1:ClientUD" dataDxfId="48">
      <xmlColumnPr mapId="1" xpath="/ns1:ReportDataObject/ns1:Report_SummaryPerOrder_View/ns1:ClientUD" xmlDataType="string"/>
    </tableColumn>
    <tableColumn id="4" uniqueName="ns1:ClientNM" name="ns1:ClientNM" dataDxfId="47">
      <xmlColumnPr mapId="1" xpath="/ns1:ReportDataObject/ns1:Report_SummaryPerOrder_View/ns1:ClientNM" xmlDataType="string"/>
    </tableColumn>
    <tableColumn id="5" uniqueName="ns1:ClientCountryNM" name="ns1:ClientCountryNM" dataDxfId="46">
      <xmlColumnPr mapId="1" xpath="/ns1:ReportDataObject/ns1:Report_SummaryPerOrder_View/ns1:ClientCountryNM" xmlDataType="string"/>
    </tableColumn>
    <tableColumn id="6" uniqueName="ns1:SaleNM" name="ns1:SaleNM" dataDxfId="45">
      <xmlColumnPr mapId="1" xpath="/ns1:ReportDataObject/ns1:Report_SummaryPerOrder_View/ns1:SaleNM" xmlDataType="string"/>
    </tableColumn>
    <tableColumn id="7" uniqueName="ns1:Currency" name="ns1:Currency" dataDxfId="44">
      <xmlColumnPr mapId="1" xpath="/ns1:ReportDataObject/ns1:Report_SummaryPerOrder_View/ns1:Currency" xmlDataType="string"/>
    </tableColumn>
    <tableColumn id="8" uniqueName="ns1:TotalOfferQnt" name="ns1:TotalOfferQnt" dataDxfId="43">
      <xmlColumnPr mapId="1" xpath="/ns1:ReportDataObject/ns1:Report_SummaryPerOrder_View/ns1:TotalOfferQnt" xmlDataType="int"/>
    </tableColumn>
    <tableColumn id="9" uniqueName="ns1:OfferAmountInUSD" name="ns1:OfferAmountInUSD" dataDxfId="42">
      <xmlColumnPr mapId="1" xpath="/ns1:ReportDataObject/ns1:Report_SummaryPerOrder_View/ns1:OfferAmountInUSD" xmlDataType="decimal"/>
    </tableColumn>
    <tableColumn id="10" uniqueName="ns1:OfferAmountInEUR" name="ns1:OfferAmountInEUR" dataDxfId="41">
      <xmlColumnPr mapId="1" xpath="/ns1:ReportDataObject/ns1:Report_SummaryPerOrder_View/ns1:OfferAmountInEUR" xmlDataType="decimal"/>
    </tableColumn>
    <tableColumn id="11" uniqueName="ns1:OfferAmountConvertToEUR" name="ns1:OfferAmountConvertToEUR" dataDxfId="40">
      <xmlColumnPr mapId="1" xpath="/ns1:ReportDataObject/ns1:Report_SummaryPerOrder_View/ns1:OfferAmountConvertToEUR" xmlDataType="decimal"/>
    </tableColumn>
    <tableColumn id="12" uniqueName="ns1:ProformaInvoiceNo" name="ns1:ProformaInvoiceNo" dataDxfId="39">
      <xmlColumnPr mapId="1" xpath="/ns1:ReportDataObject/ns1:Report_SummaryPerOrder_View/ns1:ProformaInvoiceNo" xmlDataType="string"/>
    </tableColumn>
    <tableColumn id="13" uniqueName="ns1:SaleOrderInvoiceDate" name="ns1:SaleOrderInvoiceDate" dataDxfId="38">
      <xmlColumnPr mapId="1" xpath="/ns1:ReportDataObject/ns1:Report_SummaryPerOrder_View/ns1:SaleOrderInvoiceDate" xmlDataType="string"/>
    </tableColumn>
    <tableColumn id="14" uniqueName="ns1:TrackingStatusNM" name="ns1:TrackingStatusNM" dataDxfId="37">
      <xmlColumnPr mapId="1" xpath="/ns1:ReportDataObject/ns1:Report_SummaryPerOrder_View/ns1:TrackingStatusNM" xmlDataType="string"/>
    </tableColumn>
    <tableColumn id="15" uniqueName="ns1:SaleOrderAmountInUSD" name="ns1:SaleOrderAmountInUSD" dataDxfId="36">
      <xmlColumnPr mapId="1" xpath="/ns1:ReportDataObject/ns1:Report_SummaryPerOrder_View/ns1:SaleOrderAmountInUSD" xmlDataType="decimal"/>
    </tableColumn>
    <tableColumn id="16" uniqueName="ns1:SaleOrderAmountInEUR" name="ns1:SaleOrderAmountInEUR" dataDxfId="35">
      <xmlColumnPr mapId="1" xpath="/ns1:ReportDataObject/ns1:Report_SummaryPerOrder_View/ns1:SaleOrderAmountInEUR" xmlDataType="decimal"/>
    </tableColumn>
    <tableColumn id="17" uniqueName="ns1:SaleOrderAmountConvertToEUR" name="ns1:SaleOrderAmountConvertToEUR" dataDxfId="34">
      <xmlColumnPr mapId="1" xpath="/ns1:ReportDataObject/ns1:Report_SummaryPerOrder_View/ns1:SaleOrderAmountConvertToEUR" xmlDataType="decimal"/>
    </tableColumn>
    <tableColumn id="18" uniqueName="ns1:EurofarInvoiceNo" name="ns1:EurofarInvoiceNo" dataDxfId="33">
      <xmlColumnPr mapId="1" xpath="/ns1:ReportDataObject/ns1:Report_SummaryPerOrder_View/ns1:EurofarInvoiceNo" xmlDataType="string"/>
    </tableColumn>
    <tableColumn id="19" uniqueName="ns1:EurofarInvoiceDate" name="ns1:EurofarInvoiceDate" dataDxfId="32">
      <xmlColumnPr mapId="1" xpath="/ns1:ReportDataObject/ns1:Report_SummaryPerOrder_View/ns1:EurofarInvoiceDate" xmlDataType="string"/>
    </tableColumn>
    <tableColumn id="20" uniqueName="ns1:InvoiceCurrency" name="ns1:InvoiceCurrency" dataDxfId="31">
      <xmlColumnPr mapId="1" xpath="/ns1:ReportDataObject/ns1:Report_SummaryPerOrder_View/ns1:InvoiceCurrency" xmlDataType="string"/>
    </tableColumn>
    <tableColumn id="21" uniqueName="ns1:EurofarNetAmountInUSD" name="ns1:EurofarNetAmountInUSD" dataDxfId="30">
      <xmlColumnPr mapId="1" xpath="/ns1:ReportDataObject/ns1:Report_SummaryPerOrder_View/ns1:EurofarNetAmountInUSD" xmlDataType="decimal"/>
    </tableColumn>
    <tableColumn id="22" uniqueName="ns1:EurofarNetAmountInEUR" name="ns1:EurofarNetAmountInEUR" dataDxfId="29">
      <xmlColumnPr mapId="1" xpath="/ns1:ReportDataObject/ns1:Report_SummaryPerOrder_View/ns1:EurofarNetAmountInEUR" xmlDataType="decimal"/>
    </tableColumn>
    <tableColumn id="23" uniqueName="ns1:EurofarNetAmountConvertToEUR" name="ns1:EurofarNetAmountConvertToEUR" dataDxfId="28">
      <xmlColumnPr mapId="1" xpath="/ns1:ReportDataObject/ns1:Report_SummaryPerOrder_View/ns1:EurofarNetAmountConvertToEUR" xmlDataType="decimal"/>
    </tableColumn>
    <tableColumn id="24" uniqueName="ns1:EurofarVATAmountInUSD" name="ns1:EurofarVATAmountInUSD" dataDxfId="27">
      <xmlColumnPr mapId="1" xpath="/ns1:ReportDataObject/ns1:Report_SummaryPerOrder_View/ns1:EurofarVATAmountInUSD" xmlDataType="decimal"/>
    </tableColumn>
    <tableColumn id="25" uniqueName="ns1:EurofarVATAmountInEUR" name="ns1:EurofarVATAmountInEUR" dataDxfId="26">
      <xmlColumnPr mapId="1" xpath="/ns1:ReportDataObject/ns1:Report_SummaryPerOrder_View/ns1:EurofarVATAmountInEUR" xmlDataType="decimal"/>
    </tableColumn>
    <tableColumn id="26" uniqueName="ns1:EurofarVATAmountConvertToEUR" name="ns1:EurofarVATAmountConvertToEUR" dataDxfId="25">
      <xmlColumnPr mapId="1" xpath="/ns1:ReportDataObject/ns1:Report_SummaryPerOrder_View/ns1:EurofarVATAmountConvertToEUR" xmlDataType="decimal"/>
    </tableColumn>
    <tableColumn id="27" uniqueName="ns1:EurofarTotalAmountConvertToEUR" name="ns1:EurofarTotalAmountConvertToEUR" dataDxfId="24">
      <xmlColumnPr mapId="1" xpath="/ns1:ReportDataObject/ns1:Report_SummaryPerOrder_View/ns1:EurofarTotalAmountConvertToEUR" xmlDataType="decimal"/>
    </tableColumn>
    <tableColumn id="28" uniqueName="ns1:BLNo" name="ns1:BLNo" dataDxfId="23">
      <xmlColumnPr mapId="1" xpath="/ns1:ReportDataObject/ns1:Report_SummaryPerOrder_View/ns1:BLNo" xmlDataType="string"/>
    </tableColumn>
    <tableColumn id="29" uniqueName="ns1:ContainerNo" name="ns1:ContainerNo" dataDxfId="22">
      <xmlColumnPr mapId="1" xpath="/ns1:ReportDataObject/ns1:Report_SummaryPerOrder_View/ns1:ContainerNo" xmlDataType="string"/>
    </tableColumn>
    <tableColumn id="30" uniqueName="ns1:SupplierNM" name="ns1:SupplierNM" dataDxfId="21">
      <xmlColumnPr mapId="1" xpath="/ns1:ReportDataObject/ns1:Report_SummaryPerOrder_View/ns1:SupplierNM" xmlDataType="string"/>
    </tableColumn>
    <tableColumn id="31" uniqueName="ns1:SupplierUD" name="ns1:SupplierUD" dataDxfId="20">
      <xmlColumnPr mapId="1" xpath="/ns1:ReportDataObject/ns1:Report_SummaryPerOrder_View/ns1:SupplierUD" xmlDataType="string"/>
    </tableColumn>
    <tableColumn id="32" uniqueName="ns1:FactoryInvoiceNo" name="ns1:FactoryInvoiceNo" dataDxfId="19">
      <xmlColumnPr mapId="1" xpath="/ns1:ReportDataObject/ns1:Report_SummaryPerOrder_View/ns1:FactoryInvoiceNo" xmlDataType="string"/>
    </tableColumn>
    <tableColumn id="33" uniqueName="ns1:PurchasingInvoiceNo" name="ns1:PurchasingInvoiceNo" dataDxfId="18">
      <xmlColumnPr mapId="1" xpath="/ns1:ReportDataObject/ns1:Report_SummaryPerOrder_View/ns1:PurchasingInvoiceNo" xmlDataType="string"/>
    </tableColumn>
    <tableColumn id="34" uniqueName="ns1:PurchasingInvoiceDate" name="ns1:PurchasingInvoiceDate" dataDxfId="17">
      <xmlColumnPr mapId="1" xpath="/ns1:ReportDataObject/ns1:Report_SummaryPerOrder_View/ns1:PurchasingInvoiceDate" xmlDataType="string"/>
    </tableColumn>
    <tableColumn id="35" uniqueName="ns1:FactoryInvoiceAmount" name="ns1:FactoryInvoiceAmount" dataDxfId="16">
      <xmlColumnPr mapId="1" xpath="/ns1:ReportDataObject/ns1:Report_SummaryPerOrder_View/ns1:FactoryInvoiceAmount" xmlDataType="decimal"/>
    </tableColumn>
    <tableColumn id="36" uniqueName="ns1:PoDName" name="ns1:PoDName" dataDxfId="15">
      <xmlColumnPr mapId="1" xpath="/ns1:ReportDataObject/ns1:Report_SummaryPerOrder_View/ns1:PoDName" xmlDataType="string"/>
    </tableColumn>
    <tableColumn id="37" uniqueName="ns1:ETA" name="ns1:ETA" dataDxfId="14">
      <xmlColumnPr mapId="1" xpath="/ns1:ReportDataObject/ns1:Report_SummaryPerOrder_View/ns1:ETA" xmlDataType="string"/>
    </tableColumn>
    <tableColumn id="38" uniqueName="ns1:DeliveryTerm" name="ns1:DeliveryTerm" dataDxfId="13">
      <xmlColumnPr mapId="1" xpath="/ns1:ReportDataObject/ns1:Report_SummaryPerOrder_View/ns1:DeliveryTerm" xmlDataType="string"/>
    </tableColumn>
    <tableColumn id="39" uniqueName="ns1:PaymentTerm" name="ns1:PaymentTerm" dataDxfId="12">
      <xmlColumnPr mapId="1" xpath="/ns1:ReportDataObject/ns1:Report_SummaryPerOrder_View/ns1:PaymentTerm" xmlDataType="string"/>
    </tableColumn>
    <tableColumn id="40" uniqueName="ns1:FactoryInvoiceAmountConvertoToEUR" name="ns1:FactoryInvoiceAmountConvertoToEUR" dataDxfId="11">
      <xmlColumnPr mapId="1" xpath="/ns1:ReportDataObject/ns1:Report_SummaryPerOrder_View/ns1:FactoryInvoiceAmountConvertoToEUR" xmlDataType="decimal"/>
    </tableColumn>
    <tableColumn id="41" uniqueName="ns1:GrossMarginGoods" name="ns1:GrossMarginGoods" dataDxfId="10">
      <calculatedColumnFormula>Table1[ns1:EurofarNetAmountConvertToEUR]-Table1[ns1:FactoryInvoiceAmountConvertoToEUR]</calculatedColumnFormula>
    </tableColumn>
    <tableColumn id="42" uniqueName="ns1:GrossMarginPercentGoods" name="ns1:GrossMarginPercentGoods" dataDxfId="9">
      <calculatedColumnFormula>(Table1[ns1:EurofarNetAmountConvertToEUR]-Table1[ns1:FactoryInvoiceAmountConvertoToEUR])/Table1[ns1:EurofarNetAmountConvertToEUR]</calculatedColumnFormula>
    </tableColumn>
    <tableColumn id="43" uniqueName="ns1:CommissionPercent" name="ns1:CommissionPercent" dataDxfId="8">
      <xmlColumnPr mapId="1" xpath="/ns1:ReportDataObject/ns1:Report_SummaryPerOrder_View/ns1:CommissionPercent" xmlDataType="decimal"/>
    </tableColumn>
    <tableColumn id="44" uniqueName="ns1:CommissionAmount" name="ns1:CommissionAmount" dataDxfId="7">
      <calculatedColumnFormula>Table1[ns1:EurofarNetAmountConvertToEUR]*Table1[ns1:CommissionPercent]</calculatedColumnFormula>
    </tableColumn>
    <tableColumn id="45" uniqueName="ns1:SeaFreightAmount" name="ns1:SeaFreightAmount" dataDxfId="6">
      <xmlColumnPr mapId="1" xpath="/ns1:ReportDataObject/ns1:Report_SummaryPerOrder_View/ns1:SeaFreightAmount" xmlDataType="decimal"/>
    </tableColumn>
    <tableColumn id="46" uniqueName="ns1:TruckingAmount" name="ns1:TruckingAmount" dataDxfId="5">
      <xmlColumnPr mapId="1" xpath="/ns1:ReportDataObject/ns1:Report_SummaryPerOrder_View/ns1:TruckingAmount" xmlDataType="decimal"/>
    </tableColumn>
    <tableColumn id="47" uniqueName="ns1:DemurageAmount" name="ns1:DemurageAmount" dataDxfId="4">
      <xmlColumnPr mapId="1" xpath="/ns1:ReportDataObject/ns1:Report_SummaryPerOrder_View/ns1:DemurageAmount" xmlDataType="decimal"/>
    </tableColumn>
    <tableColumn id="48" uniqueName="ns1:ChargedClientAmount" name="ns1:ChargedClientAmount" dataDxfId="3">
      <xmlColumnPr mapId="1" xpath="/ns1:ReportDataObject/ns1:Report_SummaryPerOrder_View/ns1:ChargedClientAmount" xmlDataType="decimal"/>
    </tableColumn>
    <tableColumn id="49" uniqueName="ns1:TotalTransportCost" name="ns1:TotalTransportCost" dataDxfId="2">
      <calculatedColumnFormula>Table1[ns1:SeaFreightAmount]+Table1[ns1:TruckingAmount]+Table1[ns1:DemurageAmount]-Table1[ns1:ChargedClientAmount]</calculatedColumnFormula>
      <xmlColumnPr mapId="1" xpath="/ns1:ReportDataObject/ns1:Report_SummaryPerOrder_View/ns1:TotalTransportCost" xmlDataType="decimal"/>
    </tableColumn>
    <tableColumn id="50" uniqueName="ns1:GrossMargin" name="ns1:GrossMargin" dataDxfId="1">
      <calculatedColumnFormula>Table1[ns1:EurofarNetAmountConvertToEUR]-Table1[ns1:FactoryInvoiceAmountConvertoToEUR]-Table1[ns1:CommissionAmount]-Table1[ns1:TotalTransportCost]</calculatedColumnFormula>
      <xmlColumnPr mapId="1" xpath="/ns1:ReportDataObject/ns1:Report_SummaryPerOrder_View/ns1:GrossMargin" xmlDataType="decimal"/>
    </tableColumn>
    <tableColumn id="51" uniqueName="ns1:GrossMarginPercent" name="ns1:GrossMarginPercent" dataDxfId="0">
      <calculatedColumnFormula>Table1[ns1:GrossMargin]/Table1[ns1:EurofarNetAmountConvertToEUR]</calculatedColumnFormula>
      <xmlColumnPr mapId="1" xpath="/ns1:ReportDataObject/ns1:Report_SummaryPerOrder_View/ns1:GrossMarginPercent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7"/>
  <sheetViews>
    <sheetView tabSelected="1" zoomScale="85" zoomScaleNormal="85" workbookViewId="0">
      <pane xSplit="5" ySplit="6" topLeftCell="F7" activePane="bottomRight" state="frozen"/>
      <selection pane="topRight" activeCell="E1" sqref="E1"/>
      <selection pane="bottomLeft" activeCell="A7" sqref="A7"/>
      <selection pane="bottomRight" activeCell="B12" sqref="B12"/>
    </sheetView>
  </sheetViews>
  <sheetFormatPr defaultRowHeight="15" x14ac:dyDescent="0.25"/>
  <cols>
    <col min="1" max="1" width="0" hidden="1" customWidth="1"/>
    <col min="2" max="2" width="49.85546875" customWidth="1"/>
    <col min="3" max="3" width="12.7109375" customWidth="1"/>
    <col min="4" max="4" width="8.7109375" customWidth="1"/>
    <col min="5" max="5" width="58.28515625" customWidth="1"/>
    <col min="6" max="6" width="18.85546875" customWidth="1"/>
    <col min="7" max="7" width="17.42578125" customWidth="1"/>
    <col min="8" max="8" width="8.5703125" customWidth="1"/>
    <col min="9" max="9" width="11.7109375" customWidth="1"/>
    <col min="10" max="12" width="18.7109375" customWidth="1"/>
    <col min="13" max="13" width="9.7109375" customWidth="1"/>
    <col min="14" max="14" width="12.7109375" customWidth="1"/>
    <col min="15" max="15" width="23" customWidth="1"/>
    <col min="16" max="18" width="18.7109375" customWidth="1"/>
    <col min="19" max="19" width="11.7109375" customWidth="1"/>
    <col min="20" max="20" width="12.140625" customWidth="1"/>
    <col min="21" max="21" width="9.140625" customWidth="1"/>
    <col min="22" max="28" width="18.7109375" customWidth="1"/>
    <col min="29" max="29" width="23.85546875" customWidth="1"/>
    <col min="30" max="30" width="18.28515625" customWidth="1"/>
    <col min="31" max="31" width="72.7109375" customWidth="1"/>
    <col min="32" max="32" width="17" customWidth="1"/>
    <col min="33" max="33" width="24.140625" customWidth="1"/>
    <col min="34" max="34" width="25.85546875" customWidth="1"/>
    <col min="35" max="35" width="12.28515625" customWidth="1"/>
    <col min="36" max="36" width="18.7109375" customWidth="1"/>
    <col min="37" max="37" width="21.140625" customWidth="1"/>
    <col min="38" max="38" width="10.7109375" customWidth="1"/>
    <col min="39" max="39" width="26.7109375" customWidth="1"/>
    <col min="40" max="40" width="33" customWidth="1"/>
    <col min="41" max="43" width="18.7109375" customWidth="1"/>
    <col min="44" max="44" width="11.28515625" customWidth="1"/>
    <col min="45" max="52" width="18.7109375" customWidth="1"/>
  </cols>
  <sheetData>
    <row r="1" spans="1:52" ht="28.5" x14ac:dyDescent="0.45">
      <c r="B1" s="2" t="str">
        <f>"SUMMARY PER ORDER " &amp;A7</f>
        <v xml:space="preserve">SUMMARY PER ORDER </v>
      </c>
    </row>
    <row r="2" spans="1:52" ht="45" x14ac:dyDescent="0.25">
      <c r="B2" s="7" t="s">
        <v>51</v>
      </c>
      <c r="C2" s="7" t="s">
        <v>52</v>
      </c>
      <c r="D2" s="7" t="s">
        <v>53</v>
      </c>
      <c r="E2" s="7" t="s">
        <v>54</v>
      </c>
      <c r="F2" s="7" t="s">
        <v>55</v>
      </c>
      <c r="G2" s="7" t="s">
        <v>56</v>
      </c>
      <c r="H2" s="7" t="s">
        <v>57</v>
      </c>
      <c r="I2" s="7" t="s">
        <v>58</v>
      </c>
      <c r="J2" s="7" t="s">
        <v>59</v>
      </c>
      <c r="K2" s="7" t="s">
        <v>60</v>
      </c>
      <c r="L2" s="7" t="s">
        <v>61</v>
      </c>
      <c r="M2" s="7" t="s">
        <v>62</v>
      </c>
      <c r="N2" s="7" t="s">
        <v>63</v>
      </c>
      <c r="O2" s="7" t="s">
        <v>64</v>
      </c>
      <c r="P2" s="7" t="s">
        <v>65</v>
      </c>
      <c r="Q2" s="7" t="s">
        <v>66</v>
      </c>
      <c r="R2" s="7" t="s">
        <v>67</v>
      </c>
      <c r="S2" s="7" t="s">
        <v>68</v>
      </c>
      <c r="T2" s="7" t="s">
        <v>69</v>
      </c>
      <c r="U2" s="7" t="s">
        <v>70</v>
      </c>
      <c r="V2" s="7" t="s">
        <v>71</v>
      </c>
      <c r="W2" s="7" t="s">
        <v>72</v>
      </c>
      <c r="X2" s="7" t="s">
        <v>73</v>
      </c>
      <c r="Y2" s="7" t="s">
        <v>74</v>
      </c>
      <c r="Z2" s="7" t="s">
        <v>75</v>
      </c>
      <c r="AA2" s="7" t="s">
        <v>76</v>
      </c>
      <c r="AB2" s="7" t="s">
        <v>77</v>
      </c>
      <c r="AC2" s="7" t="s">
        <v>78</v>
      </c>
      <c r="AD2" s="7" t="s">
        <v>79</v>
      </c>
      <c r="AE2" s="7" t="s">
        <v>80</v>
      </c>
      <c r="AF2" s="7" t="s">
        <v>81</v>
      </c>
      <c r="AG2" s="7" t="s">
        <v>82</v>
      </c>
      <c r="AH2" s="7" t="s">
        <v>83</v>
      </c>
      <c r="AI2" s="7" t="s">
        <v>84</v>
      </c>
      <c r="AJ2" s="7" t="s">
        <v>85</v>
      </c>
      <c r="AK2" s="7" t="s">
        <v>86</v>
      </c>
      <c r="AL2" s="7" t="s">
        <v>87</v>
      </c>
      <c r="AM2" s="7" t="s">
        <v>88</v>
      </c>
      <c r="AN2" s="7" t="s">
        <v>89</v>
      </c>
      <c r="AO2" s="7" t="s">
        <v>90</v>
      </c>
      <c r="AP2" s="7" t="s">
        <v>91</v>
      </c>
      <c r="AQ2" s="7" t="s">
        <v>92</v>
      </c>
      <c r="AR2" s="7" t="s">
        <v>116</v>
      </c>
      <c r="AS2" s="7" t="s">
        <v>93</v>
      </c>
      <c r="AT2" s="7" t="s">
        <v>94</v>
      </c>
      <c r="AU2" s="7" t="s">
        <v>95</v>
      </c>
      <c r="AV2" s="7" t="s">
        <v>96</v>
      </c>
      <c r="AW2" s="7" t="s">
        <v>97</v>
      </c>
      <c r="AX2" s="7" t="s">
        <v>98</v>
      </c>
      <c r="AY2" s="7" t="s">
        <v>99</v>
      </c>
      <c r="AZ2" s="7" t="s">
        <v>100</v>
      </c>
    </row>
    <row r="3" spans="1:52" x14ac:dyDescent="0.2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8" t="s">
        <v>101</v>
      </c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8" t="s">
        <v>102</v>
      </c>
      <c r="AP3" s="8" t="s">
        <v>103</v>
      </c>
      <c r="AQ3" s="8" t="s">
        <v>104</v>
      </c>
      <c r="AR3" s="8" t="s">
        <v>105</v>
      </c>
      <c r="AS3" s="8" t="s">
        <v>106</v>
      </c>
      <c r="AT3" s="8" t="s">
        <v>107</v>
      </c>
      <c r="AU3" s="8" t="s">
        <v>108</v>
      </c>
      <c r="AV3" s="8" t="s">
        <v>109</v>
      </c>
      <c r="AW3" s="8" t="s">
        <v>110</v>
      </c>
      <c r="AX3" s="8" t="s">
        <v>111</v>
      </c>
      <c r="AY3" s="8" t="s">
        <v>112</v>
      </c>
      <c r="AZ3" s="8" t="s">
        <v>113</v>
      </c>
    </row>
    <row r="4" spans="1:52" x14ac:dyDescent="0.25">
      <c r="B4" s="9" t="s">
        <v>114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4">
        <f>SUM(Table1[ns1:EurofarNetAmountInUSD])</f>
        <v>0</v>
      </c>
      <c r="W4" s="14">
        <f>SUM(Table1[ns1:EurofarNetAmountInEUR])</f>
        <v>0</v>
      </c>
      <c r="X4" s="14">
        <f>SUM(Table1[ns1:EurofarNetAmountConvertToEUR])</f>
        <v>0</v>
      </c>
      <c r="Y4" s="14">
        <f>SUM(Table1[ns1:EurofarVATAmountInUSD])</f>
        <v>0</v>
      </c>
      <c r="Z4" s="14">
        <f>SUM(Table1[ns1:EurofarVATAmountInEUR])</f>
        <v>0</v>
      </c>
      <c r="AA4" s="14">
        <f>SUM(Table1[ns1:EurofarVATAmountConvertToEUR])</f>
        <v>0</v>
      </c>
      <c r="AB4" s="14">
        <f>SUM(Table1[ns1:EurofarTotalAmountConvertToEUR])</f>
        <v>0</v>
      </c>
      <c r="AC4" s="13"/>
      <c r="AD4" s="13"/>
      <c r="AE4" s="13"/>
      <c r="AF4" s="13"/>
      <c r="AG4" s="13"/>
      <c r="AH4" s="13"/>
      <c r="AI4" s="13"/>
      <c r="AJ4" s="14">
        <f>SUM(Table1[ns1:FactoryInvoiceAmount])</f>
        <v>0</v>
      </c>
      <c r="AK4" s="13"/>
      <c r="AL4" s="13"/>
      <c r="AM4" s="13"/>
      <c r="AN4" s="13"/>
      <c r="AO4" s="14">
        <f>SUM(Table1[ns1:FactoryInvoiceAmountConvertoToEUR])</f>
        <v>0</v>
      </c>
      <c r="AP4" s="14">
        <f>SUM(Table1[ns1:GrossMarginGoods])</f>
        <v>0</v>
      </c>
      <c r="AQ4" s="14"/>
      <c r="AR4" s="14"/>
      <c r="AS4" s="14">
        <f>SUM(Table1[ns1:CommissionAmount])</f>
        <v>0</v>
      </c>
      <c r="AT4" s="14">
        <f>SUM(Table1[ns1:SeaFreightAmount])</f>
        <v>0</v>
      </c>
      <c r="AU4" s="14">
        <f>SUM(Table1[ns1:TruckingAmount])</f>
        <v>0</v>
      </c>
      <c r="AV4" s="14">
        <f>SUM(Table1[ns1:DemurageAmount])</f>
        <v>0</v>
      </c>
      <c r="AW4" s="14">
        <f>SUM(Table1[ns1:ChargedClientAmount])</f>
        <v>0</v>
      </c>
      <c r="AX4" s="14">
        <f>SUM(Table1[ns1:TotalTransportCost])</f>
        <v>0</v>
      </c>
      <c r="AY4" s="14">
        <f>SUM(Table1[ns1:GrossMargin])</f>
        <v>0</v>
      </c>
      <c r="AZ4" s="14"/>
    </row>
    <row r="5" spans="1:52" x14ac:dyDescent="0.25">
      <c r="B5" s="9" t="s">
        <v>115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4">
        <f>SUBTOTAL(9,Table1[ns1:EurofarNetAmountInUSD])</f>
        <v>0</v>
      </c>
      <c r="W5" s="14">
        <f>SUBTOTAL(9,Table1[ns1:EurofarNetAmountInEUR])</f>
        <v>0</v>
      </c>
      <c r="X5" s="14">
        <f>SUBTOTAL(9,Table1[ns1:EurofarNetAmountConvertToEUR])</f>
        <v>0</v>
      </c>
      <c r="Y5" s="14">
        <f>SUBTOTAL(9,Table1[ns1:EurofarVATAmountInUSD])</f>
        <v>0</v>
      </c>
      <c r="Z5" s="14">
        <f>SUBTOTAL(9,Table1[ns1:EurofarVATAmountInEUR])</f>
        <v>0</v>
      </c>
      <c r="AA5" s="14">
        <f>SUBTOTAL(9,Table1[ns1:EurofarVATAmountConvertToEUR])</f>
        <v>0</v>
      </c>
      <c r="AB5" s="14">
        <f>SUBTOTAL(9,Table1[ns1:EurofarTotalAmountConvertToEUR])</f>
        <v>0</v>
      </c>
      <c r="AC5" s="13"/>
      <c r="AD5" s="13"/>
      <c r="AE5" s="13"/>
      <c r="AF5" s="13"/>
      <c r="AG5" s="13"/>
      <c r="AH5" s="13"/>
      <c r="AI5" s="13"/>
      <c r="AJ5" s="14">
        <f>SUBTOTAL(9,Table1[ns1:FactoryInvoiceAmount])</f>
        <v>0</v>
      </c>
      <c r="AK5" s="13"/>
      <c r="AL5" s="13"/>
      <c r="AM5" s="13"/>
      <c r="AN5" s="13"/>
      <c r="AO5" s="14">
        <f>SUBTOTAL(9,Table1[ns1:FactoryInvoiceAmountConvertoToEUR])</f>
        <v>0</v>
      </c>
      <c r="AP5" s="14">
        <f>SUBTOTAL(9,Table1[ns1:GrossMarginGoods])</f>
        <v>0</v>
      </c>
      <c r="AQ5" s="14"/>
      <c r="AR5" s="14"/>
      <c r="AS5" s="14">
        <f>SUBTOTAL(9,Table1[ns1:CommissionAmount])</f>
        <v>0</v>
      </c>
      <c r="AT5" s="14">
        <f>SUBTOTAL(9,Table1[ns1:SeaFreightAmount])</f>
        <v>0</v>
      </c>
      <c r="AU5" s="14">
        <f>SUBTOTAL(9,Table1[ns1:TruckingAmount])</f>
        <v>0</v>
      </c>
      <c r="AV5" s="14">
        <f>SUBTOTAL(9,Table1[ns1:DemurageAmount])</f>
        <v>0</v>
      </c>
      <c r="AW5" s="14">
        <f>SUBTOTAL(9,Table1[ns1:ChargedClientAmount])</f>
        <v>0</v>
      </c>
      <c r="AX5" s="14">
        <f>SUBTOTAL(9,Table1[ns1:TotalTransportCost])</f>
        <v>0</v>
      </c>
      <c r="AY5" s="14">
        <f>SUBTOTAL(9,Table1[ns1:GrossMargin])</f>
        <v>0</v>
      </c>
      <c r="AZ5" s="14"/>
    </row>
    <row r="6" spans="1:52" x14ac:dyDescent="0.25">
      <c r="A6" s="11" t="s">
        <v>117</v>
      </c>
      <c r="B6" s="10" t="s">
        <v>0</v>
      </c>
      <c r="C6" s="10" t="s">
        <v>1</v>
      </c>
      <c r="D6" s="10" t="s">
        <v>2</v>
      </c>
      <c r="E6" s="10" t="s">
        <v>3</v>
      </c>
      <c r="F6" s="10" t="s">
        <v>4</v>
      </c>
      <c r="G6" s="10" t="s">
        <v>5</v>
      </c>
      <c r="H6" s="10" t="s">
        <v>6</v>
      </c>
      <c r="I6" s="10" t="s">
        <v>7</v>
      </c>
      <c r="J6" s="10" t="s">
        <v>8</v>
      </c>
      <c r="K6" s="10" t="s">
        <v>9</v>
      </c>
      <c r="L6" s="10" t="s">
        <v>10</v>
      </c>
      <c r="M6" s="10" t="s">
        <v>11</v>
      </c>
      <c r="N6" s="10" t="s">
        <v>12</v>
      </c>
      <c r="O6" s="10" t="s">
        <v>13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22</v>
      </c>
      <c r="Y6" s="10" t="s">
        <v>23</v>
      </c>
      <c r="Z6" s="10" t="s">
        <v>24</v>
      </c>
      <c r="AA6" s="10" t="s">
        <v>25</v>
      </c>
      <c r="AB6" s="10" t="s">
        <v>26</v>
      </c>
      <c r="AC6" s="10" t="s">
        <v>27</v>
      </c>
      <c r="AD6" s="10" t="s">
        <v>28</v>
      </c>
      <c r="AE6" s="10" t="s">
        <v>29</v>
      </c>
      <c r="AF6" s="10" t="s">
        <v>30</v>
      </c>
      <c r="AG6" s="10" t="s">
        <v>31</v>
      </c>
      <c r="AH6" s="10" t="s">
        <v>32</v>
      </c>
      <c r="AI6" s="10" t="s">
        <v>33</v>
      </c>
      <c r="AJ6" s="10" t="s">
        <v>34</v>
      </c>
      <c r="AK6" s="10" t="s">
        <v>35</v>
      </c>
      <c r="AL6" s="10" t="s">
        <v>36</v>
      </c>
      <c r="AM6" s="10" t="s">
        <v>37</v>
      </c>
      <c r="AN6" s="10" t="s">
        <v>38</v>
      </c>
      <c r="AO6" s="10" t="s">
        <v>39</v>
      </c>
      <c r="AP6" s="10" t="s">
        <v>40</v>
      </c>
      <c r="AQ6" s="10" t="s">
        <v>41</v>
      </c>
      <c r="AR6" s="10" t="s">
        <v>42</v>
      </c>
      <c r="AS6" s="10" t="s">
        <v>43</v>
      </c>
      <c r="AT6" s="10" t="s">
        <v>44</v>
      </c>
      <c r="AU6" s="10" t="s">
        <v>45</v>
      </c>
      <c r="AV6" s="10" t="s">
        <v>46</v>
      </c>
      <c r="AW6" s="10" t="s">
        <v>47</v>
      </c>
      <c r="AX6" s="10" t="s">
        <v>48</v>
      </c>
      <c r="AY6" s="10" t="s">
        <v>49</v>
      </c>
      <c r="AZ6" s="10" t="s">
        <v>50</v>
      </c>
    </row>
    <row r="7" spans="1:52" x14ac:dyDescent="0.25">
      <c r="A7" s="12"/>
      <c r="B7" s="3"/>
      <c r="C7" s="3"/>
      <c r="D7" s="3"/>
      <c r="E7" s="3"/>
      <c r="F7" s="3"/>
      <c r="G7" s="3"/>
      <c r="H7" s="3"/>
      <c r="I7" s="5"/>
      <c r="J7" s="4"/>
      <c r="K7" s="4"/>
      <c r="L7" s="4"/>
      <c r="M7" s="3"/>
      <c r="N7" s="3"/>
      <c r="O7" s="3"/>
      <c r="P7" s="4"/>
      <c r="Q7" s="4"/>
      <c r="R7" s="4"/>
      <c r="S7" s="3"/>
      <c r="T7" s="3"/>
      <c r="U7" s="3"/>
      <c r="V7" s="4"/>
      <c r="W7" s="4"/>
      <c r="X7" s="4"/>
      <c r="Y7" s="4"/>
      <c r="Z7" s="4"/>
      <c r="AA7" s="4"/>
      <c r="AB7" s="4"/>
      <c r="AC7" s="3"/>
      <c r="AD7" s="3"/>
      <c r="AE7" s="3"/>
      <c r="AF7" s="3"/>
      <c r="AG7" s="3"/>
      <c r="AH7" s="3"/>
      <c r="AI7" s="3"/>
      <c r="AJ7" s="4"/>
      <c r="AK7" s="3"/>
      <c r="AL7" s="3"/>
      <c r="AM7" s="3"/>
      <c r="AN7" s="3"/>
      <c r="AO7" s="4"/>
      <c r="AP7" s="1">
        <f>Table1[ns1:EurofarNetAmountConvertToEUR]-Table1[ns1:FactoryInvoiceAmountConvertoToEUR]</f>
        <v>0</v>
      </c>
      <c r="AQ7" s="1" t="e">
        <f>(Table1[ns1:EurofarNetAmountConvertToEUR]-Table1[ns1:FactoryInvoiceAmountConvertoToEUR])/Table1[ns1:EurofarNetAmountConvertToEUR]</f>
        <v>#DIV/0!</v>
      </c>
      <c r="AR7" s="1"/>
      <c r="AS7" s="1">
        <f>Table1[ns1:EurofarNetAmountConvertToEUR]*Table1[ns1:CommissionPercent]</f>
        <v>0</v>
      </c>
      <c r="AT7" s="1"/>
      <c r="AU7" s="1"/>
      <c r="AV7" s="1"/>
      <c r="AW7" s="1"/>
      <c r="AX7" s="1">
        <f>Table1[ns1:SeaFreightAmount]+Table1[ns1:TruckingAmount]+Table1[ns1:DemurageAmount]-Table1[ns1:ChargedClientAmount]</f>
        <v>0</v>
      </c>
      <c r="AY7" s="1">
        <f>Table1[ns1:EurofarNetAmountConvertToEUR]-Table1[ns1:FactoryInvoiceAmountConvertoToEUR]-Table1[ns1:CommissionAmount]-Table1[ns1:TotalTransportCost]</f>
        <v>0</v>
      </c>
      <c r="AZ7" s="1" t="e">
        <f>Table1[ns1:GrossMargin]/Table1[ns1:EurofarNetAmountConvertToEUR]</f>
        <v>#DIV/0!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 Per Order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QUANG</cp:lastModifiedBy>
  <dcterms:created xsi:type="dcterms:W3CDTF">2017-02-20T09:40:57Z</dcterms:created>
  <dcterms:modified xsi:type="dcterms:W3CDTF">2017-02-23T08:29:16Z</dcterms:modified>
</cp:coreProperties>
</file>