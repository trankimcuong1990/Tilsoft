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SingleCells1.xml" ContentType="application/vnd.openxmlformats-officedocument.spreadsheetml.tableSingleCell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EPORTS\FactoryProformaInvoice\"/>
    </mc:Choice>
  </mc:AlternateContent>
  <bookViews>
    <workbookView xWindow="240" yWindow="15" windowWidth="15480" windowHeight="8130"/>
  </bookViews>
  <sheets>
    <sheet name="PI" sheetId="1" r:id="rId1"/>
    <sheet name="Detail" sheetId="2" state="hidden" r:id="rId2"/>
    <sheet name="Data" sheetId="3" state="hidden" r:id="rId3"/>
  </sheets>
  <functionGroups builtInGroupCount="18"/>
  <definedNames>
    <definedName name="_xlnm._FilterDatabase" localSheetId="0" hidden="1">PI!$A$22:$K$22</definedName>
  </definedNames>
  <calcPr calcId="152511"/>
</workbook>
</file>

<file path=xl/calcChain.xml><?xml version="1.0" encoding="utf-8"?>
<calcChain xmlns="http://schemas.openxmlformats.org/spreadsheetml/2006/main">
  <c r="I29" i="1" l="1"/>
  <c r="A23" i="1"/>
  <c r="B23" i="1"/>
  <c r="C23" i="1"/>
  <c r="D23" i="1"/>
  <c r="E23" i="1"/>
  <c r="F23" i="1"/>
  <c r="G23" i="1"/>
  <c r="G25" i="1" s="1"/>
  <c r="H23" i="1"/>
  <c r="H25" i="1" s="1"/>
  <c r="I23" i="1"/>
  <c r="K23" i="1"/>
  <c r="C26" i="1"/>
  <c r="J23" i="1" l="1"/>
  <c r="J25" i="1" s="1"/>
  <c r="C17" i="1"/>
  <c r="H18" i="1"/>
  <c r="H17" i="1"/>
  <c r="H16" i="1"/>
  <c r="H15" i="1"/>
  <c r="H14" i="1"/>
  <c r="A8" i="1"/>
  <c r="A7" i="1"/>
  <c r="A3" i="1"/>
  <c r="A2" i="1"/>
</calcChain>
</file>

<file path=xl/connections.xml><?xml version="1.0" encoding="utf-8"?>
<connections xmlns="http://schemas.openxmlformats.org/spreadsheetml/2006/main">
  <connection id="1" name="FactoryProformaInvoice" type="4" refreshedVersion="0" background="1">
    <webPr xml="1" sourceData="1" url="D:\REPORTS\FactoryProformaInvoice\blank.xml" htmlTables="1" htmlFormat="all"/>
  </connection>
  <connection id="2" name="tmp7C2F" type="4" refreshedVersion="0" background="1">
    <webPr xml="1" sourceData="1" url="D:\REPORTS\FactoryProformaInvoice\FactoryProformaInvoice.xml" htmlTables="1" htmlFormat="all"/>
  </connection>
</connections>
</file>

<file path=xl/sharedStrings.xml><?xml version="1.0" encoding="utf-8"?>
<sst xmlns="http://schemas.openxmlformats.org/spreadsheetml/2006/main" count="57" uniqueCount="57">
  <si>
    <t>ART. CODE</t>
  </si>
  <si>
    <t>ART. DESCRIPTION</t>
  </si>
  <si>
    <t>ORDER NO.</t>
  </si>
  <si>
    <t>CLIENT ID</t>
  </si>
  <si>
    <t>QTY IN CONT.</t>
  </si>
  <si>
    <t>QTY IN 40FT</t>
  </si>
  <si>
    <t>ORDER QTY</t>
  </si>
  <si>
    <t>AMOUNT                        USD</t>
  </si>
  <si>
    <t>ns1:FactoryOrderUD</t>
  </si>
  <si>
    <t>ns1:ClientUD</t>
  </si>
  <si>
    <t>ns1:ArticleCode</t>
  </si>
  <si>
    <t>ns1:Description</t>
  </si>
  <si>
    <t>ns1:QntIn40HC</t>
  </si>
  <si>
    <t>ns1:Quantity</t>
  </si>
  <si>
    <t>ns1:OrderQntIn40HC</t>
  </si>
  <si>
    <t>ns1:Price0</t>
  </si>
  <si>
    <t>ns1:LDS</t>
  </si>
  <si>
    <t>ns1:Amount</t>
  </si>
  <si>
    <t>AUTHORIZED SIGNATURE</t>
  </si>
  <si>
    <t>PROFORMA INVOICE</t>
  </si>
  <si>
    <t>UNIT PRICE
USD</t>
  </si>
  <si>
    <t>TOTAL</t>
  </si>
  <si>
    <t>ns1:FactoryOrderUD2</t>
  </si>
  <si>
    <t>NO.</t>
  </si>
  <si>
    <t>Say:</t>
  </si>
  <si>
    <t>DELIVERY
SCHEDULE</t>
  </si>
  <si>
    <t>TO:</t>
  </si>
  <si>
    <t>ATTN:</t>
  </si>
  <si>
    <t>Ship from:</t>
  </si>
  <si>
    <t>Payment by:</t>
  </si>
  <si>
    <t>Ship to:</t>
  </si>
  <si>
    <t>ANY EU PORTS AS PER BUYER'S OPTION</t>
  </si>
  <si>
    <t>Beneficiary:</t>
  </si>
  <si>
    <t>Delivery:</t>
  </si>
  <si>
    <t>TO BE ADVISED LATER</t>
  </si>
  <si>
    <t>Bank's name:</t>
  </si>
  <si>
    <t>Sale terms:</t>
  </si>
  <si>
    <t>Bank's address:</t>
  </si>
  <si>
    <t>Packing:</t>
  </si>
  <si>
    <t>AS PER EXPORT STANDARD PACKING</t>
  </si>
  <si>
    <t>Bank's A/C.:</t>
  </si>
  <si>
    <t>HO CHI MINH PORT</t>
  </si>
  <si>
    <t xml:space="preserve">                AUTHORIZED SIGNATURE</t>
  </si>
  <si>
    <t>EUROFAR INTERNATIONAL B.V.</t>
  </si>
  <si>
    <t>JULES VERNEWEG 9, 5015 BD  TILBURG,THE NETHERLANDS</t>
  </si>
  <si>
    <t xml:space="preserve">                 EUROFAR INTERNATIONAL B.V</t>
  </si>
  <si>
    <t>ns2:FactoryProformaInvoiceID</t>
  </si>
  <si>
    <t>ns2:ProformaInvoiceNo</t>
  </si>
  <si>
    <t>ns2:ClientUD</t>
  </si>
  <si>
    <t>ns2:ArticleCode</t>
  </si>
  <si>
    <t>ns2:Description</t>
  </si>
  <si>
    <t>ns2:Qnt40HC</t>
  </si>
  <si>
    <t>ns2:OrderQnt</t>
  </si>
  <si>
    <t>ns2:OrderQntIn40HC</t>
  </si>
  <si>
    <t>ns2:UnitPrice</t>
  </si>
  <si>
    <t>ns2:Amount</t>
  </si>
  <si>
    <t>ns2:LDS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</si>
</sst>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_-&quot;€&quot;\ * #,##0.00_-;_-&quot;€&quot;\ * #,##0.00\-;_-&quot;€&quot;\ * &quot;-&quot;??_-;_-@_-"/>
    <numFmt numFmtId="165" formatCode="_-* #,##0.00_-;_-* #,##0.00\-;_-* &quot;-&quot;??_-;_-@_-"/>
    <numFmt numFmtId="166" formatCode="_-* #,##0_-;\-* #,##0_-;_-* &quot;-&quot;??_-;_-@_-"/>
    <numFmt numFmtId="167" formatCode="dd/mm/yy;@"/>
    <numFmt numFmtId="168" formatCode="_-* #,##0\ _B_F_-;\-* #,##0\ _B_F_-;_-* &quot;-&quot;\ _B_F_-;_-@_-"/>
    <numFmt numFmtId="169" formatCode="_-* #,##0_-;\-* #,##0_-;_-* &quot;-&quot;_-;_-@_-"/>
    <numFmt numFmtId="170" formatCode="#,##0\ &quot;DM&quot;;\-#,##0\ &quot;DM&quot;"/>
    <numFmt numFmtId="171" formatCode="0.000%"/>
    <numFmt numFmtId="172" formatCode="&quot;￥&quot;#,##0;&quot;￥&quot;\-#,##0"/>
    <numFmt numFmtId="173" formatCode="00.000"/>
    <numFmt numFmtId="174" formatCode="_-&quot;F&quot;* #,##0_-;\-&quot;F&quot;* #,##0_-;_-&quot;F&quot;* &quot;-&quot;_-;_-@_-"/>
    <numFmt numFmtId="175" formatCode="#,##0\ &quot;F&quot;;[Red]\-#,##0\ &quot;F&quot;"/>
    <numFmt numFmtId="176" formatCode="_-&quot;F&quot;* #,##0.00_-;\-&quot;F&quot;* #,##0.00_-;_-&quot;F&quot;* &quot;-&quot;??_-;_-@_-"/>
    <numFmt numFmtId="177" formatCode="_([$$-409]* #,##0.00_);_([$$-409]* \(#,##0.00\);_([$$-409]* &quot;-&quot;??_);_(@_)"/>
    <numFmt numFmtId="178" formatCode="[$-409]d\-mmm\-yyyy;@"/>
    <numFmt numFmtId="179" formatCode="[$-1010000]d/m/yyyy;@"/>
    <numFmt numFmtId="180" formatCode="_-* #,##0_-;_-* #,##0\-;_-* &quot;-&quot;??_-;_-@_-"/>
    <numFmt numFmtId="181" formatCode="_-[$$-409]* #,##0.00_ ;_-[$$-409]* \-#,##0.00\ ;_-[$$-409]* &quot;-&quot;??_ ;_-@_ "/>
  </numFmts>
  <fonts count="3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2"/>
      <name val="新細明體"/>
      <charset val="136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1"/>
      <color indexed="8"/>
      <name val="Calibri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 Narrow"/>
      <family val="2"/>
    </font>
    <font>
      <b/>
      <sz val="8"/>
      <name val="Arial Narrow"/>
      <family val="2"/>
    </font>
    <font>
      <b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Arial Narrow"/>
      <family val="2"/>
    </font>
    <font>
      <sz val="10"/>
      <name val="Arial Narrow"/>
      <family val="2"/>
    </font>
    <font>
      <b/>
      <sz val="1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</borders>
  <cellStyleXfs count="30">
    <xf numFmtId="168" fontId="0" fillId="0" borderId="0" applyFill="0" applyBorder="0" applyAlignment="0" applyProtection="0"/>
    <xf numFmtId="165" fontId="14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4" fillId="0" borderId="0" applyNumberFormat="0" applyFont="0" applyFill="0" applyAlignment="0"/>
    <xf numFmtId="0" fontId="16" fillId="0" borderId="0"/>
    <xf numFmtId="168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>
      <alignment vertical="center"/>
    </xf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7" fillId="0" borderId="0"/>
    <xf numFmtId="17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11" fillId="0" borderId="0"/>
    <xf numFmtId="0" fontId="3" fillId="0" borderId="0" applyProtection="0"/>
    <xf numFmtId="169" fontId="8" fillId="0" borderId="0" applyFont="0" applyFill="0" applyBorder="0" applyAlignment="0" applyProtection="0"/>
    <xf numFmtId="40" fontId="9" fillId="0" borderId="0" applyFont="0" applyFill="0" applyBorder="0" applyAlignment="0" applyProtection="0"/>
    <xf numFmtId="174" fontId="8" fillId="0" borderId="0" applyFont="0" applyFill="0" applyBorder="0" applyAlignment="0" applyProtection="0"/>
    <xf numFmtId="175" fontId="9" fillId="0" borderId="0" applyFont="0" applyFill="0" applyBorder="0" applyAlignment="0" applyProtection="0"/>
    <xf numFmtId="176" fontId="8" fillId="0" borderId="0" applyFont="0" applyFill="0" applyBorder="0" applyAlignment="0" applyProtection="0"/>
  </cellStyleXfs>
  <cellXfs count="120">
    <xf numFmtId="0" fontId="0" fillId="0" borderId="0" xfId="0" applyNumberFormat="1"/>
    <xf numFmtId="0" fontId="17" fillId="0" borderId="0" xfId="0" applyNumberFormat="1" applyFont="1" applyAlignment="1">
      <alignment vertical="center"/>
    </xf>
    <xf numFmtId="167" fontId="17" fillId="0" borderId="0" xfId="0" applyNumberFormat="1" applyFont="1" applyAlignment="1">
      <alignment horizontal="center" vertical="center"/>
    </xf>
    <xf numFmtId="0" fontId="18" fillId="0" borderId="0" xfId="0" applyNumberFormat="1" applyFont="1" applyAlignment="1">
      <alignment vertical="center"/>
    </xf>
    <xf numFmtId="0" fontId="17" fillId="0" borderId="0" xfId="0" applyNumberFormat="1" applyFont="1" applyBorder="1" applyAlignment="1">
      <alignment vertical="center"/>
    </xf>
    <xf numFmtId="167" fontId="17" fillId="0" borderId="0" xfId="0" applyNumberFormat="1" applyFont="1" applyBorder="1" applyAlignment="1">
      <alignment horizontal="center" vertical="center"/>
    </xf>
    <xf numFmtId="0" fontId="18" fillId="0" borderId="0" xfId="0" applyNumberFormat="1" applyFont="1" applyBorder="1" applyAlignment="1">
      <alignment vertical="center"/>
    </xf>
    <xf numFmtId="14" fontId="17" fillId="0" borderId="0" xfId="0" applyNumberFormat="1" applyFont="1" applyAlignment="1">
      <alignment vertical="center"/>
    </xf>
    <xf numFmtId="168" fontId="17" fillId="0" borderId="0" xfId="0" applyNumberFormat="1" applyFont="1" applyBorder="1" applyAlignment="1">
      <alignment vertical="center" wrapText="1"/>
    </xf>
    <xf numFmtId="168" fontId="17" fillId="0" borderId="0" xfId="0" applyNumberFormat="1" applyFont="1" applyFill="1" applyBorder="1" applyAlignment="1">
      <alignment vertical="center" wrapText="1"/>
    </xf>
    <xf numFmtId="14" fontId="17" fillId="0" borderId="0" xfId="0" applyNumberFormat="1" applyFont="1" applyBorder="1" applyAlignment="1">
      <alignment vertical="center" wrapText="1"/>
    </xf>
    <xf numFmtId="166" fontId="20" fillId="0" borderId="0" xfId="1" applyNumberFormat="1" applyFont="1" applyFill="1" applyBorder="1" applyAlignment="1">
      <alignment vertical="center" wrapText="1"/>
    </xf>
    <xf numFmtId="166" fontId="19" fillId="0" borderId="0" xfId="1" applyNumberFormat="1" applyFont="1" applyBorder="1" applyAlignment="1">
      <alignment vertical="center" wrapText="1"/>
    </xf>
    <xf numFmtId="165" fontId="18" fillId="0" borderId="0" xfId="1" applyFont="1" applyBorder="1" applyAlignment="1">
      <alignment vertical="center" wrapText="1"/>
    </xf>
    <xf numFmtId="1" fontId="17" fillId="0" borderId="0" xfId="0" applyNumberFormat="1" applyFont="1" applyBorder="1" applyAlignment="1">
      <alignment horizontal="center" vertical="center" wrapText="1"/>
    </xf>
    <xf numFmtId="0" fontId="18" fillId="0" borderId="0" xfId="0" applyNumberFormat="1" applyFont="1" applyFill="1" applyBorder="1" applyAlignment="1">
      <alignment vertical="center" wrapText="1"/>
    </xf>
    <xf numFmtId="0" fontId="17" fillId="0" borderId="0" xfId="0" applyNumberFormat="1" applyFont="1" applyFill="1" applyBorder="1" applyAlignment="1">
      <alignment vertical="center"/>
    </xf>
    <xf numFmtId="14" fontId="17" fillId="0" borderId="0" xfId="0" applyNumberFormat="1" applyFont="1" applyBorder="1" applyAlignment="1">
      <alignment vertical="center"/>
    </xf>
    <xf numFmtId="0" fontId="21" fillId="0" borderId="0" xfId="0" applyNumberFormat="1" applyFont="1" applyAlignment="1">
      <alignment vertical="center"/>
    </xf>
    <xf numFmtId="168" fontId="25" fillId="0" borderId="0" xfId="0" applyFont="1" applyAlignment="1">
      <alignment vertical="center"/>
    </xf>
    <xf numFmtId="168" fontId="25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165" fontId="24" fillId="0" borderId="0" xfId="1" applyFont="1" applyBorder="1" applyAlignment="1">
      <alignment vertical="center"/>
    </xf>
    <xf numFmtId="0" fontId="24" fillId="0" borderId="0" xfId="0" applyNumberFormat="1" applyFont="1" applyBorder="1" applyAlignment="1">
      <alignment horizontal="center" vertical="center"/>
    </xf>
    <xf numFmtId="168" fontId="30" fillId="0" borderId="0" xfId="0" applyFont="1" applyAlignment="1">
      <alignment horizontal="right" vertical="center"/>
    </xf>
    <xf numFmtId="165" fontId="30" fillId="0" borderId="0" xfId="2" applyFont="1"/>
    <xf numFmtId="168" fontId="31" fillId="0" borderId="0" xfId="0" applyFont="1" applyAlignment="1">
      <alignment vertical="center"/>
    </xf>
    <xf numFmtId="165" fontId="31" fillId="0" borderId="0" xfId="2" applyFont="1" applyAlignment="1"/>
    <xf numFmtId="165" fontId="30" fillId="0" borderId="0" xfId="2" applyFont="1" applyAlignment="1">
      <alignment horizontal="right" vertical="center"/>
    </xf>
    <xf numFmtId="165" fontId="30" fillId="0" borderId="0" xfId="2" applyFont="1" applyAlignment="1"/>
    <xf numFmtId="0" fontId="0" fillId="0" borderId="0" xfId="0" applyNumberFormat="1" applyFont="1" applyBorder="1" applyAlignment="1">
      <alignment horizontal="center" vertical="center"/>
    </xf>
    <xf numFmtId="168" fontId="25" fillId="0" borderId="0" xfId="0" applyFont="1" applyBorder="1" applyAlignment="1">
      <alignment vertical="center"/>
    </xf>
    <xf numFmtId="165" fontId="25" fillId="0" borderId="0" xfId="2" applyFont="1" applyBorder="1"/>
    <xf numFmtId="0" fontId="21" fillId="0" borderId="6" xfId="0" applyNumberFormat="1" applyFont="1" applyBorder="1" applyAlignment="1">
      <alignment vertical="center"/>
    </xf>
    <xf numFmtId="0" fontId="21" fillId="0" borderId="9" xfId="0" applyNumberFormat="1" applyFont="1" applyBorder="1" applyAlignment="1">
      <alignment vertical="center"/>
    </xf>
    <xf numFmtId="0" fontId="17" fillId="0" borderId="9" xfId="0" applyNumberFormat="1" applyFont="1" applyBorder="1" applyAlignment="1">
      <alignment vertical="center"/>
    </xf>
    <xf numFmtId="0" fontId="17" fillId="0" borderId="5" xfId="0" applyNumberFormat="1" applyFont="1" applyBorder="1" applyAlignment="1">
      <alignment vertical="center"/>
    </xf>
    <xf numFmtId="165" fontId="26" fillId="0" borderId="2" xfId="2" applyFont="1" applyBorder="1" applyAlignment="1">
      <alignment horizontal="right" vertical="center"/>
    </xf>
    <xf numFmtId="165" fontId="25" fillId="0" borderId="2" xfId="2" applyFont="1" applyBorder="1"/>
    <xf numFmtId="168" fontId="25" fillId="0" borderId="2" xfId="0" applyFont="1" applyBorder="1" applyAlignment="1">
      <alignment vertical="center"/>
    </xf>
    <xf numFmtId="168" fontId="17" fillId="0" borderId="2" xfId="0" applyNumberFormat="1" applyFont="1" applyBorder="1" applyAlignment="1">
      <alignment vertical="center" wrapText="1"/>
    </xf>
    <xf numFmtId="0" fontId="17" fillId="0" borderId="2" xfId="0" applyNumberFormat="1" applyFont="1" applyBorder="1" applyAlignment="1">
      <alignment horizontal="center" vertical="center"/>
    </xf>
    <xf numFmtId="165" fontId="25" fillId="0" borderId="2" xfId="2" applyFont="1" applyBorder="1" applyAlignment="1">
      <alignment vertical="center"/>
    </xf>
    <xf numFmtId="14" fontId="17" fillId="0" borderId="4" xfId="0" applyNumberFormat="1" applyFont="1" applyBorder="1" applyAlignment="1">
      <alignment vertical="center"/>
    </xf>
    <xf numFmtId="0" fontId="33" fillId="0" borderId="0" xfId="0" applyNumberFormat="1" applyFont="1" applyBorder="1" applyAlignment="1">
      <alignment horizontal="center" vertical="center"/>
    </xf>
    <xf numFmtId="166" fontId="34" fillId="0" borderId="3" xfId="1" applyNumberFormat="1" applyFont="1" applyBorder="1" applyAlignment="1">
      <alignment horizontal="right" vertical="center"/>
    </xf>
    <xf numFmtId="0" fontId="29" fillId="0" borderId="3" xfId="0" applyNumberFormat="1" applyFont="1" applyFill="1" applyBorder="1" applyAlignment="1">
      <alignment horizontal="center" vertical="center" wrapText="1"/>
    </xf>
    <xf numFmtId="166" fontId="29" fillId="0" borderId="3" xfId="1" applyNumberFormat="1" applyFont="1" applyFill="1" applyBorder="1" applyAlignment="1">
      <alignment horizontal="center" vertical="center" wrapText="1"/>
    </xf>
    <xf numFmtId="165" fontId="29" fillId="0" borderId="3" xfId="1" applyFont="1" applyFill="1" applyBorder="1" applyAlignment="1">
      <alignment horizontal="center" vertical="center" wrapText="1"/>
    </xf>
    <xf numFmtId="167" fontId="29" fillId="0" borderId="3" xfId="0" applyNumberFormat="1" applyFont="1" applyFill="1" applyBorder="1" applyAlignment="1">
      <alignment horizontal="center" vertical="center" wrapText="1"/>
    </xf>
    <xf numFmtId="14" fontId="29" fillId="0" borderId="3" xfId="0" applyNumberFormat="1" applyFont="1" applyFill="1" applyBorder="1" applyAlignment="1">
      <alignment horizontal="center" vertical="center" wrapText="1"/>
    </xf>
    <xf numFmtId="168" fontId="35" fillId="0" borderId="0" xfId="0" applyNumberFormat="1" applyFont="1" applyFill="1" applyBorder="1" applyAlignment="1">
      <alignment vertical="center" wrapText="1"/>
    </xf>
    <xf numFmtId="168" fontId="35" fillId="0" borderId="0" xfId="0" applyNumberFormat="1" applyFont="1" applyBorder="1" applyAlignment="1">
      <alignment vertical="center" wrapText="1"/>
    </xf>
    <xf numFmtId="166" fontId="36" fillId="0" borderId="0" xfId="1" applyNumberFormat="1" applyFont="1" applyFill="1" applyBorder="1" applyAlignment="1">
      <alignment vertical="center" wrapText="1"/>
    </xf>
    <xf numFmtId="166" fontId="29" fillId="0" borderId="0" xfId="1" applyNumberFormat="1" applyFont="1" applyBorder="1" applyAlignment="1">
      <alignment vertical="center" wrapText="1"/>
    </xf>
    <xf numFmtId="165" fontId="37" fillId="0" borderId="0" xfId="1" applyFont="1" applyBorder="1" applyAlignment="1">
      <alignment vertical="center" wrapText="1"/>
    </xf>
    <xf numFmtId="1" fontId="35" fillId="0" borderId="0" xfId="0" applyNumberFormat="1" applyFont="1" applyBorder="1" applyAlignment="1">
      <alignment horizontal="center" vertical="center" wrapText="1"/>
    </xf>
    <xf numFmtId="0" fontId="37" fillId="0" borderId="0" xfId="0" applyNumberFormat="1" applyFont="1" applyFill="1" applyBorder="1" applyAlignment="1">
      <alignment vertical="center" wrapText="1"/>
    </xf>
    <xf numFmtId="14" fontId="35" fillId="0" borderId="0" xfId="0" applyNumberFormat="1" applyFont="1" applyBorder="1" applyAlignment="1">
      <alignment vertical="center" wrapText="1"/>
    </xf>
    <xf numFmtId="168" fontId="30" fillId="0" borderId="0" xfId="0" applyFont="1" applyAlignment="1">
      <alignment vertical="center"/>
    </xf>
    <xf numFmtId="168" fontId="30" fillId="0" borderId="0" xfId="0" applyFont="1" applyAlignment="1">
      <alignment horizontal="center" vertical="center"/>
    </xf>
    <xf numFmtId="166" fontId="34" fillId="0" borderId="3" xfId="1" applyNumberFormat="1" applyFont="1" applyFill="1" applyBorder="1" applyAlignment="1">
      <alignment horizontal="right" vertical="center"/>
    </xf>
    <xf numFmtId="165" fontId="34" fillId="0" borderId="3" xfId="1" applyFont="1" applyBorder="1" applyAlignment="1">
      <alignment horizontal="right" vertical="center"/>
    </xf>
    <xf numFmtId="177" fontId="34" fillId="0" borderId="3" xfId="3" applyNumberFormat="1" applyFont="1" applyBorder="1" applyAlignment="1">
      <alignment horizontal="right" vertical="center"/>
    </xf>
    <xf numFmtId="177" fontId="34" fillId="0" borderId="3" xfId="3" applyNumberFormat="1" applyFont="1" applyFill="1" applyBorder="1" applyAlignment="1">
      <alignment horizontal="right" vertical="center"/>
    </xf>
    <xf numFmtId="178" fontId="34" fillId="0" borderId="3" xfId="0" applyNumberFormat="1" applyFont="1" applyBorder="1" applyAlignment="1">
      <alignment horizontal="center" vertical="center"/>
    </xf>
    <xf numFmtId="165" fontId="30" fillId="0" borderId="7" xfId="2" applyFont="1" applyBorder="1" applyAlignment="1">
      <alignment horizontal="left" vertical="center"/>
    </xf>
    <xf numFmtId="165" fontId="31" fillId="0" borderId="7" xfId="2" applyFont="1" applyFill="1" applyBorder="1" applyAlignment="1"/>
    <xf numFmtId="168" fontId="31" fillId="0" borderId="7" xfId="0" applyFont="1" applyFill="1" applyBorder="1" applyAlignment="1">
      <alignment vertical="center"/>
    </xf>
    <xf numFmtId="168" fontId="35" fillId="0" borderId="7" xfId="0" applyNumberFormat="1" applyFont="1" applyBorder="1" applyAlignment="1">
      <alignment vertical="center" wrapText="1"/>
    </xf>
    <xf numFmtId="0" fontId="35" fillId="0" borderId="7" xfId="0" applyNumberFormat="1" applyFont="1" applyBorder="1" applyAlignment="1">
      <alignment vertical="center"/>
    </xf>
    <xf numFmtId="167" fontId="35" fillId="0" borderId="7" xfId="0" applyNumberFormat="1" applyFont="1" applyBorder="1" applyAlignment="1">
      <alignment horizontal="center" vertical="center"/>
    </xf>
    <xf numFmtId="0" fontId="28" fillId="0" borderId="7" xfId="0" applyNumberFormat="1" applyFont="1" applyFill="1" applyBorder="1" applyAlignment="1">
      <alignment horizontal="center" vertical="center"/>
    </xf>
    <xf numFmtId="165" fontId="28" fillId="0" borderId="8" xfId="1" applyFont="1" applyBorder="1" applyAlignment="1">
      <alignment vertical="center"/>
    </xf>
    <xf numFmtId="165" fontId="30" fillId="0" borderId="0" xfId="2" applyFont="1" applyBorder="1" applyAlignment="1">
      <alignment horizontal="left" vertical="center"/>
    </xf>
    <xf numFmtId="165" fontId="31" fillId="0" borderId="0" xfId="2" applyFont="1" applyBorder="1" applyAlignment="1"/>
    <xf numFmtId="168" fontId="31" fillId="0" borderId="0" xfId="0" applyFont="1" applyFill="1" applyBorder="1" applyAlignment="1">
      <alignment vertical="center"/>
    </xf>
    <xf numFmtId="0" fontId="35" fillId="0" borderId="0" xfId="0" applyNumberFormat="1" applyFont="1" applyAlignment="1">
      <alignment vertical="center"/>
    </xf>
    <xf numFmtId="167" fontId="35" fillId="0" borderId="0" xfId="0" applyNumberFormat="1" applyFont="1" applyAlignment="1">
      <alignment horizontal="center" vertical="center"/>
    </xf>
    <xf numFmtId="0" fontId="28" fillId="0" borderId="0" xfId="0" applyNumberFormat="1" applyFont="1" applyFill="1" applyBorder="1" applyAlignment="1">
      <alignment horizontal="center" vertical="center"/>
    </xf>
    <xf numFmtId="165" fontId="28" fillId="0" borderId="10" xfId="1" applyFont="1" applyBorder="1" applyAlignment="1">
      <alignment vertical="center"/>
    </xf>
    <xf numFmtId="0" fontId="38" fillId="0" borderId="0" xfId="0" applyNumberFormat="1" applyFont="1" applyFill="1"/>
    <xf numFmtId="165" fontId="31" fillId="0" borderId="0" xfId="2" applyFont="1" applyBorder="1"/>
    <xf numFmtId="168" fontId="31" fillId="0" borderId="0" xfId="0" applyFont="1" applyBorder="1" applyAlignment="1">
      <alignment vertical="center"/>
    </xf>
    <xf numFmtId="0" fontId="35" fillId="0" borderId="0" xfId="0" applyNumberFormat="1" applyFont="1" applyFill="1" applyBorder="1" applyAlignment="1">
      <alignment horizontal="center" vertical="center"/>
    </xf>
    <xf numFmtId="14" fontId="35" fillId="0" borderId="10" xfId="0" applyNumberFormat="1" applyFont="1" applyBorder="1" applyAlignment="1">
      <alignment vertical="center"/>
    </xf>
    <xf numFmtId="165" fontId="30" fillId="0" borderId="0" xfId="2" applyFont="1" applyBorder="1" applyAlignment="1">
      <alignment horizontal="right" vertical="center"/>
    </xf>
    <xf numFmtId="49" fontId="0" fillId="0" borderId="0" xfId="0" applyNumberFormat="1"/>
    <xf numFmtId="14" fontId="0" fillId="0" borderId="0" xfId="0" applyNumberFormat="1"/>
    <xf numFmtId="168" fontId="22" fillId="0" borderId="3" xfId="0" applyNumberFormat="1" applyFont="1" applyFill="1" applyBorder="1" applyAlignment="1">
      <alignment vertical="center"/>
    </xf>
    <xf numFmtId="168" fontId="22" fillId="0" borderId="3" xfId="0" applyNumberFormat="1" applyFont="1" applyBorder="1" applyAlignment="1">
      <alignment vertical="center"/>
    </xf>
    <xf numFmtId="166" fontId="22" fillId="0" borderId="3" xfId="1" applyNumberFormat="1" applyFont="1" applyFill="1" applyBorder="1" applyAlignment="1">
      <alignment vertical="center"/>
    </xf>
    <xf numFmtId="166" fontId="23" fillId="0" borderId="3" xfId="1" applyNumberFormat="1" applyFont="1" applyBorder="1" applyAlignment="1">
      <alignment vertical="center"/>
    </xf>
    <xf numFmtId="165" fontId="22" fillId="0" borderId="3" xfId="1" applyFont="1" applyBorder="1" applyAlignment="1">
      <alignment vertical="center"/>
    </xf>
    <xf numFmtId="1" fontId="22" fillId="0" borderId="3" xfId="0" applyNumberFormat="1" applyFont="1" applyBorder="1" applyAlignment="1">
      <alignment horizontal="center" vertical="center"/>
    </xf>
    <xf numFmtId="0" fontId="22" fillId="0" borderId="3" xfId="0" applyNumberFormat="1" applyFont="1" applyFill="1" applyBorder="1" applyAlignment="1">
      <alignment vertical="center"/>
    </xf>
    <xf numFmtId="14" fontId="22" fillId="0" borderId="3" xfId="0" applyNumberFormat="1" applyFont="1" applyBorder="1" applyAlignment="1">
      <alignment vertical="center"/>
    </xf>
    <xf numFmtId="0" fontId="0" fillId="0" borderId="3" xfId="0" applyNumberFormat="1" applyBorder="1" applyAlignment="1">
      <alignment horizontal="center" vertical="center"/>
    </xf>
    <xf numFmtId="0" fontId="31" fillId="0" borderId="7" xfId="2" applyNumberFormat="1" applyFont="1" applyFill="1" applyBorder="1" applyAlignment="1">
      <alignment vertical="center"/>
    </xf>
    <xf numFmtId="0" fontId="31" fillId="0" borderId="0" xfId="2" applyNumberFormat="1" applyFont="1" applyFill="1" applyBorder="1" applyAlignment="1">
      <alignment vertical="center"/>
    </xf>
    <xf numFmtId="0" fontId="31" fillId="0" borderId="0" xfId="2" applyNumberFormat="1" applyFont="1" applyBorder="1"/>
    <xf numFmtId="49" fontId="0" fillId="0" borderId="3" xfId="0" applyNumberFormat="1" applyBorder="1" applyAlignment="1">
      <alignment vertical="center"/>
    </xf>
    <xf numFmtId="179" fontId="0" fillId="0" borderId="3" xfId="0" applyNumberFormat="1" applyBorder="1" applyAlignment="1">
      <alignment horizontal="center" vertical="center"/>
    </xf>
    <xf numFmtId="165" fontId="0" fillId="0" borderId="3" xfId="1" applyFont="1" applyBorder="1" applyAlignment="1">
      <alignment vertical="center"/>
    </xf>
    <xf numFmtId="180" fontId="0" fillId="0" borderId="3" xfId="1" applyNumberFormat="1" applyFont="1" applyBorder="1" applyAlignment="1">
      <alignment vertical="center"/>
    </xf>
    <xf numFmtId="181" fontId="0" fillId="0" borderId="3" xfId="0" applyNumberFormat="1" applyBorder="1" applyAlignment="1">
      <alignment vertical="center"/>
    </xf>
    <xf numFmtId="49" fontId="0" fillId="0" borderId="3" xfId="0" applyNumberFormat="1" applyBorder="1" applyAlignment="1">
      <alignment horizontal="left" vertical="center"/>
    </xf>
    <xf numFmtId="49" fontId="32" fillId="0" borderId="0" xfId="0" applyNumberFormat="1" applyFont="1" applyAlignment="1">
      <alignment horizontal="center" vertical="center"/>
    </xf>
    <xf numFmtId="0" fontId="32" fillId="0" borderId="0" xfId="0" applyNumberFormat="1" applyFont="1" applyAlignment="1">
      <alignment horizontal="center" vertical="center"/>
    </xf>
    <xf numFmtId="0" fontId="35" fillId="0" borderId="11" xfId="0" applyNumberFormat="1" applyFont="1" applyBorder="1" applyAlignment="1">
      <alignment horizontal="center" vertical="center"/>
    </xf>
    <xf numFmtId="168" fontId="24" fillId="0" borderId="0" xfId="0" applyNumberFormat="1" applyFont="1" applyFill="1" applyBorder="1" applyAlignment="1">
      <alignment horizontal="center" vertical="center"/>
    </xf>
    <xf numFmtId="168" fontId="30" fillId="0" borderId="0" xfId="0" applyFont="1" applyAlignment="1">
      <alignment horizontal="center" vertical="center"/>
    </xf>
    <xf numFmtId="0" fontId="27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34" fillId="0" borderId="3" xfId="0" applyNumberFormat="1" applyFont="1" applyFill="1" applyBorder="1" applyAlignment="1">
      <alignment horizontal="center" vertical="center"/>
    </xf>
    <xf numFmtId="49" fontId="34" fillId="0" borderId="5" xfId="0" applyNumberFormat="1" applyFont="1" applyFill="1" applyBorder="1" applyAlignment="1">
      <alignment horizontal="center" vertical="center"/>
    </xf>
    <xf numFmtId="49" fontId="34" fillId="0" borderId="2" xfId="0" applyNumberFormat="1" applyFont="1" applyFill="1" applyBorder="1" applyAlignment="1">
      <alignment horizontal="center" vertical="center"/>
    </xf>
    <xf numFmtId="0" fontId="24" fillId="0" borderId="2" xfId="0" applyNumberFormat="1" applyFont="1" applyBorder="1" applyAlignment="1">
      <alignment horizontal="left" vertical="center" wrapText="1"/>
    </xf>
    <xf numFmtId="0" fontId="24" fillId="0" borderId="4" xfId="0" applyNumberFormat="1" applyFont="1" applyBorder="1" applyAlignment="1">
      <alignment horizontal="left" vertical="center" wrapText="1"/>
    </xf>
  </cellXfs>
  <cellStyles count="30">
    <cellStyle name="Comma" xfId="1" builtinId="3"/>
    <cellStyle name="Comma 2" xfId="2"/>
    <cellStyle name="Currency" xfId="3" builtinId="4"/>
    <cellStyle name="Header1" xfId="4"/>
    <cellStyle name="Header2" xfId="5"/>
    <cellStyle name="n" xfId="6"/>
    <cellStyle name="Normal" xfId="0" builtinId="0"/>
    <cellStyle name="Standaard 3" xfId="7"/>
    <cellStyle name="Standaard_STANDAARD LAY-OUT SAMPLES 2009" xfId="8"/>
    <cellStyle name="Stijl 1" xfId="9"/>
    <cellStyle name=" [0.00]_ Att. 1- Cover" xfId="10"/>
    <cellStyle name="_ Att. 1- Cover" xfId="11"/>
    <cellStyle name="?_ Att. 1- Cover" xfId="12"/>
    <cellStyle name="똿뗦먛귟 [0.00]_PRODUCT DETAIL Q1" xfId="13"/>
    <cellStyle name="똿뗦먛귟_PRODUCT DETAIL Q1" xfId="14"/>
    <cellStyle name="믅됞 [0.00]_PRODUCT DETAIL Q1" xfId="15"/>
    <cellStyle name="믅됞_PRODUCT DETAIL Q1" xfId="16"/>
    <cellStyle name="백분율_95" xfId="17"/>
    <cellStyle name="뷭?_BOOKSHIP" xfId="18"/>
    <cellStyle name="콤마 [0]_1202" xfId="19"/>
    <cellStyle name="콤마_1202" xfId="20"/>
    <cellStyle name="통화 [0]_1202" xfId="21"/>
    <cellStyle name="통화_1202" xfId="22"/>
    <cellStyle name="표준_(정보부문)월별인원계획" xfId="23"/>
    <cellStyle name="一般_99Q3647-ALL-CAS2" xfId="24"/>
    <cellStyle name="千分位[0]_Book1" xfId="25"/>
    <cellStyle name="千分位_99Q3647-ALL-CAS2" xfId="26"/>
    <cellStyle name="貨幣 [0]_Book1" xfId="27"/>
    <cellStyle name="貨幣[0]_BRE" xfId="28"/>
    <cellStyle name="貨幣_Book1" xfId="29"/>
  </cellStyles>
  <dxfs count="1"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FactoryProformaInvoice2Mng_FactoryProformaInvoiceDetailPrintVersion_View" minOccurs="0" maxOccurs="unbounded">
              <xs:complexType>
                <xs:sequence>
                  <xs:element name="FactoryProformaInvoiceID" type="xs:int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OrderQnt" type="xs:int" minOccurs="0"/>
                  <xs:element name="OrderQntIn40HC" type="xs:decimal" minOccurs="0"/>
                  <xs:element name="UnitPrice" type="xs:decimal" minOccurs="0"/>
                  <xs:element name="Amount" type="xs:decimal" minOccurs="0"/>
                  <xs:element name="LDS" type="xs:date"/>
                </xs:sequence>
              </xs:complexType>
            </xs:element>
            <xs:element name="FactoryProformaInvoice2Mng_FactoryProformaInvoicePrintVersion_View">
              <xs:complexType>
                <xs:sequence>
                  <xs:element name="FactoryProformaInvoiceID" type="xs:int"/>
                  <xs:element name="ProformaInvoiceNo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InvoiceDate" type="xs:date"/>
                  <xs:element name="Suppli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hortAddress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nkBeneficiary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ank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ankAddress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BankAccoun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nkSwiftCod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</xs:sequence>
        </xs:complexType>
        <xs:unique name="Constraint1" msdata:PrimaryKey="true">
          <xs:selector xpath=".//mstns:FactoryProformaInvoice2Mng_FactoryProformaInvoicePrintVersion_View"/>
          <xs:field xpath="mstns:FactoryProformaInvoiceID"/>
        </xs:unique>
      </xs:element>
    </xs:schema>
  </Schema>
  <Map ID="4" Name="ReportDataObject_Map" RootElement="ReportDataObject" SchemaID="Schema2" ShowImportExportValidationErrors="false" AutoFit="fals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3" name="Table13" displayName="Table13" ref="A1:K2" tableType="xml" insertRow="1" totalsRowShown="0" headerRowDxfId="0" connectionId="1">
  <autoFilter ref="A1:K2"/>
  <tableColumns count="11">
    <tableColumn id="1" uniqueName="ns2:FactoryProformaInvoiceID" name="ns2:FactoryProformaInvoiceID">
      <xmlColumnPr mapId="4" xpath="/ns2:ReportDataObject/ns2:FactoryProformaInvoice2Mng_FactoryProformaInvoiceDetailPrintVersion_View/ns2:FactoryProformaInvoiceID" xmlDataType="int"/>
    </tableColumn>
    <tableColumn id="2" uniqueName="ns2:ProformaInvoiceNo" name="ns2:ProformaInvoiceNo">
      <xmlColumnPr mapId="4" xpath="/ns2:ReportDataObject/ns2:FactoryProformaInvoice2Mng_FactoryProformaInvoiceDetailPrintVersion_View/ns2:ProformaInvoiceNo" xmlDataType="string"/>
    </tableColumn>
    <tableColumn id="3" uniqueName="ns2:ClientUD" name="ns2:ClientUD">
      <xmlColumnPr mapId="4" xpath="/ns2:ReportDataObject/ns2:FactoryProformaInvoice2Mng_FactoryProformaInvoiceDetailPrintVersion_View/ns2:ClientUD" xmlDataType="string"/>
    </tableColumn>
    <tableColumn id="4" uniqueName="ns2:ArticleCode" name="ns2:ArticleCode">
      <xmlColumnPr mapId="4" xpath="/ns2:ReportDataObject/ns2:FactoryProformaInvoice2Mng_FactoryProformaInvoiceDetailPrintVersion_View/ns2:ArticleCode" xmlDataType="string"/>
    </tableColumn>
    <tableColumn id="5" uniqueName="ns2:Description" name="ns2:Description">
      <xmlColumnPr mapId="4" xpath="/ns2:ReportDataObject/ns2:FactoryProformaInvoice2Mng_FactoryProformaInvoiceDetailPrintVersion_View/ns2:Description" xmlDataType="string"/>
    </tableColumn>
    <tableColumn id="6" uniqueName="ns2:Qnt40HC" name="ns2:Qnt40HC">
      <xmlColumnPr mapId="4" xpath="/ns2:ReportDataObject/ns2:FactoryProformaInvoice2Mng_FactoryProformaInvoiceDetailPrintVersion_View/ns2:Qnt40HC" xmlDataType="int"/>
    </tableColumn>
    <tableColumn id="7" uniqueName="ns2:OrderQnt" name="ns2:OrderQnt">
      <xmlColumnPr mapId="4" xpath="/ns2:ReportDataObject/ns2:FactoryProformaInvoice2Mng_FactoryProformaInvoiceDetailPrintVersion_View/ns2:OrderQnt" xmlDataType="int"/>
    </tableColumn>
    <tableColumn id="8" uniqueName="ns2:OrderQntIn40HC" name="ns2:OrderQntIn40HC">
      <xmlColumnPr mapId="4" xpath="/ns2:ReportDataObject/ns2:FactoryProformaInvoice2Mng_FactoryProformaInvoiceDetailPrintVersion_View/ns2:OrderQntIn40HC" xmlDataType="decimal"/>
    </tableColumn>
    <tableColumn id="9" uniqueName="ns2:UnitPrice" name="ns2:UnitPrice">
      <xmlColumnPr mapId="4" xpath="/ns2:ReportDataObject/ns2:FactoryProformaInvoice2Mng_FactoryProformaInvoiceDetailPrintVersion_View/ns2:UnitPrice" xmlDataType="decimal"/>
    </tableColumn>
    <tableColumn id="10" uniqueName="ns2:Amount" name="ns2:Amount">
      <xmlColumnPr mapId="4" xpath="/ns2:ReportDataObject/ns2:FactoryProformaInvoice2Mng_FactoryProformaInvoiceDetailPrintVersion_View/ns2:Amount" xmlDataType="decimal"/>
    </tableColumn>
    <tableColumn id="11" uniqueName="ns2:LDS" name="ns2:LDS">
      <xmlColumnPr mapId="4" xpath="/ns2:ReportDataObject/ns2:FactoryProformaInvoice2Mng_FactoryProformaInvoiceDetailPrintVersion_View/ns2:LDS" xmlDataType="date"/>
    </tableColumn>
  </tableColumns>
  <tableStyleInfo name="TableStyleMedium9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4" r="A1" connectionId="1">
    <xmlCellPr id="1" uniqueName="ns2:FactoryProformaInvoiceID">
      <xmlPr mapId="4" xpath="/ns2:ReportDataObject/ns2:FactoryProformaInvoice2Mng_FactoryProformaInvoicePrintVersion_View/ns2:FactoryProformaInvoiceID" xmlDataType="int"/>
    </xmlCellPr>
  </singleXmlCell>
  <singleXmlCell id="25" r="B1" connectionId="1">
    <xmlCellPr id="1" uniqueName="ns2:ProformaInvoiceNo">
      <xmlPr mapId="4" xpath="/ns2:ReportDataObject/ns2:FactoryProformaInvoice2Mng_FactoryProformaInvoicePrintVersion_View/ns2:ProformaInvoiceNo" xmlDataType="string"/>
    </xmlCellPr>
  </singleXmlCell>
  <singleXmlCell id="26" r="C1" connectionId="1">
    <xmlCellPr id="1" uniqueName="ns2:InvoiceDate">
      <xmlPr mapId="4" xpath="/ns2:ReportDataObject/ns2:FactoryProformaInvoice2Mng_FactoryProformaInvoicePrintVersion_View/ns2:InvoiceDate" xmlDataType="date"/>
    </xmlCellPr>
  </singleXmlCell>
  <singleXmlCell id="27" r="D1" connectionId="1">
    <xmlCellPr id="1" uniqueName="ns2:SupplierNM">
      <xmlPr mapId="4" xpath="/ns2:ReportDataObject/ns2:FactoryProformaInvoice2Mng_FactoryProformaInvoicePrintVersion_View/ns2:SupplierNM" xmlDataType="string"/>
    </xmlCellPr>
  </singleXmlCell>
  <singleXmlCell id="28" r="E1" connectionId="1">
    <xmlCellPr id="1" uniqueName="ns2:ShortAddress">
      <xmlPr mapId="4" xpath="/ns2:ReportDataObject/ns2:FactoryProformaInvoice2Mng_FactoryProformaInvoicePrintVersion_View/ns2:ShortAddress" xmlDataType="string"/>
    </xmlCellPr>
  </singleXmlCell>
  <singleXmlCell id="29" r="F1" connectionId="1">
    <xmlCellPr id="1" uniqueName="ns2:DeliveryTermNM">
      <xmlPr mapId="4" xpath="/ns2:ReportDataObject/ns2:FactoryProformaInvoice2Mng_FactoryProformaInvoicePrintVersion_View/ns2:DeliveryTermNM" xmlDataType="string"/>
    </xmlCellPr>
  </singleXmlCell>
  <singleXmlCell id="30" r="G1" connectionId="1">
    <xmlCellPr id="1" uniqueName="ns2:PaymentTermNM">
      <xmlPr mapId="4" xpath="/ns2:ReportDataObject/ns2:FactoryProformaInvoice2Mng_FactoryProformaInvoicePrintVersion_View/ns2:PaymentTermNM" xmlDataType="string"/>
    </xmlCellPr>
  </singleXmlCell>
  <singleXmlCell id="31" r="H1" connectionId="1">
    <xmlCellPr id="1" uniqueName="ns2:BankBeneficiary">
      <xmlPr mapId="4" xpath="/ns2:ReportDataObject/ns2:FactoryProformaInvoice2Mng_FactoryProformaInvoicePrintVersion_View/ns2:BankBeneficiary" xmlDataType="string"/>
    </xmlCellPr>
  </singleXmlCell>
  <singleXmlCell id="32" r="I1" connectionId="1">
    <xmlCellPr id="1" uniqueName="ns2:BankName">
      <xmlPr mapId="4" xpath="/ns2:ReportDataObject/ns2:FactoryProformaInvoice2Mng_FactoryProformaInvoicePrintVersion_View/ns2:BankName" xmlDataType="string"/>
    </xmlCellPr>
  </singleXmlCell>
  <singleXmlCell id="33" r="J1" connectionId="1">
    <xmlCellPr id="1" uniqueName="ns2:BankAddress">
      <xmlPr mapId="4" xpath="/ns2:ReportDataObject/ns2:FactoryProformaInvoice2Mng_FactoryProformaInvoicePrintVersion_View/ns2:BankAddress" xmlDataType="string"/>
    </xmlCellPr>
  </singleXmlCell>
  <singleXmlCell id="34" r="K1" connectionId="1">
    <xmlCellPr id="1" uniqueName="ns2:BankAccountNo">
      <xmlPr mapId="4" xpath="/ns2:ReportDataObject/ns2:FactoryProformaInvoice2Mng_FactoryProformaInvoicePrintVersion_View/ns2:BankAccountNo" xmlDataType="string"/>
    </xmlCellPr>
  </singleXmlCell>
  <singleXmlCell id="35" r="L1" connectionId="1">
    <xmlCellPr id="1" uniqueName="ns2:BankSwiftCode">
      <xmlPr mapId="4" xpath="/ns2:ReportDataObject/ns2:FactoryProformaInvoice2Mng_FactoryProformaInvoicePrintVersion_View/ns2:BankSwiftCode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SingleCells" Target="../tables/tableSingleCell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P812"/>
  <sheetViews>
    <sheetView tabSelected="1" workbookViewId="0"/>
  </sheetViews>
  <sheetFormatPr defaultRowHeight="11.25"/>
  <cols>
    <col min="1" max="1" width="7.7109375" style="1" customWidth="1"/>
    <col min="2" max="2" width="9.5703125" style="1" customWidth="1"/>
    <col min="3" max="3" width="7.7109375" style="1" customWidth="1"/>
    <col min="4" max="4" width="28.85546875" style="1" customWidth="1"/>
    <col min="5" max="5" width="53.7109375" style="1" customWidth="1"/>
    <col min="6" max="6" width="8.28515625" style="1" customWidth="1"/>
    <col min="7" max="7" width="7.42578125" style="1" customWidth="1"/>
    <col min="8" max="8" width="9.5703125" style="1" customWidth="1"/>
    <col min="9" max="9" width="11.42578125" style="2" customWidth="1"/>
    <col min="10" max="10" width="14.140625" style="3" customWidth="1"/>
    <col min="11" max="11" width="14.5703125" style="7" customWidth="1"/>
    <col min="12" max="16384" width="9.140625" style="1"/>
  </cols>
  <sheetData>
    <row r="1" spans="1:16" ht="7.5" customHeight="1"/>
    <row r="2" spans="1:16" ht="19.5">
      <c r="A2" s="108">
        <f>Data!D1</f>
        <v>0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</row>
    <row r="3" spans="1:16" ht="20.25" customHeight="1" thickBot="1">
      <c r="A3" s="110" t="str">
        <f>Data!E1&amp;""</f>
        <v/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 spans="1:16" ht="15" customHeight="1" thickTop="1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</row>
    <row r="5" spans="1:16" ht="15" customHeight="1">
      <c r="A5" s="113" t="s">
        <v>19</v>
      </c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4"/>
      <c r="M5" s="4"/>
      <c r="N5" s="4"/>
      <c r="O5" s="4"/>
      <c r="P5" s="32"/>
    </row>
    <row r="6" spans="1:16" ht="8.25" customHeight="1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4"/>
      <c r="M6" s="4"/>
      <c r="N6" s="4"/>
      <c r="O6" s="4"/>
      <c r="P6" s="32"/>
    </row>
    <row r="7" spans="1:16" ht="15" customHeight="1">
      <c r="A7" s="114" t="str">
        <f>"No.: "&amp;Data!B1</f>
        <v xml:space="preserve">No.: 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4"/>
      <c r="M7" s="4"/>
      <c r="N7" s="4"/>
      <c r="O7" s="4"/>
      <c r="P7" s="32"/>
    </row>
    <row r="8" spans="1:16" ht="15" customHeight="1">
      <c r="A8" s="114" t="str">
        <f>"Date: "&amp;TEXT(Data!C1,"dd/MM/yyyy")</f>
        <v>Date: 00/01/1900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4"/>
      <c r="M8" s="4"/>
      <c r="N8" s="4"/>
      <c r="O8" s="4"/>
      <c r="P8" s="32"/>
    </row>
    <row r="9" spans="1:16" ht="10.5" customHeight="1">
      <c r="A9" s="18"/>
      <c r="B9" s="18"/>
      <c r="C9" s="18"/>
      <c r="D9" s="18"/>
      <c r="E9" s="21"/>
      <c r="F9" s="22"/>
      <c r="G9" s="22"/>
      <c r="H9" s="31"/>
      <c r="I9" s="23"/>
      <c r="J9" s="24"/>
      <c r="K9" s="23"/>
      <c r="L9" s="4"/>
      <c r="M9" s="4"/>
      <c r="N9" s="4"/>
      <c r="O9" s="4"/>
      <c r="P9" s="32"/>
    </row>
    <row r="10" spans="1:16" ht="15" customHeight="1">
      <c r="A10" s="18"/>
      <c r="B10" s="25" t="s">
        <v>26</v>
      </c>
      <c r="C10" s="26" t="s">
        <v>43</v>
      </c>
      <c r="D10" s="27"/>
      <c r="E10" s="8"/>
      <c r="F10" s="22"/>
      <c r="G10" s="22"/>
      <c r="H10" s="31"/>
      <c r="I10" s="23"/>
      <c r="J10" s="24"/>
      <c r="K10" s="23"/>
      <c r="L10" s="33"/>
      <c r="M10" s="32"/>
      <c r="N10" s="4"/>
      <c r="O10" s="4"/>
      <c r="P10" s="32"/>
    </row>
    <row r="11" spans="1:16" ht="15" customHeight="1">
      <c r="A11" s="18"/>
      <c r="B11" s="27"/>
      <c r="C11" s="28" t="s">
        <v>44</v>
      </c>
      <c r="D11" s="27"/>
      <c r="E11" s="8"/>
      <c r="F11" s="22"/>
      <c r="G11" s="22"/>
      <c r="H11" s="31"/>
      <c r="I11" s="23"/>
      <c r="J11" s="24"/>
      <c r="K11" s="23"/>
    </row>
    <row r="12" spans="1:16" ht="15" customHeight="1">
      <c r="A12" s="18"/>
      <c r="B12" s="29" t="s">
        <v>27</v>
      </c>
      <c r="C12" s="30"/>
      <c r="D12" s="27"/>
      <c r="E12" s="8"/>
      <c r="F12" s="22"/>
      <c r="G12" s="22"/>
      <c r="H12" s="31"/>
      <c r="I12" s="23"/>
      <c r="J12" s="24"/>
      <c r="K12" s="23"/>
    </row>
    <row r="13" spans="1:16" ht="10.5" customHeight="1">
      <c r="A13" s="18"/>
      <c r="B13" s="29"/>
      <c r="C13" s="30"/>
      <c r="D13" s="27"/>
      <c r="E13" s="8"/>
      <c r="F13" s="22"/>
      <c r="G13" s="22"/>
      <c r="H13" s="31"/>
      <c r="I13" s="23"/>
      <c r="J13" s="24"/>
      <c r="K13" s="23"/>
    </row>
    <row r="14" spans="1:16" ht="15" customHeight="1">
      <c r="A14" s="34"/>
      <c r="B14" s="67" t="s">
        <v>28</v>
      </c>
      <c r="C14" s="68" t="s">
        <v>41</v>
      </c>
      <c r="D14" s="69"/>
      <c r="E14" s="70"/>
      <c r="F14" s="67" t="s">
        <v>29</v>
      </c>
      <c r="G14" s="71"/>
      <c r="H14" s="99" t="str">
        <f>Data!G1&amp;""</f>
        <v/>
      </c>
      <c r="I14" s="72"/>
      <c r="J14" s="73"/>
      <c r="K14" s="74"/>
    </row>
    <row r="15" spans="1:16" ht="15" customHeight="1">
      <c r="A15" s="35"/>
      <c r="B15" s="75" t="s">
        <v>30</v>
      </c>
      <c r="C15" s="76" t="s">
        <v>31</v>
      </c>
      <c r="D15" s="77"/>
      <c r="E15" s="53"/>
      <c r="F15" s="75" t="s">
        <v>32</v>
      </c>
      <c r="G15" s="78"/>
      <c r="H15" s="100" t="str">
        <f>Data!H1&amp;""</f>
        <v/>
      </c>
      <c r="I15" s="79"/>
      <c r="J15" s="80"/>
      <c r="K15" s="81"/>
    </row>
    <row r="16" spans="1:16" ht="15" customHeight="1">
      <c r="A16" s="35"/>
      <c r="B16" s="75" t="s">
        <v>33</v>
      </c>
      <c r="C16" s="76" t="s">
        <v>34</v>
      </c>
      <c r="D16" s="77"/>
      <c r="E16" s="53"/>
      <c r="F16" s="75" t="s">
        <v>35</v>
      </c>
      <c r="G16" s="78"/>
      <c r="H16" s="82" t="str">
        <f>Data!I1&amp;""</f>
        <v/>
      </c>
      <c r="I16" s="79"/>
      <c r="J16" s="80"/>
      <c r="K16" s="81"/>
    </row>
    <row r="17" spans="1:11" ht="15" customHeight="1">
      <c r="A17" s="35"/>
      <c r="B17" s="75" t="s">
        <v>36</v>
      </c>
      <c r="C17" s="101" t="str">
        <f>" "&amp;Data!F1&amp;""</f>
        <v xml:space="preserve"> </v>
      </c>
      <c r="D17" s="77"/>
      <c r="E17" s="53"/>
      <c r="F17" s="75" t="s">
        <v>37</v>
      </c>
      <c r="G17" s="78"/>
      <c r="H17" s="82" t="str">
        <f>Data!J1&amp;""</f>
        <v/>
      </c>
      <c r="I17" s="79"/>
      <c r="J17" s="80"/>
      <c r="K17" s="81"/>
    </row>
    <row r="18" spans="1:11" ht="12.75">
      <c r="A18" s="36"/>
      <c r="B18" s="75" t="s">
        <v>38</v>
      </c>
      <c r="C18" s="83" t="s">
        <v>39</v>
      </c>
      <c r="D18" s="84"/>
      <c r="E18" s="53"/>
      <c r="F18" s="75" t="s">
        <v>40</v>
      </c>
      <c r="G18" s="78"/>
      <c r="H18" s="82" t="str">
        <f>Data!K1&amp;" - Swift code: "&amp;Data!L1</f>
        <v xml:space="preserve"> - Swift code: </v>
      </c>
      <c r="I18" s="79"/>
      <c r="J18" s="85"/>
      <c r="K18" s="86"/>
    </row>
    <row r="19" spans="1:11" ht="12.75">
      <c r="A19" s="36"/>
      <c r="B19" s="87"/>
      <c r="C19" s="83"/>
      <c r="D19" s="84"/>
      <c r="E19" s="53"/>
      <c r="F19" s="78"/>
      <c r="G19" s="78"/>
      <c r="H19" s="78"/>
      <c r="I19" s="79"/>
      <c r="J19" s="85"/>
      <c r="K19" s="86"/>
    </row>
    <row r="20" spans="1:11" ht="12.75">
      <c r="A20" s="37"/>
      <c r="B20" s="38"/>
      <c r="C20" s="39"/>
      <c r="D20" s="40"/>
      <c r="E20" s="41"/>
      <c r="F20" s="42"/>
      <c r="G20" s="42"/>
      <c r="H20" s="38"/>
      <c r="I20" s="43"/>
      <c r="J20" s="42"/>
      <c r="K20" s="44"/>
    </row>
    <row r="21" spans="1:11" ht="25.5">
      <c r="A21" s="47" t="s">
        <v>23</v>
      </c>
      <c r="B21" s="47" t="s">
        <v>2</v>
      </c>
      <c r="C21" s="47" t="s">
        <v>3</v>
      </c>
      <c r="D21" s="47" t="s">
        <v>0</v>
      </c>
      <c r="E21" s="47" t="s">
        <v>1</v>
      </c>
      <c r="F21" s="47" t="s">
        <v>5</v>
      </c>
      <c r="G21" s="48" t="s">
        <v>6</v>
      </c>
      <c r="H21" s="49" t="s">
        <v>4</v>
      </c>
      <c r="I21" s="47" t="s">
        <v>20</v>
      </c>
      <c r="J21" s="50" t="s">
        <v>7</v>
      </c>
      <c r="K21" s="51" t="s">
        <v>25</v>
      </c>
    </row>
    <row r="22" spans="1:11" s="8" customFormat="1" ht="11.25" customHeight="1">
      <c r="A22" s="90" t="s">
        <v>8</v>
      </c>
      <c r="B22" s="90" t="s">
        <v>22</v>
      </c>
      <c r="C22" s="91" t="s">
        <v>9</v>
      </c>
      <c r="D22" s="91" t="s">
        <v>10</v>
      </c>
      <c r="E22" s="91" t="s">
        <v>11</v>
      </c>
      <c r="F22" s="92" t="s">
        <v>12</v>
      </c>
      <c r="G22" s="93" t="s">
        <v>13</v>
      </c>
      <c r="H22" s="94" t="s">
        <v>14</v>
      </c>
      <c r="I22" s="95" t="s">
        <v>15</v>
      </c>
      <c r="J22" s="96" t="s">
        <v>17</v>
      </c>
      <c r="K22" s="97" t="s">
        <v>16</v>
      </c>
    </row>
    <row r="23" spans="1:11" s="8" customFormat="1" ht="45" customHeight="1">
      <c r="A23" s="98">
        <f>ROW()-22</f>
        <v>1</v>
      </c>
      <c r="B23" s="102">
        <f>Detail!B2</f>
        <v>0</v>
      </c>
      <c r="C23" s="102">
        <f>Detail!C2</f>
        <v>0</v>
      </c>
      <c r="D23" s="102">
        <f>Detail!D2</f>
        <v>0</v>
      </c>
      <c r="E23" s="107">
        <f>Detail!E2</f>
        <v>0</v>
      </c>
      <c r="F23" s="105">
        <f>Detail!F2</f>
        <v>0</v>
      </c>
      <c r="G23" s="105">
        <f>Detail!G2</f>
        <v>0</v>
      </c>
      <c r="H23" s="104">
        <f>Detail!H2</f>
        <v>0</v>
      </c>
      <c r="I23" s="106">
        <f>Detail!I2</f>
        <v>0</v>
      </c>
      <c r="J23" s="106">
        <f>I23*G23</f>
        <v>0</v>
      </c>
      <c r="K23" s="103">
        <f>Detail!K2</f>
        <v>0</v>
      </c>
    </row>
    <row r="24" spans="1:11" s="8" customFormat="1" ht="45" customHeight="1">
      <c r="A24" s="98"/>
      <c r="B24" s="102"/>
      <c r="C24" s="102"/>
      <c r="D24" s="102"/>
      <c r="E24" s="107"/>
      <c r="F24" s="105"/>
      <c r="G24" s="105"/>
      <c r="H24" s="104"/>
      <c r="I24" s="106"/>
      <c r="J24" s="106"/>
      <c r="K24" s="103"/>
    </row>
    <row r="25" spans="1:11" s="8" customFormat="1" ht="20.100000000000001" customHeight="1">
      <c r="A25" s="115" t="s">
        <v>21</v>
      </c>
      <c r="B25" s="115"/>
      <c r="C25" s="115"/>
      <c r="D25" s="115"/>
      <c r="E25" s="115"/>
      <c r="F25" s="62"/>
      <c r="G25" s="46">
        <f>SUBTOTAL(9,G23:G24)</f>
        <v>0</v>
      </c>
      <c r="H25" s="63">
        <f>SUBTOTAL(109,H23:H24)</f>
        <v>0</v>
      </c>
      <c r="I25" s="64"/>
      <c r="J25" s="65">
        <f>SUBTOTAL(9,J23:J24)</f>
        <v>0</v>
      </c>
      <c r="K25" s="66"/>
    </row>
    <row r="26" spans="1:11" s="8" customFormat="1" ht="20.100000000000001" customHeight="1">
      <c r="A26" s="116" t="s">
        <v>24</v>
      </c>
      <c r="B26" s="117"/>
      <c r="C26" s="118" t="str">
        <f>UPPER(usd(J25))</f>
        <v>NONE</v>
      </c>
      <c r="D26" s="118"/>
      <c r="E26" s="118"/>
      <c r="F26" s="118"/>
      <c r="G26" s="118"/>
      <c r="H26" s="118"/>
      <c r="I26" s="118"/>
      <c r="J26" s="118"/>
      <c r="K26" s="119"/>
    </row>
    <row r="27" spans="1:11" s="8" customFormat="1" ht="12.75">
      <c r="A27" s="52"/>
      <c r="B27" s="52"/>
      <c r="C27" s="53"/>
      <c r="D27" s="53"/>
      <c r="E27" s="53"/>
      <c r="F27" s="54"/>
      <c r="G27" s="55"/>
      <c r="H27" s="56"/>
      <c r="I27" s="57"/>
      <c r="J27" s="58"/>
      <c r="K27" s="59"/>
    </row>
    <row r="28" spans="1:11" s="8" customFormat="1" ht="12.75">
      <c r="A28" s="27"/>
      <c r="B28" s="27"/>
      <c r="C28" s="27"/>
      <c r="D28" s="27"/>
      <c r="E28" s="27"/>
      <c r="F28" s="27"/>
      <c r="G28" s="27"/>
      <c r="H28" s="27"/>
      <c r="I28" s="53"/>
      <c r="J28" s="53"/>
      <c r="K28" s="53"/>
    </row>
    <row r="29" spans="1:11" s="8" customFormat="1" ht="12.75">
      <c r="A29" s="112" t="s">
        <v>45</v>
      </c>
      <c r="B29" s="112"/>
      <c r="C29" s="112"/>
      <c r="D29" s="112"/>
      <c r="E29" s="60"/>
      <c r="F29" s="61"/>
      <c r="G29" s="60"/>
      <c r="H29" s="60"/>
      <c r="I29" s="112">
        <f>Data!D1</f>
        <v>0</v>
      </c>
      <c r="J29" s="112"/>
      <c r="K29" s="112"/>
    </row>
    <row r="30" spans="1:11" s="8" customFormat="1" ht="12.75">
      <c r="A30" s="112" t="s">
        <v>42</v>
      </c>
      <c r="B30" s="112"/>
      <c r="C30" s="112"/>
      <c r="D30" s="112"/>
      <c r="E30" s="60"/>
      <c r="F30" s="53"/>
      <c r="G30" s="60"/>
      <c r="H30" s="60"/>
      <c r="I30" s="112" t="s">
        <v>18</v>
      </c>
      <c r="J30" s="112"/>
      <c r="K30" s="112"/>
    </row>
    <row r="31" spans="1:11" s="8" customFormat="1" ht="12.75">
      <c r="A31" s="19"/>
      <c r="B31" s="19"/>
      <c r="C31" s="19"/>
      <c r="D31" s="19"/>
      <c r="E31" s="19"/>
      <c r="F31" s="19"/>
      <c r="G31" s="19"/>
      <c r="H31" s="19"/>
      <c r="I31" s="14"/>
      <c r="J31" s="15"/>
      <c r="K31" s="10"/>
    </row>
    <row r="32" spans="1:11" s="8" customFormat="1" ht="12.75">
      <c r="A32" s="19"/>
      <c r="B32" s="19"/>
      <c r="C32" s="20"/>
      <c r="D32" s="19"/>
      <c r="E32" s="19"/>
      <c r="F32" s="19"/>
      <c r="G32" s="19"/>
      <c r="H32" s="19"/>
      <c r="I32" s="14"/>
      <c r="J32" s="15"/>
      <c r="K32" s="10"/>
    </row>
    <row r="33" spans="1:11" s="8" customFormat="1" ht="12.75">
      <c r="A33" s="19"/>
      <c r="B33" s="19"/>
      <c r="C33" s="19"/>
      <c r="D33" s="19"/>
      <c r="E33" s="19"/>
      <c r="F33" s="19"/>
      <c r="G33" s="19"/>
      <c r="H33" s="19"/>
      <c r="I33" s="14"/>
      <c r="J33" s="15"/>
      <c r="K33" s="10"/>
    </row>
    <row r="34" spans="1:11" s="8" customFormat="1" ht="12.75">
      <c r="A34" s="19"/>
      <c r="B34" s="19"/>
      <c r="C34" s="19"/>
      <c r="D34" s="19"/>
      <c r="E34" s="19"/>
      <c r="F34" s="19"/>
      <c r="G34" s="19"/>
      <c r="H34" s="19"/>
      <c r="I34" s="14"/>
      <c r="J34" s="15"/>
      <c r="K34" s="10"/>
    </row>
    <row r="35" spans="1:11" s="8" customFormat="1" ht="12.75">
      <c r="A35" s="19"/>
      <c r="B35" s="19"/>
      <c r="C35" s="19"/>
      <c r="D35" s="19"/>
      <c r="E35" s="19"/>
      <c r="F35" s="19"/>
      <c r="G35" s="19"/>
      <c r="H35" s="19"/>
      <c r="I35" s="14"/>
      <c r="J35" s="15"/>
      <c r="K35" s="10"/>
    </row>
    <row r="36" spans="1:11" s="8" customFormat="1" ht="12.75">
      <c r="A36" s="19"/>
      <c r="B36" s="19"/>
      <c r="C36" s="19"/>
      <c r="D36" s="19"/>
      <c r="E36" s="19"/>
      <c r="F36" s="19"/>
      <c r="G36" s="19"/>
      <c r="H36" s="19"/>
      <c r="I36" s="14"/>
      <c r="J36" s="15"/>
      <c r="K36" s="10"/>
    </row>
    <row r="37" spans="1:11" s="8" customFormat="1" ht="12.75">
      <c r="A37" s="19"/>
      <c r="B37" s="19"/>
      <c r="C37" s="19"/>
      <c r="D37" s="19"/>
      <c r="E37" s="19"/>
      <c r="F37" s="19"/>
      <c r="G37" s="19"/>
      <c r="H37" s="19"/>
      <c r="I37" s="14"/>
      <c r="J37" s="15"/>
      <c r="K37" s="10"/>
    </row>
    <row r="38" spans="1:11" s="8" customFormat="1" ht="12.75">
      <c r="A38" s="19"/>
      <c r="B38" s="19"/>
      <c r="C38" s="19"/>
      <c r="D38" s="19"/>
      <c r="E38" s="19"/>
      <c r="F38" s="19"/>
      <c r="G38" s="19"/>
      <c r="H38" s="19"/>
      <c r="I38" s="14"/>
      <c r="J38" s="15"/>
      <c r="K38" s="10"/>
    </row>
    <row r="39" spans="1:11" s="8" customFormat="1" ht="12.75">
      <c r="A39" s="19"/>
      <c r="B39" s="19"/>
      <c r="C39" s="19"/>
      <c r="D39" s="19"/>
      <c r="E39" s="19"/>
      <c r="F39" s="19"/>
      <c r="G39" s="19"/>
      <c r="H39" s="19"/>
      <c r="I39" s="14"/>
      <c r="J39" s="15"/>
      <c r="K39" s="10"/>
    </row>
    <row r="40" spans="1:11" s="8" customFormat="1" ht="15">
      <c r="A40" s="9"/>
      <c r="B40" s="111"/>
      <c r="C40" s="111"/>
      <c r="D40" s="111"/>
      <c r="F40" s="11"/>
      <c r="G40" s="12"/>
      <c r="H40" s="13"/>
      <c r="I40" s="14"/>
      <c r="J40" s="15"/>
      <c r="K40" s="10"/>
    </row>
    <row r="41" spans="1:11" s="8" customFormat="1">
      <c r="A41" s="9"/>
      <c r="B41" s="9"/>
      <c r="F41" s="11"/>
      <c r="G41" s="12"/>
      <c r="H41" s="13"/>
      <c r="I41" s="14"/>
      <c r="J41" s="15"/>
      <c r="K41" s="10"/>
    </row>
    <row r="42" spans="1:11" s="8" customFormat="1">
      <c r="A42" s="9"/>
      <c r="B42" s="9"/>
      <c r="F42" s="11"/>
      <c r="G42" s="12"/>
      <c r="H42" s="13"/>
      <c r="I42" s="14"/>
      <c r="J42" s="15"/>
      <c r="K42" s="10"/>
    </row>
    <row r="43" spans="1:11" s="8" customFormat="1">
      <c r="A43" s="9"/>
      <c r="B43" s="9"/>
      <c r="F43" s="11"/>
      <c r="G43" s="12"/>
      <c r="H43" s="13"/>
      <c r="I43" s="14"/>
      <c r="J43" s="15"/>
      <c r="K43" s="10"/>
    </row>
    <row r="44" spans="1:11" s="8" customFormat="1">
      <c r="A44" s="9"/>
      <c r="B44" s="9"/>
      <c r="F44" s="11"/>
      <c r="G44" s="12"/>
      <c r="H44" s="13"/>
      <c r="I44" s="14"/>
      <c r="J44" s="15"/>
      <c r="K44" s="10"/>
    </row>
    <row r="45" spans="1:11" s="8" customFormat="1">
      <c r="A45" s="9"/>
      <c r="B45" s="9"/>
      <c r="F45" s="11"/>
      <c r="G45" s="12"/>
      <c r="H45" s="13"/>
      <c r="I45" s="14"/>
      <c r="J45" s="15"/>
      <c r="K45" s="10"/>
    </row>
    <row r="46" spans="1:11" s="8" customFormat="1">
      <c r="A46" s="9"/>
      <c r="B46" s="9"/>
      <c r="F46" s="11"/>
      <c r="G46" s="12"/>
      <c r="H46" s="13"/>
      <c r="I46" s="14"/>
      <c r="J46" s="15"/>
      <c r="K46" s="10"/>
    </row>
    <row r="47" spans="1:11" s="8" customFormat="1">
      <c r="A47" s="9"/>
      <c r="B47" s="9"/>
      <c r="F47" s="11"/>
      <c r="G47" s="12"/>
      <c r="H47" s="13"/>
      <c r="I47" s="14"/>
      <c r="J47" s="15"/>
      <c r="K47" s="10"/>
    </row>
    <row r="48" spans="1:11" s="8" customFormat="1">
      <c r="A48" s="9"/>
      <c r="B48" s="9"/>
      <c r="F48" s="11"/>
      <c r="G48" s="12"/>
      <c r="H48" s="13"/>
      <c r="I48" s="14"/>
      <c r="J48" s="15"/>
      <c r="K48" s="10"/>
    </row>
    <row r="49" spans="1:11" s="8" customFormat="1">
      <c r="A49" s="9"/>
      <c r="B49" s="9"/>
      <c r="F49" s="11"/>
      <c r="G49" s="12"/>
      <c r="H49" s="13"/>
      <c r="I49" s="14"/>
      <c r="J49" s="15"/>
      <c r="K49" s="10"/>
    </row>
    <row r="50" spans="1:11" s="8" customFormat="1">
      <c r="A50" s="9"/>
      <c r="B50" s="9"/>
      <c r="F50" s="11"/>
      <c r="G50" s="12"/>
      <c r="H50" s="13"/>
      <c r="I50" s="14"/>
      <c r="J50" s="15"/>
      <c r="K50" s="10"/>
    </row>
    <row r="51" spans="1:11" s="8" customFormat="1">
      <c r="A51" s="9"/>
      <c r="B51" s="9"/>
      <c r="F51" s="11"/>
      <c r="G51" s="12"/>
      <c r="H51" s="13"/>
      <c r="I51" s="14"/>
      <c r="J51" s="15"/>
      <c r="K51" s="10"/>
    </row>
    <row r="52" spans="1:11" s="8" customFormat="1">
      <c r="A52" s="9"/>
      <c r="B52" s="9"/>
      <c r="F52" s="11"/>
      <c r="G52" s="12"/>
      <c r="H52" s="13"/>
      <c r="I52" s="14"/>
      <c r="J52" s="15"/>
      <c r="K52" s="10"/>
    </row>
    <row r="53" spans="1:11" s="8" customFormat="1">
      <c r="A53" s="9"/>
      <c r="B53" s="9"/>
      <c r="F53" s="11"/>
      <c r="G53" s="12"/>
      <c r="H53" s="13"/>
      <c r="I53" s="14"/>
      <c r="J53" s="15"/>
      <c r="K53" s="10"/>
    </row>
    <row r="54" spans="1:11" s="8" customFormat="1">
      <c r="A54" s="9"/>
      <c r="B54" s="9"/>
      <c r="F54" s="11"/>
      <c r="G54" s="12"/>
      <c r="H54" s="13"/>
      <c r="I54" s="14"/>
      <c r="J54" s="15"/>
      <c r="K54" s="10"/>
    </row>
    <row r="55" spans="1:11" s="8" customFormat="1">
      <c r="A55" s="9"/>
      <c r="B55" s="9"/>
      <c r="F55" s="11"/>
      <c r="G55" s="12"/>
      <c r="H55" s="13"/>
      <c r="I55" s="14"/>
      <c r="J55" s="15"/>
      <c r="K55" s="10"/>
    </row>
    <row r="56" spans="1:11" s="8" customFormat="1">
      <c r="A56" s="9"/>
      <c r="B56" s="9"/>
      <c r="F56" s="11"/>
      <c r="G56" s="12"/>
      <c r="H56" s="13"/>
      <c r="I56" s="14"/>
      <c r="J56" s="15"/>
      <c r="K56" s="10"/>
    </row>
    <row r="57" spans="1:11" s="8" customFormat="1">
      <c r="A57" s="9"/>
      <c r="B57" s="9"/>
      <c r="F57" s="11"/>
      <c r="G57" s="12"/>
      <c r="H57" s="13"/>
      <c r="I57" s="14"/>
      <c r="J57" s="15"/>
      <c r="K57" s="10"/>
    </row>
    <row r="58" spans="1:11" s="8" customFormat="1">
      <c r="A58" s="9"/>
      <c r="B58" s="9"/>
      <c r="F58" s="11"/>
      <c r="G58" s="12"/>
      <c r="H58" s="13"/>
      <c r="I58" s="14"/>
      <c r="J58" s="15"/>
      <c r="K58" s="10"/>
    </row>
    <row r="59" spans="1:11" s="8" customFormat="1">
      <c r="A59" s="9"/>
      <c r="B59" s="9"/>
      <c r="F59" s="11"/>
      <c r="G59" s="12"/>
      <c r="H59" s="13"/>
      <c r="I59" s="14"/>
      <c r="J59" s="15"/>
      <c r="K59" s="10"/>
    </row>
    <row r="60" spans="1:11" s="8" customFormat="1">
      <c r="A60" s="9"/>
      <c r="B60" s="9"/>
      <c r="F60" s="11"/>
      <c r="G60" s="12"/>
      <c r="H60" s="13"/>
      <c r="I60" s="14"/>
      <c r="J60" s="15"/>
      <c r="K60" s="10"/>
    </row>
    <row r="61" spans="1:11" s="8" customFormat="1">
      <c r="A61" s="9"/>
      <c r="B61" s="9"/>
      <c r="F61" s="11"/>
      <c r="G61" s="12"/>
      <c r="H61" s="13"/>
      <c r="I61" s="14"/>
      <c r="J61" s="15"/>
      <c r="K61" s="10"/>
    </row>
    <row r="62" spans="1:11" s="8" customFormat="1">
      <c r="A62" s="9"/>
      <c r="B62" s="9"/>
      <c r="F62" s="11"/>
      <c r="G62" s="12"/>
      <c r="H62" s="13"/>
      <c r="I62" s="14"/>
      <c r="J62" s="15"/>
      <c r="K62" s="10"/>
    </row>
    <row r="63" spans="1:11" s="8" customFormat="1">
      <c r="A63" s="9"/>
      <c r="B63" s="9"/>
      <c r="F63" s="11"/>
      <c r="G63" s="12"/>
      <c r="H63" s="13"/>
      <c r="I63" s="14"/>
      <c r="J63" s="15"/>
      <c r="K63" s="10"/>
    </row>
    <row r="64" spans="1:11" s="8" customFormat="1">
      <c r="A64" s="9"/>
      <c r="B64" s="9"/>
      <c r="F64" s="11"/>
      <c r="G64" s="12"/>
      <c r="H64" s="13"/>
      <c r="I64" s="14"/>
      <c r="J64" s="15"/>
      <c r="K64" s="10"/>
    </row>
    <row r="65" spans="1:11" s="8" customFormat="1">
      <c r="A65" s="9"/>
      <c r="B65" s="9"/>
      <c r="F65" s="11"/>
      <c r="G65" s="12"/>
      <c r="H65" s="13"/>
      <c r="I65" s="14"/>
      <c r="J65" s="15"/>
      <c r="K65" s="10"/>
    </row>
    <row r="66" spans="1:11" s="8" customFormat="1">
      <c r="A66" s="9"/>
      <c r="B66" s="9"/>
      <c r="F66" s="11"/>
      <c r="G66" s="12"/>
      <c r="H66" s="13"/>
      <c r="I66" s="14"/>
      <c r="J66" s="15"/>
      <c r="K66" s="10"/>
    </row>
    <row r="67" spans="1:11" s="8" customFormat="1">
      <c r="A67" s="9"/>
      <c r="B67" s="9"/>
      <c r="F67" s="11"/>
      <c r="G67" s="12"/>
      <c r="H67" s="13"/>
      <c r="I67" s="14"/>
      <c r="J67" s="15"/>
      <c r="K67" s="10"/>
    </row>
    <row r="68" spans="1:11" s="8" customFormat="1">
      <c r="A68" s="9"/>
      <c r="B68" s="9"/>
      <c r="F68" s="11"/>
      <c r="G68" s="12"/>
      <c r="H68" s="13"/>
      <c r="I68" s="14"/>
      <c r="J68" s="15"/>
      <c r="K68" s="10"/>
    </row>
    <row r="69" spans="1:11" s="8" customFormat="1">
      <c r="A69" s="9"/>
      <c r="B69" s="9"/>
      <c r="F69" s="11"/>
      <c r="G69" s="12"/>
      <c r="H69" s="13"/>
      <c r="I69" s="14"/>
      <c r="J69" s="15"/>
      <c r="K69" s="10"/>
    </row>
    <row r="70" spans="1:11" s="8" customFormat="1">
      <c r="A70" s="9"/>
      <c r="B70" s="9"/>
      <c r="F70" s="11"/>
      <c r="G70" s="12"/>
      <c r="H70" s="13"/>
      <c r="I70" s="14"/>
      <c r="J70" s="15"/>
      <c r="K70" s="10"/>
    </row>
    <row r="71" spans="1:11" s="8" customFormat="1">
      <c r="A71" s="9"/>
      <c r="B71" s="9"/>
      <c r="F71" s="11"/>
      <c r="G71" s="12"/>
      <c r="H71" s="13"/>
      <c r="I71" s="14"/>
      <c r="J71" s="15"/>
      <c r="K71" s="10"/>
    </row>
    <row r="72" spans="1:11" s="8" customFormat="1">
      <c r="A72" s="9"/>
      <c r="B72" s="9"/>
      <c r="F72" s="11"/>
      <c r="G72" s="12"/>
      <c r="H72" s="13"/>
      <c r="I72" s="14"/>
      <c r="J72" s="15"/>
      <c r="K72" s="10"/>
    </row>
    <row r="73" spans="1:11" s="8" customFormat="1">
      <c r="A73" s="9"/>
      <c r="B73" s="9"/>
      <c r="F73" s="11"/>
      <c r="G73" s="12"/>
      <c r="H73" s="13"/>
      <c r="I73" s="14"/>
      <c r="J73" s="15"/>
      <c r="K73" s="10"/>
    </row>
    <row r="74" spans="1:11" s="8" customFormat="1">
      <c r="A74" s="9"/>
      <c r="B74" s="9"/>
      <c r="F74" s="11"/>
      <c r="G74" s="12"/>
      <c r="H74" s="13"/>
      <c r="I74" s="14"/>
      <c r="J74" s="15"/>
      <c r="K74" s="10"/>
    </row>
    <row r="75" spans="1:11" s="8" customFormat="1">
      <c r="A75" s="9"/>
      <c r="B75" s="9"/>
      <c r="F75" s="11"/>
      <c r="G75" s="12"/>
      <c r="H75" s="13"/>
      <c r="I75" s="14"/>
      <c r="J75" s="15"/>
      <c r="K75" s="10"/>
    </row>
    <row r="76" spans="1:11" s="8" customFormat="1">
      <c r="A76" s="9"/>
      <c r="B76" s="9"/>
      <c r="F76" s="11"/>
      <c r="G76" s="12"/>
      <c r="H76" s="13"/>
      <c r="I76" s="14"/>
      <c r="J76" s="15"/>
      <c r="K76" s="10"/>
    </row>
    <row r="77" spans="1:11" s="8" customFormat="1">
      <c r="A77" s="9"/>
      <c r="B77" s="9"/>
      <c r="F77" s="11"/>
      <c r="G77" s="12"/>
      <c r="H77" s="13"/>
      <c r="I77" s="14"/>
      <c r="J77" s="15"/>
      <c r="K77" s="10"/>
    </row>
    <row r="78" spans="1:11" s="8" customFormat="1">
      <c r="A78" s="9"/>
      <c r="B78" s="9"/>
      <c r="F78" s="11"/>
      <c r="G78" s="12"/>
      <c r="H78" s="13"/>
      <c r="I78" s="14"/>
      <c r="J78" s="15"/>
      <c r="K78" s="10"/>
    </row>
    <row r="79" spans="1:11" s="8" customFormat="1">
      <c r="A79" s="9"/>
      <c r="B79" s="9"/>
      <c r="F79" s="11"/>
      <c r="G79" s="12"/>
      <c r="H79" s="13"/>
      <c r="I79" s="14"/>
      <c r="J79" s="15"/>
      <c r="K79" s="10"/>
    </row>
    <row r="80" spans="1:11" s="8" customFormat="1">
      <c r="A80" s="9"/>
      <c r="B80" s="9"/>
      <c r="F80" s="11"/>
      <c r="G80" s="12"/>
      <c r="H80" s="13"/>
      <c r="I80" s="14"/>
      <c r="J80" s="15"/>
      <c r="K80" s="10"/>
    </row>
    <row r="81" spans="1:11" s="8" customFormat="1">
      <c r="A81" s="9"/>
      <c r="B81" s="9"/>
      <c r="F81" s="11"/>
      <c r="G81" s="12"/>
      <c r="H81" s="13"/>
      <c r="I81" s="14"/>
      <c r="J81" s="15"/>
      <c r="K81" s="10"/>
    </row>
    <row r="82" spans="1:11" s="8" customFormat="1">
      <c r="A82" s="9"/>
      <c r="B82" s="9"/>
      <c r="F82" s="11"/>
      <c r="G82" s="12"/>
      <c r="H82" s="13"/>
      <c r="I82" s="14"/>
      <c r="J82" s="15"/>
      <c r="K82" s="10"/>
    </row>
    <row r="83" spans="1:11" s="8" customFormat="1">
      <c r="A83" s="9"/>
      <c r="B83" s="9"/>
      <c r="F83" s="11"/>
      <c r="G83" s="12"/>
      <c r="H83" s="13"/>
      <c r="I83" s="14"/>
      <c r="J83" s="15"/>
      <c r="K83" s="10"/>
    </row>
    <row r="84" spans="1:11" s="8" customFormat="1">
      <c r="A84" s="9"/>
      <c r="B84" s="9"/>
      <c r="F84" s="11"/>
      <c r="G84" s="12"/>
      <c r="H84" s="13"/>
      <c r="I84" s="14"/>
      <c r="J84" s="15"/>
      <c r="K84" s="10"/>
    </row>
    <row r="85" spans="1:11" s="8" customFormat="1">
      <c r="A85" s="9"/>
      <c r="B85" s="9"/>
      <c r="F85" s="11"/>
      <c r="G85" s="12"/>
      <c r="H85" s="13"/>
      <c r="I85" s="14"/>
      <c r="J85" s="15"/>
      <c r="K85" s="10"/>
    </row>
    <row r="86" spans="1:11" s="8" customFormat="1">
      <c r="A86" s="9"/>
      <c r="B86" s="9"/>
      <c r="F86" s="11"/>
      <c r="G86" s="12"/>
      <c r="H86" s="13"/>
      <c r="I86" s="14"/>
      <c r="J86" s="15"/>
      <c r="K86" s="10"/>
    </row>
    <row r="87" spans="1:11" s="8" customFormat="1">
      <c r="A87" s="9"/>
      <c r="B87" s="9"/>
      <c r="F87" s="11"/>
      <c r="G87" s="12"/>
      <c r="H87" s="13"/>
      <c r="I87" s="14"/>
      <c r="J87" s="15"/>
      <c r="K87" s="10"/>
    </row>
    <row r="88" spans="1:11" s="8" customFormat="1">
      <c r="A88" s="9"/>
      <c r="B88" s="9"/>
      <c r="F88" s="11"/>
      <c r="G88" s="12"/>
      <c r="H88" s="13"/>
      <c r="I88" s="14"/>
      <c r="J88" s="15"/>
      <c r="K88" s="10"/>
    </row>
    <row r="89" spans="1:11" s="8" customFormat="1">
      <c r="A89" s="9"/>
      <c r="B89" s="9"/>
      <c r="F89" s="11"/>
      <c r="G89" s="12"/>
      <c r="H89" s="13"/>
      <c r="I89" s="14"/>
      <c r="J89" s="15"/>
      <c r="K89" s="10"/>
    </row>
    <row r="90" spans="1:11" s="8" customFormat="1">
      <c r="A90" s="9"/>
      <c r="B90" s="9"/>
      <c r="F90" s="11"/>
      <c r="G90" s="12"/>
      <c r="H90" s="13"/>
      <c r="I90" s="14"/>
      <c r="J90" s="15"/>
      <c r="K90" s="10"/>
    </row>
    <row r="91" spans="1:11" s="8" customFormat="1">
      <c r="A91" s="9"/>
      <c r="B91" s="9"/>
      <c r="F91" s="11"/>
      <c r="G91" s="12"/>
      <c r="H91" s="13"/>
      <c r="I91" s="14"/>
      <c r="J91" s="15"/>
      <c r="K91" s="10"/>
    </row>
    <row r="92" spans="1:11" s="8" customFormat="1">
      <c r="A92" s="9"/>
      <c r="B92" s="9"/>
      <c r="F92" s="11"/>
      <c r="G92" s="12"/>
      <c r="H92" s="13"/>
      <c r="I92" s="14"/>
      <c r="J92" s="15"/>
      <c r="K92" s="10"/>
    </row>
    <row r="93" spans="1:11" s="8" customFormat="1">
      <c r="A93" s="9"/>
      <c r="B93" s="9"/>
      <c r="F93" s="11"/>
      <c r="G93" s="12"/>
      <c r="H93" s="13"/>
      <c r="I93" s="14"/>
      <c r="J93" s="15"/>
      <c r="K93" s="10"/>
    </row>
    <row r="94" spans="1:11" s="8" customFormat="1">
      <c r="A94" s="9"/>
      <c r="B94" s="9"/>
      <c r="F94" s="11"/>
      <c r="G94" s="12"/>
      <c r="H94" s="13"/>
      <c r="I94" s="14"/>
      <c r="J94" s="15"/>
      <c r="K94" s="10"/>
    </row>
    <row r="95" spans="1:11" s="8" customFormat="1">
      <c r="A95" s="9"/>
      <c r="B95" s="9"/>
      <c r="F95" s="11"/>
      <c r="G95" s="12"/>
      <c r="H95" s="13"/>
      <c r="I95" s="14"/>
      <c r="J95" s="15"/>
      <c r="K95" s="10"/>
    </row>
    <row r="96" spans="1:11" s="8" customFormat="1">
      <c r="A96" s="9"/>
      <c r="B96" s="9"/>
      <c r="F96" s="11"/>
      <c r="G96" s="12"/>
      <c r="H96" s="13"/>
      <c r="I96" s="14"/>
      <c r="J96" s="15"/>
      <c r="K96" s="10"/>
    </row>
    <row r="97" spans="1:11" s="8" customFormat="1">
      <c r="A97" s="9"/>
      <c r="B97" s="9"/>
      <c r="F97" s="11"/>
      <c r="G97" s="12"/>
      <c r="H97" s="13"/>
      <c r="I97" s="14"/>
      <c r="J97" s="15"/>
      <c r="K97" s="10"/>
    </row>
    <row r="98" spans="1:11" s="8" customFormat="1">
      <c r="A98" s="9"/>
      <c r="B98" s="9"/>
      <c r="F98" s="11"/>
      <c r="G98" s="12"/>
      <c r="H98" s="13"/>
      <c r="I98" s="14"/>
      <c r="J98" s="15"/>
      <c r="K98" s="10"/>
    </row>
    <row r="99" spans="1:11" s="8" customFormat="1">
      <c r="A99" s="9"/>
      <c r="B99" s="9"/>
      <c r="F99" s="11"/>
      <c r="G99" s="12"/>
      <c r="H99" s="13"/>
      <c r="I99" s="14"/>
      <c r="J99" s="15"/>
      <c r="K99" s="10"/>
    </row>
    <row r="100" spans="1:11" s="8" customFormat="1">
      <c r="A100" s="9"/>
      <c r="B100" s="9"/>
      <c r="F100" s="11"/>
      <c r="G100" s="12"/>
      <c r="H100" s="13"/>
      <c r="I100" s="14"/>
      <c r="J100" s="15"/>
      <c r="K100" s="10"/>
    </row>
    <row r="101" spans="1:11" s="8" customFormat="1">
      <c r="A101" s="9"/>
      <c r="B101" s="9"/>
      <c r="F101" s="11"/>
      <c r="G101" s="12"/>
      <c r="H101" s="13"/>
      <c r="I101" s="14"/>
      <c r="J101" s="15"/>
      <c r="K101" s="10"/>
    </row>
    <row r="102" spans="1:11" s="8" customFormat="1">
      <c r="A102" s="9"/>
      <c r="B102" s="9"/>
      <c r="F102" s="11"/>
      <c r="G102" s="12"/>
      <c r="H102" s="13"/>
      <c r="I102" s="14"/>
      <c r="J102" s="15"/>
      <c r="K102" s="10"/>
    </row>
    <row r="103" spans="1:11" s="8" customFormat="1">
      <c r="A103" s="9"/>
      <c r="B103" s="9"/>
      <c r="F103" s="11"/>
      <c r="G103" s="12"/>
      <c r="H103" s="13"/>
      <c r="I103" s="14"/>
      <c r="J103" s="15"/>
      <c r="K103" s="10"/>
    </row>
    <row r="104" spans="1:11" s="8" customFormat="1">
      <c r="A104" s="9"/>
      <c r="B104" s="9"/>
      <c r="F104" s="11"/>
      <c r="G104" s="12"/>
      <c r="H104" s="13"/>
      <c r="I104" s="14"/>
      <c r="J104" s="15"/>
      <c r="K104" s="10"/>
    </row>
    <row r="105" spans="1:11" s="8" customFormat="1">
      <c r="A105" s="9"/>
      <c r="B105" s="9"/>
      <c r="F105" s="11"/>
      <c r="G105" s="12"/>
      <c r="H105" s="13"/>
      <c r="I105" s="14"/>
      <c r="J105" s="15"/>
      <c r="K105" s="10"/>
    </row>
    <row r="106" spans="1:11" s="8" customFormat="1">
      <c r="A106" s="9"/>
      <c r="B106" s="9"/>
      <c r="F106" s="11"/>
      <c r="G106" s="12"/>
      <c r="H106" s="13"/>
      <c r="I106" s="14"/>
      <c r="J106" s="15"/>
      <c r="K106" s="10"/>
    </row>
    <row r="107" spans="1:11" s="8" customFormat="1">
      <c r="A107" s="9"/>
      <c r="B107" s="9"/>
      <c r="F107" s="11"/>
      <c r="G107" s="12"/>
      <c r="H107" s="13"/>
      <c r="I107" s="14"/>
      <c r="J107" s="15"/>
      <c r="K107" s="10"/>
    </row>
    <row r="108" spans="1:11" s="8" customFormat="1">
      <c r="A108" s="9"/>
      <c r="B108" s="9"/>
      <c r="F108" s="11"/>
      <c r="G108" s="12"/>
      <c r="H108" s="13"/>
      <c r="I108" s="14"/>
      <c r="J108" s="15"/>
      <c r="K108" s="10"/>
    </row>
    <row r="109" spans="1:11" s="8" customFormat="1">
      <c r="A109" s="9"/>
      <c r="B109" s="9"/>
      <c r="F109" s="11"/>
      <c r="G109" s="12"/>
      <c r="H109" s="13"/>
      <c r="I109" s="14"/>
      <c r="J109" s="15"/>
      <c r="K109" s="10"/>
    </row>
    <row r="110" spans="1:11" s="8" customFormat="1">
      <c r="A110" s="9"/>
      <c r="B110" s="9"/>
      <c r="F110" s="11"/>
      <c r="G110" s="12"/>
      <c r="H110" s="13"/>
      <c r="I110" s="14"/>
      <c r="J110" s="15"/>
      <c r="K110" s="10"/>
    </row>
    <row r="111" spans="1:11" s="8" customFormat="1">
      <c r="A111" s="9"/>
      <c r="B111" s="9"/>
      <c r="F111" s="11"/>
      <c r="G111" s="12"/>
      <c r="H111" s="13"/>
      <c r="I111" s="14"/>
      <c r="J111" s="15"/>
      <c r="K111" s="10"/>
    </row>
    <row r="112" spans="1:11" s="8" customFormat="1">
      <c r="A112" s="9"/>
      <c r="B112" s="9"/>
      <c r="F112" s="11"/>
      <c r="G112" s="12"/>
      <c r="H112" s="13"/>
      <c r="I112" s="14"/>
      <c r="J112" s="15"/>
      <c r="K112" s="10"/>
    </row>
    <row r="113" spans="1:11" s="8" customFormat="1">
      <c r="A113" s="9"/>
      <c r="B113" s="9"/>
      <c r="F113" s="11"/>
      <c r="G113" s="12"/>
      <c r="H113" s="13"/>
      <c r="I113" s="14"/>
      <c r="J113" s="15"/>
      <c r="K113" s="10"/>
    </row>
    <row r="114" spans="1:11" s="8" customFormat="1">
      <c r="A114" s="9"/>
      <c r="B114" s="9"/>
      <c r="F114" s="11"/>
      <c r="G114" s="12"/>
      <c r="H114" s="13"/>
      <c r="I114" s="14"/>
      <c r="J114" s="15"/>
      <c r="K114" s="10"/>
    </row>
    <row r="115" spans="1:11" s="8" customFormat="1">
      <c r="A115" s="9"/>
      <c r="B115" s="9"/>
      <c r="F115" s="11"/>
      <c r="G115" s="12"/>
      <c r="H115" s="13"/>
      <c r="I115" s="14"/>
      <c r="J115" s="15"/>
      <c r="K115" s="10"/>
    </row>
    <row r="116" spans="1:11" s="8" customFormat="1">
      <c r="A116" s="9"/>
      <c r="B116" s="9"/>
      <c r="F116" s="11"/>
      <c r="G116" s="12"/>
      <c r="H116" s="13"/>
      <c r="I116" s="14"/>
      <c r="J116" s="15"/>
      <c r="K116" s="10"/>
    </row>
    <row r="117" spans="1:11" s="8" customFormat="1">
      <c r="A117" s="9"/>
      <c r="B117" s="9"/>
      <c r="F117" s="11"/>
      <c r="G117" s="12"/>
      <c r="H117" s="13"/>
      <c r="I117" s="14"/>
      <c r="J117" s="15"/>
      <c r="K117" s="10"/>
    </row>
    <row r="118" spans="1:11" s="8" customFormat="1">
      <c r="A118" s="9"/>
      <c r="B118" s="9"/>
      <c r="F118" s="11"/>
      <c r="G118" s="12"/>
      <c r="H118" s="13"/>
      <c r="I118" s="14"/>
      <c r="J118" s="15"/>
      <c r="K118" s="10"/>
    </row>
    <row r="119" spans="1:11" s="8" customFormat="1">
      <c r="A119" s="9"/>
      <c r="B119" s="9"/>
      <c r="F119" s="11"/>
      <c r="G119" s="12"/>
      <c r="H119" s="13"/>
      <c r="I119" s="14"/>
      <c r="J119" s="15"/>
      <c r="K119" s="10"/>
    </row>
    <row r="120" spans="1:11" s="8" customFormat="1">
      <c r="A120" s="9"/>
      <c r="B120" s="9"/>
      <c r="F120" s="11"/>
      <c r="G120" s="12"/>
      <c r="H120" s="13"/>
      <c r="I120" s="14"/>
      <c r="J120" s="15"/>
      <c r="K120" s="10"/>
    </row>
    <row r="121" spans="1:11" s="8" customFormat="1">
      <c r="A121" s="9"/>
      <c r="B121" s="9"/>
      <c r="F121" s="11"/>
      <c r="G121" s="12"/>
      <c r="H121" s="13"/>
      <c r="I121" s="14"/>
      <c r="J121" s="15"/>
      <c r="K121" s="10"/>
    </row>
    <row r="122" spans="1:11" s="8" customFormat="1">
      <c r="A122" s="9"/>
      <c r="B122" s="9"/>
      <c r="F122" s="11"/>
      <c r="G122" s="12"/>
      <c r="H122" s="13"/>
      <c r="I122" s="14"/>
      <c r="J122" s="15"/>
      <c r="K122" s="10"/>
    </row>
    <row r="123" spans="1:11" s="8" customFormat="1">
      <c r="A123" s="9"/>
      <c r="B123" s="9"/>
      <c r="F123" s="11"/>
      <c r="G123" s="12"/>
      <c r="H123" s="13"/>
      <c r="I123" s="14"/>
      <c r="J123" s="15"/>
      <c r="K123" s="10"/>
    </row>
    <row r="124" spans="1:11" s="8" customFormat="1">
      <c r="A124" s="9"/>
      <c r="B124" s="9"/>
      <c r="F124" s="11"/>
      <c r="G124" s="12"/>
      <c r="H124" s="13"/>
      <c r="I124" s="14"/>
      <c r="J124" s="15"/>
      <c r="K124" s="10"/>
    </row>
    <row r="125" spans="1:11" s="8" customFormat="1">
      <c r="A125" s="9"/>
      <c r="B125" s="9"/>
      <c r="F125" s="11"/>
      <c r="G125" s="12"/>
      <c r="H125" s="13"/>
      <c r="I125" s="14"/>
      <c r="J125" s="15"/>
      <c r="K125" s="10"/>
    </row>
    <row r="126" spans="1:11" s="8" customFormat="1">
      <c r="A126" s="9"/>
      <c r="B126" s="9"/>
      <c r="F126" s="11"/>
      <c r="G126" s="12"/>
      <c r="H126" s="13"/>
      <c r="I126" s="14"/>
      <c r="J126" s="15"/>
      <c r="K126" s="10"/>
    </row>
    <row r="127" spans="1:11" s="8" customFormat="1">
      <c r="A127" s="9"/>
      <c r="B127" s="9"/>
      <c r="F127" s="11"/>
      <c r="G127" s="12"/>
      <c r="H127" s="13"/>
      <c r="I127" s="14"/>
      <c r="J127" s="15"/>
      <c r="K127" s="10"/>
    </row>
    <row r="128" spans="1:11" s="8" customFormat="1">
      <c r="A128" s="9"/>
      <c r="B128" s="9"/>
      <c r="F128" s="11"/>
      <c r="G128" s="12"/>
      <c r="H128" s="13"/>
      <c r="I128" s="14"/>
      <c r="J128" s="15"/>
      <c r="K128" s="10"/>
    </row>
    <row r="129" spans="1:11" s="8" customFormat="1">
      <c r="A129" s="9"/>
      <c r="B129" s="9"/>
      <c r="F129" s="11"/>
      <c r="G129" s="12"/>
      <c r="H129" s="13"/>
      <c r="I129" s="14"/>
      <c r="J129" s="15"/>
      <c r="K129" s="10"/>
    </row>
    <row r="130" spans="1:11" s="8" customFormat="1">
      <c r="A130" s="9"/>
      <c r="B130" s="9"/>
      <c r="F130" s="11"/>
      <c r="G130" s="12"/>
      <c r="H130" s="13"/>
      <c r="I130" s="14"/>
      <c r="J130" s="15"/>
      <c r="K130" s="10"/>
    </row>
    <row r="131" spans="1:11" s="8" customFormat="1">
      <c r="A131" s="9"/>
      <c r="B131" s="9"/>
      <c r="F131" s="11"/>
      <c r="G131" s="12"/>
      <c r="H131" s="13"/>
      <c r="I131" s="14"/>
      <c r="J131" s="15"/>
      <c r="K131" s="10"/>
    </row>
    <row r="132" spans="1:11" s="8" customFormat="1">
      <c r="A132" s="9"/>
      <c r="B132" s="9"/>
      <c r="F132" s="11"/>
      <c r="G132" s="12"/>
      <c r="H132" s="13"/>
      <c r="I132" s="14"/>
      <c r="J132" s="15"/>
      <c r="K132" s="10"/>
    </row>
    <row r="133" spans="1:11" s="8" customFormat="1">
      <c r="A133" s="9"/>
      <c r="B133" s="9"/>
      <c r="F133" s="11"/>
      <c r="G133" s="12"/>
      <c r="H133" s="13"/>
      <c r="I133" s="14"/>
      <c r="J133" s="15"/>
      <c r="K133" s="10"/>
    </row>
    <row r="134" spans="1:11" s="8" customFormat="1">
      <c r="A134" s="9"/>
      <c r="B134" s="9"/>
      <c r="F134" s="11"/>
      <c r="G134" s="12"/>
      <c r="H134" s="13"/>
      <c r="I134" s="14"/>
      <c r="J134" s="15"/>
      <c r="K134" s="10"/>
    </row>
    <row r="135" spans="1:11" s="8" customFormat="1">
      <c r="A135" s="9"/>
      <c r="B135" s="9"/>
      <c r="F135" s="11"/>
      <c r="G135" s="12"/>
      <c r="H135" s="13"/>
      <c r="I135" s="14"/>
      <c r="J135" s="15"/>
      <c r="K135" s="10"/>
    </row>
    <row r="136" spans="1:11" s="8" customFormat="1">
      <c r="A136" s="9"/>
      <c r="B136" s="9"/>
      <c r="F136" s="11"/>
      <c r="G136" s="12"/>
      <c r="H136" s="13"/>
      <c r="I136" s="14"/>
      <c r="J136" s="15"/>
      <c r="K136" s="10"/>
    </row>
    <row r="137" spans="1:11" s="8" customFormat="1">
      <c r="A137" s="9"/>
      <c r="B137" s="9"/>
      <c r="F137" s="11"/>
      <c r="G137" s="12"/>
      <c r="H137" s="13"/>
      <c r="I137" s="14"/>
      <c r="J137" s="15"/>
      <c r="K137" s="10"/>
    </row>
    <row r="138" spans="1:11" s="8" customFormat="1">
      <c r="A138" s="9"/>
      <c r="B138" s="9"/>
      <c r="F138" s="11"/>
      <c r="G138" s="12"/>
      <c r="H138" s="13"/>
      <c r="I138" s="14"/>
      <c r="J138" s="15"/>
      <c r="K138" s="10"/>
    </row>
    <row r="139" spans="1:11" s="8" customFormat="1">
      <c r="A139" s="9"/>
      <c r="B139" s="9"/>
      <c r="F139" s="11"/>
      <c r="G139" s="12"/>
      <c r="H139" s="13"/>
      <c r="I139" s="14"/>
      <c r="J139" s="15"/>
      <c r="K139" s="10"/>
    </row>
    <row r="140" spans="1:11" s="8" customFormat="1">
      <c r="A140" s="9"/>
      <c r="B140" s="9"/>
      <c r="F140" s="11"/>
      <c r="G140" s="12"/>
      <c r="H140" s="13"/>
      <c r="I140" s="14"/>
      <c r="J140" s="15"/>
      <c r="K140" s="10"/>
    </row>
    <row r="141" spans="1:11" s="8" customFormat="1">
      <c r="A141" s="9"/>
      <c r="B141" s="9"/>
      <c r="F141" s="11"/>
      <c r="G141" s="12"/>
      <c r="H141" s="13"/>
      <c r="I141" s="14"/>
      <c r="J141" s="15"/>
      <c r="K141" s="10"/>
    </row>
    <row r="142" spans="1:11" s="8" customFormat="1">
      <c r="A142" s="9"/>
      <c r="B142" s="9"/>
      <c r="F142" s="11"/>
      <c r="G142" s="12"/>
      <c r="H142" s="13"/>
      <c r="I142" s="14"/>
      <c r="J142" s="15"/>
      <c r="K142" s="10"/>
    </row>
    <row r="143" spans="1:11" s="8" customFormat="1">
      <c r="A143" s="9"/>
      <c r="B143" s="9"/>
      <c r="F143" s="11"/>
      <c r="G143" s="12"/>
      <c r="H143" s="13"/>
      <c r="I143" s="14"/>
      <c r="J143" s="15"/>
      <c r="K143" s="10"/>
    </row>
    <row r="144" spans="1:11" s="8" customFormat="1">
      <c r="A144" s="9"/>
      <c r="B144" s="9"/>
      <c r="F144" s="11"/>
      <c r="G144" s="12"/>
      <c r="H144" s="13"/>
      <c r="I144" s="14"/>
      <c r="J144" s="15"/>
      <c r="K144" s="10"/>
    </row>
    <row r="145" spans="1:11" s="8" customFormat="1">
      <c r="A145" s="9"/>
      <c r="B145" s="9"/>
      <c r="F145" s="11"/>
      <c r="G145" s="12"/>
      <c r="H145" s="13"/>
      <c r="I145" s="14"/>
      <c r="J145" s="15"/>
      <c r="K145" s="10"/>
    </row>
    <row r="146" spans="1:11" s="8" customFormat="1">
      <c r="A146" s="9"/>
      <c r="B146" s="9"/>
      <c r="F146" s="11"/>
      <c r="G146" s="12"/>
      <c r="H146" s="13"/>
      <c r="I146" s="14"/>
      <c r="J146" s="15"/>
      <c r="K146" s="10"/>
    </row>
    <row r="147" spans="1:11" s="8" customFormat="1">
      <c r="A147" s="9"/>
      <c r="B147" s="9"/>
      <c r="F147" s="11"/>
      <c r="G147" s="12"/>
      <c r="H147" s="13"/>
      <c r="I147" s="14"/>
      <c r="J147" s="15"/>
      <c r="K147" s="10"/>
    </row>
    <row r="148" spans="1:11" s="8" customFormat="1">
      <c r="A148" s="9"/>
      <c r="B148" s="9"/>
      <c r="F148" s="11"/>
      <c r="G148" s="12"/>
      <c r="H148" s="13"/>
      <c r="I148" s="14"/>
      <c r="J148" s="15"/>
      <c r="K148" s="10"/>
    </row>
    <row r="149" spans="1:11" s="8" customFormat="1">
      <c r="A149" s="9"/>
      <c r="B149" s="9"/>
      <c r="F149" s="11"/>
      <c r="G149" s="12"/>
      <c r="H149" s="13"/>
      <c r="I149" s="14"/>
      <c r="J149" s="15"/>
      <c r="K149" s="10"/>
    </row>
    <row r="150" spans="1:11" s="8" customFormat="1">
      <c r="A150" s="9"/>
      <c r="B150" s="9"/>
      <c r="F150" s="11"/>
      <c r="G150" s="12"/>
      <c r="H150" s="13"/>
      <c r="I150" s="14"/>
      <c r="J150" s="15"/>
      <c r="K150" s="10"/>
    </row>
    <row r="151" spans="1:11" s="8" customFormat="1">
      <c r="A151" s="9"/>
      <c r="B151" s="9"/>
      <c r="F151" s="11"/>
      <c r="G151" s="12"/>
      <c r="H151" s="13"/>
      <c r="I151" s="14"/>
      <c r="J151" s="15"/>
      <c r="K151" s="10"/>
    </row>
    <row r="152" spans="1:11" s="8" customFormat="1">
      <c r="A152" s="9"/>
      <c r="B152" s="9"/>
      <c r="F152" s="11"/>
      <c r="G152" s="12"/>
      <c r="H152" s="13"/>
      <c r="I152" s="14"/>
      <c r="J152" s="15"/>
      <c r="K152" s="10"/>
    </row>
    <row r="153" spans="1:11" s="8" customFormat="1">
      <c r="A153" s="9"/>
      <c r="B153" s="9"/>
      <c r="F153" s="11"/>
      <c r="G153" s="12"/>
      <c r="H153" s="13"/>
      <c r="I153" s="14"/>
      <c r="J153" s="15"/>
      <c r="K153" s="10"/>
    </row>
    <row r="154" spans="1:11" s="8" customFormat="1">
      <c r="A154" s="9"/>
      <c r="B154" s="9"/>
      <c r="F154" s="11"/>
      <c r="G154" s="12"/>
      <c r="H154" s="13"/>
      <c r="I154" s="14"/>
      <c r="J154" s="15"/>
      <c r="K154" s="10"/>
    </row>
    <row r="155" spans="1:11" s="8" customFormat="1">
      <c r="A155" s="9"/>
      <c r="B155" s="9"/>
      <c r="F155" s="11"/>
      <c r="G155" s="12"/>
      <c r="H155" s="13"/>
      <c r="I155" s="14"/>
      <c r="J155" s="15"/>
      <c r="K155" s="10"/>
    </row>
    <row r="156" spans="1:11" s="8" customFormat="1">
      <c r="A156" s="9"/>
      <c r="B156" s="9"/>
      <c r="F156" s="11"/>
      <c r="G156" s="12"/>
      <c r="H156" s="13"/>
      <c r="I156" s="14"/>
      <c r="J156" s="15"/>
      <c r="K156" s="10"/>
    </row>
    <row r="157" spans="1:11" s="8" customFormat="1">
      <c r="A157" s="9"/>
      <c r="B157" s="9"/>
      <c r="F157" s="11"/>
      <c r="G157" s="12"/>
      <c r="H157" s="13"/>
      <c r="I157" s="14"/>
      <c r="J157" s="15"/>
      <c r="K157" s="10"/>
    </row>
    <row r="158" spans="1:11" s="8" customFormat="1">
      <c r="A158" s="9"/>
      <c r="B158" s="9"/>
      <c r="F158" s="11"/>
      <c r="G158" s="12"/>
      <c r="H158" s="13"/>
      <c r="I158" s="14"/>
      <c r="J158" s="15"/>
      <c r="K158" s="10"/>
    </row>
    <row r="159" spans="1:11" s="8" customFormat="1">
      <c r="A159" s="9"/>
      <c r="B159" s="9"/>
      <c r="F159" s="11"/>
      <c r="G159" s="12"/>
      <c r="H159" s="13"/>
      <c r="I159" s="14"/>
      <c r="J159" s="15"/>
      <c r="K159" s="10"/>
    </row>
    <row r="160" spans="1:11" s="8" customFormat="1">
      <c r="A160" s="9"/>
      <c r="B160" s="9"/>
      <c r="F160" s="11"/>
      <c r="G160" s="12"/>
      <c r="H160" s="13"/>
      <c r="I160" s="14"/>
      <c r="J160" s="15"/>
      <c r="K160" s="10"/>
    </row>
    <row r="161" spans="1:11" s="8" customFormat="1">
      <c r="A161" s="9"/>
      <c r="B161" s="9"/>
      <c r="F161" s="11"/>
      <c r="G161" s="12"/>
      <c r="H161" s="13"/>
      <c r="I161" s="14"/>
      <c r="J161" s="15"/>
      <c r="K161" s="10"/>
    </row>
    <row r="162" spans="1:11" s="8" customFormat="1">
      <c r="A162" s="9"/>
      <c r="B162" s="9"/>
      <c r="F162" s="11"/>
      <c r="G162" s="12"/>
      <c r="H162" s="13"/>
      <c r="I162" s="14"/>
      <c r="J162" s="15"/>
      <c r="K162" s="10"/>
    </row>
    <row r="163" spans="1:11" s="8" customFormat="1">
      <c r="A163" s="9"/>
      <c r="B163" s="9"/>
      <c r="F163" s="11"/>
      <c r="G163" s="12"/>
      <c r="H163" s="13"/>
      <c r="I163" s="14"/>
      <c r="J163" s="15"/>
      <c r="K163" s="10"/>
    </row>
    <row r="164" spans="1:11" s="8" customFormat="1">
      <c r="A164" s="9"/>
      <c r="B164" s="9"/>
      <c r="F164" s="11"/>
      <c r="G164" s="12"/>
      <c r="H164" s="13"/>
      <c r="I164" s="14"/>
      <c r="J164" s="15"/>
      <c r="K164" s="10"/>
    </row>
    <row r="165" spans="1:11" s="8" customFormat="1">
      <c r="A165" s="9"/>
      <c r="B165" s="9"/>
      <c r="F165" s="11"/>
      <c r="G165" s="12"/>
      <c r="H165" s="13"/>
      <c r="I165" s="14"/>
      <c r="J165" s="15"/>
      <c r="K165" s="10"/>
    </row>
    <row r="166" spans="1:11" s="8" customFormat="1">
      <c r="A166" s="9"/>
      <c r="B166" s="9"/>
      <c r="F166" s="11"/>
      <c r="G166" s="12"/>
      <c r="H166" s="13"/>
      <c r="I166" s="14"/>
      <c r="J166" s="15"/>
      <c r="K166" s="10"/>
    </row>
    <row r="167" spans="1:11" s="8" customFormat="1">
      <c r="A167" s="9"/>
      <c r="B167" s="9"/>
      <c r="F167" s="11"/>
      <c r="G167" s="12"/>
      <c r="H167" s="13"/>
      <c r="I167" s="14"/>
      <c r="J167" s="15"/>
      <c r="K167" s="10"/>
    </row>
    <row r="168" spans="1:11" s="8" customFormat="1">
      <c r="A168" s="9"/>
      <c r="B168" s="9"/>
      <c r="F168" s="11"/>
      <c r="G168" s="12"/>
      <c r="H168" s="13"/>
      <c r="I168" s="14"/>
      <c r="J168" s="15"/>
      <c r="K168" s="10"/>
    </row>
    <row r="169" spans="1:11" s="8" customFormat="1">
      <c r="A169" s="9"/>
      <c r="B169" s="9"/>
      <c r="F169" s="11"/>
      <c r="G169" s="12"/>
      <c r="H169" s="13"/>
      <c r="I169" s="14"/>
      <c r="J169" s="15"/>
      <c r="K169" s="10"/>
    </row>
    <row r="170" spans="1:11" s="8" customFormat="1">
      <c r="A170" s="9"/>
      <c r="B170" s="9"/>
      <c r="F170" s="11"/>
      <c r="G170" s="12"/>
      <c r="H170" s="13"/>
      <c r="I170" s="14"/>
      <c r="J170" s="15"/>
      <c r="K170" s="10"/>
    </row>
    <row r="171" spans="1:11" s="8" customFormat="1">
      <c r="A171" s="9"/>
      <c r="B171" s="9"/>
      <c r="F171" s="11"/>
      <c r="G171" s="12"/>
      <c r="H171" s="13"/>
      <c r="I171" s="14"/>
      <c r="J171" s="15"/>
      <c r="K171" s="10"/>
    </row>
    <row r="172" spans="1:11" s="8" customFormat="1">
      <c r="A172" s="9"/>
      <c r="B172" s="9"/>
      <c r="F172" s="11"/>
      <c r="G172" s="12"/>
      <c r="H172" s="13"/>
      <c r="I172" s="14"/>
      <c r="J172" s="15"/>
      <c r="K172" s="10"/>
    </row>
    <row r="173" spans="1:11" s="8" customFormat="1">
      <c r="A173" s="9"/>
      <c r="B173" s="9"/>
      <c r="F173" s="11"/>
      <c r="G173" s="12"/>
      <c r="H173" s="13"/>
      <c r="I173" s="14"/>
      <c r="J173" s="15"/>
      <c r="K173" s="10"/>
    </row>
    <row r="174" spans="1:11" s="8" customFormat="1">
      <c r="A174" s="9"/>
      <c r="B174" s="9"/>
      <c r="F174" s="11"/>
      <c r="G174" s="12"/>
      <c r="H174" s="13"/>
      <c r="I174" s="14"/>
      <c r="J174" s="15"/>
      <c r="K174" s="10"/>
    </row>
    <row r="175" spans="1:11" s="8" customFormat="1">
      <c r="A175" s="9"/>
      <c r="B175" s="9"/>
      <c r="F175" s="11"/>
      <c r="G175" s="12"/>
      <c r="H175" s="13"/>
      <c r="I175" s="14"/>
      <c r="J175" s="15"/>
      <c r="K175" s="10"/>
    </row>
    <row r="176" spans="1:11" s="8" customFormat="1">
      <c r="A176" s="9"/>
      <c r="B176" s="9"/>
      <c r="F176" s="11"/>
      <c r="G176" s="12"/>
      <c r="H176" s="13"/>
      <c r="I176" s="14"/>
      <c r="J176" s="15"/>
      <c r="K176" s="10"/>
    </row>
    <row r="177" spans="1:11" s="8" customFormat="1">
      <c r="A177" s="9"/>
      <c r="B177" s="9"/>
      <c r="F177" s="11"/>
      <c r="G177" s="12"/>
      <c r="H177" s="13"/>
      <c r="I177" s="14"/>
      <c r="J177" s="15"/>
      <c r="K177" s="10"/>
    </row>
    <row r="178" spans="1:11" s="8" customFormat="1">
      <c r="A178" s="9"/>
      <c r="B178" s="9"/>
      <c r="F178" s="11"/>
      <c r="G178" s="12"/>
      <c r="H178" s="13"/>
      <c r="I178" s="14"/>
      <c r="J178" s="15"/>
      <c r="K178" s="10"/>
    </row>
    <row r="179" spans="1:11" s="8" customFormat="1">
      <c r="A179" s="9"/>
      <c r="B179" s="9"/>
      <c r="F179" s="11"/>
      <c r="G179" s="12"/>
      <c r="H179" s="13"/>
      <c r="I179" s="14"/>
      <c r="J179" s="15"/>
      <c r="K179" s="10"/>
    </row>
    <row r="180" spans="1:11" s="8" customFormat="1">
      <c r="A180" s="9"/>
      <c r="B180" s="9"/>
      <c r="F180" s="11"/>
      <c r="G180" s="12"/>
      <c r="H180" s="13"/>
      <c r="I180" s="14"/>
      <c r="J180" s="15"/>
      <c r="K180" s="10"/>
    </row>
    <row r="181" spans="1:11" s="8" customFormat="1">
      <c r="A181" s="9"/>
      <c r="B181" s="9"/>
      <c r="F181" s="11"/>
      <c r="G181" s="12"/>
      <c r="H181" s="13"/>
      <c r="I181" s="14"/>
      <c r="J181" s="15"/>
      <c r="K181" s="10"/>
    </row>
    <row r="182" spans="1:11" s="8" customFormat="1">
      <c r="A182" s="9"/>
      <c r="B182" s="9"/>
      <c r="F182" s="11"/>
      <c r="G182" s="12"/>
      <c r="H182" s="13"/>
      <c r="I182" s="14"/>
      <c r="J182" s="15"/>
      <c r="K182" s="10"/>
    </row>
    <row r="183" spans="1:11" s="8" customFormat="1">
      <c r="A183" s="9"/>
      <c r="B183" s="9"/>
      <c r="F183" s="11"/>
      <c r="G183" s="12"/>
      <c r="H183" s="13"/>
      <c r="I183" s="14"/>
      <c r="J183" s="15"/>
      <c r="K183" s="10"/>
    </row>
    <row r="184" spans="1:11" s="8" customFormat="1">
      <c r="A184" s="9"/>
      <c r="B184" s="9"/>
      <c r="F184" s="11"/>
      <c r="G184" s="12"/>
      <c r="H184" s="13"/>
      <c r="I184" s="14"/>
      <c r="J184" s="15"/>
      <c r="K184" s="10"/>
    </row>
    <row r="185" spans="1:11" s="8" customFormat="1">
      <c r="A185" s="9"/>
      <c r="B185" s="9"/>
      <c r="F185" s="11"/>
      <c r="G185" s="12"/>
      <c r="H185" s="13"/>
      <c r="I185" s="14"/>
      <c r="J185" s="15"/>
      <c r="K185" s="10"/>
    </row>
    <row r="186" spans="1:11" s="8" customFormat="1">
      <c r="A186" s="9"/>
      <c r="B186" s="9"/>
      <c r="F186" s="11"/>
      <c r="G186" s="12"/>
      <c r="H186" s="13"/>
      <c r="I186" s="14"/>
      <c r="J186" s="15"/>
      <c r="K186" s="10"/>
    </row>
    <row r="187" spans="1:11" s="8" customFormat="1">
      <c r="A187" s="9"/>
      <c r="B187" s="9"/>
      <c r="F187" s="11"/>
      <c r="G187" s="12"/>
      <c r="H187" s="13"/>
      <c r="I187" s="14"/>
      <c r="J187" s="15"/>
      <c r="K187" s="10"/>
    </row>
    <row r="188" spans="1:11" s="8" customFormat="1">
      <c r="A188" s="9"/>
      <c r="B188" s="9"/>
      <c r="F188" s="11"/>
      <c r="G188" s="12"/>
      <c r="H188" s="13"/>
      <c r="I188" s="14"/>
      <c r="J188" s="15"/>
      <c r="K188" s="10"/>
    </row>
    <row r="189" spans="1:11" s="8" customFormat="1">
      <c r="A189" s="9"/>
      <c r="B189" s="9"/>
      <c r="F189" s="11"/>
      <c r="G189" s="12"/>
      <c r="H189" s="13"/>
      <c r="I189" s="14"/>
      <c r="J189" s="15"/>
      <c r="K189" s="10"/>
    </row>
    <row r="190" spans="1:11" s="8" customFormat="1">
      <c r="A190" s="9"/>
      <c r="B190" s="9"/>
      <c r="F190" s="11"/>
      <c r="G190" s="12"/>
      <c r="H190" s="13"/>
      <c r="I190" s="14"/>
      <c r="J190" s="15"/>
      <c r="K190" s="10"/>
    </row>
    <row r="191" spans="1:11" s="8" customFormat="1">
      <c r="A191" s="9"/>
      <c r="B191" s="9"/>
      <c r="F191" s="11"/>
      <c r="G191" s="12"/>
      <c r="H191" s="13"/>
      <c r="I191" s="14"/>
      <c r="J191" s="15"/>
      <c r="K191" s="10"/>
    </row>
    <row r="192" spans="1:11" s="8" customFormat="1">
      <c r="A192" s="9"/>
      <c r="B192" s="9"/>
      <c r="F192" s="11"/>
      <c r="G192" s="12"/>
      <c r="H192" s="13"/>
      <c r="I192" s="14"/>
      <c r="J192" s="15"/>
      <c r="K192" s="10"/>
    </row>
    <row r="193" spans="1:11" s="8" customFormat="1">
      <c r="A193" s="9"/>
      <c r="B193" s="9"/>
      <c r="F193" s="11"/>
      <c r="G193" s="12"/>
      <c r="H193" s="13"/>
      <c r="I193" s="14"/>
      <c r="J193" s="15"/>
      <c r="K193" s="10"/>
    </row>
    <row r="194" spans="1:11" s="8" customFormat="1">
      <c r="A194" s="9"/>
      <c r="B194" s="9"/>
      <c r="F194" s="11"/>
      <c r="G194" s="12"/>
      <c r="H194" s="13"/>
      <c r="I194" s="14"/>
      <c r="J194" s="15"/>
      <c r="K194" s="10"/>
    </row>
    <row r="195" spans="1:11" s="8" customFormat="1">
      <c r="A195" s="9"/>
      <c r="B195" s="9"/>
      <c r="F195" s="11"/>
      <c r="G195" s="12"/>
      <c r="H195" s="13"/>
      <c r="I195" s="14"/>
      <c r="J195" s="15"/>
      <c r="K195" s="10"/>
    </row>
    <row r="196" spans="1:11" s="8" customFormat="1">
      <c r="A196" s="9"/>
      <c r="B196" s="9"/>
      <c r="F196" s="11"/>
      <c r="G196" s="12"/>
      <c r="H196" s="13"/>
      <c r="I196" s="14"/>
      <c r="J196" s="15"/>
      <c r="K196" s="10"/>
    </row>
    <row r="197" spans="1:11" s="8" customFormat="1">
      <c r="A197" s="9"/>
      <c r="B197" s="9"/>
      <c r="F197" s="11"/>
      <c r="G197" s="12"/>
      <c r="H197" s="13"/>
      <c r="I197" s="14"/>
      <c r="J197" s="15"/>
      <c r="K197" s="10"/>
    </row>
    <row r="198" spans="1:11" s="8" customFormat="1">
      <c r="A198" s="9"/>
      <c r="B198" s="9"/>
      <c r="F198" s="11"/>
      <c r="G198" s="12"/>
      <c r="H198" s="13"/>
      <c r="I198" s="14"/>
      <c r="J198" s="15"/>
      <c r="K198" s="10"/>
    </row>
    <row r="199" spans="1:11" s="8" customFormat="1">
      <c r="A199" s="9"/>
      <c r="B199" s="9"/>
      <c r="F199" s="11"/>
      <c r="G199" s="12"/>
      <c r="H199" s="13"/>
      <c r="I199" s="14"/>
      <c r="J199" s="15"/>
      <c r="K199" s="10"/>
    </row>
    <row r="200" spans="1:11" s="8" customFormat="1">
      <c r="A200" s="9"/>
      <c r="B200" s="9"/>
      <c r="F200" s="11"/>
      <c r="G200" s="12"/>
      <c r="H200" s="13"/>
      <c r="I200" s="14"/>
      <c r="J200" s="15"/>
      <c r="K200" s="10"/>
    </row>
    <row r="201" spans="1:11" s="8" customFormat="1">
      <c r="A201" s="9"/>
      <c r="B201" s="9"/>
      <c r="F201" s="11"/>
      <c r="G201" s="12"/>
      <c r="H201" s="13"/>
      <c r="I201" s="14"/>
      <c r="J201" s="15"/>
      <c r="K201" s="10"/>
    </row>
    <row r="202" spans="1:11" s="8" customFormat="1">
      <c r="A202" s="9"/>
      <c r="B202" s="9"/>
      <c r="F202" s="11"/>
      <c r="G202" s="12"/>
      <c r="H202" s="13"/>
      <c r="I202" s="14"/>
      <c r="J202" s="15"/>
      <c r="K202" s="10"/>
    </row>
    <row r="203" spans="1:11" s="8" customFormat="1">
      <c r="A203" s="9"/>
      <c r="B203" s="9"/>
      <c r="F203" s="11"/>
      <c r="G203" s="12"/>
      <c r="H203" s="13"/>
      <c r="I203" s="14"/>
      <c r="J203" s="15"/>
      <c r="K203" s="10"/>
    </row>
    <row r="204" spans="1:11" s="8" customFormat="1">
      <c r="A204" s="9"/>
      <c r="B204" s="9"/>
      <c r="F204" s="11"/>
      <c r="G204" s="12"/>
      <c r="H204" s="13"/>
      <c r="I204" s="14"/>
      <c r="J204" s="15"/>
      <c r="K204" s="10"/>
    </row>
    <row r="205" spans="1:11" s="8" customFormat="1">
      <c r="A205" s="9"/>
      <c r="B205" s="9"/>
      <c r="F205" s="11"/>
      <c r="G205" s="12"/>
      <c r="H205" s="13"/>
      <c r="I205" s="14"/>
      <c r="J205" s="15"/>
      <c r="K205" s="10"/>
    </row>
    <row r="206" spans="1:11" s="8" customFormat="1">
      <c r="A206" s="9"/>
      <c r="B206" s="9"/>
      <c r="F206" s="11"/>
      <c r="G206" s="12"/>
      <c r="H206" s="13"/>
      <c r="I206" s="14"/>
      <c r="J206" s="15"/>
      <c r="K206" s="10"/>
    </row>
    <row r="207" spans="1:11" s="8" customFormat="1">
      <c r="A207" s="9"/>
      <c r="B207" s="9"/>
      <c r="F207" s="11"/>
      <c r="G207" s="12"/>
      <c r="H207" s="13"/>
      <c r="I207" s="14"/>
      <c r="J207" s="15"/>
      <c r="K207" s="10"/>
    </row>
    <row r="208" spans="1:11" s="8" customFormat="1">
      <c r="A208" s="9"/>
      <c r="B208" s="9"/>
      <c r="F208" s="11"/>
      <c r="G208" s="12"/>
      <c r="H208" s="13"/>
      <c r="I208" s="14"/>
      <c r="J208" s="15"/>
      <c r="K208" s="10"/>
    </row>
    <row r="209" spans="1:11" s="8" customFormat="1">
      <c r="A209" s="9"/>
      <c r="B209" s="9"/>
      <c r="F209" s="11"/>
      <c r="G209" s="12"/>
      <c r="H209" s="13"/>
      <c r="I209" s="14"/>
      <c r="J209" s="15"/>
      <c r="K209" s="10"/>
    </row>
    <row r="210" spans="1:11" s="8" customFormat="1">
      <c r="A210" s="9"/>
      <c r="B210" s="9"/>
      <c r="F210" s="11"/>
      <c r="G210" s="12"/>
      <c r="H210" s="13"/>
      <c r="I210" s="14"/>
      <c r="J210" s="15"/>
      <c r="K210" s="10"/>
    </row>
    <row r="211" spans="1:11" s="8" customFormat="1">
      <c r="A211" s="9"/>
      <c r="B211" s="9"/>
      <c r="F211" s="11"/>
      <c r="G211" s="12"/>
      <c r="H211" s="13"/>
      <c r="I211" s="14"/>
      <c r="J211" s="15"/>
      <c r="K211" s="10"/>
    </row>
    <row r="212" spans="1:11" s="8" customFormat="1">
      <c r="A212" s="9"/>
      <c r="B212" s="9"/>
      <c r="F212" s="11"/>
      <c r="G212" s="12"/>
      <c r="H212" s="13"/>
      <c r="I212" s="14"/>
      <c r="J212" s="15"/>
      <c r="K212" s="10"/>
    </row>
    <row r="213" spans="1:11" s="8" customFormat="1">
      <c r="A213" s="9"/>
      <c r="B213" s="9"/>
      <c r="F213" s="11"/>
      <c r="G213" s="12"/>
      <c r="H213" s="13"/>
      <c r="I213" s="14"/>
      <c r="J213" s="15"/>
      <c r="K213" s="10"/>
    </row>
    <row r="214" spans="1:11" s="8" customFormat="1">
      <c r="A214" s="9"/>
      <c r="B214" s="9"/>
      <c r="F214" s="11"/>
      <c r="G214" s="12"/>
      <c r="H214" s="13"/>
      <c r="I214" s="14"/>
      <c r="J214" s="15"/>
      <c r="K214" s="10"/>
    </row>
    <row r="215" spans="1:11" s="8" customFormat="1">
      <c r="A215" s="9"/>
      <c r="B215" s="9"/>
      <c r="F215" s="11"/>
      <c r="G215" s="12"/>
      <c r="H215" s="13"/>
      <c r="I215" s="14"/>
      <c r="J215" s="15"/>
      <c r="K215" s="10"/>
    </row>
    <row r="216" spans="1:11" s="8" customFormat="1">
      <c r="A216" s="9"/>
      <c r="B216" s="9"/>
      <c r="F216" s="11"/>
      <c r="G216" s="12"/>
      <c r="H216" s="13"/>
      <c r="I216" s="14"/>
      <c r="J216" s="15"/>
      <c r="K216" s="10"/>
    </row>
    <row r="217" spans="1:11" s="8" customFormat="1">
      <c r="A217" s="9"/>
      <c r="B217" s="9"/>
      <c r="F217" s="11"/>
      <c r="G217" s="12"/>
      <c r="H217" s="13"/>
      <c r="I217" s="14"/>
      <c r="J217" s="15"/>
      <c r="K217" s="10"/>
    </row>
    <row r="218" spans="1:11" s="8" customFormat="1">
      <c r="A218" s="9"/>
      <c r="B218" s="9"/>
      <c r="F218" s="11"/>
      <c r="G218" s="12"/>
      <c r="H218" s="13"/>
      <c r="I218" s="14"/>
      <c r="J218" s="15"/>
      <c r="K218" s="10"/>
    </row>
    <row r="219" spans="1:11" s="8" customFormat="1">
      <c r="A219" s="9"/>
      <c r="B219" s="9"/>
      <c r="F219" s="11"/>
      <c r="G219" s="12"/>
      <c r="H219" s="13"/>
      <c r="I219" s="14"/>
      <c r="J219" s="15"/>
      <c r="K219" s="10"/>
    </row>
    <row r="220" spans="1:11" s="8" customFormat="1">
      <c r="A220" s="9"/>
      <c r="B220" s="9"/>
      <c r="F220" s="11"/>
      <c r="G220" s="12"/>
      <c r="H220" s="13"/>
      <c r="I220" s="14"/>
      <c r="J220" s="15"/>
      <c r="K220" s="10"/>
    </row>
    <row r="221" spans="1:11" s="8" customFormat="1">
      <c r="A221" s="9"/>
      <c r="B221" s="9"/>
      <c r="F221" s="11"/>
      <c r="G221" s="12"/>
      <c r="H221" s="13"/>
      <c r="I221" s="14"/>
      <c r="J221" s="15"/>
      <c r="K221" s="10"/>
    </row>
    <row r="222" spans="1:11" s="8" customFormat="1">
      <c r="A222" s="9"/>
      <c r="B222" s="9"/>
      <c r="F222" s="11"/>
      <c r="G222" s="12"/>
      <c r="H222" s="13"/>
      <c r="I222" s="14"/>
      <c r="J222" s="15"/>
      <c r="K222" s="10"/>
    </row>
    <row r="223" spans="1:11" s="8" customFormat="1">
      <c r="A223" s="9"/>
      <c r="B223" s="9"/>
      <c r="F223" s="11"/>
      <c r="G223" s="12"/>
      <c r="H223" s="13"/>
      <c r="I223" s="14"/>
      <c r="J223" s="15"/>
      <c r="K223" s="10"/>
    </row>
    <row r="224" spans="1:11" s="8" customFormat="1">
      <c r="A224" s="9"/>
      <c r="B224" s="9"/>
      <c r="F224" s="11"/>
      <c r="G224" s="12"/>
      <c r="H224" s="13"/>
      <c r="I224" s="14"/>
      <c r="J224" s="15"/>
      <c r="K224" s="10"/>
    </row>
    <row r="225" spans="1:11" s="8" customFormat="1">
      <c r="A225" s="9"/>
      <c r="B225" s="9"/>
      <c r="F225" s="11"/>
      <c r="G225" s="12"/>
      <c r="H225" s="13"/>
      <c r="I225" s="14"/>
      <c r="J225" s="15"/>
      <c r="K225" s="10"/>
    </row>
    <row r="226" spans="1:11" s="8" customFormat="1">
      <c r="A226" s="9"/>
      <c r="B226" s="9"/>
      <c r="F226" s="11"/>
      <c r="G226" s="12"/>
      <c r="H226" s="13"/>
      <c r="I226" s="14"/>
      <c r="J226" s="15"/>
      <c r="K226" s="10"/>
    </row>
    <row r="227" spans="1:11" s="8" customFormat="1">
      <c r="A227" s="9"/>
      <c r="B227" s="9"/>
      <c r="F227" s="11"/>
      <c r="G227" s="12"/>
      <c r="H227" s="13"/>
      <c r="I227" s="14"/>
      <c r="J227" s="15"/>
      <c r="K227" s="10"/>
    </row>
    <row r="228" spans="1:11" s="8" customFormat="1">
      <c r="A228" s="9"/>
      <c r="B228" s="9"/>
      <c r="F228" s="11"/>
      <c r="G228" s="12"/>
      <c r="H228" s="13"/>
      <c r="I228" s="14"/>
      <c r="J228" s="15"/>
      <c r="K228" s="10"/>
    </row>
    <row r="229" spans="1:11" s="8" customFormat="1">
      <c r="A229" s="9"/>
      <c r="B229" s="9"/>
      <c r="F229" s="11"/>
      <c r="G229" s="12"/>
      <c r="H229" s="13"/>
      <c r="I229" s="14"/>
      <c r="J229" s="15"/>
      <c r="K229" s="10"/>
    </row>
    <row r="230" spans="1:11" s="8" customFormat="1">
      <c r="A230" s="9"/>
      <c r="B230" s="9"/>
      <c r="F230" s="11"/>
      <c r="G230" s="12"/>
      <c r="H230" s="13"/>
      <c r="I230" s="14"/>
      <c r="J230" s="15"/>
      <c r="K230" s="10"/>
    </row>
    <row r="231" spans="1:11" s="8" customFormat="1">
      <c r="A231" s="9"/>
      <c r="B231" s="9"/>
      <c r="F231" s="11"/>
      <c r="G231" s="12"/>
      <c r="H231" s="13"/>
      <c r="I231" s="14"/>
      <c r="J231" s="15"/>
      <c r="K231" s="10"/>
    </row>
    <row r="232" spans="1:11" s="8" customFormat="1">
      <c r="A232" s="9"/>
      <c r="B232" s="9"/>
      <c r="F232" s="11"/>
      <c r="G232" s="12"/>
      <c r="H232" s="13"/>
      <c r="I232" s="14"/>
      <c r="J232" s="15"/>
      <c r="K232" s="10"/>
    </row>
    <row r="233" spans="1:11" s="8" customFormat="1">
      <c r="A233" s="9"/>
      <c r="B233" s="9"/>
      <c r="F233" s="11"/>
      <c r="G233" s="12"/>
      <c r="H233" s="13"/>
      <c r="I233" s="14"/>
      <c r="J233" s="15"/>
      <c r="K233" s="10"/>
    </row>
    <row r="234" spans="1:11" s="8" customFormat="1">
      <c r="A234" s="9"/>
      <c r="B234" s="9"/>
      <c r="F234" s="11"/>
      <c r="G234" s="12"/>
      <c r="H234" s="13"/>
      <c r="I234" s="14"/>
      <c r="J234" s="15"/>
      <c r="K234" s="10"/>
    </row>
    <row r="235" spans="1:11" s="8" customFormat="1">
      <c r="A235" s="9"/>
      <c r="B235" s="9"/>
      <c r="F235" s="11"/>
      <c r="G235" s="12"/>
      <c r="H235" s="13"/>
      <c r="I235" s="14"/>
      <c r="J235" s="15"/>
      <c r="K235" s="10"/>
    </row>
    <row r="236" spans="1:11" s="8" customFormat="1">
      <c r="A236" s="9"/>
      <c r="B236" s="9"/>
      <c r="F236" s="11"/>
      <c r="G236" s="12"/>
      <c r="H236" s="13"/>
      <c r="I236" s="14"/>
      <c r="J236" s="15"/>
      <c r="K236" s="10"/>
    </row>
    <row r="237" spans="1:11" s="8" customFormat="1">
      <c r="A237" s="9"/>
      <c r="B237" s="9"/>
      <c r="F237" s="11"/>
      <c r="G237" s="12"/>
      <c r="H237" s="13"/>
      <c r="I237" s="14"/>
      <c r="J237" s="15"/>
      <c r="K237" s="10"/>
    </row>
    <row r="238" spans="1:11" s="8" customFormat="1">
      <c r="A238" s="9"/>
      <c r="B238" s="9"/>
      <c r="F238" s="11"/>
      <c r="G238" s="12"/>
      <c r="H238" s="13"/>
      <c r="I238" s="14"/>
      <c r="J238" s="15"/>
      <c r="K238" s="10"/>
    </row>
    <row r="239" spans="1:11" s="8" customFormat="1">
      <c r="A239" s="9"/>
      <c r="B239" s="9"/>
      <c r="F239" s="11"/>
      <c r="G239" s="12"/>
      <c r="H239" s="13"/>
      <c r="I239" s="14"/>
      <c r="J239" s="15"/>
      <c r="K239" s="10"/>
    </row>
    <row r="240" spans="1:11" s="8" customFormat="1">
      <c r="A240" s="9"/>
      <c r="B240" s="9"/>
      <c r="F240" s="11"/>
      <c r="G240" s="12"/>
      <c r="H240" s="13"/>
      <c r="I240" s="14"/>
      <c r="J240" s="15"/>
      <c r="K240" s="10"/>
    </row>
    <row r="241" spans="1:11" s="8" customFormat="1">
      <c r="A241" s="9"/>
      <c r="B241" s="9"/>
      <c r="F241" s="11"/>
      <c r="G241" s="12"/>
      <c r="H241" s="13"/>
      <c r="I241" s="14"/>
      <c r="J241" s="15"/>
      <c r="K241" s="10"/>
    </row>
    <row r="242" spans="1:11" s="8" customFormat="1">
      <c r="A242" s="9"/>
      <c r="B242" s="9"/>
      <c r="F242" s="11"/>
      <c r="G242" s="12"/>
      <c r="H242" s="13"/>
      <c r="I242" s="14"/>
      <c r="J242" s="15"/>
      <c r="K242" s="10"/>
    </row>
    <row r="243" spans="1:11" s="8" customFormat="1">
      <c r="A243" s="9"/>
      <c r="B243" s="9"/>
      <c r="F243" s="11"/>
      <c r="G243" s="12"/>
      <c r="H243" s="13"/>
      <c r="I243" s="14"/>
      <c r="J243" s="15"/>
      <c r="K243" s="10"/>
    </row>
    <row r="244" spans="1:11" s="8" customFormat="1">
      <c r="A244" s="9"/>
      <c r="B244" s="9"/>
      <c r="F244" s="11"/>
      <c r="G244" s="12"/>
      <c r="H244" s="13"/>
      <c r="I244" s="14"/>
      <c r="J244" s="15"/>
      <c r="K244" s="10"/>
    </row>
    <row r="245" spans="1:11" s="8" customFormat="1">
      <c r="A245" s="9"/>
      <c r="B245" s="9"/>
      <c r="F245" s="11"/>
      <c r="G245" s="12"/>
      <c r="H245" s="13"/>
      <c r="I245" s="14"/>
      <c r="J245" s="15"/>
      <c r="K245" s="10"/>
    </row>
    <row r="246" spans="1:11" s="8" customFormat="1">
      <c r="A246" s="9"/>
      <c r="B246" s="9"/>
      <c r="F246" s="11"/>
      <c r="G246" s="12"/>
      <c r="H246" s="13"/>
      <c r="I246" s="14"/>
      <c r="J246" s="15"/>
      <c r="K246" s="10"/>
    </row>
    <row r="247" spans="1:11" s="8" customFormat="1">
      <c r="A247" s="9"/>
      <c r="B247" s="9"/>
      <c r="F247" s="11"/>
      <c r="G247" s="12"/>
      <c r="H247" s="13"/>
      <c r="I247" s="14"/>
      <c r="J247" s="15"/>
      <c r="K247" s="10"/>
    </row>
    <row r="248" spans="1:11" s="8" customFormat="1">
      <c r="A248" s="9"/>
      <c r="B248" s="9"/>
      <c r="F248" s="11"/>
      <c r="G248" s="12"/>
      <c r="H248" s="13"/>
      <c r="I248" s="14"/>
      <c r="J248" s="15"/>
      <c r="K248" s="10"/>
    </row>
    <row r="249" spans="1:11" s="8" customFormat="1">
      <c r="A249" s="9"/>
      <c r="B249" s="9"/>
      <c r="F249" s="11"/>
      <c r="G249" s="12"/>
      <c r="H249" s="13"/>
      <c r="I249" s="14"/>
      <c r="J249" s="15"/>
      <c r="K249" s="10"/>
    </row>
    <row r="250" spans="1:11" s="8" customFormat="1">
      <c r="A250" s="9"/>
      <c r="B250" s="9"/>
      <c r="F250" s="11"/>
      <c r="G250" s="12"/>
      <c r="H250" s="13"/>
      <c r="I250" s="14"/>
      <c r="J250" s="15"/>
      <c r="K250" s="10"/>
    </row>
    <row r="251" spans="1:11" s="8" customFormat="1">
      <c r="A251" s="9"/>
      <c r="B251" s="9"/>
      <c r="F251" s="11"/>
      <c r="G251" s="12"/>
      <c r="H251" s="13"/>
      <c r="I251" s="14"/>
      <c r="J251" s="15"/>
      <c r="K251" s="10"/>
    </row>
    <row r="252" spans="1:11" s="8" customFormat="1">
      <c r="A252" s="9"/>
      <c r="B252" s="9"/>
      <c r="F252" s="11"/>
      <c r="G252" s="12"/>
      <c r="H252" s="13"/>
      <c r="I252" s="14"/>
      <c r="J252" s="15"/>
      <c r="K252" s="10"/>
    </row>
    <row r="253" spans="1:11" s="8" customFormat="1">
      <c r="A253" s="9"/>
      <c r="B253" s="9"/>
      <c r="F253" s="11"/>
      <c r="G253" s="12"/>
      <c r="H253" s="13"/>
      <c r="I253" s="14"/>
      <c r="J253" s="15"/>
      <c r="K253" s="10"/>
    </row>
    <row r="254" spans="1:11" s="8" customFormat="1">
      <c r="A254" s="9"/>
      <c r="B254" s="9"/>
      <c r="F254" s="11"/>
      <c r="G254" s="12"/>
      <c r="H254" s="13"/>
      <c r="I254" s="14"/>
      <c r="J254" s="15"/>
      <c r="K254" s="10"/>
    </row>
    <row r="255" spans="1:11" s="8" customFormat="1">
      <c r="A255" s="9"/>
      <c r="B255" s="9"/>
      <c r="F255" s="11"/>
      <c r="G255" s="12"/>
      <c r="H255" s="13"/>
      <c r="I255" s="14"/>
      <c r="J255" s="15"/>
      <c r="K255" s="10"/>
    </row>
    <row r="256" spans="1:11" s="8" customFormat="1">
      <c r="A256" s="9"/>
      <c r="B256" s="9"/>
      <c r="F256" s="11"/>
      <c r="G256" s="12"/>
      <c r="H256" s="13"/>
      <c r="I256" s="14"/>
      <c r="J256" s="15"/>
      <c r="K256" s="10"/>
    </row>
    <row r="257" spans="1:11" s="8" customFormat="1">
      <c r="A257" s="9"/>
      <c r="B257" s="9"/>
      <c r="F257" s="11"/>
      <c r="G257" s="12"/>
      <c r="H257" s="13"/>
      <c r="I257" s="14"/>
      <c r="J257" s="15"/>
      <c r="K257" s="10"/>
    </row>
    <row r="258" spans="1:11" s="8" customFormat="1">
      <c r="A258" s="9"/>
      <c r="B258" s="9"/>
      <c r="F258" s="11"/>
      <c r="G258" s="12"/>
      <c r="H258" s="13"/>
      <c r="I258" s="14"/>
      <c r="J258" s="15"/>
      <c r="K258" s="10"/>
    </row>
    <row r="259" spans="1:11" s="8" customFormat="1">
      <c r="A259" s="9"/>
      <c r="B259" s="9"/>
      <c r="F259" s="11"/>
      <c r="G259" s="12"/>
      <c r="H259" s="13"/>
      <c r="I259" s="14"/>
      <c r="J259" s="15"/>
      <c r="K259" s="10"/>
    </row>
    <row r="260" spans="1:11" s="8" customFormat="1">
      <c r="A260" s="9"/>
      <c r="B260" s="9"/>
      <c r="F260" s="11"/>
      <c r="G260" s="12"/>
      <c r="H260" s="13"/>
      <c r="I260" s="14"/>
      <c r="J260" s="15"/>
      <c r="K260" s="10"/>
    </row>
    <row r="261" spans="1:11" s="8" customFormat="1">
      <c r="A261" s="9"/>
      <c r="B261" s="9"/>
      <c r="F261" s="11"/>
      <c r="G261" s="12"/>
      <c r="H261" s="13"/>
      <c r="I261" s="14"/>
      <c r="J261" s="15"/>
      <c r="K261" s="10"/>
    </row>
    <row r="262" spans="1:11" s="8" customFormat="1">
      <c r="A262" s="9"/>
      <c r="B262" s="9"/>
      <c r="F262" s="11"/>
      <c r="G262" s="12"/>
      <c r="H262" s="13"/>
      <c r="I262" s="14"/>
      <c r="J262" s="15"/>
      <c r="K262" s="10"/>
    </row>
    <row r="263" spans="1:11" s="8" customFormat="1">
      <c r="A263" s="9"/>
      <c r="B263" s="9"/>
      <c r="F263" s="11"/>
      <c r="G263" s="12"/>
      <c r="H263" s="13"/>
      <c r="I263" s="14"/>
      <c r="J263" s="15"/>
      <c r="K263" s="10"/>
    </row>
    <row r="264" spans="1:11" s="8" customFormat="1">
      <c r="A264" s="9"/>
      <c r="B264" s="9"/>
      <c r="F264" s="11"/>
      <c r="G264" s="12"/>
      <c r="H264" s="13"/>
      <c r="I264" s="14"/>
      <c r="J264" s="15"/>
      <c r="K264" s="10"/>
    </row>
    <row r="265" spans="1:11" s="8" customFormat="1">
      <c r="A265" s="9"/>
      <c r="B265" s="9"/>
      <c r="F265" s="11"/>
      <c r="G265" s="12"/>
      <c r="H265" s="13"/>
      <c r="I265" s="14"/>
      <c r="J265" s="15"/>
      <c r="K265" s="10"/>
    </row>
    <row r="266" spans="1:11" s="8" customFormat="1">
      <c r="A266" s="9"/>
      <c r="B266" s="9"/>
      <c r="F266" s="11"/>
      <c r="G266" s="12"/>
      <c r="H266" s="13"/>
      <c r="I266" s="14"/>
      <c r="J266" s="15"/>
      <c r="K266" s="10"/>
    </row>
    <row r="267" spans="1:11" s="8" customFormat="1">
      <c r="A267" s="9"/>
      <c r="B267" s="9"/>
      <c r="F267" s="11"/>
      <c r="G267" s="12"/>
      <c r="H267" s="13"/>
      <c r="I267" s="14"/>
      <c r="J267" s="15"/>
      <c r="K267" s="10"/>
    </row>
    <row r="268" spans="1:11" s="8" customFormat="1">
      <c r="A268" s="9"/>
      <c r="B268" s="9"/>
      <c r="F268" s="11"/>
      <c r="G268" s="12"/>
      <c r="H268" s="13"/>
      <c r="I268" s="14"/>
      <c r="J268" s="15"/>
      <c r="K268" s="10"/>
    </row>
    <row r="269" spans="1:11" s="8" customFormat="1">
      <c r="A269" s="9"/>
      <c r="B269" s="9"/>
      <c r="F269" s="11"/>
      <c r="G269" s="12"/>
      <c r="H269" s="13"/>
      <c r="I269" s="14"/>
      <c r="J269" s="15"/>
      <c r="K269" s="10"/>
    </row>
    <row r="270" spans="1:11" s="8" customFormat="1">
      <c r="A270" s="9"/>
      <c r="B270" s="9"/>
      <c r="F270" s="11"/>
      <c r="G270" s="12"/>
      <c r="H270" s="13"/>
      <c r="I270" s="14"/>
      <c r="J270" s="15"/>
      <c r="K270" s="10"/>
    </row>
    <row r="271" spans="1:11" s="8" customFormat="1">
      <c r="A271" s="9"/>
      <c r="B271" s="9"/>
      <c r="F271" s="11"/>
      <c r="G271" s="12"/>
      <c r="H271" s="13"/>
      <c r="I271" s="14"/>
      <c r="J271" s="15"/>
      <c r="K271" s="10"/>
    </row>
    <row r="272" spans="1:11" s="8" customFormat="1">
      <c r="A272" s="9"/>
      <c r="B272" s="9"/>
      <c r="F272" s="11"/>
      <c r="G272" s="12"/>
      <c r="H272" s="13"/>
      <c r="I272" s="14"/>
      <c r="J272" s="15"/>
      <c r="K272" s="10"/>
    </row>
    <row r="273" spans="1:11" s="8" customFormat="1">
      <c r="A273" s="9"/>
      <c r="B273" s="9"/>
      <c r="F273" s="11"/>
      <c r="G273" s="12"/>
      <c r="H273" s="13"/>
      <c r="I273" s="14"/>
      <c r="J273" s="15"/>
      <c r="K273" s="10"/>
    </row>
    <row r="274" spans="1:11" s="8" customFormat="1">
      <c r="A274" s="9"/>
      <c r="B274" s="9"/>
      <c r="F274" s="11"/>
      <c r="G274" s="12"/>
      <c r="H274" s="13"/>
      <c r="I274" s="14"/>
      <c r="J274" s="15"/>
      <c r="K274" s="10"/>
    </row>
    <row r="275" spans="1:11" s="8" customFormat="1">
      <c r="A275" s="9"/>
      <c r="B275" s="9"/>
      <c r="F275" s="11"/>
      <c r="G275" s="12"/>
      <c r="H275" s="13"/>
      <c r="I275" s="14"/>
      <c r="J275" s="15"/>
      <c r="K275" s="10"/>
    </row>
    <row r="276" spans="1:11" s="8" customFormat="1">
      <c r="A276" s="9"/>
      <c r="B276" s="9"/>
      <c r="F276" s="11"/>
      <c r="G276" s="12"/>
      <c r="H276" s="13"/>
      <c r="I276" s="14"/>
      <c r="J276" s="15"/>
      <c r="K276" s="10"/>
    </row>
    <row r="277" spans="1:11" s="8" customFormat="1">
      <c r="A277" s="9"/>
      <c r="B277" s="9"/>
      <c r="F277" s="11"/>
      <c r="G277" s="12"/>
      <c r="H277" s="13"/>
      <c r="I277" s="14"/>
      <c r="J277" s="15"/>
      <c r="K277" s="10"/>
    </row>
    <row r="278" spans="1:11" s="8" customFormat="1">
      <c r="A278" s="9"/>
      <c r="B278" s="9"/>
      <c r="F278" s="11"/>
      <c r="G278" s="12"/>
      <c r="H278" s="13"/>
      <c r="I278" s="14"/>
      <c r="J278" s="15"/>
      <c r="K278" s="10"/>
    </row>
    <row r="279" spans="1:11" s="8" customFormat="1">
      <c r="A279" s="9"/>
      <c r="B279" s="9"/>
      <c r="F279" s="11"/>
      <c r="G279" s="12"/>
      <c r="H279" s="13"/>
      <c r="I279" s="14"/>
      <c r="J279" s="15"/>
      <c r="K279" s="10"/>
    </row>
    <row r="280" spans="1:11" s="8" customFormat="1">
      <c r="A280" s="9"/>
      <c r="B280" s="9"/>
      <c r="F280" s="11"/>
      <c r="G280" s="12"/>
      <c r="H280" s="13"/>
      <c r="I280" s="14"/>
      <c r="J280" s="15"/>
      <c r="K280" s="10"/>
    </row>
    <row r="281" spans="1:11" s="8" customFormat="1">
      <c r="A281" s="9"/>
      <c r="B281" s="9"/>
      <c r="F281" s="11"/>
      <c r="G281" s="12"/>
      <c r="H281" s="13"/>
      <c r="I281" s="14"/>
      <c r="J281" s="15"/>
      <c r="K281" s="10"/>
    </row>
    <row r="282" spans="1:11" s="8" customFormat="1">
      <c r="A282" s="9"/>
      <c r="B282" s="9"/>
      <c r="F282" s="11"/>
      <c r="G282" s="12"/>
      <c r="H282" s="13"/>
      <c r="I282" s="14"/>
      <c r="J282" s="15"/>
      <c r="K282" s="10"/>
    </row>
    <row r="283" spans="1:11" s="8" customFormat="1">
      <c r="A283" s="9"/>
      <c r="B283" s="9"/>
      <c r="F283" s="11"/>
      <c r="G283" s="12"/>
      <c r="H283" s="13"/>
      <c r="I283" s="14"/>
      <c r="J283" s="15"/>
      <c r="K283" s="10"/>
    </row>
    <row r="284" spans="1:11" s="8" customFormat="1">
      <c r="A284" s="9"/>
      <c r="B284" s="9"/>
      <c r="F284" s="11"/>
      <c r="G284" s="12"/>
      <c r="H284" s="13"/>
      <c r="I284" s="14"/>
      <c r="J284" s="15"/>
      <c r="K284" s="10"/>
    </row>
    <row r="285" spans="1:11" s="8" customFormat="1">
      <c r="A285" s="9"/>
      <c r="B285" s="9"/>
      <c r="F285" s="11"/>
      <c r="G285" s="12"/>
      <c r="H285" s="13"/>
      <c r="I285" s="14"/>
      <c r="J285" s="15"/>
      <c r="K285" s="10"/>
    </row>
    <row r="286" spans="1:11" s="8" customFormat="1">
      <c r="A286" s="9"/>
      <c r="B286" s="9"/>
      <c r="F286" s="11"/>
      <c r="G286" s="12"/>
      <c r="H286" s="13"/>
      <c r="I286" s="14"/>
      <c r="J286" s="15"/>
      <c r="K286" s="10"/>
    </row>
    <row r="287" spans="1:11" s="8" customFormat="1">
      <c r="A287" s="9"/>
      <c r="B287" s="9"/>
      <c r="F287" s="11"/>
      <c r="G287" s="12"/>
      <c r="H287" s="13"/>
      <c r="I287" s="14"/>
      <c r="J287" s="15"/>
      <c r="K287" s="10"/>
    </row>
    <row r="288" spans="1:11" s="8" customFormat="1">
      <c r="A288" s="9"/>
      <c r="B288" s="9"/>
      <c r="F288" s="11"/>
      <c r="G288" s="12"/>
      <c r="H288" s="13"/>
      <c r="I288" s="14"/>
      <c r="J288" s="15"/>
      <c r="K288" s="10"/>
    </row>
    <row r="289" spans="1:11" s="8" customFormat="1">
      <c r="A289" s="9"/>
      <c r="B289" s="9"/>
      <c r="F289" s="11"/>
      <c r="G289" s="12"/>
      <c r="H289" s="13"/>
      <c r="I289" s="14"/>
      <c r="J289" s="15"/>
      <c r="K289" s="10"/>
    </row>
    <row r="290" spans="1:11" s="8" customFormat="1">
      <c r="A290" s="9"/>
      <c r="B290" s="9"/>
      <c r="F290" s="11"/>
      <c r="G290" s="12"/>
      <c r="H290" s="13"/>
      <c r="I290" s="14"/>
      <c r="J290" s="15"/>
      <c r="K290" s="10"/>
    </row>
    <row r="291" spans="1:11" s="8" customFormat="1">
      <c r="A291" s="9"/>
      <c r="B291" s="9"/>
      <c r="F291" s="11"/>
      <c r="G291" s="12"/>
      <c r="H291" s="13"/>
      <c r="I291" s="14"/>
      <c r="J291" s="15"/>
      <c r="K291" s="10"/>
    </row>
    <row r="292" spans="1:11" s="8" customFormat="1">
      <c r="A292" s="9"/>
      <c r="B292" s="9"/>
      <c r="F292" s="11"/>
      <c r="G292" s="12"/>
      <c r="H292" s="13"/>
      <c r="I292" s="14"/>
      <c r="J292" s="15"/>
      <c r="K292" s="10"/>
    </row>
    <row r="293" spans="1:11" s="8" customFormat="1">
      <c r="A293" s="9"/>
      <c r="B293" s="9"/>
      <c r="F293" s="11"/>
      <c r="G293" s="12"/>
      <c r="H293" s="13"/>
      <c r="I293" s="14"/>
      <c r="J293" s="15"/>
      <c r="K293" s="10"/>
    </row>
    <row r="294" spans="1:11" s="8" customFormat="1">
      <c r="A294" s="9"/>
      <c r="B294" s="9"/>
      <c r="F294" s="11"/>
      <c r="G294" s="12"/>
      <c r="H294" s="13"/>
      <c r="I294" s="14"/>
      <c r="J294" s="15"/>
      <c r="K294" s="10"/>
    </row>
    <row r="295" spans="1:11" s="8" customFormat="1">
      <c r="A295" s="9"/>
      <c r="B295" s="9"/>
      <c r="F295" s="11"/>
      <c r="G295" s="12"/>
      <c r="H295" s="13"/>
      <c r="I295" s="14"/>
      <c r="J295" s="15"/>
      <c r="K295" s="10"/>
    </row>
    <row r="296" spans="1:11" s="8" customFormat="1">
      <c r="A296" s="9"/>
      <c r="B296" s="9"/>
      <c r="F296" s="11"/>
      <c r="G296" s="12"/>
      <c r="H296" s="13"/>
      <c r="I296" s="14"/>
      <c r="J296" s="15"/>
      <c r="K296" s="10"/>
    </row>
    <row r="297" spans="1:11" s="8" customFormat="1">
      <c r="A297" s="9"/>
      <c r="B297" s="9"/>
      <c r="F297" s="11"/>
      <c r="G297" s="12"/>
      <c r="H297" s="13"/>
      <c r="I297" s="14"/>
      <c r="J297" s="15"/>
      <c r="K297" s="10"/>
    </row>
    <row r="298" spans="1:11" s="8" customFormat="1">
      <c r="A298" s="9"/>
      <c r="B298" s="9"/>
      <c r="F298" s="11"/>
      <c r="G298" s="12"/>
      <c r="H298" s="13"/>
      <c r="I298" s="14"/>
      <c r="J298" s="15"/>
      <c r="K298" s="10"/>
    </row>
    <row r="299" spans="1:11" s="8" customFormat="1">
      <c r="A299" s="9"/>
      <c r="B299" s="9"/>
      <c r="F299" s="11"/>
      <c r="G299" s="12"/>
      <c r="H299" s="13"/>
      <c r="I299" s="14"/>
      <c r="J299" s="15"/>
      <c r="K299" s="10"/>
    </row>
    <row r="300" spans="1:11" s="8" customFormat="1">
      <c r="A300" s="9"/>
      <c r="B300" s="9"/>
      <c r="F300" s="11"/>
      <c r="G300" s="12"/>
      <c r="H300" s="13"/>
      <c r="I300" s="14"/>
      <c r="J300" s="15"/>
      <c r="K300" s="10"/>
    </row>
    <row r="301" spans="1:11" s="8" customFormat="1">
      <c r="A301" s="9"/>
      <c r="B301" s="9"/>
      <c r="F301" s="11"/>
      <c r="G301" s="12"/>
      <c r="H301" s="13"/>
      <c r="I301" s="14"/>
      <c r="J301" s="15"/>
      <c r="K301" s="10"/>
    </row>
    <row r="302" spans="1:11" s="8" customFormat="1">
      <c r="A302" s="9"/>
      <c r="B302" s="9"/>
      <c r="F302" s="11"/>
      <c r="G302" s="12"/>
      <c r="H302" s="13"/>
      <c r="I302" s="14"/>
      <c r="J302" s="15"/>
      <c r="K302" s="10"/>
    </row>
    <row r="303" spans="1:11" s="8" customFormat="1">
      <c r="A303" s="9"/>
      <c r="B303" s="9"/>
      <c r="F303" s="11"/>
      <c r="G303" s="12"/>
      <c r="H303" s="13"/>
      <c r="I303" s="14"/>
      <c r="J303" s="15"/>
      <c r="K303" s="10"/>
    </row>
    <row r="304" spans="1:11" s="8" customFormat="1">
      <c r="A304" s="9"/>
      <c r="B304" s="9"/>
      <c r="F304" s="11"/>
      <c r="G304" s="12"/>
      <c r="H304" s="13"/>
      <c r="I304" s="14"/>
      <c r="J304" s="15"/>
      <c r="K304" s="10"/>
    </row>
    <row r="305" spans="1:11" s="8" customFormat="1">
      <c r="A305" s="9"/>
      <c r="B305" s="9"/>
      <c r="F305" s="11"/>
      <c r="G305" s="12"/>
      <c r="H305" s="13"/>
      <c r="I305" s="14"/>
      <c r="J305" s="15"/>
      <c r="K305" s="10"/>
    </row>
    <row r="306" spans="1:11" s="8" customFormat="1">
      <c r="A306" s="9"/>
      <c r="B306" s="9"/>
      <c r="F306" s="11"/>
      <c r="G306" s="12"/>
      <c r="H306" s="13"/>
      <c r="I306" s="14"/>
      <c r="J306" s="15"/>
      <c r="K306" s="10"/>
    </row>
    <row r="307" spans="1:11" s="8" customFormat="1">
      <c r="A307" s="9"/>
      <c r="B307" s="9"/>
      <c r="F307" s="11"/>
      <c r="G307" s="12"/>
      <c r="H307" s="13"/>
      <c r="I307" s="14"/>
      <c r="J307" s="15"/>
      <c r="K307" s="10"/>
    </row>
    <row r="308" spans="1:11" s="8" customFormat="1">
      <c r="A308" s="9"/>
      <c r="B308" s="9"/>
      <c r="F308" s="11"/>
      <c r="G308" s="12"/>
      <c r="H308" s="13"/>
      <c r="I308" s="14"/>
      <c r="J308" s="15"/>
      <c r="K308" s="10"/>
    </row>
    <row r="309" spans="1:11" s="8" customFormat="1">
      <c r="A309" s="9"/>
      <c r="B309" s="9"/>
      <c r="F309" s="11"/>
      <c r="G309" s="12"/>
      <c r="H309" s="13"/>
      <c r="I309" s="14"/>
      <c r="J309" s="15"/>
      <c r="K309" s="10"/>
    </row>
    <row r="310" spans="1:11" s="8" customFormat="1">
      <c r="A310" s="9"/>
      <c r="B310" s="9"/>
      <c r="F310" s="11"/>
      <c r="G310" s="12"/>
      <c r="H310" s="13"/>
      <c r="I310" s="14"/>
      <c r="J310" s="15"/>
      <c r="K310" s="10"/>
    </row>
    <row r="311" spans="1:11" s="8" customFormat="1">
      <c r="A311" s="9"/>
      <c r="B311" s="9"/>
      <c r="F311" s="11"/>
      <c r="G311" s="12"/>
      <c r="H311" s="13"/>
      <c r="I311" s="14"/>
      <c r="J311" s="15"/>
      <c r="K311" s="10"/>
    </row>
    <row r="312" spans="1:11" s="8" customFormat="1">
      <c r="A312" s="9"/>
      <c r="B312" s="9"/>
      <c r="F312" s="11"/>
      <c r="G312" s="12"/>
      <c r="H312" s="13"/>
      <c r="I312" s="14"/>
      <c r="J312" s="15"/>
      <c r="K312" s="10"/>
    </row>
    <row r="313" spans="1:11" s="8" customFormat="1">
      <c r="A313" s="9"/>
      <c r="B313" s="9"/>
      <c r="F313" s="11"/>
      <c r="G313" s="12"/>
      <c r="H313" s="13"/>
      <c r="I313" s="14"/>
      <c r="J313" s="15"/>
      <c r="K313" s="10"/>
    </row>
    <row r="314" spans="1:11" s="8" customFormat="1">
      <c r="A314" s="9"/>
      <c r="B314" s="9"/>
      <c r="F314" s="11"/>
      <c r="G314" s="12"/>
      <c r="H314" s="13"/>
      <c r="I314" s="14"/>
      <c r="J314" s="15"/>
      <c r="K314" s="10"/>
    </row>
    <row r="315" spans="1:11" s="8" customFormat="1">
      <c r="A315" s="9"/>
      <c r="B315" s="9"/>
      <c r="F315" s="11"/>
      <c r="G315" s="12"/>
      <c r="H315" s="13"/>
      <c r="I315" s="14"/>
      <c r="J315" s="15"/>
      <c r="K315" s="10"/>
    </row>
    <row r="316" spans="1:11" s="8" customFormat="1">
      <c r="A316" s="9"/>
      <c r="B316" s="9"/>
      <c r="F316" s="11"/>
      <c r="G316" s="12"/>
      <c r="H316" s="13"/>
      <c r="I316" s="14"/>
      <c r="J316" s="15"/>
      <c r="K316" s="10"/>
    </row>
    <row r="317" spans="1:11" s="8" customFormat="1">
      <c r="A317" s="9"/>
      <c r="B317" s="9"/>
      <c r="F317" s="11"/>
      <c r="G317" s="12"/>
      <c r="H317" s="13"/>
      <c r="I317" s="14"/>
      <c r="J317" s="15"/>
      <c r="K317" s="10"/>
    </row>
    <row r="318" spans="1:11" s="8" customFormat="1">
      <c r="A318" s="9"/>
      <c r="B318" s="9"/>
      <c r="F318" s="11"/>
      <c r="G318" s="12"/>
      <c r="H318" s="13"/>
      <c r="I318" s="14"/>
      <c r="J318" s="15"/>
      <c r="K318" s="10"/>
    </row>
    <row r="319" spans="1:11" s="8" customFormat="1">
      <c r="A319" s="9"/>
      <c r="B319" s="9"/>
      <c r="F319" s="11"/>
      <c r="G319" s="12"/>
      <c r="H319" s="13"/>
      <c r="I319" s="14"/>
      <c r="J319" s="15"/>
      <c r="K319" s="10"/>
    </row>
    <row r="320" spans="1:11" s="8" customFormat="1">
      <c r="A320" s="9"/>
      <c r="B320" s="9"/>
      <c r="F320" s="11"/>
      <c r="G320" s="12"/>
      <c r="H320" s="13"/>
      <c r="I320" s="14"/>
      <c r="J320" s="15"/>
      <c r="K320" s="10"/>
    </row>
    <row r="321" spans="1:11" s="8" customFormat="1">
      <c r="A321" s="9"/>
      <c r="B321" s="9"/>
      <c r="F321" s="11"/>
      <c r="G321" s="12"/>
      <c r="H321" s="13"/>
      <c r="I321" s="14"/>
      <c r="J321" s="15"/>
      <c r="K321" s="10"/>
    </row>
    <row r="322" spans="1:11" s="8" customFormat="1">
      <c r="A322" s="9"/>
      <c r="B322" s="9"/>
      <c r="F322" s="11"/>
      <c r="G322" s="12"/>
      <c r="H322" s="13"/>
      <c r="I322" s="14"/>
      <c r="J322" s="15"/>
      <c r="K322" s="10"/>
    </row>
    <row r="323" spans="1:11" s="8" customFormat="1">
      <c r="A323" s="9"/>
      <c r="B323" s="9"/>
      <c r="F323" s="11"/>
      <c r="G323" s="12"/>
      <c r="H323" s="13"/>
      <c r="I323" s="14"/>
      <c r="J323" s="15"/>
      <c r="K323" s="10"/>
    </row>
    <row r="324" spans="1:11" s="8" customFormat="1">
      <c r="A324" s="9"/>
      <c r="B324" s="9"/>
      <c r="F324" s="11"/>
      <c r="G324" s="12"/>
      <c r="H324" s="13"/>
      <c r="I324" s="14"/>
      <c r="J324" s="15"/>
      <c r="K324" s="10"/>
    </row>
    <row r="325" spans="1:11" s="8" customFormat="1">
      <c r="A325" s="9"/>
      <c r="B325" s="9"/>
      <c r="F325" s="11"/>
      <c r="G325" s="12"/>
      <c r="H325" s="13"/>
      <c r="I325" s="14"/>
      <c r="J325" s="15"/>
      <c r="K325" s="10"/>
    </row>
    <row r="326" spans="1:11" s="8" customFormat="1">
      <c r="A326" s="9"/>
      <c r="B326" s="9"/>
      <c r="F326" s="11"/>
      <c r="G326" s="12"/>
      <c r="H326" s="13"/>
      <c r="I326" s="14"/>
      <c r="J326" s="15"/>
      <c r="K326" s="10"/>
    </row>
    <row r="327" spans="1:11" s="8" customFormat="1">
      <c r="A327" s="9"/>
      <c r="B327" s="9"/>
      <c r="F327" s="11"/>
      <c r="G327" s="12"/>
      <c r="H327" s="13"/>
      <c r="I327" s="14"/>
      <c r="J327" s="15"/>
      <c r="K327" s="10"/>
    </row>
    <row r="328" spans="1:11" s="8" customFormat="1">
      <c r="A328" s="9"/>
      <c r="B328" s="9"/>
      <c r="F328" s="11"/>
      <c r="G328" s="12"/>
      <c r="H328" s="13"/>
      <c r="I328" s="14"/>
      <c r="J328" s="15"/>
      <c r="K328" s="10"/>
    </row>
    <row r="329" spans="1:11" s="8" customFormat="1">
      <c r="A329" s="9"/>
      <c r="B329" s="9"/>
      <c r="F329" s="11"/>
      <c r="G329" s="12"/>
      <c r="H329" s="13"/>
      <c r="I329" s="14"/>
      <c r="J329" s="15"/>
      <c r="K329" s="10"/>
    </row>
    <row r="330" spans="1:11" s="8" customFormat="1">
      <c r="A330" s="9"/>
      <c r="B330" s="9"/>
      <c r="F330" s="11"/>
      <c r="G330" s="12"/>
      <c r="H330" s="13"/>
      <c r="I330" s="14"/>
      <c r="J330" s="15"/>
      <c r="K330" s="10"/>
    </row>
    <row r="331" spans="1:11" s="8" customFormat="1">
      <c r="A331" s="9"/>
      <c r="B331" s="9"/>
      <c r="F331" s="11"/>
      <c r="G331" s="12"/>
      <c r="H331" s="13"/>
      <c r="I331" s="14"/>
      <c r="J331" s="15"/>
      <c r="K331" s="10"/>
    </row>
    <row r="332" spans="1:11" s="8" customFormat="1">
      <c r="A332" s="9"/>
      <c r="B332" s="9"/>
      <c r="F332" s="11"/>
      <c r="G332" s="12"/>
      <c r="H332" s="13"/>
      <c r="I332" s="14"/>
      <c r="J332" s="15"/>
      <c r="K332" s="10"/>
    </row>
    <row r="333" spans="1:11" s="8" customFormat="1">
      <c r="A333" s="9"/>
      <c r="B333" s="9"/>
      <c r="F333" s="11"/>
      <c r="G333" s="12"/>
      <c r="H333" s="13"/>
      <c r="I333" s="14"/>
      <c r="J333" s="15"/>
      <c r="K333" s="10"/>
    </row>
    <row r="334" spans="1:11" s="8" customFormat="1">
      <c r="A334" s="9"/>
      <c r="B334" s="9"/>
      <c r="F334" s="11"/>
      <c r="G334" s="12"/>
      <c r="H334" s="13"/>
      <c r="I334" s="14"/>
      <c r="J334" s="15"/>
      <c r="K334" s="10"/>
    </row>
    <row r="335" spans="1:11" s="8" customFormat="1">
      <c r="A335" s="9"/>
      <c r="B335" s="9"/>
      <c r="F335" s="11"/>
      <c r="G335" s="12"/>
      <c r="H335" s="13"/>
      <c r="I335" s="14"/>
      <c r="J335" s="15"/>
      <c r="K335" s="10"/>
    </row>
    <row r="336" spans="1:11" s="8" customFormat="1">
      <c r="A336" s="9"/>
      <c r="B336" s="9"/>
      <c r="F336" s="11"/>
      <c r="G336" s="12"/>
      <c r="H336" s="13"/>
      <c r="I336" s="14"/>
      <c r="J336" s="15"/>
      <c r="K336" s="10"/>
    </row>
    <row r="337" spans="1:11" s="8" customFormat="1">
      <c r="A337" s="9"/>
      <c r="B337" s="9"/>
      <c r="F337" s="11"/>
      <c r="G337" s="12"/>
      <c r="H337" s="13"/>
      <c r="I337" s="14"/>
      <c r="J337" s="15"/>
      <c r="K337" s="10"/>
    </row>
    <row r="338" spans="1:11" s="8" customFormat="1">
      <c r="A338" s="9"/>
      <c r="B338" s="9"/>
      <c r="F338" s="11"/>
      <c r="G338" s="12"/>
      <c r="H338" s="13"/>
      <c r="I338" s="14"/>
      <c r="J338" s="15"/>
      <c r="K338" s="10"/>
    </row>
    <row r="339" spans="1:11" s="8" customFormat="1">
      <c r="A339" s="9"/>
      <c r="B339" s="9"/>
      <c r="F339" s="11"/>
      <c r="G339" s="12"/>
      <c r="H339" s="13"/>
      <c r="I339" s="14"/>
      <c r="J339" s="15"/>
      <c r="K339" s="10"/>
    </row>
    <row r="340" spans="1:11" s="8" customFormat="1">
      <c r="A340" s="9"/>
      <c r="B340" s="9"/>
      <c r="F340" s="11"/>
      <c r="G340" s="12"/>
      <c r="H340" s="13"/>
      <c r="I340" s="14"/>
      <c r="J340" s="15"/>
      <c r="K340" s="10"/>
    </row>
    <row r="341" spans="1:11" s="8" customFormat="1">
      <c r="A341" s="9"/>
      <c r="B341" s="9"/>
      <c r="F341" s="11"/>
      <c r="G341" s="12"/>
      <c r="H341" s="13"/>
      <c r="I341" s="14"/>
      <c r="J341" s="15"/>
      <c r="K341" s="10"/>
    </row>
    <row r="342" spans="1:11" s="8" customFormat="1">
      <c r="A342" s="9"/>
      <c r="B342" s="9"/>
      <c r="F342" s="11"/>
      <c r="G342" s="12"/>
      <c r="H342" s="13"/>
      <c r="I342" s="14"/>
      <c r="J342" s="15"/>
      <c r="K342" s="10"/>
    </row>
    <row r="343" spans="1:11" s="8" customFormat="1">
      <c r="A343" s="9"/>
      <c r="B343" s="9"/>
      <c r="F343" s="11"/>
      <c r="G343" s="12"/>
      <c r="H343" s="13"/>
      <c r="I343" s="14"/>
      <c r="J343" s="15"/>
      <c r="K343" s="10"/>
    </row>
    <row r="344" spans="1:11" s="8" customFormat="1">
      <c r="A344" s="9"/>
      <c r="B344" s="9"/>
      <c r="F344" s="11"/>
      <c r="G344" s="12"/>
      <c r="H344" s="13"/>
      <c r="I344" s="14"/>
      <c r="J344" s="15"/>
      <c r="K344" s="10"/>
    </row>
    <row r="345" spans="1:11" s="8" customFormat="1">
      <c r="A345" s="9"/>
      <c r="B345" s="9"/>
      <c r="F345" s="11"/>
      <c r="G345" s="12"/>
      <c r="H345" s="13"/>
      <c r="I345" s="14"/>
      <c r="J345" s="15"/>
      <c r="K345" s="10"/>
    </row>
    <row r="346" spans="1:11" s="8" customFormat="1">
      <c r="A346" s="9"/>
      <c r="B346" s="9"/>
      <c r="F346" s="11"/>
      <c r="G346" s="12"/>
      <c r="H346" s="13"/>
      <c r="I346" s="14"/>
      <c r="J346" s="15"/>
      <c r="K346" s="10"/>
    </row>
    <row r="347" spans="1:11" s="8" customFormat="1">
      <c r="A347" s="9"/>
      <c r="B347" s="9"/>
      <c r="F347" s="11"/>
      <c r="G347" s="12"/>
      <c r="H347" s="13"/>
      <c r="I347" s="14"/>
      <c r="J347" s="15"/>
      <c r="K347" s="10"/>
    </row>
    <row r="348" spans="1:11" s="8" customFormat="1">
      <c r="A348" s="9"/>
      <c r="B348" s="9"/>
      <c r="F348" s="11"/>
      <c r="G348" s="12"/>
      <c r="H348" s="13"/>
      <c r="I348" s="14"/>
      <c r="J348" s="15"/>
      <c r="K348" s="10"/>
    </row>
    <row r="349" spans="1:11" s="8" customFormat="1">
      <c r="A349" s="9"/>
      <c r="B349" s="9"/>
      <c r="F349" s="11"/>
      <c r="G349" s="12"/>
      <c r="H349" s="13"/>
      <c r="I349" s="14"/>
      <c r="J349" s="15"/>
      <c r="K349" s="10"/>
    </row>
    <row r="350" spans="1:11" s="8" customFormat="1">
      <c r="A350" s="9"/>
      <c r="B350" s="9"/>
      <c r="F350" s="11"/>
      <c r="G350" s="12"/>
      <c r="H350" s="13"/>
      <c r="I350" s="14"/>
      <c r="J350" s="15"/>
      <c r="K350" s="10"/>
    </row>
    <row r="351" spans="1:11" s="8" customFormat="1">
      <c r="A351" s="9"/>
      <c r="B351" s="9"/>
      <c r="F351" s="11"/>
      <c r="G351" s="12"/>
      <c r="H351" s="13"/>
      <c r="I351" s="14"/>
      <c r="J351" s="15"/>
      <c r="K351" s="10"/>
    </row>
    <row r="352" spans="1:11" s="8" customFormat="1">
      <c r="A352" s="9"/>
      <c r="B352" s="9"/>
      <c r="F352" s="11"/>
      <c r="G352" s="12"/>
      <c r="H352" s="13"/>
      <c r="I352" s="14"/>
      <c r="J352" s="15"/>
      <c r="K352" s="10"/>
    </row>
    <row r="353" spans="1:11" s="8" customFormat="1">
      <c r="A353" s="9"/>
      <c r="B353" s="9"/>
      <c r="F353" s="11"/>
      <c r="G353" s="12"/>
      <c r="H353" s="13"/>
      <c r="I353" s="14"/>
      <c r="J353" s="15"/>
      <c r="K353" s="10"/>
    </row>
    <row r="354" spans="1:11" s="8" customFormat="1">
      <c r="A354" s="9"/>
      <c r="B354" s="9"/>
      <c r="F354" s="11"/>
      <c r="G354" s="12"/>
      <c r="H354" s="13"/>
      <c r="I354" s="14"/>
      <c r="J354" s="15"/>
      <c r="K354" s="10"/>
    </row>
    <row r="355" spans="1:11" s="8" customFormat="1">
      <c r="A355" s="9"/>
      <c r="B355" s="9"/>
      <c r="F355" s="11"/>
      <c r="G355" s="12"/>
      <c r="H355" s="13"/>
      <c r="I355" s="14"/>
      <c r="J355" s="15"/>
      <c r="K355" s="10"/>
    </row>
    <row r="356" spans="1:11" s="8" customFormat="1">
      <c r="A356" s="9"/>
      <c r="B356" s="9"/>
      <c r="F356" s="11"/>
      <c r="G356" s="12"/>
      <c r="H356" s="13"/>
      <c r="I356" s="14"/>
      <c r="J356" s="15"/>
      <c r="K356" s="10"/>
    </row>
    <row r="357" spans="1:11" s="8" customFormat="1">
      <c r="A357" s="9"/>
      <c r="B357" s="9"/>
      <c r="F357" s="11"/>
      <c r="G357" s="12"/>
      <c r="H357" s="13"/>
      <c r="I357" s="14"/>
      <c r="J357" s="15"/>
      <c r="K357" s="10"/>
    </row>
    <row r="358" spans="1:11" s="8" customFormat="1">
      <c r="A358" s="9"/>
      <c r="B358" s="9"/>
      <c r="F358" s="11"/>
      <c r="G358" s="12"/>
      <c r="H358" s="13"/>
      <c r="I358" s="14"/>
      <c r="J358" s="15"/>
      <c r="K358" s="10"/>
    </row>
    <row r="359" spans="1:11" s="8" customFormat="1">
      <c r="A359" s="9"/>
      <c r="B359" s="9"/>
      <c r="F359" s="11"/>
      <c r="G359" s="12"/>
      <c r="H359" s="13"/>
      <c r="I359" s="14"/>
      <c r="J359" s="15"/>
      <c r="K359" s="10"/>
    </row>
    <row r="360" spans="1:11" s="8" customFormat="1">
      <c r="A360" s="9"/>
      <c r="B360" s="9"/>
      <c r="F360" s="11"/>
      <c r="G360" s="12"/>
      <c r="H360" s="13"/>
      <c r="I360" s="14"/>
      <c r="J360" s="15"/>
      <c r="K360" s="10"/>
    </row>
    <row r="361" spans="1:11" s="8" customFormat="1">
      <c r="A361" s="9"/>
      <c r="B361" s="9"/>
      <c r="F361" s="11"/>
      <c r="G361" s="12"/>
      <c r="H361" s="13"/>
      <c r="I361" s="14"/>
      <c r="J361" s="15"/>
      <c r="K361" s="10"/>
    </row>
    <row r="362" spans="1:11" s="8" customFormat="1">
      <c r="A362" s="9"/>
      <c r="B362" s="9"/>
      <c r="F362" s="11"/>
      <c r="G362" s="12"/>
      <c r="H362" s="13"/>
      <c r="I362" s="14"/>
      <c r="J362" s="15"/>
      <c r="K362" s="10"/>
    </row>
    <row r="363" spans="1:11" s="8" customFormat="1">
      <c r="A363" s="9"/>
      <c r="B363" s="9"/>
      <c r="F363" s="11"/>
      <c r="G363" s="12"/>
      <c r="H363" s="13"/>
      <c r="I363" s="14"/>
      <c r="J363" s="15"/>
      <c r="K363" s="10"/>
    </row>
    <row r="364" spans="1:11" s="8" customFormat="1">
      <c r="A364" s="9"/>
      <c r="B364" s="9"/>
      <c r="F364" s="11"/>
      <c r="G364" s="12"/>
      <c r="H364" s="13"/>
      <c r="I364" s="14"/>
      <c r="J364" s="15"/>
      <c r="K364" s="10"/>
    </row>
    <row r="365" spans="1:11" s="8" customFormat="1">
      <c r="A365" s="9"/>
      <c r="B365" s="9"/>
      <c r="F365" s="11"/>
      <c r="G365" s="12"/>
      <c r="H365" s="13"/>
      <c r="I365" s="14"/>
      <c r="J365" s="15"/>
      <c r="K365" s="10"/>
    </row>
    <row r="366" spans="1:11" s="8" customFormat="1">
      <c r="A366" s="9"/>
      <c r="B366" s="9"/>
      <c r="F366" s="11"/>
      <c r="G366" s="12"/>
      <c r="H366" s="13"/>
      <c r="I366" s="14"/>
      <c r="J366" s="15"/>
      <c r="K366" s="10"/>
    </row>
    <row r="367" spans="1:11" s="8" customFormat="1">
      <c r="A367" s="9"/>
      <c r="B367" s="9"/>
      <c r="F367" s="11"/>
      <c r="G367" s="12"/>
      <c r="H367" s="13"/>
      <c r="I367" s="14"/>
      <c r="J367" s="15"/>
      <c r="K367" s="10"/>
    </row>
    <row r="368" spans="1:11" s="8" customFormat="1">
      <c r="A368" s="9"/>
      <c r="B368" s="9"/>
      <c r="F368" s="11"/>
      <c r="G368" s="12"/>
      <c r="H368" s="13"/>
      <c r="I368" s="14"/>
      <c r="J368" s="15"/>
      <c r="K368" s="10"/>
    </row>
    <row r="369" spans="1:11" s="8" customFormat="1">
      <c r="A369" s="9"/>
      <c r="B369" s="9"/>
      <c r="F369" s="11"/>
      <c r="G369" s="12"/>
      <c r="H369" s="13"/>
      <c r="I369" s="14"/>
      <c r="J369" s="15"/>
      <c r="K369" s="10"/>
    </row>
    <row r="370" spans="1:11" s="8" customFormat="1">
      <c r="A370" s="9"/>
      <c r="B370" s="9"/>
      <c r="F370" s="11"/>
      <c r="G370" s="12"/>
      <c r="H370" s="13"/>
      <c r="I370" s="14"/>
      <c r="J370" s="15"/>
      <c r="K370" s="10"/>
    </row>
    <row r="371" spans="1:11" s="8" customFormat="1">
      <c r="A371" s="9"/>
      <c r="B371" s="9"/>
      <c r="F371" s="11"/>
      <c r="G371" s="12"/>
      <c r="H371" s="13"/>
      <c r="I371" s="14"/>
      <c r="J371" s="15"/>
      <c r="K371" s="10"/>
    </row>
    <row r="372" spans="1:11" s="8" customFormat="1">
      <c r="A372" s="9"/>
      <c r="B372" s="9"/>
      <c r="F372" s="11"/>
      <c r="G372" s="12"/>
      <c r="H372" s="13"/>
      <c r="I372" s="14"/>
      <c r="J372" s="15"/>
      <c r="K372" s="10"/>
    </row>
    <row r="373" spans="1:11" s="8" customFormat="1">
      <c r="A373" s="9"/>
      <c r="B373" s="9"/>
      <c r="F373" s="11"/>
      <c r="G373" s="12"/>
      <c r="H373" s="13"/>
      <c r="I373" s="14"/>
      <c r="J373" s="15"/>
      <c r="K373" s="10"/>
    </row>
    <row r="374" spans="1:11" s="8" customFormat="1">
      <c r="A374" s="9"/>
      <c r="B374" s="9"/>
      <c r="F374" s="11"/>
      <c r="G374" s="12"/>
      <c r="H374" s="13"/>
      <c r="I374" s="14"/>
      <c r="J374" s="15"/>
      <c r="K374" s="10"/>
    </row>
    <row r="375" spans="1:11" s="8" customFormat="1">
      <c r="A375" s="9"/>
      <c r="B375" s="9"/>
      <c r="F375" s="11"/>
      <c r="G375" s="12"/>
      <c r="H375" s="13"/>
      <c r="I375" s="14"/>
      <c r="J375" s="15"/>
      <c r="K375" s="10"/>
    </row>
    <row r="376" spans="1:11" s="8" customFormat="1">
      <c r="A376" s="9"/>
      <c r="B376" s="9"/>
      <c r="F376" s="11"/>
      <c r="G376" s="12"/>
      <c r="H376" s="13"/>
      <c r="I376" s="14"/>
      <c r="J376" s="15"/>
      <c r="K376" s="10"/>
    </row>
    <row r="377" spans="1:11" s="8" customFormat="1">
      <c r="A377" s="9"/>
      <c r="B377" s="9"/>
      <c r="F377" s="11"/>
      <c r="G377" s="12"/>
      <c r="H377" s="13"/>
      <c r="I377" s="14"/>
      <c r="J377" s="15"/>
      <c r="K377" s="10"/>
    </row>
    <row r="378" spans="1:11" s="8" customFormat="1">
      <c r="A378" s="9"/>
      <c r="B378" s="9"/>
      <c r="F378" s="11"/>
      <c r="G378" s="12"/>
      <c r="H378" s="13"/>
      <c r="I378" s="14"/>
      <c r="J378" s="15"/>
      <c r="K378" s="10"/>
    </row>
    <row r="379" spans="1:11" s="8" customFormat="1">
      <c r="A379" s="9"/>
      <c r="B379" s="9"/>
      <c r="F379" s="11"/>
      <c r="G379" s="12"/>
      <c r="H379" s="13"/>
      <c r="I379" s="14"/>
      <c r="J379" s="15"/>
      <c r="K379" s="10"/>
    </row>
    <row r="380" spans="1:11" s="8" customFormat="1">
      <c r="A380" s="9"/>
      <c r="B380" s="9"/>
      <c r="F380" s="11"/>
      <c r="G380" s="12"/>
      <c r="H380" s="13"/>
      <c r="I380" s="14"/>
      <c r="J380" s="15"/>
      <c r="K380" s="10"/>
    </row>
    <row r="381" spans="1:11" s="8" customFormat="1">
      <c r="A381" s="9"/>
      <c r="B381" s="9"/>
      <c r="F381" s="11"/>
      <c r="G381" s="12"/>
      <c r="H381" s="13"/>
      <c r="I381" s="14"/>
      <c r="J381" s="15"/>
      <c r="K381" s="10"/>
    </row>
    <row r="382" spans="1:11" s="8" customFormat="1">
      <c r="A382" s="9"/>
      <c r="B382" s="9"/>
      <c r="F382" s="11"/>
      <c r="G382" s="12"/>
      <c r="H382" s="13"/>
      <c r="I382" s="14"/>
      <c r="J382" s="15"/>
      <c r="K382" s="10"/>
    </row>
    <row r="383" spans="1:11" s="8" customFormat="1">
      <c r="A383" s="9"/>
      <c r="B383" s="9"/>
      <c r="F383" s="11"/>
      <c r="G383" s="12"/>
      <c r="H383" s="13"/>
      <c r="I383" s="14"/>
      <c r="J383" s="15"/>
      <c r="K383" s="10"/>
    </row>
    <row r="384" spans="1:11" s="8" customFormat="1">
      <c r="A384" s="9"/>
      <c r="B384" s="9"/>
      <c r="F384" s="11"/>
      <c r="G384" s="12"/>
      <c r="H384" s="13"/>
      <c r="I384" s="14"/>
      <c r="J384" s="15"/>
      <c r="K384" s="10"/>
    </row>
    <row r="385" spans="1:11" s="8" customFormat="1">
      <c r="A385" s="9"/>
      <c r="B385" s="9"/>
      <c r="F385" s="11"/>
      <c r="G385" s="12"/>
      <c r="H385" s="13"/>
      <c r="I385" s="14"/>
      <c r="J385" s="15"/>
      <c r="K385" s="10"/>
    </row>
    <row r="386" spans="1:11" s="8" customFormat="1">
      <c r="A386" s="9"/>
      <c r="B386" s="9"/>
      <c r="F386" s="11"/>
      <c r="G386" s="12"/>
      <c r="H386" s="13"/>
      <c r="I386" s="14"/>
      <c r="J386" s="15"/>
      <c r="K386" s="10"/>
    </row>
    <row r="387" spans="1:11" s="8" customFormat="1">
      <c r="A387" s="9"/>
      <c r="B387" s="9"/>
      <c r="F387" s="11"/>
      <c r="G387" s="12"/>
      <c r="H387" s="13"/>
      <c r="I387" s="14"/>
      <c r="J387" s="15"/>
      <c r="K387" s="10"/>
    </row>
    <row r="388" spans="1:11" s="8" customFormat="1">
      <c r="A388" s="9"/>
      <c r="B388" s="9"/>
      <c r="F388" s="11"/>
      <c r="G388" s="12"/>
      <c r="H388" s="13"/>
      <c r="I388" s="14"/>
      <c r="J388" s="15"/>
      <c r="K388" s="10"/>
    </row>
    <row r="389" spans="1:11" s="8" customFormat="1">
      <c r="A389" s="9"/>
      <c r="B389" s="9"/>
      <c r="F389" s="11"/>
      <c r="G389" s="12"/>
      <c r="H389" s="13"/>
      <c r="I389" s="14"/>
      <c r="J389" s="15"/>
      <c r="K389" s="10"/>
    </row>
    <row r="390" spans="1:11" s="8" customFormat="1">
      <c r="A390" s="9"/>
      <c r="B390" s="9"/>
      <c r="F390" s="11"/>
      <c r="G390" s="12"/>
      <c r="H390" s="13"/>
      <c r="I390" s="14"/>
      <c r="J390" s="15"/>
      <c r="K390" s="10"/>
    </row>
    <row r="391" spans="1:11" s="8" customFormat="1">
      <c r="A391" s="9"/>
      <c r="B391" s="9"/>
      <c r="F391" s="11"/>
      <c r="G391" s="12"/>
      <c r="H391" s="13"/>
      <c r="I391" s="14"/>
      <c r="J391" s="15"/>
      <c r="K391" s="10"/>
    </row>
    <row r="392" spans="1:11" s="8" customFormat="1">
      <c r="A392" s="9"/>
      <c r="B392" s="9"/>
      <c r="F392" s="11"/>
      <c r="G392" s="12"/>
      <c r="H392" s="13"/>
      <c r="I392" s="14"/>
      <c r="J392" s="15"/>
      <c r="K392" s="10"/>
    </row>
    <row r="393" spans="1:11" s="8" customFormat="1">
      <c r="A393" s="9"/>
      <c r="B393" s="9"/>
      <c r="F393" s="11"/>
      <c r="G393" s="12"/>
      <c r="H393" s="13"/>
      <c r="I393" s="14"/>
      <c r="J393" s="15"/>
      <c r="K393" s="10"/>
    </row>
    <row r="394" spans="1:11" s="8" customFormat="1">
      <c r="A394" s="9"/>
      <c r="B394" s="9"/>
      <c r="F394" s="11"/>
      <c r="G394" s="12"/>
      <c r="H394" s="13"/>
      <c r="I394" s="14"/>
      <c r="J394" s="15"/>
      <c r="K394" s="10"/>
    </row>
    <row r="395" spans="1:11" s="8" customFormat="1">
      <c r="A395" s="9"/>
      <c r="B395" s="9"/>
      <c r="F395" s="11"/>
      <c r="G395" s="12"/>
      <c r="H395" s="13"/>
      <c r="I395" s="14"/>
      <c r="J395" s="15"/>
      <c r="K395" s="10"/>
    </row>
    <row r="396" spans="1:11" s="8" customFormat="1">
      <c r="A396" s="9"/>
      <c r="B396" s="9"/>
      <c r="F396" s="11"/>
      <c r="G396" s="12"/>
      <c r="H396" s="13"/>
      <c r="I396" s="14"/>
      <c r="J396" s="15"/>
      <c r="K396" s="10"/>
    </row>
    <row r="397" spans="1:11" s="8" customFormat="1">
      <c r="A397" s="9"/>
      <c r="B397" s="9"/>
      <c r="F397" s="11"/>
      <c r="G397" s="12"/>
      <c r="H397" s="13"/>
      <c r="I397" s="14"/>
      <c r="J397" s="15"/>
      <c r="K397" s="10"/>
    </row>
    <row r="398" spans="1:11" s="8" customFormat="1">
      <c r="A398" s="9"/>
      <c r="B398" s="9"/>
      <c r="F398" s="11"/>
      <c r="G398" s="12"/>
      <c r="H398" s="13"/>
      <c r="I398" s="14"/>
      <c r="J398" s="15"/>
      <c r="K398" s="10"/>
    </row>
    <row r="399" spans="1:11" s="8" customFormat="1">
      <c r="A399" s="9"/>
      <c r="B399" s="9"/>
      <c r="F399" s="11"/>
      <c r="G399" s="12"/>
      <c r="H399" s="13"/>
      <c r="I399" s="14"/>
      <c r="J399" s="15"/>
      <c r="K399" s="10"/>
    </row>
    <row r="400" spans="1:11" s="8" customFormat="1">
      <c r="A400" s="9"/>
      <c r="B400" s="9"/>
      <c r="F400" s="11"/>
      <c r="G400" s="12"/>
      <c r="H400" s="13"/>
      <c r="I400" s="14"/>
      <c r="J400" s="15"/>
      <c r="K400" s="10"/>
    </row>
    <row r="401" spans="1:11" s="8" customFormat="1">
      <c r="A401" s="9"/>
      <c r="B401" s="9"/>
      <c r="F401" s="11"/>
      <c r="G401" s="12"/>
      <c r="H401" s="13"/>
      <c r="I401" s="14"/>
      <c r="J401" s="15"/>
      <c r="K401" s="10"/>
    </row>
    <row r="402" spans="1:11" s="8" customFormat="1">
      <c r="A402" s="9"/>
      <c r="B402" s="9"/>
      <c r="F402" s="11"/>
      <c r="G402" s="12"/>
      <c r="H402" s="13"/>
      <c r="I402" s="14"/>
      <c r="J402" s="15"/>
      <c r="K402" s="10"/>
    </row>
    <row r="403" spans="1:11" s="8" customFormat="1">
      <c r="A403" s="9"/>
      <c r="B403" s="9"/>
      <c r="F403" s="11"/>
      <c r="G403" s="12"/>
      <c r="H403" s="13"/>
      <c r="I403" s="14"/>
      <c r="J403" s="15"/>
      <c r="K403" s="10"/>
    </row>
    <row r="404" spans="1:11" s="8" customFormat="1">
      <c r="A404" s="9"/>
      <c r="B404" s="9"/>
      <c r="F404" s="11"/>
      <c r="G404" s="12"/>
      <c r="H404" s="13"/>
      <c r="I404" s="14"/>
      <c r="J404" s="15"/>
      <c r="K404" s="10"/>
    </row>
    <row r="405" spans="1:11" s="8" customFormat="1">
      <c r="A405" s="9"/>
      <c r="B405" s="9"/>
      <c r="F405" s="11"/>
      <c r="G405" s="12"/>
      <c r="H405" s="13"/>
      <c r="I405" s="14"/>
      <c r="J405" s="15"/>
      <c r="K405" s="10"/>
    </row>
    <row r="406" spans="1:11" s="8" customFormat="1">
      <c r="A406" s="9"/>
      <c r="B406" s="9"/>
      <c r="F406" s="11"/>
      <c r="G406" s="12"/>
      <c r="H406" s="13"/>
      <c r="I406" s="14"/>
      <c r="J406" s="15"/>
      <c r="K406" s="10"/>
    </row>
    <row r="407" spans="1:11" s="8" customFormat="1">
      <c r="A407" s="9"/>
      <c r="B407" s="9"/>
      <c r="F407" s="11"/>
      <c r="G407" s="12"/>
      <c r="H407" s="13"/>
      <c r="I407" s="14"/>
      <c r="J407" s="15"/>
      <c r="K407" s="10"/>
    </row>
    <row r="408" spans="1:11" s="8" customFormat="1">
      <c r="A408" s="9"/>
      <c r="B408" s="9"/>
      <c r="F408" s="11"/>
      <c r="G408" s="12"/>
      <c r="H408" s="13"/>
      <c r="I408" s="14"/>
      <c r="J408" s="15"/>
      <c r="K408" s="10"/>
    </row>
    <row r="409" spans="1:11" s="8" customFormat="1">
      <c r="A409" s="9"/>
      <c r="B409" s="9"/>
      <c r="F409" s="11"/>
      <c r="G409" s="12"/>
      <c r="H409" s="13"/>
      <c r="I409" s="14"/>
      <c r="J409" s="15"/>
      <c r="K409" s="10"/>
    </row>
    <row r="410" spans="1:11" s="8" customFormat="1">
      <c r="A410" s="9"/>
      <c r="B410" s="9"/>
      <c r="F410" s="11"/>
      <c r="G410" s="12"/>
      <c r="H410" s="13"/>
      <c r="I410" s="14"/>
      <c r="J410" s="15"/>
      <c r="K410" s="10"/>
    </row>
    <row r="411" spans="1:11" s="8" customFormat="1">
      <c r="A411" s="9"/>
      <c r="B411" s="9"/>
      <c r="F411" s="11"/>
      <c r="G411" s="12"/>
      <c r="H411" s="13"/>
      <c r="I411" s="14"/>
      <c r="J411" s="15"/>
      <c r="K411" s="10"/>
    </row>
    <row r="412" spans="1:11" s="8" customFormat="1">
      <c r="A412" s="9"/>
      <c r="B412" s="9"/>
      <c r="F412" s="11"/>
      <c r="G412" s="12"/>
      <c r="H412" s="13"/>
      <c r="I412" s="14"/>
      <c r="J412" s="15"/>
      <c r="K412" s="10"/>
    </row>
    <row r="413" spans="1:11" s="8" customFormat="1">
      <c r="A413" s="9"/>
      <c r="B413" s="9"/>
      <c r="F413" s="11"/>
      <c r="G413" s="12"/>
      <c r="H413" s="13"/>
      <c r="I413" s="14"/>
      <c r="J413" s="15"/>
      <c r="K413" s="10"/>
    </row>
    <row r="414" spans="1:11" s="8" customFormat="1">
      <c r="A414" s="9"/>
      <c r="B414" s="9"/>
      <c r="F414" s="11"/>
      <c r="G414" s="12"/>
      <c r="H414" s="13"/>
      <c r="I414" s="14"/>
      <c r="J414" s="15"/>
      <c r="K414" s="10"/>
    </row>
    <row r="415" spans="1:11" s="8" customFormat="1">
      <c r="A415" s="9"/>
      <c r="B415" s="9"/>
      <c r="F415" s="11"/>
      <c r="G415" s="12"/>
      <c r="H415" s="13"/>
      <c r="I415" s="14"/>
      <c r="J415" s="15"/>
      <c r="K415" s="10"/>
    </row>
    <row r="416" spans="1:11" s="8" customFormat="1">
      <c r="A416" s="9"/>
      <c r="B416" s="9"/>
      <c r="F416" s="11"/>
      <c r="G416" s="12"/>
      <c r="H416" s="13"/>
      <c r="I416" s="14"/>
      <c r="J416" s="15"/>
      <c r="K416" s="10"/>
    </row>
    <row r="417" spans="1:11" s="8" customFormat="1">
      <c r="A417" s="9"/>
      <c r="B417" s="9"/>
      <c r="F417" s="11"/>
      <c r="G417" s="12"/>
      <c r="H417" s="13"/>
      <c r="I417" s="14"/>
      <c r="J417" s="15"/>
      <c r="K417" s="10"/>
    </row>
    <row r="418" spans="1:11" s="8" customFormat="1">
      <c r="A418" s="9"/>
      <c r="B418" s="9"/>
      <c r="F418" s="11"/>
      <c r="G418" s="12"/>
      <c r="H418" s="13"/>
      <c r="I418" s="14"/>
      <c r="J418" s="15"/>
      <c r="K418" s="10"/>
    </row>
    <row r="419" spans="1:11" s="8" customFormat="1">
      <c r="A419" s="9"/>
      <c r="B419" s="9"/>
      <c r="F419" s="11"/>
      <c r="G419" s="12"/>
      <c r="H419" s="13"/>
      <c r="I419" s="14"/>
      <c r="J419" s="15"/>
      <c r="K419" s="10"/>
    </row>
    <row r="420" spans="1:11" s="8" customFormat="1">
      <c r="A420" s="9"/>
      <c r="B420" s="9"/>
      <c r="F420" s="11"/>
      <c r="G420" s="12"/>
      <c r="H420" s="13"/>
      <c r="I420" s="14"/>
      <c r="J420" s="15"/>
      <c r="K420" s="10"/>
    </row>
    <row r="421" spans="1:11" s="8" customFormat="1">
      <c r="A421" s="9"/>
      <c r="B421" s="9"/>
      <c r="F421" s="11"/>
      <c r="G421" s="12"/>
      <c r="H421" s="13"/>
      <c r="I421" s="14"/>
      <c r="J421" s="15"/>
      <c r="K421" s="10"/>
    </row>
    <row r="422" spans="1:11" s="8" customFormat="1">
      <c r="A422" s="9"/>
      <c r="B422" s="9"/>
      <c r="F422" s="11"/>
      <c r="G422" s="12"/>
      <c r="H422" s="13"/>
      <c r="I422" s="14"/>
      <c r="J422" s="15"/>
      <c r="K422" s="10"/>
    </row>
    <row r="423" spans="1:11" s="8" customFormat="1">
      <c r="A423" s="9"/>
      <c r="B423" s="9"/>
      <c r="F423" s="11"/>
      <c r="G423" s="12"/>
      <c r="H423" s="13"/>
      <c r="I423" s="14"/>
      <c r="J423" s="15"/>
      <c r="K423" s="10"/>
    </row>
    <row r="424" spans="1:11" s="8" customFormat="1">
      <c r="A424" s="9"/>
      <c r="B424" s="9"/>
      <c r="F424" s="11"/>
      <c r="G424" s="12"/>
      <c r="H424" s="13"/>
      <c r="I424" s="14"/>
      <c r="J424" s="15"/>
      <c r="K424" s="10"/>
    </row>
    <row r="425" spans="1:11" s="8" customFormat="1">
      <c r="A425" s="9"/>
      <c r="B425" s="9"/>
      <c r="F425" s="11"/>
      <c r="G425" s="12"/>
      <c r="H425" s="13"/>
      <c r="I425" s="14"/>
      <c r="J425" s="15"/>
      <c r="K425" s="10"/>
    </row>
    <row r="426" spans="1:11" s="8" customFormat="1">
      <c r="A426" s="9"/>
      <c r="B426" s="9"/>
      <c r="F426" s="11"/>
      <c r="G426" s="12"/>
      <c r="H426" s="13"/>
      <c r="I426" s="14"/>
      <c r="J426" s="15"/>
      <c r="K426" s="10"/>
    </row>
    <row r="427" spans="1:11" s="8" customFormat="1">
      <c r="A427" s="9"/>
      <c r="B427" s="9"/>
      <c r="F427" s="11"/>
      <c r="G427" s="12"/>
      <c r="H427" s="13"/>
      <c r="I427" s="14"/>
      <c r="J427" s="15"/>
      <c r="K427" s="10"/>
    </row>
    <row r="428" spans="1:11" s="8" customFormat="1">
      <c r="A428" s="9"/>
      <c r="B428" s="9"/>
      <c r="F428" s="11"/>
      <c r="G428" s="12"/>
      <c r="H428" s="13"/>
      <c r="I428" s="14"/>
      <c r="J428" s="15"/>
      <c r="K428" s="10"/>
    </row>
    <row r="429" spans="1:11" s="8" customFormat="1">
      <c r="A429" s="9"/>
      <c r="B429" s="9"/>
      <c r="F429" s="11"/>
      <c r="G429" s="12"/>
      <c r="H429" s="13"/>
      <c r="I429" s="14"/>
      <c r="J429" s="15"/>
      <c r="K429" s="10"/>
    </row>
    <row r="430" spans="1:11" s="8" customFormat="1">
      <c r="A430" s="9"/>
      <c r="B430" s="9"/>
      <c r="F430" s="11"/>
      <c r="G430" s="12"/>
      <c r="H430" s="13"/>
      <c r="I430" s="14"/>
      <c r="J430" s="15"/>
      <c r="K430" s="10"/>
    </row>
    <row r="431" spans="1:11" s="8" customFormat="1">
      <c r="A431" s="9"/>
      <c r="B431" s="9"/>
      <c r="F431" s="11"/>
      <c r="G431" s="12"/>
      <c r="H431" s="13"/>
      <c r="I431" s="14"/>
      <c r="J431" s="15"/>
      <c r="K431" s="10"/>
    </row>
    <row r="432" spans="1:11" s="8" customFormat="1">
      <c r="A432" s="9"/>
      <c r="B432" s="9"/>
      <c r="F432" s="11"/>
      <c r="G432" s="12"/>
      <c r="H432" s="13"/>
      <c r="I432" s="14"/>
      <c r="J432" s="15"/>
      <c r="K432" s="10"/>
    </row>
    <row r="433" spans="1:11" s="8" customFormat="1">
      <c r="A433" s="9"/>
      <c r="B433" s="9"/>
      <c r="F433" s="11"/>
      <c r="G433" s="12"/>
      <c r="H433" s="13"/>
      <c r="I433" s="14"/>
      <c r="J433" s="15"/>
      <c r="K433" s="10"/>
    </row>
    <row r="434" spans="1:11" s="8" customFormat="1">
      <c r="A434" s="9"/>
      <c r="B434" s="9"/>
      <c r="F434" s="11"/>
      <c r="G434" s="12"/>
      <c r="H434" s="13"/>
      <c r="I434" s="14"/>
      <c r="J434" s="15"/>
      <c r="K434" s="10"/>
    </row>
    <row r="435" spans="1:11" s="8" customFormat="1">
      <c r="A435" s="9"/>
      <c r="B435" s="9"/>
      <c r="F435" s="11"/>
      <c r="G435" s="12"/>
      <c r="H435" s="13"/>
      <c r="I435" s="14"/>
      <c r="J435" s="15"/>
      <c r="K435" s="10"/>
    </row>
    <row r="436" spans="1:11" s="8" customFormat="1">
      <c r="A436" s="9"/>
      <c r="B436" s="9"/>
      <c r="F436" s="11"/>
      <c r="G436" s="12"/>
      <c r="H436" s="13"/>
      <c r="I436" s="14"/>
      <c r="J436" s="15"/>
      <c r="K436" s="10"/>
    </row>
    <row r="437" spans="1:11" s="8" customFormat="1">
      <c r="A437" s="9"/>
      <c r="B437" s="9"/>
      <c r="F437" s="11"/>
      <c r="G437" s="12"/>
      <c r="H437" s="13"/>
      <c r="I437" s="14"/>
      <c r="J437" s="15"/>
      <c r="K437" s="10"/>
    </row>
    <row r="438" spans="1:11" s="8" customFormat="1">
      <c r="A438" s="9"/>
      <c r="B438" s="9"/>
      <c r="F438" s="11"/>
      <c r="G438" s="12"/>
      <c r="H438" s="13"/>
      <c r="I438" s="14"/>
      <c r="J438" s="15"/>
      <c r="K438" s="10"/>
    </row>
    <row r="439" spans="1:11" s="8" customFormat="1">
      <c r="A439" s="9"/>
      <c r="B439" s="9"/>
      <c r="F439" s="11"/>
      <c r="G439" s="12"/>
      <c r="H439" s="13"/>
      <c r="I439" s="14"/>
      <c r="J439" s="15"/>
      <c r="K439" s="10"/>
    </row>
    <row r="440" spans="1:11" s="8" customFormat="1">
      <c r="A440" s="9"/>
      <c r="B440" s="9"/>
      <c r="F440" s="11"/>
      <c r="G440" s="12"/>
      <c r="H440" s="13"/>
      <c r="I440" s="14"/>
      <c r="J440" s="15"/>
      <c r="K440" s="10"/>
    </row>
    <row r="441" spans="1:11" s="8" customFormat="1">
      <c r="A441" s="9"/>
      <c r="B441" s="9"/>
      <c r="F441" s="11"/>
      <c r="G441" s="12"/>
      <c r="H441" s="13"/>
      <c r="I441" s="14"/>
      <c r="J441" s="15"/>
      <c r="K441" s="10"/>
    </row>
    <row r="442" spans="1:11" s="8" customFormat="1">
      <c r="A442" s="9"/>
      <c r="B442" s="9"/>
      <c r="F442" s="11"/>
      <c r="G442" s="12"/>
      <c r="H442" s="13"/>
      <c r="I442" s="14"/>
      <c r="J442" s="15"/>
      <c r="K442" s="10"/>
    </row>
    <row r="443" spans="1:11" s="8" customFormat="1">
      <c r="A443" s="9"/>
      <c r="B443" s="9"/>
      <c r="F443" s="11"/>
      <c r="G443" s="12"/>
      <c r="H443" s="13"/>
      <c r="I443" s="14"/>
      <c r="J443" s="15"/>
      <c r="K443" s="10"/>
    </row>
    <row r="444" spans="1:11" s="8" customFormat="1">
      <c r="A444" s="9"/>
      <c r="B444" s="9"/>
      <c r="F444" s="11"/>
      <c r="G444" s="12"/>
      <c r="H444" s="13"/>
      <c r="I444" s="14"/>
      <c r="J444" s="15"/>
      <c r="K444" s="10"/>
    </row>
    <row r="445" spans="1:11" s="8" customFormat="1">
      <c r="A445" s="9"/>
      <c r="B445" s="9"/>
      <c r="F445" s="11"/>
      <c r="G445" s="12"/>
      <c r="H445" s="13"/>
      <c r="I445" s="14"/>
      <c r="J445" s="15"/>
      <c r="K445" s="10"/>
    </row>
    <row r="446" spans="1:11" s="8" customFormat="1">
      <c r="A446" s="9"/>
      <c r="B446" s="9"/>
      <c r="F446" s="11"/>
      <c r="G446" s="12"/>
      <c r="H446" s="13"/>
      <c r="I446" s="14"/>
      <c r="J446" s="15"/>
      <c r="K446" s="10"/>
    </row>
    <row r="447" spans="1:11" s="8" customFormat="1">
      <c r="A447" s="9"/>
      <c r="B447" s="9"/>
      <c r="F447" s="11"/>
      <c r="G447" s="12"/>
      <c r="H447" s="13"/>
      <c r="I447" s="14"/>
      <c r="J447" s="15"/>
      <c r="K447" s="10"/>
    </row>
    <row r="448" spans="1:11" s="8" customFormat="1">
      <c r="A448" s="9"/>
      <c r="B448" s="9"/>
      <c r="F448" s="11"/>
      <c r="G448" s="12"/>
      <c r="H448" s="13"/>
      <c r="I448" s="14"/>
      <c r="J448" s="15"/>
      <c r="K448" s="10"/>
    </row>
    <row r="449" spans="1:11" s="8" customFormat="1">
      <c r="A449" s="9"/>
      <c r="B449" s="9"/>
      <c r="F449" s="11"/>
      <c r="G449" s="12"/>
      <c r="H449" s="13"/>
      <c r="I449" s="14"/>
      <c r="J449" s="15"/>
      <c r="K449" s="10"/>
    </row>
    <row r="450" spans="1:11" s="8" customFormat="1">
      <c r="A450" s="9"/>
      <c r="B450" s="9"/>
      <c r="F450" s="11"/>
      <c r="G450" s="12"/>
      <c r="H450" s="13"/>
      <c r="I450" s="14"/>
      <c r="J450" s="15"/>
      <c r="K450" s="10"/>
    </row>
    <row r="451" spans="1:11" s="8" customFormat="1">
      <c r="A451" s="9"/>
      <c r="B451" s="9"/>
      <c r="F451" s="11"/>
      <c r="G451" s="12"/>
      <c r="H451" s="13"/>
      <c r="I451" s="14"/>
      <c r="J451" s="15"/>
      <c r="K451" s="10"/>
    </row>
    <row r="452" spans="1:11" s="8" customFormat="1">
      <c r="A452" s="9"/>
      <c r="B452" s="9"/>
      <c r="F452" s="11"/>
      <c r="G452" s="12"/>
      <c r="H452" s="13"/>
      <c r="I452" s="14"/>
      <c r="J452" s="15"/>
      <c r="K452" s="10"/>
    </row>
    <row r="453" spans="1:11" s="8" customFormat="1">
      <c r="A453" s="9"/>
      <c r="B453" s="9"/>
      <c r="F453" s="11"/>
      <c r="G453" s="12"/>
      <c r="H453" s="13"/>
      <c r="I453" s="14"/>
      <c r="J453" s="15"/>
      <c r="K453" s="10"/>
    </row>
    <row r="454" spans="1:11" s="8" customFormat="1">
      <c r="A454" s="9"/>
      <c r="B454" s="9"/>
      <c r="F454" s="11"/>
      <c r="G454" s="12"/>
      <c r="H454" s="13"/>
      <c r="I454" s="14"/>
      <c r="J454" s="15"/>
      <c r="K454" s="10"/>
    </row>
    <row r="455" spans="1:11" s="8" customFormat="1">
      <c r="A455" s="9"/>
      <c r="B455" s="9"/>
      <c r="F455" s="11"/>
      <c r="G455" s="12"/>
      <c r="H455" s="13"/>
      <c r="I455" s="14"/>
      <c r="J455" s="15"/>
      <c r="K455" s="10"/>
    </row>
    <row r="456" spans="1:11" s="8" customFormat="1">
      <c r="A456" s="9"/>
      <c r="B456" s="9"/>
      <c r="F456" s="11"/>
      <c r="G456" s="12"/>
      <c r="H456" s="13"/>
      <c r="I456" s="14"/>
      <c r="J456" s="15"/>
      <c r="K456" s="10"/>
    </row>
    <row r="457" spans="1:11" s="8" customFormat="1">
      <c r="A457" s="9"/>
      <c r="B457" s="9"/>
      <c r="F457" s="11"/>
      <c r="G457" s="12"/>
      <c r="H457" s="13"/>
      <c r="I457" s="14"/>
      <c r="J457" s="15"/>
      <c r="K457" s="10"/>
    </row>
    <row r="458" spans="1:11" s="8" customFormat="1">
      <c r="A458" s="9"/>
      <c r="B458" s="9"/>
      <c r="F458" s="11"/>
      <c r="G458" s="12"/>
      <c r="H458" s="13"/>
      <c r="I458" s="14"/>
      <c r="J458" s="15"/>
      <c r="K458" s="10"/>
    </row>
    <row r="459" spans="1:11" s="8" customFormat="1">
      <c r="A459" s="9"/>
      <c r="B459" s="9"/>
      <c r="F459" s="11"/>
      <c r="G459" s="12"/>
      <c r="H459" s="13"/>
      <c r="I459" s="14"/>
      <c r="J459" s="15"/>
      <c r="K459" s="10"/>
    </row>
    <row r="460" spans="1:11" s="8" customFormat="1">
      <c r="A460" s="9"/>
      <c r="B460" s="9"/>
      <c r="F460" s="11"/>
      <c r="G460" s="12"/>
      <c r="H460" s="13"/>
      <c r="I460" s="14"/>
      <c r="J460" s="15"/>
      <c r="K460" s="10"/>
    </row>
    <row r="461" spans="1:11" s="8" customFormat="1">
      <c r="A461" s="9"/>
      <c r="B461" s="9"/>
      <c r="F461" s="11"/>
      <c r="G461" s="12"/>
      <c r="H461" s="13"/>
      <c r="I461" s="14"/>
      <c r="J461" s="15"/>
      <c r="K461" s="10"/>
    </row>
    <row r="462" spans="1:11" s="8" customFormat="1">
      <c r="A462" s="9"/>
      <c r="B462" s="9"/>
      <c r="F462" s="11"/>
      <c r="G462" s="12"/>
      <c r="H462" s="13"/>
      <c r="I462" s="14"/>
      <c r="J462" s="15"/>
      <c r="K462" s="10"/>
    </row>
    <row r="463" spans="1:11" s="8" customFormat="1">
      <c r="A463" s="9"/>
      <c r="B463" s="9"/>
      <c r="F463" s="11"/>
      <c r="G463" s="12"/>
      <c r="H463" s="13"/>
      <c r="I463" s="14"/>
      <c r="J463" s="15"/>
      <c r="K463" s="10"/>
    </row>
    <row r="464" spans="1:11" s="8" customFormat="1">
      <c r="A464" s="9"/>
      <c r="B464" s="9"/>
      <c r="F464" s="11"/>
      <c r="G464" s="12"/>
      <c r="H464" s="13"/>
      <c r="I464" s="14"/>
      <c r="J464" s="15"/>
      <c r="K464" s="10"/>
    </row>
    <row r="465" spans="1:11" s="8" customFormat="1">
      <c r="A465" s="9"/>
      <c r="B465" s="9"/>
      <c r="F465" s="11"/>
      <c r="G465" s="12"/>
      <c r="H465" s="13"/>
      <c r="I465" s="14"/>
      <c r="J465" s="15"/>
      <c r="K465" s="10"/>
    </row>
    <row r="466" spans="1:11" s="8" customFormat="1">
      <c r="A466" s="9"/>
      <c r="B466" s="9"/>
      <c r="F466" s="11"/>
      <c r="G466" s="12"/>
      <c r="H466" s="13"/>
      <c r="I466" s="14"/>
      <c r="J466" s="15"/>
      <c r="K466" s="10"/>
    </row>
    <row r="467" spans="1:11" s="8" customFormat="1">
      <c r="A467" s="9"/>
      <c r="B467" s="9"/>
      <c r="F467" s="11"/>
      <c r="G467" s="12"/>
      <c r="H467" s="13"/>
      <c r="I467" s="14"/>
      <c r="J467" s="15"/>
      <c r="K467" s="10"/>
    </row>
    <row r="468" spans="1:11" s="8" customFormat="1">
      <c r="A468" s="9"/>
      <c r="B468" s="9"/>
      <c r="F468" s="11"/>
      <c r="G468" s="12"/>
      <c r="H468" s="13"/>
      <c r="I468" s="14"/>
      <c r="J468" s="15"/>
      <c r="K468" s="10"/>
    </row>
    <row r="469" spans="1:11" s="8" customFormat="1">
      <c r="A469" s="9"/>
      <c r="B469" s="9"/>
      <c r="F469" s="11"/>
      <c r="G469" s="12"/>
      <c r="H469" s="13"/>
      <c r="I469" s="14"/>
      <c r="J469" s="15"/>
      <c r="K469" s="10"/>
    </row>
    <row r="470" spans="1:11" s="8" customFormat="1">
      <c r="A470" s="9"/>
      <c r="B470" s="9"/>
      <c r="F470" s="11"/>
      <c r="G470" s="12"/>
      <c r="H470" s="13"/>
      <c r="I470" s="14"/>
      <c r="J470" s="15"/>
      <c r="K470" s="10"/>
    </row>
    <row r="471" spans="1:11" s="8" customFormat="1">
      <c r="A471" s="9"/>
      <c r="B471" s="9"/>
      <c r="F471" s="11"/>
      <c r="G471" s="12"/>
      <c r="H471" s="13"/>
      <c r="I471" s="14"/>
      <c r="J471" s="15"/>
      <c r="K471" s="10"/>
    </row>
    <row r="472" spans="1:11" s="8" customFormat="1">
      <c r="A472" s="9"/>
      <c r="B472" s="9"/>
      <c r="F472" s="11"/>
      <c r="G472" s="12"/>
      <c r="H472" s="13"/>
      <c r="I472" s="14"/>
      <c r="J472" s="15"/>
      <c r="K472" s="10"/>
    </row>
    <row r="473" spans="1:11" s="8" customFormat="1">
      <c r="A473" s="9"/>
      <c r="B473" s="9"/>
      <c r="F473" s="11"/>
      <c r="G473" s="12"/>
      <c r="H473" s="13"/>
      <c r="I473" s="14"/>
      <c r="J473" s="15"/>
      <c r="K473" s="10"/>
    </row>
    <row r="474" spans="1:11" s="8" customFormat="1">
      <c r="A474" s="9"/>
      <c r="B474" s="9"/>
      <c r="F474" s="11"/>
      <c r="G474" s="12"/>
      <c r="H474" s="13"/>
      <c r="I474" s="14"/>
      <c r="J474" s="15"/>
      <c r="K474" s="10"/>
    </row>
    <row r="475" spans="1:11" s="8" customFormat="1">
      <c r="A475" s="9"/>
      <c r="B475" s="9"/>
      <c r="F475" s="11"/>
      <c r="G475" s="12"/>
      <c r="H475" s="13"/>
      <c r="I475" s="14"/>
      <c r="J475" s="15"/>
      <c r="K475" s="10"/>
    </row>
    <row r="476" spans="1:11" s="8" customFormat="1">
      <c r="A476" s="9"/>
      <c r="B476" s="9"/>
      <c r="F476" s="11"/>
      <c r="G476" s="12"/>
      <c r="H476" s="13"/>
      <c r="I476" s="14"/>
      <c r="J476" s="15"/>
      <c r="K476" s="10"/>
    </row>
    <row r="477" spans="1:11" s="8" customFormat="1">
      <c r="A477" s="9"/>
      <c r="B477" s="9"/>
      <c r="F477" s="11"/>
      <c r="G477" s="12"/>
      <c r="H477" s="13"/>
      <c r="I477" s="14"/>
      <c r="J477" s="15"/>
      <c r="K477" s="10"/>
    </row>
    <row r="478" spans="1:11" s="8" customFormat="1">
      <c r="A478" s="9"/>
      <c r="B478" s="9"/>
      <c r="F478" s="11"/>
      <c r="G478" s="12"/>
      <c r="H478" s="13"/>
      <c r="I478" s="14"/>
      <c r="J478" s="15"/>
      <c r="K478" s="10"/>
    </row>
    <row r="479" spans="1:11" s="8" customFormat="1">
      <c r="A479" s="9"/>
      <c r="B479" s="9"/>
      <c r="F479" s="11"/>
      <c r="G479" s="12"/>
      <c r="H479" s="13"/>
      <c r="I479" s="14"/>
      <c r="J479" s="15"/>
      <c r="K479" s="10"/>
    </row>
    <row r="480" spans="1:11" s="8" customFormat="1">
      <c r="A480" s="9"/>
      <c r="B480" s="9"/>
      <c r="F480" s="11"/>
      <c r="G480" s="12"/>
      <c r="H480" s="13"/>
      <c r="I480" s="14"/>
      <c r="J480" s="15"/>
      <c r="K480" s="10"/>
    </row>
    <row r="481" spans="1:11" s="8" customFormat="1">
      <c r="A481" s="9"/>
      <c r="B481" s="9"/>
      <c r="F481" s="11"/>
      <c r="G481" s="12"/>
      <c r="H481" s="13"/>
      <c r="I481" s="14"/>
      <c r="J481" s="15"/>
      <c r="K481" s="10"/>
    </row>
    <row r="482" spans="1:11" s="8" customFormat="1">
      <c r="A482" s="9"/>
      <c r="B482" s="9"/>
      <c r="F482" s="11"/>
      <c r="G482" s="12"/>
      <c r="H482" s="13"/>
      <c r="I482" s="14"/>
      <c r="J482" s="15"/>
      <c r="K482" s="10"/>
    </row>
    <row r="483" spans="1:11" s="8" customFormat="1">
      <c r="A483" s="9"/>
      <c r="B483" s="9"/>
      <c r="F483" s="11"/>
      <c r="G483" s="12"/>
      <c r="H483" s="13"/>
      <c r="I483" s="14"/>
      <c r="J483" s="15"/>
      <c r="K483" s="10"/>
    </row>
    <row r="484" spans="1:11" s="8" customFormat="1">
      <c r="A484" s="9"/>
      <c r="B484" s="9"/>
      <c r="F484" s="11"/>
      <c r="G484" s="12"/>
      <c r="H484" s="13"/>
      <c r="I484" s="14"/>
      <c r="J484" s="15"/>
      <c r="K484" s="10"/>
    </row>
    <row r="485" spans="1:11" s="8" customFormat="1">
      <c r="A485" s="9"/>
      <c r="B485" s="9"/>
      <c r="F485" s="11"/>
      <c r="G485" s="12"/>
      <c r="H485" s="13"/>
      <c r="I485" s="14"/>
      <c r="J485" s="15"/>
      <c r="K485" s="10"/>
    </row>
    <row r="486" spans="1:11" s="8" customFormat="1">
      <c r="A486" s="9"/>
      <c r="B486" s="9"/>
      <c r="F486" s="11"/>
      <c r="G486" s="12"/>
      <c r="H486" s="13"/>
      <c r="I486" s="14"/>
      <c r="J486" s="15"/>
      <c r="K486" s="10"/>
    </row>
    <row r="487" spans="1:11" s="8" customFormat="1">
      <c r="A487" s="9"/>
      <c r="B487" s="9"/>
      <c r="F487" s="11"/>
      <c r="G487" s="12"/>
      <c r="H487" s="13"/>
      <c r="I487" s="14"/>
      <c r="J487" s="15"/>
      <c r="K487" s="10"/>
    </row>
    <row r="488" spans="1:11" s="8" customFormat="1">
      <c r="A488" s="9"/>
      <c r="B488" s="9"/>
      <c r="F488" s="11"/>
      <c r="G488" s="12"/>
      <c r="H488" s="13"/>
      <c r="I488" s="14"/>
      <c r="J488" s="15"/>
      <c r="K488" s="10"/>
    </row>
    <row r="489" spans="1:11" s="8" customFormat="1">
      <c r="A489" s="9"/>
      <c r="B489" s="9"/>
      <c r="F489" s="11"/>
      <c r="G489" s="12"/>
      <c r="H489" s="13"/>
      <c r="I489" s="14"/>
      <c r="J489" s="15"/>
      <c r="K489" s="10"/>
    </row>
    <row r="490" spans="1:11" s="8" customFormat="1">
      <c r="A490" s="9"/>
      <c r="B490" s="9"/>
      <c r="F490" s="11"/>
      <c r="G490" s="12"/>
      <c r="H490" s="13"/>
      <c r="I490" s="14"/>
      <c r="J490" s="15"/>
      <c r="K490" s="10"/>
    </row>
    <row r="491" spans="1:11" s="8" customFormat="1">
      <c r="A491" s="9"/>
      <c r="B491" s="9"/>
      <c r="F491" s="11"/>
      <c r="G491" s="12"/>
      <c r="H491" s="13"/>
      <c r="I491" s="14"/>
      <c r="J491" s="15"/>
      <c r="K491" s="10"/>
    </row>
    <row r="492" spans="1:11" s="8" customFormat="1">
      <c r="A492" s="9"/>
      <c r="B492" s="9"/>
      <c r="F492" s="11"/>
      <c r="G492" s="12"/>
      <c r="H492" s="13"/>
      <c r="I492" s="14"/>
      <c r="J492" s="15"/>
      <c r="K492" s="10"/>
    </row>
    <row r="493" spans="1:11" s="8" customFormat="1">
      <c r="A493" s="9"/>
      <c r="B493" s="9"/>
      <c r="F493" s="11"/>
      <c r="G493" s="12"/>
      <c r="H493" s="13"/>
      <c r="I493" s="14"/>
      <c r="J493" s="15"/>
      <c r="K493" s="10"/>
    </row>
    <row r="494" spans="1:11" s="8" customFormat="1">
      <c r="A494" s="9"/>
      <c r="B494" s="9"/>
      <c r="F494" s="11"/>
      <c r="G494" s="12"/>
      <c r="H494" s="13"/>
      <c r="I494" s="14"/>
      <c r="J494" s="15"/>
      <c r="K494" s="10"/>
    </row>
    <row r="495" spans="1:11" s="8" customFormat="1">
      <c r="A495" s="9"/>
      <c r="B495" s="9"/>
      <c r="F495" s="11"/>
      <c r="G495" s="12"/>
      <c r="H495" s="13"/>
      <c r="I495" s="14"/>
      <c r="J495" s="15"/>
      <c r="K495" s="10"/>
    </row>
    <row r="496" spans="1:11" s="8" customFormat="1">
      <c r="A496" s="9"/>
      <c r="B496" s="9"/>
      <c r="F496" s="11"/>
      <c r="G496" s="12"/>
      <c r="H496" s="13"/>
      <c r="I496" s="14"/>
      <c r="J496" s="15"/>
      <c r="K496" s="10"/>
    </row>
    <row r="497" spans="1:11" s="8" customFormat="1">
      <c r="A497" s="9"/>
      <c r="B497" s="9"/>
      <c r="F497" s="11"/>
      <c r="G497" s="12"/>
      <c r="H497" s="13"/>
      <c r="I497" s="14"/>
      <c r="J497" s="15"/>
      <c r="K497" s="10"/>
    </row>
    <row r="498" spans="1:11" s="8" customFormat="1">
      <c r="A498" s="9"/>
      <c r="B498" s="9"/>
      <c r="F498" s="11"/>
      <c r="G498" s="12"/>
      <c r="H498" s="13"/>
      <c r="I498" s="14"/>
      <c r="J498" s="15"/>
      <c r="K498" s="10"/>
    </row>
    <row r="499" spans="1:11" s="8" customFormat="1">
      <c r="A499" s="9"/>
      <c r="B499" s="9"/>
      <c r="F499" s="11"/>
      <c r="G499" s="12"/>
      <c r="H499" s="13"/>
      <c r="I499" s="14"/>
      <c r="J499" s="15"/>
      <c r="K499" s="10"/>
    </row>
    <row r="500" spans="1:11" s="8" customFormat="1">
      <c r="A500" s="9"/>
      <c r="B500" s="9"/>
      <c r="F500" s="11"/>
      <c r="G500" s="12"/>
      <c r="H500" s="13"/>
      <c r="I500" s="14"/>
      <c r="J500" s="15"/>
      <c r="K500" s="10"/>
    </row>
    <row r="501" spans="1:11" s="8" customFormat="1">
      <c r="A501" s="9"/>
      <c r="B501" s="9"/>
      <c r="F501" s="11"/>
      <c r="G501" s="12"/>
      <c r="H501" s="13"/>
      <c r="I501" s="14"/>
      <c r="J501" s="15"/>
      <c r="K501" s="10"/>
    </row>
    <row r="502" spans="1:11" s="8" customFormat="1">
      <c r="A502" s="9"/>
      <c r="B502" s="9"/>
      <c r="F502" s="11"/>
      <c r="G502" s="12"/>
      <c r="H502" s="13"/>
      <c r="I502" s="14"/>
      <c r="J502" s="15"/>
      <c r="K502" s="10"/>
    </row>
    <row r="503" spans="1:11" s="8" customFormat="1">
      <c r="A503" s="9"/>
      <c r="B503" s="9"/>
      <c r="F503" s="11"/>
      <c r="G503" s="12"/>
      <c r="H503" s="13"/>
      <c r="I503" s="14"/>
      <c r="J503" s="15"/>
      <c r="K503" s="10"/>
    </row>
    <row r="504" spans="1:11" s="8" customFormat="1">
      <c r="A504" s="9"/>
      <c r="B504" s="9"/>
      <c r="F504" s="11"/>
      <c r="G504" s="12"/>
      <c r="H504" s="13"/>
      <c r="I504" s="14"/>
      <c r="J504" s="15"/>
      <c r="K504" s="10"/>
    </row>
    <row r="505" spans="1:11" s="8" customFormat="1">
      <c r="A505" s="9"/>
      <c r="B505" s="9"/>
      <c r="F505" s="11"/>
      <c r="G505" s="12"/>
      <c r="H505" s="13"/>
      <c r="I505" s="14"/>
      <c r="J505" s="15"/>
      <c r="K505" s="10"/>
    </row>
    <row r="506" spans="1:11" s="8" customFormat="1">
      <c r="A506" s="9"/>
      <c r="B506" s="9"/>
      <c r="F506" s="11"/>
      <c r="G506" s="12"/>
      <c r="H506" s="13"/>
      <c r="I506" s="14"/>
      <c r="J506" s="15"/>
      <c r="K506" s="10"/>
    </row>
    <row r="507" spans="1:11" s="8" customFormat="1">
      <c r="A507" s="9"/>
      <c r="B507" s="9"/>
      <c r="F507" s="11"/>
      <c r="G507" s="12"/>
      <c r="H507" s="13"/>
      <c r="I507" s="14"/>
      <c r="J507" s="15"/>
      <c r="K507" s="10"/>
    </row>
    <row r="508" spans="1:11" s="8" customFormat="1">
      <c r="A508" s="9"/>
      <c r="B508" s="9"/>
      <c r="F508" s="11"/>
      <c r="G508" s="12"/>
      <c r="H508" s="13"/>
      <c r="I508" s="14"/>
      <c r="J508" s="15"/>
      <c r="K508" s="10"/>
    </row>
    <row r="509" spans="1:11" s="8" customFormat="1">
      <c r="A509" s="9"/>
      <c r="B509" s="9"/>
      <c r="F509" s="11"/>
      <c r="G509" s="12"/>
      <c r="H509" s="13"/>
      <c r="I509" s="14"/>
      <c r="J509" s="15"/>
      <c r="K509" s="10"/>
    </row>
    <row r="510" spans="1:11" s="8" customFormat="1">
      <c r="A510" s="9"/>
      <c r="B510" s="9"/>
      <c r="F510" s="11"/>
      <c r="G510" s="12"/>
      <c r="H510" s="13"/>
      <c r="I510" s="14"/>
      <c r="J510" s="15"/>
      <c r="K510" s="10"/>
    </row>
    <row r="511" spans="1:11" s="8" customFormat="1">
      <c r="A511" s="9"/>
      <c r="B511" s="9"/>
      <c r="F511" s="11"/>
      <c r="G511" s="12"/>
      <c r="H511" s="13"/>
      <c r="I511" s="14"/>
      <c r="J511" s="15"/>
      <c r="K511" s="10"/>
    </row>
    <row r="512" spans="1:11" s="8" customFormat="1">
      <c r="A512" s="9"/>
      <c r="B512" s="9"/>
      <c r="F512" s="11"/>
      <c r="G512" s="12"/>
      <c r="H512" s="13"/>
      <c r="I512" s="14"/>
      <c r="J512" s="15"/>
      <c r="K512" s="10"/>
    </row>
    <row r="513" spans="1:11" s="8" customFormat="1">
      <c r="A513" s="9"/>
      <c r="B513" s="9"/>
      <c r="F513" s="11"/>
      <c r="G513" s="12"/>
      <c r="H513" s="13"/>
      <c r="I513" s="14"/>
      <c r="J513" s="15"/>
      <c r="K513" s="10"/>
    </row>
    <row r="514" spans="1:11" s="8" customFormat="1">
      <c r="A514" s="9"/>
      <c r="B514" s="9"/>
      <c r="F514" s="11"/>
      <c r="G514" s="12"/>
      <c r="H514" s="13"/>
      <c r="I514" s="14"/>
      <c r="J514" s="15"/>
      <c r="K514" s="10"/>
    </row>
    <row r="515" spans="1:11" s="8" customFormat="1">
      <c r="A515" s="9"/>
      <c r="B515" s="9"/>
      <c r="F515" s="11"/>
      <c r="G515" s="12"/>
      <c r="H515" s="13"/>
      <c r="I515" s="14"/>
      <c r="J515" s="15"/>
      <c r="K515" s="10"/>
    </row>
    <row r="516" spans="1:11" s="8" customFormat="1">
      <c r="A516" s="9"/>
      <c r="B516" s="9"/>
      <c r="F516" s="11"/>
      <c r="G516" s="12"/>
      <c r="H516" s="13"/>
      <c r="I516" s="14"/>
      <c r="J516" s="15"/>
      <c r="K516" s="10"/>
    </row>
    <row r="517" spans="1:11" s="8" customFormat="1">
      <c r="A517" s="9"/>
      <c r="B517" s="9"/>
      <c r="F517" s="11"/>
      <c r="G517" s="12"/>
      <c r="H517" s="13"/>
      <c r="I517" s="14"/>
      <c r="J517" s="15"/>
      <c r="K517" s="10"/>
    </row>
    <row r="518" spans="1:11" s="8" customFormat="1">
      <c r="A518" s="9"/>
      <c r="B518" s="9"/>
      <c r="F518" s="11"/>
      <c r="G518" s="12"/>
      <c r="H518" s="13"/>
      <c r="I518" s="14"/>
      <c r="J518" s="15"/>
      <c r="K518" s="10"/>
    </row>
    <row r="519" spans="1:11" s="8" customFormat="1">
      <c r="A519" s="9"/>
      <c r="B519" s="9"/>
      <c r="F519" s="11"/>
      <c r="G519" s="12"/>
      <c r="H519" s="13"/>
      <c r="I519" s="14"/>
      <c r="J519" s="15"/>
      <c r="K519" s="10"/>
    </row>
    <row r="520" spans="1:11" s="8" customFormat="1">
      <c r="A520" s="9"/>
      <c r="B520" s="9"/>
      <c r="F520" s="11"/>
      <c r="G520" s="12"/>
      <c r="H520" s="13"/>
      <c r="I520" s="14"/>
      <c r="J520" s="15"/>
      <c r="K520" s="10"/>
    </row>
    <row r="521" spans="1:11" s="8" customFormat="1">
      <c r="A521" s="9"/>
      <c r="B521" s="9"/>
      <c r="F521" s="11"/>
      <c r="G521" s="12"/>
      <c r="H521" s="13"/>
      <c r="I521" s="14"/>
      <c r="J521" s="15"/>
      <c r="K521" s="10"/>
    </row>
    <row r="522" spans="1:11" s="8" customFormat="1">
      <c r="A522" s="9"/>
      <c r="B522" s="9"/>
      <c r="F522" s="11"/>
      <c r="G522" s="12"/>
      <c r="H522" s="13"/>
      <c r="I522" s="14"/>
      <c r="J522" s="15"/>
      <c r="K522" s="10"/>
    </row>
    <row r="523" spans="1:11" s="8" customFormat="1">
      <c r="A523" s="9"/>
      <c r="B523" s="9"/>
      <c r="F523" s="11"/>
      <c r="G523" s="12"/>
      <c r="H523" s="13"/>
      <c r="I523" s="14"/>
      <c r="J523" s="15"/>
      <c r="K523" s="10"/>
    </row>
    <row r="524" spans="1:11" s="8" customFormat="1">
      <c r="A524" s="9"/>
      <c r="B524" s="9"/>
      <c r="F524" s="11"/>
      <c r="G524" s="12"/>
      <c r="H524" s="13"/>
      <c r="I524" s="14"/>
      <c r="J524" s="15"/>
      <c r="K524" s="10"/>
    </row>
    <row r="525" spans="1:11" s="8" customFormat="1">
      <c r="A525" s="9"/>
      <c r="B525" s="9"/>
      <c r="F525" s="11"/>
      <c r="G525" s="12"/>
      <c r="H525" s="13"/>
      <c r="I525" s="14"/>
      <c r="J525" s="15"/>
      <c r="K525" s="10"/>
    </row>
    <row r="526" spans="1:11" s="8" customFormat="1">
      <c r="A526" s="9"/>
      <c r="B526" s="9"/>
      <c r="F526" s="11"/>
      <c r="G526" s="12"/>
      <c r="H526" s="13"/>
      <c r="I526" s="14"/>
      <c r="J526" s="15"/>
      <c r="K526" s="10"/>
    </row>
    <row r="527" spans="1:11" s="8" customFormat="1">
      <c r="A527" s="9"/>
      <c r="B527" s="9"/>
      <c r="F527" s="11"/>
      <c r="G527" s="12"/>
      <c r="H527" s="13"/>
      <c r="I527" s="14"/>
      <c r="J527" s="15"/>
      <c r="K527" s="10"/>
    </row>
    <row r="528" spans="1:11" s="8" customFormat="1">
      <c r="A528" s="9"/>
      <c r="B528" s="9"/>
      <c r="F528" s="11"/>
      <c r="G528" s="12"/>
      <c r="H528" s="13"/>
      <c r="I528" s="14"/>
      <c r="J528" s="15"/>
      <c r="K528" s="10"/>
    </row>
    <row r="529" spans="1:11" s="8" customFormat="1">
      <c r="A529" s="9"/>
      <c r="B529" s="9"/>
      <c r="F529" s="11"/>
      <c r="G529" s="12"/>
      <c r="H529" s="13"/>
      <c r="I529" s="14"/>
      <c r="J529" s="15"/>
      <c r="K529" s="10"/>
    </row>
    <row r="530" spans="1:11" s="8" customFormat="1">
      <c r="A530" s="9"/>
      <c r="B530" s="9"/>
      <c r="F530" s="11"/>
      <c r="G530" s="12"/>
      <c r="H530" s="13"/>
      <c r="I530" s="14"/>
      <c r="J530" s="15"/>
      <c r="K530" s="10"/>
    </row>
    <row r="531" spans="1:11" s="8" customFormat="1">
      <c r="A531" s="9"/>
      <c r="B531" s="9"/>
      <c r="F531" s="11"/>
      <c r="G531" s="12"/>
      <c r="H531" s="13"/>
      <c r="I531" s="14"/>
      <c r="J531" s="15"/>
      <c r="K531" s="10"/>
    </row>
    <row r="532" spans="1:11" s="8" customFormat="1">
      <c r="A532" s="9"/>
      <c r="B532" s="9"/>
      <c r="F532" s="11"/>
      <c r="G532" s="12"/>
      <c r="H532" s="13"/>
      <c r="I532" s="14"/>
      <c r="J532" s="15"/>
      <c r="K532" s="10"/>
    </row>
    <row r="533" spans="1:11" s="8" customFormat="1">
      <c r="A533" s="9"/>
      <c r="B533" s="9"/>
      <c r="F533" s="11"/>
      <c r="G533" s="12"/>
      <c r="H533" s="13"/>
      <c r="I533" s="14"/>
      <c r="J533" s="15"/>
      <c r="K533" s="10"/>
    </row>
    <row r="534" spans="1:11" s="8" customFormat="1">
      <c r="A534" s="9"/>
      <c r="B534" s="9"/>
      <c r="F534" s="11"/>
      <c r="G534" s="12"/>
      <c r="H534" s="13"/>
      <c r="I534" s="14"/>
      <c r="J534" s="15"/>
      <c r="K534" s="10"/>
    </row>
    <row r="535" spans="1:11" s="8" customFormat="1">
      <c r="A535" s="9"/>
      <c r="B535" s="9"/>
      <c r="F535" s="11"/>
      <c r="G535" s="12"/>
      <c r="H535" s="13"/>
      <c r="I535" s="14"/>
      <c r="J535" s="15"/>
      <c r="K535" s="10"/>
    </row>
    <row r="536" spans="1:11" s="8" customFormat="1">
      <c r="A536" s="9"/>
      <c r="B536" s="9"/>
      <c r="F536" s="11"/>
      <c r="G536" s="12"/>
      <c r="H536" s="13"/>
      <c r="I536" s="14"/>
      <c r="J536" s="15"/>
      <c r="K536" s="10"/>
    </row>
    <row r="537" spans="1:11" s="8" customFormat="1">
      <c r="A537" s="9"/>
      <c r="B537" s="9"/>
      <c r="F537" s="11"/>
      <c r="G537" s="12"/>
      <c r="H537" s="13"/>
      <c r="I537" s="14"/>
      <c r="J537" s="15"/>
      <c r="K537" s="10"/>
    </row>
    <row r="538" spans="1:11" s="8" customFormat="1">
      <c r="A538" s="9"/>
      <c r="B538" s="9"/>
      <c r="F538" s="11"/>
      <c r="G538" s="12"/>
      <c r="H538" s="13"/>
      <c r="I538" s="14"/>
      <c r="J538" s="15"/>
      <c r="K538" s="10"/>
    </row>
    <row r="539" spans="1:11" s="8" customFormat="1">
      <c r="A539" s="9"/>
      <c r="B539" s="9"/>
      <c r="F539" s="11"/>
      <c r="G539" s="12"/>
      <c r="H539" s="13"/>
      <c r="I539" s="14"/>
      <c r="J539" s="15"/>
      <c r="K539" s="10"/>
    </row>
    <row r="540" spans="1:11" s="8" customFormat="1">
      <c r="A540" s="9"/>
      <c r="B540" s="9"/>
      <c r="F540" s="11"/>
      <c r="G540" s="12"/>
      <c r="H540" s="13"/>
      <c r="I540" s="14"/>
      <c r="J540" s="15"/>
      <c r="K540" s="10"/>
    </row>
    <row r="541" spans="1:11" s="8" customFormat="1">
      <c r="A541" s="9"/>
      <c r="B541" s="9"/>
      <c r="F541" s="11"/>
      <c r="G541" s="12"/>
      <c r="H541" s="13"/>
      <c r="I541" s="14"/>
      <c r="J541" s="15"/>
      <c r="K541" s="10"/>
    </row>
    <row r="542" spans="1:11" s="8" customFormat="1">
      <c r="A542" s="9"/>
      <c r="B542" s="9"/>
      <c r="F542" s="11"/>
      <c r="G542" s="12"/>
      <c r="H542" s="13"/>
      <c r="I542" s="14"/>
      <c r="J542" s="15"/>
      <c r="K542" s="10"/>
    </row>
    <row r="543" spans="1:11" s="8" customFormat="1">
      <c r="A543" s="9"/>
      <c r="B543" s="9"/>
      <c r="F543" s="11"/>
      <c r="G543" s="12"/>
      <c r="H543" s="13"/>
      <c r="I543" s="14"/>
      <c r="J543" s="15"/>
      <c r="K543" s="10"/>
    </row>
    <row r="544" spans="1:11" s="8" customFormat="1">
      <c r="A544" s="9"/>
      <c r="B544" s="9"/>
      <c r="F544" s="11"/>
      <c r="G544" s="12"/>
      <c r="H544" s="13"/>
      <c r="I544" s="14"/>
      <c r="J544" s="15"/>
      <c r="K544" s="10"/>
    </row>
    <row r="545" spans="1:11" s="8" customFormat="1">
      <c r="A545" s="9"/>
      <c r="B545" s="9"/>
      <c r="F545" s="11"/>
      <c r="G545" s="12"/>
      <c r="H545" s="13"/>
      <c r="I545" s="14"/>
      <c r="J545" s="15"/>
      <c r="K545" s="10"/>
    </row>
    <row r="546" spans="1:11" s="8" customFormat="1">
      <c r="A546" s="9"/>
      <c r="B546" s="9"/>
      <c r="F546" s="11"/>
      <c r="G546" s="12"/>
      <c r="H546" s="13"/>
      <c r="I546" s="14"/>
      <c r="J546" s="15"/>
      <c r="K546" s="10"/>
    </row>
    <row r="547" spans="1:11" s="8" customFormat="1">
      <c r="A547" s="9"/>
      <c r="B547" s="9"/>
      <c r="F547" s="11"/>
      <c r="G547" s="12"/>
      <c r="H547" s="13"/>
      <c r="I547" s="14"/>
      <c r="J547" s="15"/>
      <c r="K547" s="10"/>
    </row>
    <row r="548" spans="1:11" s="8" customFormat="1">
      <c r="A548" s="9"/>
      <c r="B548" s="9"/>
      <c r="F548" s="11"/>
      <c r="G548" s="12"/>
      <c r="H548" s="13"/>
      <c r="I548" s="14"/>
      <c r="J548" s="15"/>
      <c r="K548" s="10"/>
    </row>
    <row r="549" spans="1:11" s="8" customFormat="1">
      <c r="A549" s="9"/>
      <c r="B549" s="9"/>
      <c r="F549" s="11"/>
      <c r="G549" s="12"/>
      <c r="H549" s="13"/>
      <c r="I549" s="14"/>
      <c r="J549" s="15"/>
      <c r="K549" s="10"/>
    </row>
    <row r="550" spans="1:11" s="8" customFormat="1">
      <c r="A550" s="9"/>
      <c r="B550" s="9"/>
      <c r="F550" s="11"/>
      <c r="G550" s="12"/>
      <c r="H550" s="13"/>
      <c r="I550" s="14"/>
      <c r="J550" s="15"/>
      <c r="K550" s="10"/>
    </row>
    <row r="551" spans="1:11" s="8" customFormat="1">
      <c r="A551" s="9"/>
      <c r="B551" s="9"/>
      <c r="F551" s="11"/>
      <c r="G551" s="12"/>
      <c r="H551" s="13"/>
      <c r="I551" s="14"/>
      <c r="J551" s="15"/>
      <c r="K551" s="10"/>
    </row>
    <row r="552" spans="1:11" s="8" customFormat="1">
      <c r="A552" s="9"/>
      <c r="B552" s="9"/>
      <c r="F552" s="11"/>
      <c r="G552" s="12"/>
      <c r="H552" s="13"/>
      <c r="I552" s="14"/>
      <c r="J552" s="15"/>
      <c r="K552" s="10"/>
    </row>
    <row r="553" spans="1:11" s="8" customFormat="1">
      <c r="A553" s="9"/>
      <c r="B553" s="9"/>
      <c r="F553" s="11"/>
      <c r="G553" s="12"/>
      <c r="H553" s="13"/>
      <c r="I553" s="14"/>
      <c r="J553" s="15"/>
      <c r="K553" s="10"/>
    </row>
    <row r="554" spans="1:11" s="8" customFormat="1">
      <c r="A554" s="9"/>
      <c r="B554" s="9"/>
      <c r="F554" s="11"/>
      <c r="G554" s="12"/>
      <c r="H554" s="13"/>
      <c r="I554" s="14"/>
      <c r="J554" s="15"/>
      <c r="K554" s="10"/>
    </row>
    <row r="555" spans="1:11" s="8" customFormat="1">
      <c r="A555" s="9"/>
      <c r="B555" s="9"/>
      <c r="F555" s="11"/>
      <c r="G555" s="12"/>
      <c r="H555" s="13"/>
      <c r="I555" s="14"/>
      <c r="J555" s="15"/>
      <c r="K555" s="10"/>
    </row>
    <row r="556" spans="1:11" s="8" customFormat="1">
      <c r="A556" s="9"/>
      <c r="B556" s="9"/>
      <c r="F556" s="11"/>
      <c r="G556" s="12"/>
      <c r="H556" s="13"/>
      <c r="I556" s="14"/>
      <c r="J556" s="15"/>
      <c r="K556" s="10"/>
    </row>
    <row r="557" spans="1:11" s="8" customFormat="1">
      <c r="A557" s="9"/>
      <c r="B557" s="9"/>
      <c r="F557" s="11"/>
      <c r="G557" s="12"/>
      <c r="H557" s="13"/>
      <c r="I557" s="14"/>
      <c r="J557" s="15"/>
      <c r="K557" s="10"/>
    </row>
    <row r="558" spans="1:11" s="8" customFormat="1">
      <c r="A558" s="9"/>
      <c r="B558" s="9"/>
      <c r="F558" s="11"/>
      <c r="G558" s="12"/>
      <c r="H558" s="13"/>
      <c r="I558" s="14"/>
      <c r="J558" s="15"/>
      <c r="K558" s="10"/>
    </row>
    <row r="559" spans="1:11" s="8" customFormat="1">
      <c r="A559" s="9"/>
      <c r="B559" s="9"/>
      <c r="F559" s="11"/>
      <c r="G559" s="12"/>
      <c r="H559" s="13"/>
      <c r="I559" s="14"/>
      <c r="J559" s="15"/>
      <c r="K559" s="10"/>
    </row>
    <row r="560" spans="1:11" s="8" customFormat="1">
      <c r="A560" s="9"/>
      <c r="B560" s="9"/>
      <c r="F560" s="11"/>
      <c r="G560" s="12"/>
      <c r="H560" s="13"/>
      <c r="I560" s="14"/>
      <c r="J560" s="15"/>
      <c r="K560" s="10"/>
    </row>
    <row r="561" spans="1:11" s="8" customFormat="1">
      <c r="A561" s="9"/>
      <c r="B561" s="9"/>
      <c r="F561" s="11"/>
      <c r="G561" s="12"/>
      <c r="H561" s="13"/>
      <c r="I561" s="14"/>
      <c r="J561" s="15"/>
      <c r="K561" s="10"/>
    </row>
    <row r="562" spans="1:11" s="8" customFormat="1">
      <c r="A562" s="9"/>
      <c r="B562" s="9"/>
      <c r="F562" s="11"/>
      <c r="G562" s="12"/>
      <c r="H562" s="13"/>
      <c r="I562" s="14"/>
      <c r="J562" s="15"/>
      <c r="K562" s="10"/>
    </row>
    <row r="563" spans="1:11" s="8" customFormat="1">
      <c r="A563" s="9"/>
      <c r="B563" s="9"/>
      <c r="F563" s="11"/>
      <c r="G563" s="12"/>
      <c r="H563" s="13"/>
      <c r="I563" s="14"/>
      <c r="J563" s="15"/>
      <c r="K563" s="10"/>
    </row>
    <row r="564" spans="1:11" s="8" customFormat="1">
      <c r="A564" s="9"/>
      <c r="B564" s="9"/>
      <c r="F564" s="11"/>
      <c r="G564" s="12"/>
      <c r="H564" s="13"/>
      <c r="I564" s="14"/>
      <c r="J564" s="15"/>
      <c r="K564" s="10"/>
    </row>
    <row r="565" spans="1:11" s="8" customFormat="1">
      <c r="A565" s="9"/>
      <c r="B565" s="9"/>
      <c r="F565" s="11"/>
      <c r="G565" s="12"/>
      <c r="H565" s="13"/>
      <c r="I565" s="14"/>
      <c r="J565" s="15"/>
      <c r="K565" s="10"/>
    </row>
    <row r="566" spans="1:11" s="8" customFormat="1">
      <c r="A566" s="9"/>
      <c r="B566" s="9"/>
      <c r="F566" s="11"/>
      <c r="G566" s="12"/>
      <c r="H566" s="13"/>
      <c r="I566" s="14"/>
      <c r="J566" s="15"/>
      <c r="K566" s="10"/>
    </row>
    <row r="567" spans="1:11" s="8" customFormat="1">
      <c r="A567" s="9"/>
      <c r="B567" s="9"/>
      <c r="F567" s="11"/>
      <c r="G567" s="12"/>
      <c r="H567" s="13"/>
      <c r="I567" s="14"/>
      <c r="J567" s="15"/>
      <c r="K567" s="10"/>
    </row>
    <row r="568" spans="1:11" s="8" customFormat="1">
      <c r="A568" s="9"/>
      <c r="B568" s="9"/>
      <c r="F568" s="11"/>
      <c r="G568" s="12"/>
      <c r="H568" s="13"/>
      <c r="I568" s="14"/>
      <c r="J568" s="15"/>
      <c r="K568" s="10"/>
    </row>
    <row r="569" spans="1:11" s="8" customFormat="1">
      <c r="A569" s="9"/>
      <c r="B569" s="9"/>
      <c r="F569" s="11"/>
      <c r="G569" s="12"/>
      <c r="H569" s="13"/>
      <c r="I569" s="14"/>
      <c r="J569" s="15"/>
      <c r="K569" s="10"/>
    </row>
    <row r="570" spans="1:11" s="8" customFormat="1">
      <c r="A570" s="9"/>
      <c r="B570" s="9"/>
      <c r="F570" s="11"/>
      <c r="G570" s="12"/>
      <c r="H570" s="13"/>
      <c r="I570" s="14"/>
      <c r="J570" s="15"/>
      <c r="K570" s="10"/>
    </row>
    <row r="571" spans="1:11" s="8" customFormat="1">
      <c r="A571" s="9"/>
      <c r="B571" s="9"/>
      <c r="F571" s="11"/>
      <c r="G571" s="12"/>
      <c r="H571" s="13"/>
      <c r="I571" s="14"/>
      <c r="J571" s="15"/>
      <c r="K571" s="10"/>
    </row>
    <row r="572" spans="1:11" s="8" customFormat="1">
      <c r="A572" s="9"/>
      <c r="B572" s="9"/>
      <c r="F572" s="11"/>
      <c r="G572" s="12"/>
      <c r="H572" s="13"/>
      <c r="I572" s="14"/>
      <c r="J572" s="15"/>
      <c r="K572" s="10"/>
    </row>
    <row r="573" spans="1:11" s="8" customFormat="1">
      <c r="A573" s="9"/>
      <c r="B573" s="9"/>
      <c r="F573" s="11"/>
      <c r="G573" s="12"/>
      <c r="H573" s="13"/>
      <c r="I573" s="14"/>
      <c r="J573" s="15"/>
      <c r="K573" s="10"/>
    </row>
    <row r="574" spans="1:11" s="8" customFormat="1">
      <c r="A574" s="9"/>
      <c r="B574" s="9"/>
      <c r="F574" s="11"/>
      <c r="G574" s="12"/>
      <c r="H574" s="13"/>
      <c r="I574" s="14"/>
      <c r="J574" s="15"/>
      <c r="K574" s="10"/>
    </row>
    <row r="575" spans="1:11" s="8" customFormat="1">
      <c r="A575" s="9"/>
      <c r="B575" s="9"/>
      <c r="F575" s="11"/>
      <c r="G575" s="12"/>
      <c r="H575" s="13"/>
      <c r="I575" s="14"/>
      <c r="J575" s="15"/>
      <c r="K575" s="10"/>
    </row>
    <row r="576" spans="1:11" s="8" customFormat="1">
      <c r="A576" s="9"/>
      <c r="B576" s="9"/>
      <c r="F576" s="11"/>
      <c r="G576" s="12"/>
      <c r="H576" s="13"/>
      <c r="I576" s="14"/>
      <c r="J576" s="15"/>
      <c r="K576" s="10"/>
    </row>
    <row r="577" spans="1:11" s="8" customFormat="1">
      <c r="A577" s="9"/>
      <c r="B577" s="9"/>
      <c r="F577" s="11"/>
      <c r="G577" s="12"/>
      <c r="H577" s="13"/>
      <c r="I577" s="14"/>
      <c r="J577" s="15"/>
      <c r="K577" s="10"/>
    </row>
    <row r="578" spans="1:11" s="8" customFormat="1">
      <c r="A578" s="9"/>
      <c r="B578" s="9"/>
      <c r="F578" s="11"/>
      <c r="G578" s="12"/>
      <c r="H578" s="13"/>
      <c r="I578" s="14"/>
      <c r="J578" s="15"/>
      <c r="K578" s="10"/>
    </row>
    <row r="579" spans="1:11" s="8" customFormat="1">
      <c r="A579" s="9"/>
      <c r="B579" s="9"/>
      <c r="F579" s="11"/>
      <c r="G579" s="12"/>
      <c r="H579" s="13"/>
      <c r="I579" s="14"/>
      <c r="J579" s="15"/>
      <c r="K579" s="10"/>
    </row>
    <row r="580" spans="1:11" s="8" customFormat="1">
      <c r="A580" s="9"/>
      <c r="B580" s="9"/>
      <c r="F580" s="11"/>
      <c r="G580" s="12"/>
      <c r="H580" s="13"/>
      <c r="I580" s="14"/>
      <c r="J580" s="15"/>
      <c r="K580" s="10"/>
    </row>
    <row r="581" spans="1:11" s="8" customFormat="1">
      <c r="A581" s="9"/>
      <c r="B581" s="9"/>
      <c r="F581" s="11"/>
      <c r="G581" s="12"/>
      <c r="H581" s="13"/>
      <c r="I581" s="14"/>
      <c r="J581" s="15"/>
      <c r="K581" s="10"/>
    </row>
    <row r="582" spans="1:11" s="8" customFormat="1">
      <c r="A582" s="9"/>
      <c r="B582" s="9"/>
      <c r="F582" s="11"/>
      <c r="G582" s="12"/>
      <c r="H582" s="13"/>
      <c r="I582" s="14"/>
      <c r="J582" s="15"/>
      <c r="K582" s="10"/>
    </row>
    <row r="583" spans="1:11" s="8" customFormat="1">
      <c r="A583" s="9"/>
      <c r="B583" s="9"/>
      <c r="F583" s="11"/>
      <c r="G583" s="12"/>
      <c r="H583" s="13"/>
      <c r="I583" s="14"/>
      <c r="J583" s="15"/>
      <c r="K583" s="10"/>
    </row>
    <row r="584" spans="1:11" s="8" customFormat="1">
      <c r="A584" s="9"/>
      <c r="B584" s="9"/>
      <c r="F584" s="11"/>
      <c r="G584" s="12"/>
      <c r="H584" s="13"/>
      <c r="I584" s="14"/>
      <c r="J584" s="15"/>
      <c r="K584" s="10"/>
    </row>
    <row r="585" spans="1:11" s="8" customFormat="1">
      <c r="A585" s="9"/>
      <c r="B585" s="9"/>
      <c r="F585" s="11"/>
      <c r="G585" s="12"/>
      <c r="H585" s="13"/>
      <c r="I585" s="14"/>
      <c r="J585" s="15"/>
      <c r="K585" s="10"/>
    </row>
    <row r="586" spans="1:11" s="8" customFormat="1">
      <c r="A586" s="9"/>
      <c r="B586" s="9"/>
      <c r="F586" s="11"/>
      <c r="G586" s="12"/>
      <c r="H586" s="13"/>
      <c r="I586" s="14"/>
      <c r="J586" s="15"/>
      <c r="K586" s="10"/>
    </row>
    <row r="587" spans="1:11" s="8" customFormat="1">
      <c r="A587" s="16"/>
      <c r="B587" s="16"/>
      <c r="C587" s="4"/>
      <c r="D587" s="4"/>
      <c r="E587" s="4"/>
      <c r="F587" s="4"/>
      <c r="G587" s="4"/>
      <c r="H587" s="4"/>
      <c r="I587" s="5"/>
      <c r="J587" s="6"/>
      <c r="K587" s="17"/>
    </row>
    <row r="588" spans="1:11" s="8" customFormat="1">
      <c r="A588" s="16"/>
      <c r="B588" s="16"/>
      <c r="C588" s="4"/>
      <c r="D588" s="4"/>
      <c r="E588" s="4"/>
      <c r="F588" s="4"/>
      <c r="G588" s="4"/>
      <c r="H588" s="4"/>
      <c r="I588" s="5"/>
      <c r="J588" s="6"/>
      <c r="K588" s="17"/>
    </row>
    <row r="589" spans="1:11" s="4" customFormat="1">
      <c r="A589" s="16"/>
      <c r="B589" s="16"/>
      <c r="I589" s="5"/>
      <c r="J589" s="6"/>
      <c r="K589" s="17"/>
    </row>
    <row r="590" spans="1:11" s="4" customFormat="1">
      <c r="A590" s="16"/>
      <c r="B590" s="16"/>
      <c r="I590" s="5"/>
      <c r="J590" s="6"/>
      <c r="K590" s="17"/>
    </row>
    <row r="591" spans="1:11" s="4" customFormat="1">
      <c r="A591" s="16"/>
      <c r="B591" s="16"/>
      <c r="I591" s="5"/>
      <c r="J591" s="6"/>
      <c r="K591" s="17"/>
    </row>
    <row r="592" spans="1:11" s="4" customFormat="1">
      <c r="A592" s="16"/>
      <c r="B592" s="16"/>
      <c r="I592" s="5"/>
      <c r="J592" s="6"/>
      <c r="K592" s="17"/>
    </row>
    <row r="593" spans="1:11" s="4" customFormat="1">
      <c r="A593" s="16"/>
      <c r="B593" s="16"/>
      <c r="I593" s="5"/>
      <c r="J593" s="6"/>
      <c r="K593" s="17"/>
    </row>
    <row r="594" spans="1:11" s="4" customFormat="1">
      <c r="A594" s="16"/>
      <c r="B594" s="16"/>
      <c r="I594" s="5"/>
      <c r="J594" s="6"/>
      <c r="K594" s="17"/>
    </row>
    <row r="595" spans="1:11" s="4" customFormat="1">
      <c r="A595" s="16"/>
      <c r="B595" s="16"/>
      <c r="I595" s="5"/>
      <c r="J595" s="6"/>
      <c r="K595" s="17"/>
    </row>
    <row r="596" spans="1:11" s="4" customFormat="1">
      <c r="A596" s="16"/>
      <c r="B596" s="16"/>
      <c r="I596" s="5"/>
      <c r="J596" s="6"/>
      <c r="K596" s="17"/>
    </row>
    <row r="597" spans="1:11" s="4" customFormat="1">
      <c r="A597" s="16"/>
      <c r="B597" s="16"/>
      <c r="I597" s="5"/>
      <c r="J597" s="6"/>
      <c r="K597" s="17"/>
    </row>
    <row r="598" spans="1:11" s="4" customFormat="1">
      <c r="A598" s="16"/>
      <c r="B598" s="16"/>
      <c r="I598" s="5"/>
      <c r="J598" s="6"/>
      <c r="K598" s="17"/>
    </row>
    <row r="599" spans="1:11" s="4" customFormat="1">
      <c r="A599" s="16"/>
      <c r="B599" s="16"/>
      <c r="I599" s="5"/>
      <c r="J599" s="6"/>
      <c r="K599" s="17"/>
    </row>
    <row r="600" spans="1:11" s="4" customFormat="1">
      <c r="A600" s="16"/>
      <c r="B600" s="16"/>
      <c r="I600" s="5"/>
      <c r="J600" s="6"/>
      <c r="K600" s="17"/>
    </row>
    <row r="601" spans="1:11" s="4" customFormat="1">
      <c r="A601" s="16"/>
      <c r="B601" s="16"/>
      <c r="I601" s="5"/>
      <c r="J601" s="6"/>
      <c r="K601" s="17"/>
    </row>
    <row r="602" spans="1:11" s="4" customFormat="1">
      <c r="A602" s="16"/>
      <c r="B602" s="16"/>
      <c r="I602" s="5"/>
      <c r="J602" s="6"/>
      <c r="K602" s="17"/>
    </row>
    <row r="603" spans="1:11" s="4" customFormat="1">
      <c r="A603" s="16"/>
      <c r="B603" s="16"/>
      <c r="I603" s="5"/>
      <c r="J603" s="6"/>
      <c r="K603" s="17"/>
    </row>
    <row r="604" spans="1:11" s="4" customFormat="1">
      <c r="A604" s="16"/>
      <c r="B604" s="16"/>
      <c r="I604" s="5"/>
      <c r="J604" s="6"/>
      <c r="K604" s="17"/>
    </row>
    <row r="605" spans="1:11" s="4" customFormat="1">
      <c r="A605" s="16"/>
      <c r="B605" s="16"/>
      <c r="I605" s="5"/>
      <c r="J605" s="6"/>
      <c r="K605" s="17"/>
    </row>
    <row r="606" spans="1:11" s="4" customFormat="1">
      <c r="A606" s="16"/>
      <c r="B606" s="16"/>
      <c r="I606" s="5"/>
      <c r="J606" s="6"/>
      <c r="K606" s="17"/>
    </row>
    <row r="607" spans="1:11" s="4" customFormat="1">
      <c r="A607" s="16"/>
      <c r="B607" s="16"/>
      <c r="I607" s="5"/>
      <c r="J607" s="6"/>
      <c r="K607" s="17"/>
    </row>
    <row r="608" spans="1:11" s="4" customFormat="1">
      <c r="A608" s="16"/>
      <c r="B608" s="16"/>
      <c r="I608" s="5"/>
      <c r="J608" s="6"/>
      <c r="K608" s="17"/>
    </row>
    <row r="609" spans="1:11" s="4" customFormat="1">
      <c r="A609" s="16"/>
      <c r="B609" s="16"/>
      <c r="I609" s="5"/>
      <c r="J609" s="6"/>
      <c r="K609" s="17"/>
    </row>
    <row r="610" spans="1:11" s="4" customFormat="1">
      <c r="A610" s="16"/>
      <c r="B610" s="16"/>
      <c r="I610" s="5"/>
      <c r="J610" s="6"/>
      <c r="K610" s="17"/>
    </row>
    <row r="611" spans="1:11" s="4" customFormat="1">
      <c r="A611" s="16"/>
      <c r="B611" s="16"/>
      <c r="I611" s="5"/>
      <c r="J611" s="6"/>
      <c r="K611" s="17"/>
    </row>
    <row r="612" spans="1:11" s="4" customFormat="1">
      <c r="A612" s="16"/>
      <c r="B612" s="16"/>
      <c r="I612" s="5"/>
      <c r="J612" s="6"/>
      <c r="K612" s="17"/>
    </row>
    <row r="613" spans="1:11" s="4" customFormat="1">
      <c r="A613" s="16"/>
      <c r="B613" s="16"/>
      <c r="I613" s="5"/>
      <c r="J613" s="6"/>
      <c r="K613" s="17"/>
    </row>
    <row r="614" spans="1:11" s="4" customFormat="1">
      <c r="A614" s="16"/>
      <c r="B614" s="16"/>
      <c r="I614" s="5"/>
      <c r="J614" s="6"/>
      <c r="K614" s="17"/>
    </row>
    <row r="615" spans="1:11" s="4" customFormat="1">
      <c r="A615" s="16"/>
      <c r="B615" s="16"/>
      <c r="I615" s="5"/>
      <c r="J615" s="6"/>
      <c r="K615" s="17"/>
    </row>
    <row r="616" spans="1:11" s="4" customFormat="1">
      <c r="A616" s="16"/>
      <c r="B616" s="16"/>
      <c r="I616" s="5"/>
      <c r="J616" s="6"/>
      <c r="K616" s="17"/>
    </row>
    <row r="617" spans="1:11" s="4" customFormat="1">
      <c r="A617" s="16"/>
      <c r="B617" s="16"/>
      <c r="I617" s="5"/>
      <c r="J617" s="6"/>
      <c r="K617" s="17"/>
    </row>
    <row r="618" spans="1:11" s="4" customFormat="1">
      <c r="A618" s="16"/>
      <c r="B618" s="16"/>
      <c r="I618" s="5"/>
      <c r="J618" s="6"/>
      <c r="K618" s="17"/>
    </row>
    <row r="619" spans="1:11" s="4" customFormat="1">
      <c r="A619" s="16"/>
      <c r="B619" s="16"/>
      <c r="I619" s="5"/>
      <c r="J619" s="6"/>
      <c r="K619" s="17"/>
    </row>
    <row r="620" spans="1:11" s="4" customFormat="1">
      <c r="A620" s="16"/>
      <c r="B620" s="16"/>
      <c r="I620" s="5"/>
      <c r="J620" s="6"/>
      <c r="K620" s="17"/>
    </row>
    <row r="621" spans="1:11" s="4" customFormat="1">
      <c r="A621" s="16"/>
      <c r="B621" s="16"/>
      <c r="I621" s="5"/>
      <c r="J621" s="6"/>
      <c r="K621" s="17"/>
    </row>
    <row r="622" spans="1:11" s="4" customFormat="1">
      <c r="A622" s="16"/>
      <c r="B622" s="16"/>
      <c r="I622" s="5"/>
      <c r="J622" s="6"/>
      <c r="K622" s="17"/>
    </row>
    <row r="623" spans="1:11" s="4" customFormat="1">
      <c r="A623" s="16"/>
      <c r="B623" s="16"/>
      <c r="I623" s="5"/>
      <c r="J623" s="6"/>
      <c r="K623" s="17"/>
    </row>
    <row r="624" spans="1:11" s="4" customFormat="1">
      <c r="A624" s="16"/>
      <c r="B624" s="16"/>
      <c r="I624" s="5"/>
      <c r="J624" s="6"/>
      <c r="K624" s="17"/>
    </row>
    <row r="625" spans="1:11" s="4" customFormat="1">
      <c r="A625" s="16"/>
      <c r="B625" s="16"/>
      <c r="I625" s="5"/>
      <c r="J625" s="6"/>
      <c r="K625" s="17"/>
    </row>
    <row r="626" spans="1:11" s="4" customFormat="1">
      <c r="A626" s="16"/>
      <c r="B626" s="16"/>
      <c r="I626" s="5"/>
      <c r="J626" s="6"/>
      <c r="K626" s="17"/>
    </row>
    <row r="627" spans="1:11" s="4" customFormat="1">
      <c r="A627" s="16"/>
      <c r="B627" s="16"/>
      <c r="I627" s="5"/>
      <c r="J627" s="6"/>
      <c r="K627" s="17"/>
    </row>
    <row r="628" spans="1:11" s="4" customFormat="1">
      <c r="A628" s="16"/>
      <c r="B628" s="16"/>
      <c r="I628" s="5"/>
      <c r="J628" s="6"/>
      <c r="K628" s="17"/>
    </row>
    <row r="629" spans="1:11" s="4" customFormat="1">
      <c r="A629" s="16"/>
      <c r="B629" s="16"/>
      <c r="I629" s="5"/>
      <c r="J629" s="6"/>
      <c r="K629" s="17"/>
    </row>
    <row r="630" spans="1:11" s="4" customFormat="1">
      <c r="A630" s="16"/>
      <c r="B630" s="16"/>
      <c r="I630" s="5"/>
      <c r="J630" s="6"/>
      <c r="K630" s="17"/>
    </row>
    <row r="631" spans="1:11" s="4" customFormat="1">
      <c r="A631" s="16"/>
      <c r="B631" s="16"/>
      <c r="I631" s="5"/>
      <c r="J631" s="6"/>
      <c r="K631" s="17"/>
    </row>
    <row r="632" spans="1:11" s="4" customFormat="1">
      <c r="A632" s="16"/>
      <c r="B632" s="16"/>
      <c r="I632" s="5"/>
      <c r="J632" s="6"/>
      <c r="K632" s="17"/>
    </row>
    <row r="633" spans="1:11" s="4" customFormat="1">
      <c r="A633" s="16"/>
      <c r="B633" s="16"/>
      <c r="I633" s="5"/>
      <c r="J633" s="6"/>
      <c r="K633" s="17"/>
    </row>
    <row r="634" spans="1:11" s="4" customFormat="1">
      <c r="A634" s="16"/>
      <c r="B634" s="16"/>
      <c r="I634" s="5"/>
      <c r="J634" s="6"/>
      <c r="K634" s="17"/>
    </row>
    <row r="635" spans="1:11" s="4" customFormat="1">
      <c r="A635" s="16"/>
      <c r="B635" s="16"/>
      <c r="I635" s="5"/>
      <c r="J635" s="6"/>
      <c r="K635" s="17"/>
    </row>
    <row r="636" spans="1:11" s="4" customFormat="1">
      <c r="A636" s="16"/>
      <c r="B636" s="16"/>
      <c r="I636" s="5"/>
      <c r="J636" s="6"/>
      <c r="K636" s="17"/>
    </row>
    <row r="637" spans="1:11" s="4" customFormat="1">
      <c r="A637" s="16"/>
      <c r="B637" s="16"/>
      <c r="I637" s="5"/>
      <c r="J637" s="6"/>
      <c r="K637" s="17"/>
    </row>
    <row r="638" spans="1:11" s="4" customFormat="1">
      <c r="A638" s="16"/>
      <c r="B638" s="16"/>
      <c r="I638" s="5"/>
      <c r="J638" s="6"/>
      <c r="K638" s="17"/>
    </row>
    <row r="639" spans="1:11" s="4" customFormat="1">
      <c r="A639" s="16"/>
      <c r="B639" s="16"/>
      <c r="I639" s="5"/>
      <c r="J639" s="6"/>
      <c r="K639" s="17"/>
    </row>
    <row r="640" spans="1:11" s="4" customFormat="1">
      <c r="A640" s="16"/>
      <c r="B640" s="16"/>
      <c r="I640" s="5"/>
      <c r="J640" s="6"/>
      <c r="K640" s="17"/>
    </row>
    <row r="641" spans="1:11" s="4" customFormat="1">
      <c r="A641" s="16"/>
      <c r="B641" s="16"/>
      <c r="I641" s="5"/>
      <c r="J641" s="6"/>
      <c r="K641" s="17"/>
    </row>
    <row r="642" spans="1:11" s="4" customFormat="1">
      <c r="A642" s="16"/>
      <c r="B642" s="16"/>
      <c r="I642" s="5"/>
      <c r="J642" s="6"/>
      <c r="K642" s="17"/>
    </row>
    <row r="643" spans="1:11" s="4" customFormat="1">
      <c r="A643" s="16"/>
      <c r="B643" s="16"/>
      <c r="I643" s="5"/>
      <c r="J643" s="6"/>
      <c r="K643" s="17"/>
    </row>
    <row r="644" spans="1:11" s="4" customFormat="1">
      <c r="A644" s="16"/>
      <c r="B644" s="16"/>
      <c r="I644" s="5"/>
      <c r="J644" s="6"/>
      <c r="K644" s="17"/>
    </row>
    <row r="645" spans="1:11" s="4" customFormat="1">
      <c r="A645" s="16"/>
      <c r="B645" s="16"/>
      <c r="I645" s="5"/>
      <c r="J645" s="6"/>
      <c r="K645" s="17"/>
    </row>
    <row r="646" spans="1:11" s="4" customFormat="1">
      <c r="A646" s="16"/>
      <c r="B646" s="16"/>
      <c r="I646" s="5"/>
      <c r="J646" s="6"/>
      <c r="K646" s="17"/>
    </row>
    <row r="647" spans="1:11" s="4" customFormat="1">
      <c r="A647" s="16"/>
      <c r="B647" s="16"/>
      <c r="I647" s="5"/>
      <c r="J647" s="6"/>
      <c r="K647" s="17"/>
    </row>
    <row r="648" spans="1:11" s="4" customFormat="1">
      <c r="A648" s="16"/>
      <c r="B648" s="16"/>
      <c r="I648" s="5"/>
      <c r="J648" s="6"/>
      <c r="K648" s="17"/>
    </row>
    <row r="649" spans="1:11" s="4" customFormat="1">
      <c r="A649" s="16"/>
      <c r="B649" s="16"/>
      <c r="I649" s="5"/>
      <c r="J649" s="6"/>
      <c r="K649" s="17"/>
    </row>
    <row r="650" spans="1:11" s="4" customFormat="1">
      <c r="A650" s="16"/>
      <c r="B650" s="16"/>
      <c r="I650" s="5"/>
      <c r="J650" s="6"/>
      <c r="K650" s="17"/>
    </row>
    <row r="651" spans="1:11" s="4" customFormat="1">
      <c r="A651" s="16"/>
      <c r="B651" s="16"/>
      <c r="I651" s="5"/>
      <c r="J651" s="6"/>
      <c r="K651" s="17"/>
    </row>
    <row r="652" spans="1:11" s="4" customFormat="1">
      <c r="A652" s="16"/>
      <c r="B652" s="16"/>
      <c r="I652" s="5"/>
      <c r="J652" s="6"/>
      <c r="K652" s="17"/>
    </row>
    <row r="653" spans="1:11" s="4" customFormat="1">
      <c r="A653" s="16"/>
      <c r="B653" s="16"/>
      <c r="I653" s="5"/>
      <c r="J653" s="6"/>
      <c r="K653" s="17"/>
    </row>
    <row r="654" spans="1:11" s="4" customFormat="1">
      <c r="A654" s="16"/>
      <c r="B654" s="16"/>
      <c r="I654" s="5"/>
      <c r="J654" s="6"/>
      <c r="K654" s="17"/>
    </row>
    <row r="655" spans="1:11" s="4" customFormat="1">
      <c r="A655" s="16"/>
      <c r="B655" s="16"/>
      <c r="I655" s="5"/>
      <c r="J655" s="6"/>
      <c r="K655" s="17"/>
    </row>
    <row r="656" spans="1:11" s="4" customFormat="1">
      <c r="A656" s="16"/>
      <c r="B656" s="16"/>
      <c r="I656" s="5"/>
      <c r="J656" s="6"/>
      <c r="K656" s="17"/>
    </row>
    <row r="657" spans="1:11" s="4" customFormat="1">
      <c r="A657" s="16"/>
      <c r="B657" s="16"/>
      <c r="I657" s="5"/>
      <c r="J657" s="6"/>
      <c r="K657" s="17"/>
    </row>
    <row r="658" spans="1:11" s="4" customFormat="1">
      <c r="A658" s="16"/>
      <c r="B658" s="16"/>
      <c r="I658" s="5"/>
      <c r="J658" s="6"/>
      <c r="K658" s="17"/>
    </row>
    <row r="659" spans="1:11" s="4" customFormat="1">
      <c r="A659" s="16"/>
      <c r="B659" s="16"/>
      <c r="I659" s="5"/>
      <c r="J659" s="6"/>
      <c r="K659" s="17"/>
    </row>
    <row r="660" spans="1:11" s="4" customFormat="1">
      <c r="A660" s="16"/>
      <c r="B660" s="16"/>
      <c r="I660" s="5"/>
      <c r="J660" s="6"/>
      <c r="K660" s="17"/>
    </row>
    <row r="661" spans="1:11" s="4" customFormat="1">
      <c r="A661" s="16"/>
      <c r="B661" s="16"/>
      <c r="I661" s="5"/>
      <c r="J661" s="6"/>
      <c r="K661" s="17"/>
    </row>
    <row r="662" spans="1:11" s="4" customFormat="1">
      <c r="A662" s="16"/>
      <c r="B662" s="16"/>
      <c r="I662" s="5"/>
      <c r="J662" s="6"/>
      <c r="K662" s="17"/>
    </row>
    <row r="663" spans="1:11" s="4" customFormat="1">
      <c r="A663" s="16"/>
      <c r="B663" s="16"/>
      <c r="I663" s="5"/>
      <c r="J663" s="6"/>
      <c r="K663" s="17"/>
    </row>
    <row r="664" spans="1:11" s="4" customFormat="1">
      <c r="A664" s="16"/>
      <c r="B664" s="16"/>
      <c r="I664" s="5"/>
      <c r="J664" s="6"/>
      <c r="K664" s="17"/>
    </row>
    <row r="665" spans="1:11" s="4" customFormat="1">
      <c r="A665" s="16"/>
      <c r="B665" s="16"/>
      <c r="I665" s="5"/>
      <c r="J665" s="6"/>
      <c r="K665" s="17"/>
    </row>
    <row r="666" spans="1:11" s="4" customFormat="1">
      <c r="A666" s="16"/>
      <c r="B666" s="16"/>
      <c r="I666" s="5"/>
      <c r="J666" s="6"/>
      <c r="K666" s="17"/>
    </row>
    <row r="667" spans="1:11" s="4" customFormat="1">
      <c r="A667" s="16"/>
      <c r="B667" s="16"/>
      <c r="I667" s="5"/>
      <c r="J667" s="6"/>
      <c r="K667" s="17"/>
    </row>
    <row r="668" spans="1:11" s="4" customFormat="1">
      <c r="I668" s="5"/>
      <c r="J668" s="6"/>
      <c r="K668" s="17"/>
    </row>
    <row r="669" spans="1:11" s="4" customFormat="1">
      <c r="I669" s="5"/>
      <c r="J669" s="6"/>
      <c r="K669" s="17"/>
    </row>
    <row r="670" spans="1:11" s="4" customFormat="1">
      <c r="I670" s="5"/>
      <c r="J670" s="6"/>
      <c r="K670" s="17"/>
    </row>
    <row r="671" spans="1:11" s="4" customFormat="1">
      <c r="I671" s="5"/>
      <c r="J671" s="6"/>
      <c r="K671" s="17"/>
    </row>
    <row r="672" spans="1:11" s="4" customFormat="1">
      <c r="I672" s="5"/>
      <c r="J672" s="6"/>
      <c r="K672" s="17"/>
    </row>
    <row r="673" spans="9:11" s="4" customFormat="1">
      <c r="I673" s="5"/>
      <c r="J673" s="6"/>
      <c r="K673" s="17"/>
    </row>
    <row r="674" spans="9:11" s="4" customFormat="1">
      <c r="I674" s="5"/>
      <c r="J674" s="6"/>
      <c r="K674" s="17"/>
    </row>
    <row r="675" spans="9:11" s="4" customFormat="1">
      <c r="I675" s="5"/>
      <c r="J675" s="6"/>
      <c r="K675" s="17"/>
    </row>
    <row r="676" spans="9:11" s="4" customFormat="1">
      <c r="I676" s="5"/>
      <c r="J676" s="6"/>
      <c r="K676" s="17"/>
    </row>
    <row r="677" spans="9:11" s="4" customFormat="1">
      <c r="I677" s="5"/>
      <c r="J677" s="6"/>
      <c r="K677" s="17"/>
    </row>
    <row r="678" spans="9:11" s="4" customFormat="1">
      <c r="I678" s="5"/>
      <c r="J678" s="6"/>
      <c r="K678" s="17"/>
    </row>
    <row r="679" spans="9:11" s="4" customFormat="1">
      <c r="I679" s="5"/>
      <c r="J679" s="6"/>
      <c r="K679" s="17"/>
    </row>
    <row r="680" spans="9:11" s="4" customFormat="1">
      <c r="I680" s="5"/>
      <c r="J680" s="6"/>
      <c r="K680" s="17"/>
    </row>
    <row r="681" spans="9:11" s="4" customFormat="1">
      <c r="I681" s="5"/>
      <c r="J681" s="6"/>
      <c r="K681" s="17"/>
    </row>
    <row r="682" spans="9:11" s="4" customFormat="1">
      <c r="I682" s="5"/>
      <c r="J682" s="6"/>
      <c r="K682" s="17"/>
    </row>
    <row r="683" spans="9:11" s="4" customFormat="1">
      <c r="I683" s="5"/>
      <c r="J683" s="6"/>
      <c r="K683" s="17"/>
    </row>
    <row r="684" spans="9:11" s="4" customFormat="1">
      <c r="I684" s="5"/>
      <c r="J684" s="6"/>
      <c r="K684" s="17"/>
    </row>
    <row r="685" spans="9:11" s="4" customFormat="1">
      <c r="I685" s="5"/>
      <c r="J685" s="6"/>
      <c r="K685" s="17"/>
    </row>
    <row r="686" spans="9:11" s="4" customFormat="1">
      <c r="I686" s="5"/>
      <c r="J686" s="6"/>
      <c r="K686" s="17"/>
    </row>
    <row r="687" spans="9:11" s="4" customFormat="1">
      <c r="I687" s="5"/>
      <c r="J687" s="6"/>
      <c r="K687" s="17"/>
    </row>
    <row r="688" spans="9:11" s="4" customFormat="1">
      <c r="I688" s="5"/>
      <c r="J688" s="6"/>
      <c r="K688" s="17"/>
    </row>
    <row r="689" spans="9:11" s="4" customFormat="1">
      <c r="I689" s="5"/>
      <c r="J689" s="6"/>
      <c r="K689" s="17"/>
    </row>
    <row r="690" spans="9:11" s="4" customFormat="1">
      <c r="I690" s="5"/>
      <c r="J690" s="6"/>
      <c r="K690" s="17"/>
    </row>
    <row r="691" spans="9:11" s="4" customFormat="1">
      <c r="I691" s="5"/>
      <c r="J691" s="6"/>
      <c r="K691" s="17"/>
    </row>
    <row r="692" spans="9:11" s="4" customFormat="1">
      <c r="I692" s="5"/>
      <c r="J692" s="6"/>
      <c r="K692" s="17"/>
    </row>
    <row r="693" spans="9:11" s="4" customFormat="1">
      <c r="I693" s="5"/>
      <c r="J693" s="6"/>
      <c r="K693" s="17"/>
    </row>
    <row r="694" spans="9:11" s="4" customFormat="1">
      <c r="I694" s="5"/>
      <c r="J694" s="6"/>
      <c r="K694" s="17"/>
    </row>
    <row r="695" spans="9:11" s="4" customFormat="1">
      <c r="I695" s="5"/>
      <c r="J695" s="6"/>
      <c r="K695" s="17"/>
    </row>
    <row r="696" spans="9:11" s="4" customFormat="1">
      <c r="I696" s="5"/>
      <c r="J696" s="6"/>
      <c r="K696" s="17"/>
    </row>
    <row r="697" spans="9:11" s="4" customFormat="1">
      <c r="I697" s="5"/>
      <c r="J697" s="6"/>
      <c r="K697" s="17"/>
    </row>
    <row r="698" spans="9:11" s="4" customFormat="1">
      <c r="I698" s="5"/>
      <c r="J698" s="6"/>
      <c r="K698" s="17"/>
    </row>
    <row r="699" spans="9:11" s="4" customFormat="1">
      <c r="I699" s="5"/>
      <c r="J699" s="6"/>
      <c r="K699" s="17"/>
    </row>
    <row r="700" spans="9:11" s="4" customFormat="1">
      <c r="I700" s="5"/>
      <c r="J700" s="6"/>
      <c r="K700" s="17"/>
    </row>
    <row r="701" spans="9:11" s="4" customFormat="1">
      <c r="I701" s="5"/>
      <c r="J701" s="6"/>
      <c r="K701" s="17"/>
    </row>
    <row r="702" spans="9:11" s="4" customFormat="1">
      <c r="I702" s="5"/>
      <c r="J702" s="6"/>
      <c r="K702" s="17"/>
    </row>
    <row r="703" spans="9:11" s="4" customFormat="1">
      <c r="I703" s="5"/>
      <c r="J703" s="6"/>
      <c r="K703" s="17"/>
    </row>
    <row r="704" spans="9:11" s="4" customFormat="1">
      <c r="I704" s="5"/>
      <c r="J704" s="6"/>
      <c r="K704" s="17"/>
    </row>
    <row r="705" spans="9:11" s="4" customFormat="1">
      <c r="I705" s="5"/>
      <c r="J705" s="6"/>
      <c r="K705" s="17"/>
    </row>
    <row r="706" spans="9:11" s="4" customFormat="1">
      <c r="I706" s="5"/>
      <c r="J706" s="6"/>
      <c r="K706" s="17"/>
    </row>
    <row r="707" spans="9:11" s="4" customFormat="1">
      <c r="I707" s="5"/>
      <c r="J707" s="6"/>
      <c r="K707" s="17"/>
    </row>
    <row r="708" spans="9:11" s="4" customFormat="1">
      <c r="I708" s="5"/>
      <c r="J708" s="6"/>
      <c r="K708" s="17"/>
    </row>
    <row r="709" spans="9:11" s="4" customFormat="1">
      <c r="I709" s="5"/>
      <c r="J709" s="6"/>
      <c r="K709" s="17"/>
    </row>
    <row r="710" spans="9:11" s="4" customFormat="1">
      <c r="I710" s="5"/>
      <c r="J710" s="6"/>
      <c r="K710" s="17"/>
    </row>
    <row r="711" spans="9:11" s="4" customFormat="1">
      <c r="I711" s="5"/>
      <c r="J711" s="6"/>
      <c r="K711" s="17"/>
    </row>
    <row r="712" spans="9:11" s="4" customFormat="1">
      <c r="I712" s="5"/>
      <c r="J712" s="6"/>
      <c r="K712" s="17"/>
    </row>
    <row r="713" spans="9:11" s="4" customFormat="1">
      <c r="I713" s="5"/>
      <c r="J713" s="6"/>
      <c r="K713" s="17"/>
    </row>
    <row r="714" spans="9:11" s="4" customFormat="1">
      <c r="I714" s="5"/>
      <c r="J714" s="6"/>
      <c r="K714" s="17"/>
    </row>
    <row r="715" spans="9:11" s="4" customFormat="1">
      <c r="I715" s="5"/>
      <c r="J715" s="6"/>
      <c r="K715" s="17"/>
    </row>
    <row r="716" spans="9:11" s="4" customFormat="1">
      <c r="I716" s="5"/>
      <c r="J716" s="6"/>
      <c r="K716" s="17"/>
    </row>
    <row r="717" spans="9:11" s="4" customFormat="1">
      <c r="I717" s="5"/>
      <c r="J717" s="6"/>
      <c r="K717" s="17"/>
    </row>
    <row r="718" spans="9:11" s="4" customFormat="1">
      <c r="I718" s="5"/>
      <c r="J718" s="6"/>
      <c r="K718" s="17"/>
    </row>
    <row r="719" spans="9:11" s="4" customFormat="1">
      <c r="I719" s="5"/>
      <c r="J719" s="6"/>
      <c r="K719" s="17"/>
    </row>
    <row r="720" spans="9:11" s="4" customFormat="1">
      <c r="I720" s="5"/>
      <c r="J720" s="6"/>
      <c r="K720" s="17"/>
    </row>
    <row r="721" spans="9:11" s="4" customFormat="1">
      <c r="I721" s="5"/>
      <c r="J721" s="6"/>
      <c r="K721" s="17"/>
    </row>
    <row r="722" spans="9:11" s="4" customFormat="1">
      <c r="I722" s="5"/>
      <c r="J722" s="6"/>
      <c r="K722" s="17"/>
    </row>
    <row r="723" spans="9:11" s="4" customFormat="1">
      <c r="I723" s="5"/>
      <c r="J723" s="6"/>
      <c r="K723" s="17"/>
    </row>
    <row r="724" spans="9:11" s="4" customFormat="1">
      <c r="I724" s="5"/>
      <c r="J724" s="6"/>
      <c r="K724" s="17"/>
    </row>
    <row r="725" spans="9:11" s="4" customFormat="1">
      <c r="I725" s="5"/>
      <c r="J725" s="6"/>
      <c r="K725" s="17"/>
    </row>
    <row r="726" spans="9:11" s="4" customFormat="1">
      <c r="I726" s="5"/>
      <c r="J726" s="6"/>
      <c r="K726" s="17"/>
    </row>
    <row r="727" spans="9:11" s="4" customFormat="1">
      <c r="I727" s="5"/>
      <c r="J727" s="6"/>
      <c r="K727" s="17"/>
    </row>
    <row r="728" spans="9:11" s="4" customFormat="1">
      <c r="I728" s="5"/>
      <c r="J728" s="6"/>
      <c r="K728" s="17"/>
    </row>
    <row r="729" spans="9:11" s="4" customFormat="1">
      <c r="I729" s="5"/>
      <c r="J729" s="6"/>
      <c r="K729" s="17"/>
    </row>
    <row r="730" spans="9:11" s="4" customFormat="1">
      <c r="I730" s="5"/>
      <c r="J730" s="6"/>
      <c r="K730" s="17"/>
    </row>
    <row r="731" spans="9:11" s="4" customFormat="1">
      <c r="I731" s="5"/>
      <c r="J731" s="6"/>
      <c r="K731" s="17"/>
    </row>
    <row r="732" spans="9:11" s="4" customFormat="1">
      <c r="I732" s="5"/>
      <c r="J732" s="6"/>
      <c r="K732" s="17"/>
    </row>
    <row r="733" spans="9:11" s="4" customFormat="1">
      <c r="I733" s="5"/>
      <c r="J733" s="6"/>
      <c r="K733" s="17"/>
    </row>
    <row r="734" spans="9:11" s="4" customFormat="1">
      <c r="I734" s="5"/>
      <c r="J734" s="6"/>
      <c r="K734" s="17"/>
    </row>
    <row r="735" spans="9:11" s="4" customFormat="1">
      <c r="I735" s="5"/>
      <c r="J735" s="6"/>
      <c r="K735" s="17"/>
    </row>
    <row r="736" spans="9:11" s="4" customFormat="1">
      <c r="I736" s="5"/>
      <c r="J736" s="6"/>
      <c r="K736" s="17"/>
    </row>
    <row r="737" spans="9:11" s="4" customFormat="1">
      <c r="I737" s="5"/>
      <c r="J737" s="6"/>
      <c r="K737" s="17"/>
    </row>
    <row r="738" spans="9:11" s="4" customFormat="1">
      <c r="I738" s="5"/>
      <c r="J738" s="6"/>
      <c r="K738" s="17"/>
    </row>
    <row r="739" spans="9:11" s="4" customFormat="1">
      <c r="I739" s="5"/>
      <c r="J739" s="6"/>
      <c r="K739" s="17"/>
    </row>
    <row r="740" spans="9:11" s="4" customFormat="1">
      <c r="I740" s="5"/>
      <c r="J740" s="6"/>
      <c r="K740" s="17"/>
    </row>
    <row r="741" spans="9:11" s="4" customFormat="1">
      <c r="I741" s="5"/>
      <c r="J741" s="6"/>
      <c r="K741" s="17"/>
    </row>
    <row r="742" spans="9:11" s="4" customFormat="1">
      <c r="I742" s="5"/>
      <c r="J742" s="6"/>
      <c r="K742" s="17"/>
    </row>
    <row r="743" spans="9:11" s="4" customFormat="1">
      <c r="I743" s="5"/>
      <c r="J743" s="6"/>
      <c r="K743" s="17"/>
    </row>
    <row r="744" spans="9:11" s="4" customFormat="1">
      <c r="I744" s="5"/>
      <c r="J744" s="6"/>
      <c r="K744" s="17"/>
    </row>
    <row r="745" spans="9:11" s="4" customFormat="1">
      <c r="I745" s="5"/>
      <c r="J745" s="6"/>
      <c r="K745" s="17"/>
    </row>
    <row r="746" spans="9:11" s="4" customFormat="1">
      <c r="I746" s="5"/>
      <c r="J746" s="6"/>
      <c r="K746" s="17"/>
    </row>
    <row r="747" spans="9:11" s="4" customFormat="1">
      <c r="I747" s="5"/>
      <c r="J747" s="6"/>
      <c r="K747" s="17"/>
    </row>
    <row r="748" spans="9:11" s="4" customFormat="1">
      <c r="I748" s="5"/>
      <c r="J748" s="6"/>
      <c r="K748" s="17"/>
    </row>
    <row r="749" spans="9:11" s="4" customFormat="1">
      <c r="I749" s="5"/>
      <c r="J749" s="6"/>
      <c r="K749" s="17"/>
    </row>
    <row r="750" spans="9:11" s="4" customFormat="1">
      <c r="I750" s="5"/>
      <c r="J750" s="6"/>
      <c r="K750" s="17"/>
    </row>
    <row r="751" spans="9:11" s="4" customFormat="1">
      <c r="I751" s="5"/>
      <c r="J751" s="6"/>
      <c r="K751" s="17"/>
    </row>
    <row r="752" spans="9:11" s="4" customFormat="1">
      <c r="I752" s="5"/>
      <c r="J752" s="6"/>
      <c r="K752" s="17"/>
    </row>
    <row r="753" spans="9:11" s="4" customFormat="1">
      <c r="I753" s="5"/>
      <c r="J753" s="6"/>
      <c r="K753" s="17"/>
    </row>
    <row r="754" spans="9:11" s="4" customFormat="1">
      <c r="I754" s="5"/>
      <c r="J754" s="6"/>
      <c r="K754" s="17"/>
    </row>
    <row r="755" spans="9:11" s="4" customFormat="1">
      <c r="I755" s="5"/>
      <c r="J755" s="6"/>
      <c r="K755" s="17"/>
    </row>
    <row r="756" spans="9:11" s="4" customFormat="1">
      <c r="I756" s="5"/>
      <c r="J756" s="6"/>
      <c r="K756" s="17"/>
    </row>
    <row r="757" spans="9:11" s="4" customFormat="1">
      <c r="I757" s="5"/>
      <c r="J757" s="6"/>
      <c r="K757" s="17"/>
    </row>
    <row r="758" spans="9:11" s="4" customFormat="1">
      <c r="I758" s="5"/>
      <c r="J758" s="6"/>
      <c r="K758" s="17"/>
    </row>
    <row r="759" spans="9:11" s="4" customFormat="1">
      <c r="I759" s="5"/>
      <c r="J759" s="6"/>
      <c r="K759" s="17"/>
    </row>
    <row r="760" spans="9:11" s="4" customFormat="1">
      <c r="I760" s="5"/>
      <c r="J760" s="6"/>
      <c r="K760" s="17"/>
    </row>
    <row r="761" spans="9:11" s="4" customFormat="1">
      <c r="I761" s="5"/>
      <c r="J761" s="6"/>
      <c r="K761" s="17"/>
    </row>
    <row r="762" spans="9:11" s="4" customFormat="1">
      <c r="I762" s="5"/>
      <c r="J762" s="6"/>
      <c r="K762" s="17"/>
    </row>
    <row r="763" spans="9:11" s="4" customFormat="1">
      <c r="I763" s="5"/>
      <c r="J763" s="6"/>
      <c r="K763" s="17"/>
    </row>
    <row r="764" spans="9:11" s="4" customFormat="1">
      <c r="I764" s="5"/>
      <c r="J764" s="6"/>
      <c r="K764" s="17"/>
    </row>
    <row r="765" spans="9:11" s="4" customFormat="1">
      <c r="I765" s="5"/>
      <c r="J765" s="6"/>
      <c r="K765" s="17"/>
    </row>
    <row r="766" spans="9:11" s="4" customFormat="1">
      <c r="I766" s="5"/>
      <c r="J766" s="6"/>
      <c r="K766" s="17"/>
    </row>
    <row r="767" spans="9:11" s="4" customFormat="1">
      <c r="I767" s="5"/>
      <c r="J767" s="6"/>
      <c r="K767" s="17"/>
    </row>
    <row r="768" spans="9:11" s="4" customFormat="1">
      <c r="I768" s="5"/>
      <c r="J768" s="6"/>
      <c r="K768" s="17"/>
    </row>
    <row r="769" spans="9:11" s="4" customFormat="1">
      <c r="I769" s="5"/>
      <c r="J769" s="6"/>
      <c r="K769" s="17"/>
    </row>
    <row r="770" spans="9:11" s="4" customFormat="1">
      <c r="I770" s="5"/>
      <c r="J770" s="6"/>
      <c r="K770" s="17"/>
    </row>
    <row r="771" spans="9:11" s="4" customFormat="1">
      <c r="I771" s="5"/>
      <c r="J771" s="6"/>
      <c r="K771" s="17"/>
    </row>
    <row r="772" spans="9:11" s="4" customFormat="1">
      <c r="I772" s="5"/>
      <c r="J772" s="6"/>
      <c r="K772" s="17"/>
    </row>
    <row r="773" spans="9:11" s="4" customFormat="1">
      <c r="I773" s="5"/>
      <c r="J773" s="6"/>
      <c r="K773" s="17"/>
    </row>
    <row r="774" spans="9:11" s="4" customFormat="1">
      <c r="I774" s="5"/>
      <c r="J774" s="6"/>
      <c r="K774" s="17"/>
    </row>
    <row r="775" spans="9:11" s="4" customFormat="1">
      <c r="I775" s="5"/>
      <c r="J775" s="6"/>
      <c r="K775" s="17"/>
    </row>
    <row r="776" spans="9:11" s="4" customFormat="1">
      <c r="I776" s="5"/>
      <c r="J776" s="6"/>
      <c r="K776" s="17"/>
    </row>
    <row r="777" spans="9:11" s="4" customFormat="1">
      <c r="I777" s="5"/>
      <c r="J777" s="6"/>
      <c r="K777" s="17"/>
    </row>
    <row r="778" spans="9:11" s="4" customFormat="1">
      <c r="I778" s="5"/>
      <c r="J778" s="6"/>
      <c r="K778" s="17"/>
    </row>
    <row r="779" spans="9:11" s="4" customFormat="1">
      <c r="I779" s="5"/>
      <c r="J779" s="6"/>
      <c r="K779" s="17"/>
    </row>
    <row r="780" spans="9:11" s="4" customFormat="1">
      <c r="I780" s="5"/>
      <c r="J780" s="6"/>
      <c r="K780" s="17"/>
    </row>
    <row r="781" spans="9:11" s="4" customFormat="1">
      <c r="I781" s="5"/>
      <c r="J781" s="6"/>
      <c r="K781" s="17"/>
    </row>
    <row r="782" spans="9:11" s="4" customFormat="1">
      <c r="I782" s="5"/>
      <c r="J782" s="6"/>
      <c r="K782" s="17"/>
    </row>
    <row r="783" spans="9:11" s="4" customFormat="1">
      <c r="I783" s="5"/>
      <c r="J783" s="6"/>
      <c r="K783" s="17"/>
    </row>
    <row r="784" spans="9:11" s="4" customFormat="1">
      <c r="I784" s="5"/>
      <c r="J784" s="6"/>
      <c r="K784" s="17"/>
    </row>
    <row r="785" spans="9:11" s="4" customFormat="1">
      <c r="I785" s="5"/>
      <c r="J785" s="6"/>
      <c r="K785" s="17"/>
    </row>
    <row r="786" spans="9:11" s="4" customFormat="1">
      <c r="I786" s="5"/>
      <c r="J786" s="6"/>
      <c r="K786" s="17"/>
    </row>
    <row r="787" spans="9:11" s="4" customFormat="1">
      <c r="I787" s="5"/>
      <c r="J787" s="6"/>
      <c r="K787" s="17"/>
    </row>
    <row r="788" spans="9:11" s="4" customFormat="1">
      <c r="I788" s="5"/>
      <c r="J788" s="6"/>
      <c r="K788" s="17"/>
    </row>
    <row r="789" spans="9:11" s="4" customFormat="1">
      <c r="I789" s="5"/>
      <c r="J789" s="6"/>
      <c r="K789" s="17"/>
    </row>
    <row r="790" spans="9:11" s="4" customFormat="1">
      <c r="I790" s="5"/>
      <c r="J790" s="6"/>
      <c r="K790" s="17"/>
    </row>
    <row r="791" spans="9:11" s="4" customFormat="1">
      <c r="I791" s="5"/>
      <c r="J791" s="6"/>
      <c r="K791" s="17"/>
    </row>
    <row r="792" spans="9:11" s="4" customFormat="1">
      <c r="I792" s="5"/>
      <c r="J792" s="6"/>
      <c r="K792" s="17"/>
    </row>
    <row r="793" spans="9:11" s="4" customFormat="1">
      <c r="I793" s="5"/>
      <c r="J793" s="6"/>
      <c r="K793" s="17"/>
    </row>
    <row r="794" spans="9:11" s="4" customFormat="1">
      <c r="I794" s="5"/>
      <c r="J794" s="6"/>
      <c r="K794" s="17"/>
    </row>
    <row r="795" spans="9:11" s="4" customFormat="1">
      <c r="I795" s="5"/>
      <c r="J795" s="6"/>
      <c r="K795" s="17"/>
    </row>
    <row r="796" spans="9:11" s="4" customFormat="1">
      <c r="I796" s="5"/>
      <c r="J796" s="6"/>
      <c r="K796" s="17"/>
    </row>
    <row r="797" spans="9:11" s="4" customFormat="1">
      <c r="I797" s="5"/>
      <c r="J797" s="6"/>
      <c r="K797" s="17"/>
    </row>
    <row r="798" spans="9:11" s="4" customFormat="1">
      <c r="I798" s="5"/>
      <c r="J798" s="6"/>
      <c r="K798" s="17"/>
    </row>
    <row r="799" spans="9:11" s="4" customFormat="1">
      <c r="I799" s="5"/>
      <c r="J799" s="6"/>
      <c r="K799" s="17"/>
    </row>
    <row r="800" spans="9:11" s="4" customFormat="1">
      <c r="I800" s="5"/>
      <c r="J800" s="6"/>
      <c r="K800" s="17"/>
    </row>
    <row r="801" spans="1:11" s="4" customFormat="1">
      <c r="I801" s="5"/>
      <c r="J801" s="6"/>
      <c r="K801" s="17"/>
    </row>
    <row r="802" spans="1:11" s="4" customFormat="1">
      <c r="I802" s="5"/>
      <c r="J802" s="6"/>
      <c r="K802" s="17"/>
    </row>
    <row r="803" spans="1:11" s="4" customFormat="1">
      <c r="I803" s="5"/>
      <c r="J803" s="6"/>
      <c r="K803" s="17"/>
    </row>
    <row r="804" spans="1:11" s="4" customFormat="1">
      <c r="I804" s="5"/>
      <c r="J804" s="6"/>
      <c r="K804" s="17"/>
    </row>
    <row r="805" spans="1:11" s="4" customFormat="1">
      <c r="I805" s="5"/>
      <c r="J805" s="6"/>
      <c r="K805" s="17"/>
    </row>
    <row r="806" spans="1:11" s="4" customFormat="1">
      <c r="I806" s="5"/>
      <c r="J806" s="6"/>
      <c r="K806" s="17"/>
    </row>
    <row r="807" spans="1:11" s="4" customFormat="1">
      <c r="I807" s="5"/>
      <c r="J807" s="6"/>
      <c r="K807" s="17"/>
    </row>
    <row r="808" spans="1:11" s="4" customFormat="1">
      <c r="I808" s="5"/>
      <c r="J808" s="6"/>
      <c r="K808" s="17"/>
    </row>
    <row r="809" spans="1:11" s="4" customFormat="1">
      <c r="I809" s="5"/>
      <c r="J809" s="6"/>
      <c r="K809" s="17"/>
    </row>
    <row r="810" spans="1:11" s="4" customFormat="1">
      <c r="I810" s="5"/>
      <c r="J810" s="6"/>
      <c r="K810" s="17"/>
    </row>
    <row r="811" spans="1:11" s="4" customFormat="1">
      <c r="A811" s="1"/>
      <c r="B811" s="1"/>
      <c r="C811" s="1"/>
      <c r="D811" s="1"/>
      <c r="E811" s="1"/>
      <c r="F811" s="1"/>
      <c r="G811" s="1"/>
      <c r="H811" s="1"/>
      <c r="I811" s="2"/>
      <c r="J811" s="3"/>
      <c r="K811" s="7"/>
    </row>
    <row r="812" spans="1:11" s="4" customFormat="1">
      <c r="A812" s="1"/>
      <c r="B812" s="1"/>
      <c r="C812" s="1"/>
      <c r="D812" s="1"/>
      <c r="E812" s="1"/>
      <c r="F812" s="1"/>
      <c r="G812" s="1"/>
      <c r="H812" s="1"/>
      <c r="I812" s="2"/>
      <c r="J812" s="3"/>
      <c r="K812" s="7"/>
    </row>
  </sheetData>
  <autoFilter ref="A22:K22"/>
  <mergeCells count="13">
    <mergeCell ref="A2:K2"/>
    <mergeCell ref="A3:K3"/>
    <mergeCell ref="B40:D40"/>
    <mergeCell ref="I29:K29"/>
    <mergeCell ref="I30:K30"/>
    <mergeCell ref="A5:K6"/>
    <mergeCell ref="A7:K7"/>
    <mergeCell ref="A8:K8"/>
    <mergeCell ref="A29:D29"/>
    <mergeCell ref="A30:D30"/>
    <mergeCell ref="A25:E25"/>
    <mergeCell ref="A26:B26"/>
    <mergeCell ref="C26:K26"/>
  </mergeCells>
  <phoneticPr fontId="15" type="noConversion"/>
  <printOptions horizontalCentered="1"/>
  <pageMargins left="0.23622047244094491" right="0.23622047244094491" top="0.51181102362204722" bottom="0.51181102362204722" header="3.937007874015748E-2" footer="0.51181102362204722"/>
  <pageSetup paperSize="9" scale="60" orientation="portrait" r:id="rId1"/>
  <headerFooter>
    <oddHeader>&amp;R&amp;12&amp;F</oddHeader>
    <oddFooter>&amp;C&amp;12Page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"/>
  <sheetViews>
    <sheetView topLeftCell="A10" workbookViewId="0">
      <selection activeCell="D16" sqref="D16"/>
    </sheetView>
  </sheetViews>
  <sheetFormatPr defaultRowHeight="15"/>
  <cols>
    <col min="1" max="9" width="11" customWidth="1"/>
    <col min="10" max="10" width="12" customWidth="1"/>
    <col min="11" max="11" width="12.7109375" customWidth="1"/>
  </cols>
  <sheetData>
    <row r="1" spans="1:11">
      <c r="A1" t="s">
        <v>46</v>
      </c>
      <c r="B1" s="88" t="s">
        <v>47</v>
      </c>
      <c r="C1" s="89" t="s">
        <v>48</v>
      </c>
      <c r="D1" s="88" t="s">
        <v>49</v>
      </c>
      <c r="E1" s="88" t="s">
        <v>50</v>
      </c>
      <c r="F1" s="88" t="s">
        <v>51</v>
      </c>
      <c r="G1" s="88" t="s">
        <v>52</v>
      </c>
      <c r="H1" s="88" t="s">
        <v>53</v>
      </c>
      <c r="I1" s="88" t="s">
        <v>54</v>
      </c>
      <c r="J1" s="88" t="s">
        <v>55</v>
      </c>
      <c r="K1" s="88" t="s">
        <v>56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1"/>
  <sheetViews>
    <sheetView workbookViewId="0">
      <selection activeCell="D13" sqref="D13"/>
    </sheetView>
  </sheetViews>
  <sheetFormatPr defaultRowHeight="15"/>
  <cols>
    <col min="1" max="1" width="3" bestFit="1" customWidth="1"/>
    <col min="2" max="2" width="20.85546875" bestFit="1" customWidth="1"/>
    <col min="3" max="3" width="10.7109375" bestFit="1" customWidth="1"/>
    <col min="4" max="4" width="32.28515625" bestFit="1" customWidth="1"/>
    <col min="6" max="6" width="4.5703125" bestFit="1" customWidth="1"/>
    <col min="7" max="7" width="21.140625" bestFit="1" customWidth="1"/>
  </cols>
  <sheetData>
    <row r="1" spans="2:12">
      <c r="B1" s="88"/>
      <c r="C1" s="89"/>
      <c r="D1" s="88"/>
      <c r="E1" s="88"/>
      <c r="F1" s="88"/>
      <c r="G1" s="88"/>
      <c r="H1" s="88"/>
      <c r="I1" s="88"/>
      <c r="J1" s="88"/>
      <c r="K1" s="88"/>
      <c r="L1" s="8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</vt:lpstr>
      <vt:lpstr>Detail</vt:lpstr>
      <vt:lpstr>Data</vt:lpstr>
    </vt:vector>
  </TitlesOfParts>
  <Company>Dell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Preferred Customer</dc:creator>
  <cp:lastModifiedBy>my</cp:lastModifiedBy>
  <cp:lastPrinted>2015-09-03T06:23:14Z</cp:lastPrinted>
  <dcterms:created xsi:type="dcterms:W3CDTF">2009-02-25T10:32:56Z</dcterms:created>
  <dcterms:modified xsi:type="dcterms:W3CDTF">2016-12-16T09:20:50Z</dcterms:modified>
</cp:coreProperties>
</file>