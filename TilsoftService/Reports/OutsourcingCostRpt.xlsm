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-120" yWindow="-120" windowWidth="29040" windowHeight="15996"/>
  </bookViews>
  <sheets>
    <sheet name="Report" sheetId="1" r:id="rId1"/>
    <sheet name="ReportDetail" sheetId="9" r:id="rId2"/>
    <sheet name="Function_GetReport" sheetId="7" r:id="rId3"/>
    <sheet name="Function_GetReportDetail" sheetId="8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9" l="1"/>
  <c r="C4" i="9"/>
  <c r="B4" i="9"/>
  <c r="A4" i="9"/>
  <c r="P4" i="9"/>
  <c r="O4" i="9"/>
  <c r="N4" i="9"/>
  <c r="M4" i="9"/>
  <c r="L4" i="9"/>
  <c r="K4" i="9"/>
  <c r="J4" i="9"/>
  <c r="I4" i="9"/>
  <c r="H4" i="9"/>
  <c r="G4" i="9"/>
  <c r="F4" i="9"/>
  <c r="E4" i="9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Q4" i="9" l="1"/>
</calcChain>
</file>

<file path=xl/sharedStrings.xml><?xml version="1.0" encoding="utf-8"?>
<sst xmlns="http://schemas.openxmlformats.org/spreadsheetml/2006/main" count="78" uniqueCount="58">
  <si>
    <t>Model</t>
  </si>
  <si>
    <t>Model Name</t>
  </si>
  <si>
    <t>Client Code</t>
  </si>
  <si>
    <t>QUANTITY</t>
  </si>
  <si>
    <t>GIÁ CĂN SƯỜN</t>
  </si>
  <si>
    <t>AMOUNT</t>
  </si>
  <si>
    <t>Total Delivery</t>
  </si>
  <si>
    <t>Total Received</t>
  </si>
  <si>
    <t xml:space="preserve">Received </t>
  </si>
  <si>
    <t>Remain</t>
  </si>
  <si>
    <t>Price</t>
  </si>
  <si>
    <t>Căn sườn</t>
  </si>
  <si>
    <t>Weaving</t>
  </si>
  <si>
    <t>Total</t>
  </si>
  <si>
    <t>PT Name</t>
  </si>
  <si>
    <t>ProductionTeamNM</t>
  </si>
  <si>
    <t>ModelUD</t>
  </si>
  <si>
    <t>ModelNM</t>
  </si>
  <si>
    <t>ModelID</t>
  </si>
  <si>
    <t>ProductionTeamID</t>
  </si>
  <si>
    <t>ClientID</t>
  </si>
  <si>
    <t>ClientUD</t>
  </si>
  <si>
    <t>OutsourcingCostTypeUD</t>
  </si>
  <si>
    <t>OutsourcingCostTypeNM</t>
  </si>
  <si>
    <t>QTY CĂN SƯỜN</t>
  </si>
  <si>
    <t>WorkCenterID</t>
  </si>
  <si>
    <t>TotalDeliveryQnt</t>
  </si>
  <si>
    <t>TotalReceivedQnt</t>
  </si>
  <si>
    <t>ReceivedQnt</t>
  </si>
  <si>
    <t>RemainReceivedQnt</t>
  </si>
  <si>
    <t>DeliveryQnt</t>
  </si>
  <si>
    <t>CanSuonPrice</t>
  </si>
  <si>
    <t>TransportAmount</t>
  </si>
  <si>
    <t>OtherAmount</t>
  </si>
  <si>
    <t>CanSuonAmount</t>
  </si>
  <si>
    <t>WeavingFinishedProductAmount</t>
  </si>
  <si>
    <t>TotalQnt</t>
  </si>
  <si>
    <t>ReceiptType</t>
  </si>
  <si>
    <t>ReceiptUD</t>
  </si>
  <si>
    <t>ReceiptDate</t>
  </si>
  <si>
    <t>OtherPrice</t>
  </si>
  <si>
    <t>ReasonOtherPrice</t>
  </si>
  <si>
    <t>WeavingFinishedProductPrice</t>
  </si>
  <si>
    <t>TransportPrice</t>
  </si>
  <si>
    <t>DistanceToFactory</t>
  </si>
  <si>
    <t>Transport</t>
  </si>
  <si>
    <t>Other</t>
  </si>
  <si>
    <t>Số phiếu</t>
  </si>
  <si>
    <t>Ngày</t>
  </si>
  <si>
    <t>Other Price</t>
  </si>
  <si>
    <t>Reason</t>
  </si>
  <si>
    <t>Mã Dây</t>
  </si>
  <si>
    <t>Loại Dây</t>
  </si>
  <si>
    <t>Giá đan thành phẩm</t>
  </si>
  <si>
    <t>Team</t>
  </si>
  <si>
    <t>Client</t>
  </si>
  <si>
    <t>Model Code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</si>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</sst>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NumberFormat="1" applyFont="1" applyFill="1" applyBorder="1"/>
    <xf numFmtId="3" fontId="0" fillId="0" borderId="1" xfId="0" applyNumberFormat="1" applyBorder="1" applyAlignment="1">
      <alignment horizontal="right" vertical="center"/>
    </xf>
    <xf numFmtId="43" fontId="0" fillId="0" borderId="1" xfId="1" applyNumberFormat="1" applyFont="1" applyBorder="1" applyAlignment="1">
      <alignment horizontal="right" vertical="center"/>
    </xf>
    <xf numFmtId="43" fontId="0" fillId="0" borderId="1" xfId="1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/>
    <xf numFmtId="43" fontId="0" fillId="0" borderId="1" xfId="0" applyNumberFormat="1" applyBorder="1"/>
    <xf numFmtId="1" fontId="0" fillId="0" borderId="1" xfId="0" applyNumberFormat="1" applyBorder="1"/>
    <xf numFmtId="14" fontId="0" fillId="0" borderId="0" xfId="0" applyNumberFormat="1"/>
    <xf numFmtId="14" fontId="0" fillId="2" borderId="1" xfId="0" applyNumberFormat="1" applyFill="1" applyBorder="1" applyAlignment="1">
      <alignment horizontal="center" vertical="center" wrapText="1"/>
    </xf>
    <xf numFmtId="14" fontId="0" fillId="0" borderId="1" xfId="0" applyNumberFormat="1" applyBorder="1"/>
    <xf numFmtId="14" fontId="0" fillId="0" borderId="0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4"/>
  <sheetViews>
    <sheetView tabSelected="1" workbookViewId="0">
      <pane ySplit="3" topLeftCell="A4" activePane="bottomLeft" state="frozen"/>
      <selection pane="bottomLeft" activeCell="G10" sqref="G10"/>
    </sheetView>
  </sheetViews>
  <sheetFormatPr defaultRowHeight="14.4" x14ac:dyDescent="0.3"/>
  <cols>
    <col min="1" max="1" width="14.88671875" customWidth="1"/>
    <col min="2" max="2" width="10.44140625" customWidth="1"/>
    <col min="3" max="3" width="36.5546875" customWidth="1"/>
    <col min="4" max="4" width="10.33203125" customWidth="1"/>
    <col min="5" max="8" width="10.77734375" customWidth="1"/>
    <col min="10" max="10" width="12.88671875" customWidth="1"/>
    <col min="11" max="15" width="13.77734375" customWidth="1"/>
  </cols>
  <sheetData>
    <row r="2" spans="1:15" x14ac:dyDescent="0.3">
      <c r="A2" s="7" t="s">
        <v>14</v>
      </c>
      <c r="B2" s="7" t="s">
        <v>0</v>
      </c>
      <c r="C2" s="7" t="s">
        <v>1</v>
      </c>
      <c r="D2" s="7" t="s">
        <v>2</v>
      </c>
      <c r="E2" s="7" t="s">
        <v>3</v>
      </c>
      <c r="F2" s="7"/>
      <c r="G2" s="7"/>
      <c r="H2" s="7"/>
      <c r="I2" s="7" t="s">
        <v>4</v>
      </c>
      <c r="J2" s="7"/>
      <c r="K2" s="8" t="s">
        <v>5</v>
      </c>
      <c r="L2" s="9"/>
      <c r="M2" s="9"/>
      <c r="N2" s="9"/>
      <c r="O2" s="10"/>
    </row>
    <row r="3" spans="1:15" ht="28.8" x14ac:dyDescent="0.3">
      <c r="A3" s="7"/>
      <c r="B3" s="7"/>
      <c r="C3" s="7"/>
      <c r="D3" s="7"/>
      <c r="E3" s="11" t="s">
        <v>6</v>
      </c>
      <c r="F3" s="11" t="s">
        <v>7</v>
      </c>
      <c r="G3" s="11" t="s">
        <v>8</v>
      </c>
      <c r="H3" s="11" t="s">
        <v>9</v>
      </c>
      <c r="I3" s="11" t="s">
        <v>24</v>
      </c>
      <c r="J3" s="11" t="s">
        <v>10</v>
      </c>
      <c r="K3" s="11" t="s">
        <v>45</v>
      </c>
      <c r="L3" s="11" t="s">
        <v>46</v>
      </c>
      <c r="M3" s="11" t="s">
        <v>11</v>
      </c>
      <c r="N3" s="11" t="s">
        <v>12</v>
      </c>
      <c r="O3" s="11" t="s">
        <v>13</v>
      </c>
    </row>
    <row r="4" spans="1:15" x14ac:dyDescent="0.3">
      <c r="A4" s="2">
        <f>Function_GetReport!G2</f>
        <v>0</v>
      </c>
      <c r="B4" s="2">
        <f>Function_GetReport!E2</f>
        <v>0</v>
      </c>
      <c r="C4" s="2">
        <f>Function_GetReport!F2</f>
        <v>0</v>
      </c>
      <c r="D4" s="1">
        <f>Function_GetReport!H2</f>
        <v>0</v>
      </c>
      <c r="E4" s="4">
        <f>Function_GetReport!I2</f>
        <v>0</v>
      </c>
      <c r="F4" s="4">
        <f>Function_GetReport!J2</f>
        <v>0</v>
      </c>
      <c r="G4" s="4">
        <f>Function_GetReport!K2</f>
        <v>0</v>
      </c>
      <c r="H4" s="4">
        <f>Function_GetReport!L2</f>
        <v>0</v>
      </c>
      <c r="I4" s="4">
        <f>Function_GetReport!M2</f>
        <v>0</v>
      </c>
      <c r="J4" s="5">
        <f>Function_GetReport!N2</f>
        <v>0</v>
      </c>
      <c r="K4" s="6">
        <f>Function_GetReport!O2</f>
        <v>0</v>
      </c>
      <c r="L4" s="5">
        <f>Function_GetReport!P2</f>
        <v>0</v>
      </c>
      <c r="M4" s="5">
        <f>Function_GetReport!Q2</f>
        <v>0</v>
      </c>
      <c r="N4" s="5">
        <f>Function_GetReport!R2</f>
        <v>0</v>
      </c>
      <c r="O4" s="5">
        <f>Function_GetReport!S2</f>
        <v>0</v>
      </c>
    </row>
  </sheetData>
  <mergeCells count="7">
    <mergeCell ref="K2:O2"/>
    <mergeCell ref="E2:H2"/>
    <mergeCell ref="I2:J2"/>
    <mergeCell ref="A2:A3"/>
    <mergeCell ref="B2:B3"/>
    <mergeCell ref="C2:C3"/>
    <mergeCell ref="D2:D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"/>
  <sheetViews>
    <sheetView workbookViewId="0">
      <selection activeCell="E14" sqref="E14"/>
    </sheetView>
  </sheetViews>
  <sheetFormatPr defaultRowHeight="14.4" x14ac:dyDescent="0.3"/>
  <cols>
    <col min="1" max="1" width="23.33203125" customWidth="1"/>
    <col min="2" max="2" width="10.21875" customWidth="1"/>
    <col min="3" max="3" width="30.5546875" customWidth="1"/>
    <col min="4" max="4" width="9.6640625" customWidth="1"/>
    <col min="5" max="5" width="11.5546875" customWidth="1"/>
    <col min="6" max="6" width="8.88671875" style="16"/>
    <col min="7" max="7" width="9.44140625" customWidth="1"/>
    <col min="8" max="8" width="10.109375" bestFit="1" customWidth="1"/>
    <col min="9" max="9" width="12.109375" customWidth="1"/>
    <col min="12" max="12" width="12.6640625" customWidth="1"/>
    <col min="13" max="13" width="11" customWidth="1"/>
  </cols>
  <sheetData>
    <row r="1" spans="1:17" ht="8.4" customHeight="1" x14ac:dyDescent="0.3"/>
    <row r="2" spans="1:17" ht="7.2" customHeight="1" x14ac:dyDescent="0.3"/>
    <row r="3" spans="1:17" ht="27" customHeight="1" x14ac:dyDescent="0.3">
      <c r="A3" s="12" t="s">
        <v>54</v>
      </c>
      <c r="B3" s="12" t="s">
        <v>56</v>
      </c>
      <c r="C3" s="12" t="s">
        <v>1</v>
      </c>
      <c r="D3" s="12" t="s">
        <v>55</v>
      </c>
      <c r="E3" s="12" t="s">
        <v>47</v>
      </c>
      <c r="F3" s="17" t="s">
        <v>48</v>
      </c>
      <c r="G3" s="12" t="s">
        <v>7</v>
      </c>
      <c r="H3" s="12" t="s">
        <v>49</v>
      </c>
      <c r="I3" s="12" t="s">
        <v>50</v>
      </c>
      <c r="J3" s="12" t="s">
        <v>51</v>
      </c>
      <c r="K3" s="12" t="s">
        <v>52</v>
      </c>
      <c r="L3" s="12" t="s">
        <v>53</v>
      </c>
      <c r="M3" s="12" t="s">
        <v>45</v>
      </c>
      <c r="N3" s="12" t="s">
        <v>46</v>
      </c>
      <c r="O3" s="12" t="s">
        <v>11</v>
      </c>
      <c r="P3" s="12" t="s">
        <v>12</v>
      </c>
      <c r="Q3" s="12" t="s">
        <v>13</v>
      </c>
    </row>
    <row r="4" spans="1:17" x14ac:dyDescent="0.3">
      <c r="A4" s="13">
        <f>Function_GetReportDetail!H2</f>
        <v>0</v>
      </c>
      <c r="B4" s="13">
        <f>Function_GetReportDetail!F2</f>
        <v>0</v>
      </c>
      <c r="C4" s="13">
        <f>Function_GetReportDetail!G2</f>
        <v>0</v>
      </c>
      <c r="D4" s="13">
        <f>Function_GetReportDetail!I2</f>
        <v>0</v>
      </c>
      <c r="E4" s="13">
        <f>Function_GetReportDetail!K2</f>
        <v>0</v>
      </c>
      <c r="F4" s="18">
        <f>Function_GetReportDetail!L2</f>
        <v>0</v>
      </c>
      <c r="G4" s="15">
        <f>Function_GetReportDetail!M2</f>
        <v>0</v>
      </c>
      <c r="H4" s="14">
        <f>Function_GetReportDetail!Q2</f>
        <v>0</v>
      </c>
      <c r="I4" s="13">
        <f>Function_GetReportDetail!R2</f>
        <v>0</v>
      </c>
      <c r="J4" s="13">
        <f>Function_GetReportDetail!W2</f>
        <v>0</v>
      </c>
      <c r="K4" s="13">
        <f>Function_GetReportDetail!X2</f>
        <v>0</v>
      </c>
      <c r="L4" s="14">
        <f>Function_GetReportDetail!S2</f>
        <v>0</v>
      </c>
      <c r="M4" s="14">
        <f>Function_GetReportDetail!U2*Function_GetReportDetail!V2*Function_GetReportDetail!M2</f>
        <v>0</v>
      </c>
      <c r="N4" s="14">
        <f>Function_GetReportDetail!Q2*Function_GetReportDetail!M2</f>
        <v>0</v>
      </c>
      <c r="O4" s="14">
        <f>Function_GetReportDetail!P2*Function_GetReportDetail!T2</f>
        <v>0</v>
      </c>
      <c r="P4" s="14">
        <f>Function_GetReportDetail!M2*Function_GetReportDetail!S2</f>
        <v>0</v>
      </c>
      <c r="Q4" s="14">
        <f>M4+N4+O4+P4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"/>
  <sheetViews>
    <sheetView workbookViewId="0">
      <selection activeCell="B6" sqref="B6"/>
    </sheetView>
  </sheetViews>
  <sheetFormatPr defaultRowHeight="14.4" x14ac:dyDescent="0.3"/>
  <cols>
    <col min="1" max="1" width="8" bestFit="1" customWidth="1"/>
    <col min="2" max="2" width="16.33203125" bestFit="1" customWidth="1"/>
    <col min="3" max="3" width="7.44140625" bestFit="1" customWidth="1"/>
    <col min="4" max="4" width="12.6640625" bestFit="1" customWidth="1"/>
    <col min="5" max="5" width="8.77734375" bestFit="1" customWidth="1"/>
    <col min="6" max="6" width="9.21875" bestFit="1" customWidth="1"/>
    <col min="7" max="7" width="17.6640625" bestFit="1" customWidth="1"/>
    <col min="8" max="8" width="8.21875" bestFit="1" customWidth="1"/>
    <col min="9" max="9" width="14.88671875" bestFit="1" customWidth="1"/>
    <col min="10" max="10" width="15.6640625" bestFit="1" customWidth="1"/>
    <col min="11" max="11" width="11.33203125" bestFit="1" customWidth="1"/>
    <col min="12" max="12" width="17.6640625" bestFit="1" customWidth="1"/>
    <col min="13" max="13" width="10.5546875" bestFit="1" customWidth="1"/>
    <col min="14" max="14" width="12.109375" bestFit="1" customWidth="1"/>
    <col min="15" max="15" width="15.44140625" bestFit="1" customWidth="1"/>
    <col min="16" max="16" width="12.109375" bestFit="1" customWidth="1"/>
    <col min="17" max="17" width="14.6640625" bestFit="1" customWidth="1"/>
    <col min="18" max="18" width="27.77734375" bestFit="1" customWidth="1"/>
    <col min="19" max="19" width="8.21875" bestFit="1" customWidth="1"/>
  </cols>
  <sheetData>
    <row r="1" spans="1:19" x14ac:dyDescent="0.3">
      <c r="A1" s="3" t="s">
        <v>18</v>
      </c>
      <c r="B1" s="3" t="s">
        <v>19</v>
      </c>
      <c r="C1" s="3" t="s">
        <v>20</v>
      </c>
      <c r="D1" s="3" t="s">
        <v>25</v>
      </c>
      <c r="E1" s="3" t="s">
        <v>16</v>
      </c>
      <c r="F1" s="3" t="s">
        <v>17</v>
      </c>
      <c r="G1" s="3" t="s">
        <v>15</v>
      </c>
      <c r="H1" s="3" t="s">
        <v>21</v>
      </c>
      <c r="I1" s="3" t="s">
        <v>26</v>
      </c>
      <c r="J1" s="3" t="s">
        <v>27</v>
      </c>
      <c r="K1" s="3" t="s">
        <v>28</v>
      </c>
      <c r="L1" s="3" t="s">
        <v>29</v>
      </c>
      <c r="M1" s="3" t="s">
        <v>30</v>
      </c>
      <c r="N1" s="3" t="s">
        <v>31</v>
      </c>
      <c r="O1" s="3" t="s">
        <v>32</v>
      </c>
      <c r="P1" s="3" t="s">
        <v>33</v>
      </c>
      <c r="Q1" s="3" t="s">
        <v>34</v>
      </c>
      <c r="R1" s="3" t="s">
        <v>35</v>
      </c>
      <c r="S1" s="3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"/>
  <sheetViews>
    <sheetView topLeftCell="M1" workbookViewId="0">
      <selection activeCell="Q2" sqref="Q2"/>
    </sheetView>
  </sheetViews>
  <sheetFormatPr defaultRowHeight="14.4" x14ac:dyDescent="0.3"/>
  <cols>
    <col min="1" max="1" width="2.77734375" bestFit="1" customWidth="1"/>
    <col min="2" max="2" width="8" bestFit="1" customWidth="1"/>
    <col min="3" max="3" width="16.33203125" bestFit="1" customWidth="1"/>
    <col min="4" max="4" width="7.44140625" bestFit="1" customWidth="1"/>
    <col min="5" max="5" width="12.6640625" bestFit="1" customWidth="1"/>
    <col min="6" max="6" width="8.77734375" bestFit="1" customWidth="1"/>
    <col min="7" max="7" width="9.21875" bestFit="1" customWidth="1"/>
    <col min="8" max="8" width="17.6640625" bestFit="1" customWidth="1"/>
    <col min="9" max="9" width="8.21875" bestFit="1" customWidth="1"/>
    <col min="10" max="10" width="11" bestFit="1" customWidth="1"/>
    <col min="11" max="11" width="9.6640625" style="16" bestFit="1" customWidth="1"/>
    <col min="12" max="12" width="11" bestFit="1" customWidth="1"/>
    <col min="13" max="13" width="15.6640625" bestFit="1" customWidth="1"/>
    <col min="14" max="14" width="11.33203125" bestFit="1" customWidth="1"/>
    <col min="15" max="15" width="14.88671875" bestFit="1" customWidth="1"/>
    <col min="16" max="16" width="10.5546875" bestFit="1" customWidth="1"/>
    <col min="17" max="17" width="9.6640625" bestFit="1" customWidth="1"/>
    <col min="18" max="18" width="15.77734375" bestFit="1" customWidth="1"/>
    <col min="19" max="19" width="25.21875" bestFit="1" customWidth="1"/>
    <col min="20" max="20" width="12.109375" bestFit="1" customWidth="1"/>
    <col min="21" max="21" width="12.88671875" bestFit="1" customWidth="1"/>
    <col min="22" max="22" width="16.33203125" bestFit="1" customWidth="1"/>
    <col min="23" max="23" width="21.109375" bestFit="1" customWidth="1"/>
    <col min="24" max="24" width="21.6640625" bestFit="1" customWidth="1"/>
  </cols>
  <sheetData>
    <row r="1" spans="1:25" x14ac:dyDescent="0.3">
      <c r="A1" s="3" t="s">
        <v>57</v>
      </c>
      <c r="B1" s="3" t="s">
        <v>18</v>
      </c>
      <c r="C1" s="3" t="s">
        <v>19</v>
      </c>
      <c r="D1" s="3" t="s">
        <v>20</v>
      </c>
      <c r="E1" s="3" t="s">
        <v>25</v>
      </c>
      <c r="F1" s="3" t="s">
        <v>16</v>
      </c>
      <c r="G1" s="3" t="s">
        <v>17</v>
      </c>
      <c r="H1" s="3" t="s">
        <v>15</v>
      </c>
      <c r="I1" s="3" t="s">
        <v>21</v>
      </c>
      <c r="J1" s="3" t="s">
        <v>37</v>
      </c>
      <c r="K1" s="19" t="s">
        <v>38</v>
      </c>
      <c r="L1" s="3" t="s">
        <v>39</v>
      </c>
      <c r="M1" s="3" t="s">
        <v>27</v>
      </c>
      <c r="N1" s="3" t="s">
        <v>28</v>
      </c>
      <c r="O1" s="3" t="s">
        <v>26</v>
      </c>
      <c r="P1" s="3" t="s">
        <v>30</v>
      </c>
      <c r="Q1" s="3" t="s">
        <v>40</v>
      </c>
      <c r="R1" s="3" t="s">
        <v>41</v>
      </c>
      <c r="S1" s="3" t="s">
        <v>42</v>
      </c>
      <c r="T1" s="3" t="s">
        <v>31</v>
      </c>
      <c r="U1" s="3" t="s">
        <v>43</v>
      </c>
      <c r="V1" s="3" t="s">
        <v>44</v>
      </c>
      <c r="W1" s="3" t="s">
        <v>22</v>
      </c>
      <c r="X1" s="3" t="s">
        <v>23</v>
      </c>
      <c r="Y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</vt:lpstr>
      <vt:lpstr>ReportDetail</vt:lpstr>
      <vt:lpstr>Function_GetReport</vt:lpstr>
      <vt:lpstr>Function_GetReportDetail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Nhut Luu</dc:creator>
  <cp:lastModifiedBy>quang</cp:lastModifiedBy>
  <dcterms:created xsi:type="dcterms:W3CDTF">2019-10-27T08:47:34Z</dcterms:created>
  <dcterms:modified xsi:type="dcterms:W3CDTF">2019-12-13T07:47:53Z</dcterms:modified>
</cp:coreProperties>
</file>