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SingleCells2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\PROJECT\FURNINDO\VSGIT\SOLUTION\TilsoftService\Reports\"/>
    </mc:Choice>
  </mc:AlternateContent>
  <bookViews>
    <workbookView xWindow="120" yWindow="60" windowWidth="11475" windowHeight="6720"/>
  </bookViews>
  <sheets>
    <sheet name="EurofarPriceOverview" sheetId="1" r:id="rId1"/>
    <sheet name="MI" sheetId="4" r:id="rId2"/>
    <sheet name="MarginCustomer" sheetId="5" r:id="rId3"/>
    <sheet name="Supplier" sheetId="6" r:id="rId4"/>
    <sheet name="Data" sheetId="3" state="hidden" r:id="rId5"/>
  </sheets>
  <functionGroups builtInGroupCount="18"/>
  <definedNames>
    <definedName name="_xlnm._FilterDatabase" localSheetId="0" hidden="1">EurofarPriceOverview!$A$6:$BA$6</definedName>
    <definedName name="_xlnm.Print_Titles" localSheetId="0">EurofarPriceOverview!$1:$6</definedName>
  </definedNames>
  <calcPr calcId="152511"/>
</workbook>
</file>

<file path=xl/calcChain.xml><?xml version="1.0" encoding="utf-8"?>
<calcChain xmlns="http://schemas.openxmlformats.org/spreadsheetml/2006/main">
  <c r="E3" i="6" l="1"/>
  <c r="D3" i="6"/>
  <c r="C3" i="6"/>
  <c r="F2" i="6"/>
  <c r="D2" i="6"/>
  <c r="E2" i="6"/>
  <c r="C2" i="6"/>
  <c r="F3" i="6" l="1"/>
  <c r="AZ7" i="1"/>
  <c r="M3" i="5" l="1"/>
  <c r="L3" i="5"/>
  <c r="J3" i="5"/>
  <c r="H3" i="5"/>
  <c r="G3" i="5"/>
  <c r="F3" i="5"/>
  <c r="E3" i="5"/>
  <c r="D3" i="5"/>
  <c r="C3" i="5"/>
  <c r="M2" i="5"/>
  <c r="L2" i="5"/>
  <c r="J2" i="5"/>
  <c r="H2" i="5"/>
  <c r="G2" i="5"/>
  <c r="F2" i="5"/>
  <c r="E2" i="5"/>
  <c r="D2" i="5"/>
  <c r="C2" i="5"/>
  <c r="G5" i="4"/>
  <c r="G4" i="4"/>
  <c r="F16" i="4"/>
  <c r="F15" i="4"/>
  <c r="F14" i="4"/>
  <c r="F13" i="4"/>
  <c r="F12" i="4"/>
  <c r="F11" i="4"/>
  <c r="F10" i="4"/>
  <c r="F9" i="4"/>
  <c r="F7" i="4"/>
  <c r="AR4" i="1" l="1"/>
  <c r="AR5" i="1"/>
  <c r="AR7" i="1"/>
  <c r="AM7" i="1" l="1"/>
  <c r="H16" i="4" l="1"/>
  <c r="H15" i="4"/>
  <c r="H14" i="4"/>
  <c r="H13" i="4"/>
  <c r="H12" i="4"/>
  <c r="H11" i="4"/>
  <c r="H10" i="4"/>
  <c r="H9" i="4"/>
  <c r="Y7" i="1" l="1"/>
  <c r="AT7" i="1" s="1"/>
  <c r="BA7" i="1" l="1"/>
  <c r="Z7" i="1"/>
  <c r="A7" i="1"/>
  <c r="AU7" i="1" l="1"/>
  <c r="AG7" i="1" l="1"/>
  <c r="AS7" i="1" s="1"/>
  <c r="AF7" i="1"/>
  <c r="AD7" i="1"/>
  <c r="AC7" i="1"/>
  <c r="AB7" i="1"/>
  <c r="AA7" i="1"/>
  <c r="X7" i="1"/>
  <c r="W7" i="1"/>
  <c r="V7" i="1"/>
  <c r="U7" i="1"/>
  <c r="S7" i="1"/>
  <c r="R7" i="1"/>
  <c r="Q7" i="1"/>
  <c r="P7" i="1"/>
  <c r="N7" i="1"/>
  <c r="L7" i="1"/>
  <c r="L4" i="1" l="1"/>
  <c r="L5" i="1"/>
  <c r="N4" i="1"/>
  <c r="N5" i="1"/>
  <c r="AJ7" i="1"/>
  <c r="AH7" i="1"/>
  <c r="AW7" i="1" s="1"/>
  <c r="AE7" i="1"/>
  <c r="J7" i="1"/>
  <c r="I7" i="1"/>
  <c r="AN7" i="1" s="1"/>
  <c r="H7" i="1"/>
  <c r="G7" i="1"/>
  <c r="F7" i="1"/>
  <c r="E7" i="1"/>
  <c r="D7" i="1"/>
  <c r="C7" i="1"/>
  <c r="B7" i="1"/>
  <c r="J5" i="1" l="1"/>
  <c r="J4" i="1"/>
  <c r="AV7" i="1"/>
  <c r="AX7" i="1"/>
  <c r="AY7" i="1" s="1"/>
  <c r="AI7" i="1"/>
  <c r="AO7" i="1"/>
  <c r="O7" i="1"/>
  <c r="M7" i="1"/>
  <c r="K7" i="1"/>
  <c r="AK7" i="1"/>
  <c r="AI4" i="1" l="1"/>
  <c r="AI5" i="1"/>
  <c r="AY5" i="1"/>
  <c r="AY2" i="1" s="1"/>
  <c r="F5" i="4" s="1"/>
  <c r="AY4" i="1"/>
  <c r="AY1" i="1" s="1"/>
  <c r="F4" i="4" s="1"/>
  <c r="AK5" i="1"/>
  <c r="AK4" i="1"/>
  <c r="AL7" i="1"/>
  <c r="K5" i="1"/>
  <c r="B5" i="4" s="1"/>
  <c r="K4" i="1"/>
  <c r="B4" i="4" s="1"/>
  <c r="M5" i="1"/>
  <c r="M4" i="1"/>
  <c r="O5" i="1"/>
  <c r="O4" i="1"/>
  <c r="AO4" i="1"/>
  <c r="E4" i="4" s="1"/>
  <c r="AO5" i="1"/>
  <c r="E5" i="4" s="1"/>
  <c r="Z5" i="1"/>
  <c r="Z4" i="1"/>
  <c r="AP7" i="1"/>
  <c r="AQ7" i="1" s="1"/>
  <c r="AS5" i="1" s="1"/>
  <c r="H5" i="4" l="1"/>
  <c r="E13" i="4"/>
  <c r="D11" i="4"/>
  <c r="E12" i="4"/>
  <c r="E10" i="4"/>
  <c r="E15" i="4"/>
  <c r="E11" i="4"/>
  <c r="D10" i="4"/>
  <c r="D13" i="4"/>
  <c r="D16" i="4"/>
  <c r="C10" i="4"/>
  <c r="D15" i="4"/>
  <c r="E16" i="4"/>
  <c r="E9" i="4"/>
  <c r="D9" i="4"/>
  <c r="D12" i="4"/>
  <c r="D14" i="4"/>
  <c r="C11" i="4"/>
  <c r="E14" i="4"/>
  <c r="D5" i="4"/>
  <c r="D4" i="4" s="1"/>
  <c r="AZ5" i="1"/>
  <c r="H4" i="4"/>
  <c r="D7" i="4"/>
  <c r="E7" i="4"/>
  <c r="AS4" i="1"/>
  <c r="AS1" i="1" s="1"/>
  <c r="BA1" i="1" s="1"/>
  <c r="BA5" i="1"/>
  <c r="BA4" i="1"/>
  <c r="AL4" i="1"/>
  <c r="C4" i="4" s="1"/>
  <c r="AL5" i="1"/>
  <c r="C5" i="4" s="1"/>
  <c r="G16" i="4" s="1"/>
  <c r="AS2" i="1"/>
  <c r="BA2" i="1" s="1"/>
  <c r="G9" i="4" l="1"/>
  <c r="G12" i="4"/>
  <c r="G11" i="4"/>
  <c r="G13" i="4"/>
  <c r="G14" i="4"/>
  <c r="I14" i="4" s="1"/>
  <c r="J14" i="4" s="1"/>
  <c r="G15" i="4"/>
  <c r="G10" i="4"/>
  <c r="I10" i="4" s="1"/>
  <c r="J10" i="4" s="1"/>
  <c r="C9" i="4"/>
  <c r="C12" i="4"/>
  <c r="C13" i="4"/>
  <c r="C14" i="4"/>
  <c r="C15" i="4"/>
  <c r="C16" i="4"/>
  <c r="I5" i="4"/>
  <c r="J5" i="4" s="1"/>
  <c r="I12" i="4"/>
  <c r="J12" i="4" s="1"/>
  <c r="I4" i="4"/>
  <c r="J4" i="4" s="1"/>
  <c r="G7" i="4"/>
  <c r="I7" i="4" s="1"/>
  <c r="J7" i="4" s="1"/>
  <c r="I9" i="4" l="1"/>
  <c r="J9" i="4" s="1"/>
  <c r="I15" i="4"/>
  <c r="J15" i="4" s="1"/>
  <c r="I16" i="4"/>
  <c r="J16" i="4" s="1"/>
  <c r="I11" i="4"/>
  <c r="J11" i="4" s="1"/>
  <c r="I13" i="4"/>
  <c r="J13" i="4" s="1"/>
</calcChain>
</file>

<file path=xl/connections.xml><?xml version="1.0" encoding="utf-8"?>
<connections xmlns="http://schemas.openxmlformats.org/spreadsheetml/2006/main">
  <connection id="1" name="EurofarPriceOverview_20152016" type="4" refreshedVersion="0" background="1">
    <webPr xml="1" sourceData="1" url="C:\Users\my.nguyen\AppData\Local\Temp\EurofarPriceOverview_20152016.xml" htmlTables="1" htmlFormat="all"/>
  </connection>
</connections>
</file>

<file path=xl/sharedStrings.xml><?xml version="1.0" encoding="utf-8"?>
<sst xmlns="http://schemas.openxmlformats.org/spreadsheetml/2006/main" count="130" uniqueCount="114">
  <si>
    <t>No.</t>
  </si>
  <si>
    <t>P/O. No.</t>
  </si>
  <si>
    <t>Date</t>
  </si>
  <si>
    <t>Customer Code</t>
  </si>
  <si>
    <t>Name Customer</t>
  </si>
  <si>
    <t>Art. Code</t>
  </si>
  <si>
    <t>Art. Description</t>
  </si>
  <si>
    <t>Qnt/40ft</t>
  </si>
  <si>
    <t>Order qnt</t>
  </si>
  <si>
    <t xml:space="preserve"> Order in Cont.</t>
  </si>
  <si>
    <t>Shipped qnt</t>
  </si>
  <si>
    <t>Shipped in Cont.</t>
  </si>
  <si>
    <t>Main material</t>
  </si>
  <si>
    <t>Status</t>
  </si>
  <si>
    <t>Supplier</t>
  </si>
  <si>
    <t>LDS</t>
  </si>
  <si>
    <t>S/C</t>
  </si>
  <si>
    <t>PRICE QUOTE</t>
  </si>
  <si>
    <t>CO</t>
  </si>
  <si>
    <t>Total in USD Company</t>
  </si>
  <si>
    <t>Target price</t>
  </si>
  <si>
    <t>Price status</t>
  </si>
  <si>
    <t>Price cfmd date</t>
  </si>
  <si>
    <t>Proforma invoice</t>
  </si>
  <si>
    <t>RMK</t>
  </si>
  <si>
    <t>SALES Unitpr EURO</t>
  </si>
  <si>
    <t>SALES Amount EURO</t>
  </si>
  <si>
    <t>SALES Unitpr US$</t>
  </si>
  <si>
    <t>SALES Amount US$</t>
  </si>
  <si>
    <t>TOTAL SALES Amount USD convert into EURO</t>
  </si>
  <si>
    <t>TRANPSORT PER 40FT HC IN EURO  FOR EURO SALES (STANDARD = 2200 EURO)</t>
  </si>
  <si>
    <t>Transport per unit</t>
  </si>
  <si>
    <t>Totale Transport in Euro</t>
  </si>
  <si>
    <t>FOB SALES PRICES FOR EURO ORDERS ( ELIMINATE TRANSPORT</t>
  </si>
  <si>
    <t xml:space="preserve"> SALES FOB UNIT PRICE  in USD</t>
  </si>
  <si>
    <t>Gross Margin in USD before commission</t>
  </si>
  <si>
    <t>Gross Margin in % before commission</t>
  </si>
  <si>
    <t xml:space="preserve">Commission % </t>
  </si>
  <si>
    <t>Commission Unit price in USD (of USD order)</t>
  </si>
  <si>
    <t>Commission Unit price in Euro (of Euro order</t>
  </si>
  <si>
    <t>Commission Unitprice in USD</t>
  </si>
  <si>
    <t>COMMISSION AMOUNT IN USD</t>
  </si>
  <si>
    <t>Gross Margin% after Commission</t>
  </si>
  <si>
    <t>PROFORMA INVOICES</t>
  </si>
  <si>
    <t>EUR/USD =</t>
  </si>
  <si>
    <t>TOTAL IN EUR</t>
  </si>
  <si>
    <t>SUB-TOTAL IN EUR</t>
  </si>
  <si>
    <t>Sale</t>
  </si>
  <si>
    <t>Loaded qnt</t>
  </si>
  <si>
    <t>Loaded in Cont.</t>
  </si>
  <si>
    <t>QUALITY</t>
  </si>
  <si>
    <t>PLACE</t>
  </si>
  <si>
    <t>FOD IN USD (COMPANY)</t>
  </si>
  <si>
    <t>FOB USD (BREAKDOWN)</t>
  </si>
  <si>
    <t>Currency</t>
  </si>
  <si>
    <t>2015/2016</t>
  </si>
  <si>
    <t>ns2:QuotationDetailID</t>
  </si>
  <si>
    <t>ns2:Season</t>
  </si>
  <si>
    <t>ns2:ProformaInvoiceNo</t>
  </si>
  <si>
    <t>ns2:InvoiceDate</t>
  </si>
  <si>
    <t>ns2:ClientUD</t>
  </si>
  <si>
    <t>ns2:ClientNM</t>
  </si>
  <si>
    <t>ns2:SaleNM</t>
  </si>
  <si>
    <t>ns2:ArticleCode</t>
  </si>
  <si>
    <t>ns2:Description</t>
  </si>
  <si>
    <t>ns2:Qnt40HC</t>
  </si>
  <si>
    <t>ns2:OrderQnt</t>
  </si>
  <si>
    <t>ns2:LoadedQnt</t>
  </si>
  <si>
    <t>ns2:ShippedQnt</t>
  </si>
  <si>
    <t>ns2:MaterialNM</t>
  </si>
  <si>
    <t>ns2:ProductionStatus</t>
  </si>
  <si>
    <t>ns2:FactoryUD</t>
  </si>
  <si>
    <t>ns2:LDS</t>
  </si>
  <si>
    <t>ns2:QuotationUD</t>
  </si>
  <si>
    <t>ns2:ManufacturerCountryNM</t>
  </si>
  <si>
    <t>ns2:LocationNM</t>
  </si>
  <si>
    <t>ns2:PriceDifferenceCode</t>
  </si>
  <si>
    <t>ns2:PurchasingPrice</t>
  </si>
  <si>
    <t>ns2:SalePrice</t>
  </si>
  <si>
    <t>ns2:TargetPrice</t>
  </si>
  <si>
    <t>ns2:BreakDownPrice</t>
  </si>
  <si>
    <t>ns2:UnitPrice</t>
  </si>
  <si>
    <t>ns2:Transportation</t>
  </si>
  <si>
    <t>ns2:Commission</t>
  </si>
  <si>
    <t>ns2:Currency</t>
  </si>
  <si>
    <t>ns2:QuotationStatusNM</t>
  </si>
  <si>
    <t>ns2:StatusUpdatedDate</t>
  </si>
  <si>
    <t>ns2:Remark</t>
  </si>
  <si>
    <t>Damages/returns</t>
  </si>
  <si>
    <t>SW Overhead</t>
  </si>
  <si>
    <t>Containers</t>
  </si>
  <si>
    <t>Turn over in Euro</t>
  </si>
  <si>
    <t>Cost Price in Euro</t>
  </si>
  <si>
    <t>Transport Cost in Euro</t>
  </si>
  <si>
    <t>Commission in Euro</t>
  </si>
  <si>
    <t>Gross Margin in Euro</t>
  </si>
  <si>
    <t>Confirmed orders</t>
  </si>
  <si>
    <t>Orders with cost price</t>
  </si>
  <si>
    <t xml:space="preserve">Orders in Proforma </t>
  </si>
  <si>
    <t>Expectation orders</t>
  </si>
  <si>
    <t>TOTAL SALES AMOUNT IN USD</t>
  </si>
  <si>
    <t>Sale Manager</t>
  </si>
  <si>
    <t>Fob Cost price in USD</t>
  </si>
  <si>
    <t>SALES Amount Euro</t>
  </si>
  <si>
    <t>Fob Sales amount in USD</t>
  </si>
  <si>
    <t xml:space="preserve">Commission in % </t>
  </si>
  <si>
    <t>Commission in USD</t>
  </si>
  <si>
    <t>Damages
(1,25% FOB Cost)</t>
  </si>
  <si>
    <t>Nett Gross Margin after Commission
/Damages</t>
  </si>
  <si>
    <t>Nett Gross Margin in % after Commission
/Damages</t>
  </si>
  <si>
    <t>Total</t>
  </si>
  <si>
    <t>Subtotal</t>
  </si>
  <si>
    <t>#</t>
  </si>
  <si>
    <t>Gross Margin after 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</si>
</sst>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2">
    <numFmt numFmtId="43" formatCode="_-* #,##0.00\ _₫_-;\-* #,##0.00\ _₫_-;_-* &quot;-&quot;??\ _₫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-* #,##0\ _B_F_-;\-* #,##0\ _B_F_-;_-* &quot;-&quot;\ _B_F_-;_-@_-"/>
    <numFmt numFmtId="168" formatCode="_-[$€-2]\ * #,##0_-;\-[$€-2]\ * #,##0_-;_-[$€-2]\ * &quot;-&quot;??_-;_-@_-"/>
    <numFmt numFmtId="169" formatCode="_([$€-2]\ * #,##0.00_);_([$€-2]\ * \(#,##0.00\);_([$€-2]\ * &quot;-&quot;??_);_(@_)"/>
    <numFmt numFmtId="170" formatCode="_-* #,##0_-;\-* #,##0_-;_-* &quot;-&quot;??_-;_-@_-"/>
    <numFmt numFmtId="171" formatCode="_-[$€-2]\ * #,##0.00_-;\-[$€-2]\ * #,##0.00_-;_-[$€-2]\ * &quot;-&quot;??_-;_-@_-"/>
    <numFmt numFmtId="172" formatCode="_-* #,##0_-;\-* #,##0_-;_-* &quot;-&quot;_-;_-@_-"/>
    <numFmt numFmtId="173" formatCode="_-* #,##0.00_-;_-* #,##0.00\-;_-* &quot;-&quot;??_-;_-@_-"/>
    <numFmt numFmtId="174" formatCode="#,##0\ &quot;DM&quot;;\-#,##0\ &quot;DM&quot;"/>
    <numFmt numFmtId="175" formatCode="0.000%"/>
    <numFmt numFmtId="176" formatCode="&quot;￥&quot;#,##0;&quot;￥&quot;\-#,##0"/>
    <numFmt numFmtId="177" formatCode="00.000"/>
    <numFmt numFmtId="178" formatCode="_-&quot;F&quot;* #,##0_-;\-&quot;F&quot;* #,##0_-;_-&quot;F&quot;* &quot;-&quot;_-;_-@_-"/>
    <numFmt numFmtId="179" formatCode="#,##0\ &quot;F&quot;;[Red]\-#,##0\ &quot;F&quot;"/>
    <numFmt numFmtId="180" formatCode="_-&quot;F&quot;* #,##0.00_-;\-&quot;F&quot;* #,##0.00_-;_-&quot;F&quot;* &quot;-&quot;??_-;_-@_-"/>
    <numFmt numFmtId="181" formatCode="[$$-C09]#,##0.00"/>
    <numFmt numFmtId="182" formatCode="_-[$$-C09]* #,##0.00_-;\-[$$-C09]* #,##0.00_-;_-[$$-C09]* &quot;-&quot;??_-;_-@_-"/>
    <numFmt numFmtId="183" formatCode="_-&quot;€&quot;\ * #,##0.00_-;_-&quot;€&quot;\ * #,##0.00\-;_-&quot;€&quot;\ * &quot;-&quot;??_-;_-@_-"/>
    <numFmt numFmtId="184" formatCode="_-[$$-1009]* #,##0.00_-;\-[$$-1009]* #,##0.00_-;_-[$$-1009]* &quot;-&quot;??_-;_-@_-"/>
    <numFmt numFmtId="185" formatCode="_ [$€-413]\ * #,##0.00_ ;_ [$€-413]\ * \-#,##0.00_ ;_ [$€-413]\ * &quot;-&quot;??_ ;_ @_ "/>
    <numFmt numFmtId="186" formatCode="_ [$€-2]\ * #,##0_ ;_ [$€-2]\ * \-#,##0_ ;_ [$€-2]\ * &quot;-&quot;??_ ;_ @_ "/>
    <numFmt numFmtId="187" formatCode="&quot;$&quot;#,##0.00"/>
    <numFmt numFmtId="188" formatCode="[$€-413]\ #,##0.00"/>
    <numFmt numFmtId="189" formatCode="_-[$$-409]* #,##0.00_ ;_-[$$-409]* \-#,##0.00\ ;_-[$$-409]* &quot;-&quot;??_ ;_-@_ "/>
    <numFmt numFmtId="190" formatCode="_([$€-2]\ * #,##0_);_([$€-2]\ * \(#,##0\);_([$€-2]\ * &quot;-&quot;??_);_(@_)"/>
    <numFmt numFmtId="191" formatCode="_(&quot;$&quot;* #,##0_);_(&quot;$&quot;* \(#,##0\);_(&quot;$&quot;* &quot;-&quot;??_);_(@_)"/>
    <numFmt numFmtId="192" formatCode="_([$€-2]\ * #,##0_);_([$€-2]\ * \(#,##0\);_([$€-2]\ * &quot;-&quot;_);_(@_)"/>
    <numFmt numFmtId="193" formatCode="_([$$-409]* #,##0_);_([$$-409]* \(#,##0\);_([$$-409]* &quot;-&quot;_);_(@_)"/>
    <numFmt numFmtId="194" formatCode="_(&quot;$&quot;* #,##0.00_);_(&quot;$&quot;* \(#,##0.00\);_(&quot;$&quot;* &quot;-&quot;_);_(@_)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宋体"/>
      <charset val="134"/>
    </font>
    <font>
      <b/>
      <sz val="9"/>
      <name val="Arial Narrow"/>
      <family val="2"/>
    </font>
    <font>
      <b/>
      <sz val="14"/>
      <color indexed="10"/>
      <name val="Arial Narrow"/>
      <family val="2"/>
    </font>
    <font>
      <sz val="14"/>
      <color indexed="10"/>
      <name val="Arial Narrow"/>
      <family val="2"/>
    </font>
    <font>
      <b/>
      <sz val="14"/>
      <name val="Arial Narrow"/>
      <family val="2"/>
    </font>
    <font>
      <sz val="14"/>
      <name val="Arial Narrow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2"/>
      <name val="新細明體"/>
      <charset val="136"/>
    </font>
    <font>
      <sz val="12"/>
      <name val="Courier"/>
      <family val="3"/>
    </font>
    <font>
      <sz val="11"/>
      <name val="돋움"/>
      <family val="3"/>
    </font>
    <font>
      <sz val="10"/>
      <name val="굴림체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Arial Narrow"/>
      <family val="2"/>
    </font>
    <font>
      <sz val="10"/>
      <color indexed="48"/>
      <name val="Arial Narrow"/>
      <family val="2"/>
    </font>
    <font>
      <sz val="11"/>
      <name val="Arial Narrow"/>
      <family val="2"/>
    </font>
    <font>
      <b/>
      <sz val="14"/>
      <color indexed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sz val="9"/>
      <color theme="1"/>
      <name val="Arial"/>
      <family val="2"/>
    </font>
    <font>
      <b/>
      <sz val="11"/>
      <name val="Arial"/>
      <family val="2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5117038483843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71">
    <xf numFmtId="0" fontId="0" fillId="0" borderId="0"/>
    <xf numFmtId="167" fontId="2" fillId="0" borderId="0" applyFont="0" applyFill="0" applyBorder="0" applyAlignment="0" applyProtection="0"/>
    <xf numFmtId="167" fontId="4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1" fillId="0" borderId="1" applyNumberFormat="0" applyAlignment="0" applyProtection="0">
      <alignment horizontal="left" vertical="center"/>
    </xf>
    <xf numFmtId="0" fontId="11" fillId="0" borderId="2">
      <alignment horizontal="left" vertical="center"/>
    </xf>
    <xf numFmtId="172" fontId="4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2" fillId="0" borderId="0" applyNumberFormat="0" applyFont="0" applyFill="0" applyAlignment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1" fillId="0" borderId="0"/>
    <xf numFmtId="0" fontId="3" fillId="0" borderId="0"/>
    <xf numFmtId="0" fontId="3" fillId="0" borderId="0"/>
    <xf numFmtId="183" fontId="3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0" fillId="0" borderId="0" applyFont="0" applyFill="0" applyBorder="0" applyAlignment="0" applyProtection="0"/>
    <xf numFmtId="0" fontId="21" fillId="0" borderId="0">
      <alignment vertical="center"/>
    </xf>
    <xf numFmtId="40" fontId="13" fillId="0" borderId="0" applyFont="0" applyFill="0" applyBorder="0" applyAlignment="0" applyProtection="0"/>
    <xf numFmtId="38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174" fontId="18" fillId="0" borderId="0" applyFont="0" applyFill="0" applyBorder="0" applyAlignment="0" applyProtection="0"/>
    <xf numFmtId="175" fontId="18" fillId="0" borderId="0" applyFont="0" applyFill="0" applyBorder="0" applyAlignment="0" applyProtection="0"/>
    <xf numFmtId="176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0" fontId="19" fillId="0" borderId="0"/>
    <xf numFmtId="0" fontId="10" fillId="0" borderId="0" applyProtection="0"/>
    <xf numFmtId="172" fontId="16" fillId="0" borderId="0" applyFont="0" applyFill="0" applyBorder="0" applyAlignment="0" applyProtection="0"/>
    <xf numFmtId="40" fontId="17" fillId="0" borderId="0" applyFont="0" applyFill="0" applyBorder="0" applyAlignment="0" applyProtection="0"/>
    <xf numFmtId="178" fontId="16" fillId="0" borderId="0" applyFont="0" applyFill="0" applyBorder="0" applyAlignment="0" applyProtection="0"/>
    <xf numFmtId="179" fontId="17" fillId="0" borderId="0" applyFont="0" applyFill="0" applyBorder="0" applyAlignment="0" applyProtection="0"/>
    <xf numFmtId="180" fontId="16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2" fillId="0" borderId="0"/>
    <xf numFmtId="0" fontId="2" fillId="0" borderId="0"/>
    <xf numFmtId="183" fontId="2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24">
    <xf numFmtId="0" fontId="0" fillId="0" borderId="0" xfId="0"/>
    <xf numFmtId="166" fontId="9" fillId="0" borderId="0" xfId="3" applyFont="1" applyFill="1" applyAlignment="1">
      <alignment vertical="center"/>
    </xf>
    <xf numFmtId="49" fontId="8" fillId="0" borderId="0" xfId="3" applyNumberFormat="1" applyFont="1" applyFill="1" applyBorder="1" applyAlignment="1">
      <alignment horizontal="center" vertical="center"/>
    </xf>
    <xf numFmtId="166" fontId="7" fillId="0" borderId="0" xfId="3" applyFont="1" applyFill="1" applyAlignment="1">
      <alignment vertical="center"/>
    </xf>
    <xf numFmtId="166" fontId="8" fillId="0" borderId="0" xfId="3" applyFont="1" applyFill="1" applyBorder="1" applyAlignment="1">
      <alignment horizontal="left" vertical="center"/>
    </xf>
    <xf numFmtId="0" fontId="9" fillId="0" borderId="0" xfId="1" applyNumberFormat="1" applyFont="1" applyFill="1" applyAlignment="1">
      <alignment horizontal="center" vertical="center"/>
    </xf>
    <xf numFmtId="166" fontId="9" fillId="0" borderId="0" xfId="3" applyFont="1" applyFill="1" applyAlignment="1">
      <alignment horizontal="left" vertical="center"/>
    </xf>
    <xf numFmtId="166" fontId="9" fillId="0" borderId="0" xfId="3" applyFont="1" applyFill="1" applyAlignment="1">
      <alignment horizontal="center" vertical="center"/>
    </xf>
    <xf numFmtId="169" fontId="8" fillId="0" borderId="0" xfId="3" applyNumberFormat="1" applyFont="1" applyFill="1" applyBorder="1" applyAlignment="1">
      <alignment horizontal="center" vertical="center"/>
    </xf>
    <xf numFmtId="49" fontId="6" fillId="0" borderId="0" xfId="1" applyNumberFormat="1" applyFont="1" applyFill="1" applyBorder="1" applyAlignment="1">
      <alignment horizontal="left" vertical="center"/>
    </xf>
    <xf numFmtId="168" fontId="8" fillId="0" borderId="0" xfId="3" applyNumberFormat="1" applyFont="1" applyFill="1" applyBorder="1" applyAlignment="1">
      <alignment horizontal="center" vertical="center"/>
    </xf>
    <xf numFmtId="186" fontId="5" fillId="0" borderId="0" xfId="15" applyNumberFormat="1" applyFont="1" applyFill="1" applyBorder="1" applyAlignment="1">
      <alignment horizontal="center" vertical="center" wrapText="1"/>
    </xf>
    <xf numFmtId="166" fontId="10" fillId="0" borderId="0" xfId="3" applyFont="1" applyFill="1" applyBorder="1" applyAlignment="1"/>
    <xf numFmtId="173" fontId="5" fillId="0" borderId="0" xfId="15" applyNumberFormat="1" applyFont="1" applyFill="1" applyBorder="1" applyAlignment="1">
      <alignment horizontal="center" vertical="center" wrapText="1"/>
    </xf>
    <xf numFmtId="182" fontId="5" fillId="0" borderId="0" xfId="15" applyNumberFormat="1" applyFont="1" applyFill="1" applyBorder="1" applyAlignment="1">
      <alignment horizontal="center" vertical="center" wrapText="1"/>
    </xf>
    <xf numFmtId="0" fontId="9" fillId="0" borderId="0" xfId="1" applyNumberFormat="1" applyFont="1" applyFill="1" applyBorder="1" applyAlignment="1">
      <alignment vertical="center"/>
    </xf>
    <xf numFmtId="184" fontId="22" fillId="0" borderId="0" xfId="3" applyNumberFormat="1" applyFont="1" applyFill="1" applyBorder="1" applyAlignment="1">
      <alignment vertical="center"/>
    </xf>
    <xf numFmtId="181" fontId="23" fillId="0" borderId="0" xfId="11" applyNumberFormat="1" applyFont="1" applyFill="1" applyBorder="1" applyAlignment="1">
      <alignment vertical="center"/>
    </xf>
    <xf numFmtId="185" fontId="24" fillId="0" borderId="0" xfId="17" applyNumberFormat="1" applyFont="1" applyFill="1" applyBorder="1" applyAlignment="1">
      <alignment vertical="center"/>
    </xf>
    <xf numFmtId="166" fontId="24" fillId="0" borderId="0" xfId="3" applyFont="1" applyFill="1" applyBorder="1" applyAlignment="1">
      <alignment vertical="center"/>
    </xf>
    <xf numFmtId="166" fontId="27" fillId="0" borderId="0" xfId="3" applyFont="1" applyFill="1" applyBorder="1" applyAlignment="1">
      <alignment horizontal="left" vertical="center"/>
    </xf>
    <xf numFmtId="0" fontId="28" fillId="3" borderId="3" xfId="0" applyFont="1" applyFill="1" applyBorder="1"/>
    <xf numFmtId="3" fontId="28" fillId="3" borderId="3" xfId="0" applyNumberFormat="1" applyFont="1" applyFill="1" applyBorder="1"/>
    <xf numFmtId="4" fontId="28" fillId="3" borderId="3" xfId="0" applyNumberFormat="1" applyFont="1" applyFill="1" applyBorder="1"/>
    <xf numFmtId="188" fontId="28" fillId="3" borderId="3" xfId="0" applyNumberFormat="1" applyFont="1" applyFill="1" applyBorder="1"/>
    <xf numFmtId="187" fontId="28" fillId="3" borderId="3" xfId="0" applyNumberFormat="1" applyFont="1" applyFill="1" applyBorder="1"/>
    <xf numFmtId="10" fontId="28" fillId="3" borderId="3" xfId="0" applyNumberFormat="1" applyFont="1" applyFill="1" applyBorder="1"/>
    <xf numFmtId="0" fontId="28" fillId="4" borderId="4" xfId="0" applyFont="1" applyFill="1" applyBorder="1"/>
    <xf numFmtId="3" fontId="28" fillId="4" borderId="4" xfId="0" applyNumberFormat="1" applyFont="1" applyFill="1" applyBorder="1"/>
    <xf numFmtId="4" fontId="28" fillId="4" borderId="4" xfId="0" applyNumberFormat="1" applyFont="1" applyFill="1" applyBorder="1"/>
    <xf numFmtId="188" fontId="28" fillId="4" borderId="4" xfId="0" applyNumberFormat="1" applyFont="1" applyFill="1" applyBorder="1"/>
    <xf numFmtId="187" fontId="28" fillId="4" borderId="4" xfId="0" applyNumberFormat="1" applyFont="1" applyFill="1" applyBorder="1"/>
    <xf numFmtId="10" fontId="28" fillId="4" borderId="4" xfId="0" applyNumberFormat="1" applyFont="1" applyFill="1" applyBorder="1"/>
    <xf numFmtId="49" fontId="27" fillId="0" borderId="0" xfId="3" applyNumberFormat="1" applyFont="1" applyFill="1" applyBorder="1" applyAlignment="1">
      <alignment horizontal="center" vertical="center"/>
    </xf>
    <xf numFmtId="39" fontId="27" fillId="0" borderId="0" xfId="3" applyNumberFormat="1" applyFont="1" applyFill="1" applyBorder="1" applyAlignment="1">
      <alignment horizontal="center" vertical="center"/>
    </xf>
    <xf numFmtId="3" fontId="10" fillId="2" borderId="3" xfId="1" applyNumberFormat="1" applyFont="1" applyFill="1" applyBorder="1" applyAlignment="1">
      <alignment horizontal="center" vertical="center" wrapText="1"/>
    </xf>
    <xf numFmtId="49" fontId="10" fillId="2" borderId="3" xfId="1" applyNumberFormat="1" applyFont="1" applyFill="1" applyBorder="1" applyAlignment="1">
      <alignment horizontal="center" vertical="center" wrapText="1"/>
    </xf>
    <xf numFmtId="171" fontId="10" fillId="2" borderId="3" xfId="1" applyNumberFormat="1" applyFont="1" applyFill="1" applyBorder="1" applyAlignment="1">
      <alignment horizontal="center" vertical="center" wrapText="1"/>
    </xf>
    <xf numFmtId="166" fontId="10" fillId="2" borderId="3" xfId="3" applyFont="1" applyFill="1" applyBorder="1" applyAlignment="1">
      <alignment horizontal="center" vertical="center" wrapText="1"/>
    </xf>
    <xf numFmtId="167" fontId="10" fillId="2" borderId="3" xfId="1" applyFont="1" applyFill="1" applyBorder="1" applyAlignment="1">
      <alignment horizontal="center" vertical="center" wrapText="1"/>
    </xf>
    <xf numFmtId="170" fontId="10" fillId="2" borderId="3" xfId="3" applyNumberFormat="1" applyFont="1" applyFill="1" applyBorder="1" applyAlignment="1">
      <alignment horizontal="center" vertical="center" wrapText="1"/>
    </xf>
    <xf numFmtId="169" fontId="28" fillId="5" borderId="3" xfId="0" applyNumberFormat="1" applyFont="1" applyFill="1" applyBorder="1" applyAlignment="1">
      <alignment horizontal="right"/>
    </xf>
    <xf numFmtId="169" fontId="26" fillId="5" borderId="3" xfId="3" applyNumberFormat="1" applyFont="1" applyFill="1" applyBorder="1" applyAlignment="1">
      <alignment horizontal="right" vertical="center"/>
    </xf>
    <xf numFmtId="165" fontId="28" fillId="3" borderId="3" xfId="49" applyFont="1" applyFill="1" applyBorder="1"/>
    <xf numFmtId="165" fontId="28" fillId="4" borderId="4" xfId="49" applyFont="1" applyFill="1" applyBorder="1"/>
    <xf numFmtId="0" fontId="0" fillId="0" borderId="3" xfId="0" applyBorder="1"/>
    <xf numFmtId="0" fontId="0" fillId="0" borderId="5" xfId="0" applyBorder="1"/>
    <xf numFmtId="49" fontId="25" fillId="0" borderId="5" xfId="1" applyNumberFormat="1" applyFont="1" applyFill="1" applyBorder="1" applyAlignment="1">
      <alignment horizontal="left" vertical="center"/>
    </xf>
    <xf numFmtId="49" fontId="27" fillId="0" borderId="0" xfId="3" applyNumberFormat="1" applyFont="1" applyFill="1" applyBorder="1" applyAlignment="1">
      <alignment horizontal="left" vertical="center"/>
    </xf>
    <xf numFmtId="49" fontId="0" fillId="0" borderId="0" xfId="0" applyNumberFormat="1"/>
    <xf numFmtId="14" fontId="0" fillId="0" borderId="0" xfId="0" applyNumberFormat="1"/>
    <xf numFmtId="9" fontId="0" fillId="0" borderId="3" xfId="50" applyFont="1" applyBorder="1"/>
    <xf numFmtId="189" fontId="28" fillId="3" borderId="3" xfId="0" applyNumberFormat="1" applyFont="1" applyFill="1" applyBorder="1"/>
    <xf numFmtId="189" fontId="28" fillId="4" borderId="4" xfId="0" applyNumberFormat="1" applyFont="1" applyFill="1" applyBorder="1"/>
    <xf numFmtId="9" fontId="28" fillId="3" borderId="3" xfId="50" applyFont="1" applyFill="1" applyBorder="1"/>
    <xf numFmtId="171" fontId="28" fillId="3" borderId="3" xfId="0" applyNumberFormat="1" applyFont="1" applyFill="1" applyBorder="1"/>
    <xf numFmtId="171" fontId="28" fillId="4" borderId="4" xfId="0" applyNumberFormat="1" applyFont="1" applyFill="1" applyBorder="1"/>
    <xf numFmtId="49" fontId="0" fillId="0" borderId="3" xfId="0" applyNumberFormat="1" applyBorder="1"/>
    <xf numFmtId="14" fontId="0" fillId="0" borderId="3" xfId="0" applyNumberFormat="1" applyBorder="1"/>
    <xf numFmtId="1" fontId="0" fillId="0" borderId="3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2" fontId="0" fillId="0" borderId="3" xfId="0" applyNumberFormat="1" applyBorder="1"/>
    <xf numFmtId="0" fontId="0" fillId="0" borderId="3" xfId="0" applyNumberFormat="1" applyBorder="1"/>
    <xf numFmtId="49" fontId="0" fillId="0" borderId="3" xfId="0" applyNumberFormat="1" applyBorder="1" applyAlignment="1">
      <alignment horizontal="center"/>
    </xf>
    <xf numFmtId="189" fontId="0" fillId="0" borderId="3" xfId="0" applyNumberFormat="1" applyBorder="1"/>
    <xf numFmtId="189" fontId="0" fillId="0" borderId="3" xfId="0" applyNumberFormat="1" applyBorder="1" applyAlignment="1">
      <alignment horizontal="right"/>
    </xf>
    <xf numFmtId="171" fontId="0" fillId="0" borderId="3" xfId="0" applyNumberFormat="1" applyBorder="1"/>
    <xf numFmtId="10" fontId="0" fillId="0" borderId="3" xfId="50" applyNumberFormat="1" applyFont="1" applyBorder="1"/>
    <xf numFmtId="171" fontId="0" fillId="0" borderId="3" xfId="49" applyNumberFormat="1" applyFont="1" applyBorder="1"/>
    <xf numFmtId="190" fontId="0" fillId="0" borderId="3" xfId="0" applyNumberFormat="1" applyBorder="1"/>
    <xf numFmtId="169" fontId="0" fillId="0" borderId="3" xfId="0" applyNumberFormat="1" applyBorder="1"/>
    <xf numFmtId="0" fontId="0" fillId="0" borderId="3" xfId="0" applyBorder="1" applyAlignment="1">
      <alignment horizontal="center" vertical="center" wrapText="1"/>
    </xf>
    <xf numFmtId="190" fontId="0" fillId="0" borderId="3" xfId="0" applyNumberFormat="1" applyBorder="1" applyAlignment="1">
      <alignment horizontal="center" vertical="center" wrapText="1"/>
    </xf>
    <xf numFmtId="190" fontId="0" fillId="0" borderId="3" xfId="0" applyNumberFormat="1" applyBorder="1" applyAlignment="1">
      <alignment horizontal="center" wrapText="1"/>
    </xf>
    <xf numFmtId="190" fontId="0" fillId="6" borderId="3" xfId="0" applyNumberFormat="1" applyFill="1" applyBorder="1" applyAlignment="1">
      <alignment horizontal="center" vertical="center" wrapText="1"/>
    </xf>
    <xf numFmtId="169" fontId="0" fillId="0" borderId="3" xfId="0" applyNumberFormat="1" applyBorder="1" applyAlignment="1">
      <alignment horizontal="center" vertical="center" wrapText="1"/>
    </xf>
    <xf numFmtId="43" fontId="0" fillId="0" borderId="3" xfId="51" applyFont="1" applyBorder="1"/>
    <xf numFmtId="0" fontId="0" fillId="7" borderId="3" xfId="0" applyFill="1" applyBorder="1"/>
    <xf numFmtId="43" fontId="0" fillId="7" borderId="3" xfId="51" applyFont="1" applyFill="1" applyBorder="1"/>
    <xf numFmtId="190" fontId="0" fillId="7" borderId="3" xfId="0" applyNumberFormat="1" applyFill="1" applyBorder="1"/>
    <xf numFmtId="10" fontId="0" fillId="7" borderId="3" xfId="50" applyNumberFormat="1" applyFont="1" applyFill="1" applyBorder="1"/>
    <xf numFmtId="0" fontId="0" fillId="3" borderId="3" xfId="0" applyFill="1" applyBorder="1"/>
    <xf numFmtId="190" fontId="0" fillId="3" borderId="3" xfId="0" applyNumberFormat="1" applyFill="1" applyBorder="1"/>
    <xf numFmtId="10" fontId="0" fillId="3" borderId="3" xfId="50" applyNumberFormat="1" applyFont="1" applyFill="1" applyBorder="1"/>
    <xf numFmtId="0" fontId="0" fillId="8" borderId="3" xfId="0" applyFill="1" applyBorder="1"/>
    <xf numFmtId="190" fontId="0" fillId="8" borderId="3" xfId="0" applyNumberFormat="1" applyFill="1" applyBorder="1"/>
    <xf numFmtId="10" fontId="0" fillId="8" borderId="3" xfId="50" applyNumberFormat="1" applyFont="1" applyFill="1" applyBorder="1"/>
    <xf numFmtId="0" fontId="0" fillId="9" borderId="3" xfId="0" applyFill="1" applyBorder="1"/>
    <xf numFmtId="190" fontId="0" fillId="9" borderId="3" xfId="0" applyNumberFormat="1" applyFill="1" applyBorder="1"/>
    <xf numFmtId="10" fontId="0" fillId="9" borderId="3" xfId="50" applyNumberFormat="1" applyFont="1" applyFill="1" applyBorder="1"/>
    <xf numFmtId="10" fontId="28" fillId="4" borderId="4" xfId="50" applyNumberFormat="1" applyFont="1" applyFill="1" applyBorder="1"/>
    <xf numFmtId="10" fontId="0" fillId="0" borderId="3" xfId="50" applyNumberFormat="1" applyFont="1" applyBorder="1" applyAlignment="1">
      <alignment horizontal="center" vertical="center" wrapText="1"/>
    </xf>
    <xf numFmtId="191" fontId="10" fillId="2" borderId="3" xfId="49" applyNumberFormat="1" applyFont="1" applyFill="1" applyBorder="1" applyAlignment="1">
      <alignment horizontal="center" vertical="center" wrapText="1"/>
    </xf>
    <xf numFmtId="166" fontId="10" fillId="2" borderId="3" xfId="3" applyFont="1" applyFill="1" applyBorder="1" applyAlignment="1">
      <alignment horizontal="left" vertical="center" wrapText="1"/>
    </xf>
    <xf numFmtId="10" fontId="28" fillId="3" borderId="3" xfId="50" applyNumberFormat="1" applyFont="1" applyFill="1" applyBorder="1"/>
    <xf numFmtId="0" fontId="28" fillId="4" borderId="3" xfId="0" applyFont="1" applyFill="1" applyBorder="1"/>
    <xf numFmtId="4" fontId="28" fillId="4" borderId="3" xfId="0" applyNumberFormat="1" applyFont="1" applyFill="1" applyBorder="1"/>
    <xf numFmtId="9" fontId="28" fillId="4" borderId="3" xfId="50" applyFont="1" applyFill="1" applyBorder="1"/>
    <xf numFmtId="189" fontId="28" fillId="4" borderId="3" xfId="0" applyNumberFormat="1" applyFont="1" applyFill="1" applyBorder="1"/>
    <xf numFmtId="10" fontId="28" fillId="4" borderId="3" xfId="50" applyNumberFormat="1" applyFont="1" applyFill="1" applyBorder="1"/>
    <xf numFmtId="0" fontId="30" fillId="0" borderId="0" xfId="0" applyFont="1"/>
    <xf numFmtId="164" fontId="28" fillId="3" borderId="3" xfId="49" applyNumberFormat="1" applyFont="1" applyFill="1" applyBorder="1"/>
    <xf numFmtId="164" fontId="28" fillId="4" borderId="3" xfId="49" applyNumberFormat="1" applyFont="1" applyFill="1" applyBorder="1"/>
    <xf numFmtId="192" fontId="28" fillId="3" borderId="3" xfId="0" applyNumberFormat="1" applyFont="1" applyFill="1" applyBorder="1"/>
    <xf numFmtId="192" fontId="28" fillId="4" borderId="3" xfId="0" applyNumberFormat="1" applyFont="1" applyFill="1" applyBorder="1"/>
    <xf numFmtId="192" fontId="28" fillId="3" borderId="3" xfId="49" applyNumberFormat="1" applyFont="1" applyFill="1" applyBorder="1"/>
    <xf numFmtId="192" fontId="28" fillId="4" borderId="3" xfId="49" applyNumberFormat="1" applyFont="1" applyFill="1" applyBorder="1"/>
    <xf numFmtId="193" fontId="28" fillId="3" borderId="3" xfId="0" applyNumberFormat="1" applyFont="1" applyFill="1" applyBorder="1"/>
    <xf numFmtId="193" fontId="28" fillId="4" borderId="3" xfId="0" applyNumberFormat="1" applyFont="1" applyFill="1" applyBorder="1"/>
    <xf numFmtId="193" fontId="28" fillId="3" borderId="3" xfId="49" applyNumberFormat="1" applyFont="1" applyFill="1" applyBorder="1"/>
    <xf numFmtId="193" fontId="28" fillId="4" borderId="3" xfId="49" applyNumberFormat="1" applyFont="1" applyFill="1" applyBorder="1"/>
    <xf numFmtId="0" fontId="28" fillId="0" borderId="0" xfId="0" applyFont="1"/>
    <xf numFmtId="0" fontId="28" fillId="3" borderId="3" xfId="0" applyFont="1" applyFill="1" applyBorder="1"/>
    <xf numFmtId="4" fontId="28" fillId="3" borderId="3" xfId="0" applyNumberFormat="1" applyFont="1" applyFill="1" applyBorder="1"/>
    <xf numFmtId="0" fontId="28" fillId="4" borderId="4" xfId="0" applyFont="1" applyFill="1" applyBorder="1"/>
    <xf numFmtId="4" fontId="28" fillId="4" borderId="4" xfId="0" applyNumberFormat="1" applyFont="1" applyFill="1" applyBorder="1"/>
    <xf numFmtId="43" fontId="10" fillId="2" borderId="3" xfId="52" applyFont="1" applyFill="1" applyBorder="1" applyAlignment="1">
      <alignment horizontal="center" vertical="center" wrapText="1"/>
    </xf>
    <xf numFmtId="10" fontId="28" fillId="4" borderId="4" xfId="50" applyNumberFormat="1" applyFont="1" applyFill="1" applyBorder="1"/>
    <xf numFmtId="10" fontId="28" fillId="3" borderId="3" xfId="50" applyNumberFormat="1" applyFont="1" applyFill="1" applyBorder="1"/>
    <xf numFmtId="194" fontId="28" fillId="3" borderId="3" xfId="49" applyNumberFormat="1" applyFont="1" applyFill="1" applyBorder="1"/>
    <xf numFmtId="194" fontId="28" fillId="4" borderId="4" xfId="49" applyNumberFormat="1" applyFont="1" applyFill="1" applyBorder="1"/>
    <xf numFmtId="0" fontId="28" fillId="6" borderId="3" xfId="0" applyFont="1" applyFill="1" applyBorder="1" applyAlignment="1">
      <alignment horizontal="center" vertical="center"/>
    </xf>
    <xf numFmtId="0" fontId="28" fillId="10" borderId="4" xfId="0" applyFont="1" applyFill="1" applyBorder="1"/>
    <xf numFmtId="49" fontId="29" fillId="5" borderId="3" xfId="1" applyNumberFormat="1" applyFont="1" applyFill="1" applyBorder="1" applyAlignment="1">
      <alignment horizontal="right" vertical="center"/>
    </xf>
  </cellXfs>
  <cellStyles count="71">
    <cellStyle name="_ET_STYLE_NoName_00_" xfId="2"/>
    <cellStyle name="Comma" xfId="51" builtinId="3"/>
    <cellStyle name="Comma 2" xfId="3"/>
    <cellStyle name="Comma 2 2" xfId="52"/>
    <cellStyle name="Comma 3" xfId="70"/>
    <cellStyle name="Currency" xfId="49" builtinId="4"/>
    <cellStyle name="Currency 2" xfId="4"/>
    <cellStyle name="Header1" xfId="5"/>
    <cellStyle name="Header2" xfId="6"/>
    <cellStyle name="Komma 2" xfId="7"/>
    <cellStyle name="Komma 2 2" xfId="8"/>
    <cellStyle name="Komma 2 2 2" xfId="53"/>
    <cellStyle name="Komma 2 3" xfId="9"/>
    <cellStyle name="Komma 2 3 2" xfId="54"/>
    <cellStyle name="Komma 2 4" xfId="10"/>
    <cellStyle name="Komma 2 4 2" xfId="55"/>
    <cellStyle name="Komma 3" xfId="11"/>
    <cellStyle name="Komma 3 2" xfId="12"/>
    <cellStyle name="Komma 3 2 2" xfId="57"/>
    <cellStyle name="Komma 3 3" xfId="56"/>
    <cellStyle name="Komma 5" xfId="13"/>
    <cellStyle name="Komma 5 2" xfId="58"/>
    <cellStyle name="Komma 8" xfId="14"/>
    <cellStyle name="Komma 8 2" xfId="59"/>
    <cellStyle name="Komma_Kopie van 01  IN PRODUCTION PROFORMA INVOICES AVM 26-09-08 (INGEVULD)" xfId="15"/>
    <cellStyle name="n" xfId="16"/>
    <cellStyle name="Normal" xfId="0" builtinId="0"/>
    <cellStyle name="Normal 2" xfId="1"/>
    <cellStyle name="Percent" xfId="50" builtinId="5"/>
    <cellStyle name="Percent 2" xfId="17"/>
    <cellStyle name="Procent 2 2" xfId="18"/>
    <cellStyle name="Procent 2 2 2" xfId="60"/>
    <cellStyle name="Procent 2 3" xfId="19"/>
    <cellStyle name="Procent 2 3 2" xfId="61"/>
    <cellStyle name="Procent 2 4" xfId="20"/>
    <cellStyle name="Procent 2 4 2" xfId="62"/>
    <cellStyle name="Procent 4" xfId="21"/>
    <cellStyle name="Procent 4 2" xfId="63"/>
    <cellStyle name="Standaard 2" xfId="22"/>
    <cellStyle name="Standaard 2 2" xfId="23"/>
    <cellStyle name="Standaard 2 2 2" xfId="65"/>
    <cellStyle name="Standaard 2 3" xfId="24"/>
    <cellStyle name="Standaard 2 3 2" xfId="66"/>
    <cellStyle name="Standaard 2 4" xfId="64"/>
    <cellStyle name="Standaard 3" xfId="25"/>
    <cellStyle name="Standaard 3 2" xfId="26"/>
    <cellStyle name="Standaard 3 2 2" xfId="67"/>
    <cellStyle name="Standaard 3 3" xfId="27"/>
    <cellStyle name="Standaard 3 3 2" xfId="68"/>
    <cellStyle name="Valuta 2" xfId="28"/>
    <cellStyle name="Valuta 2 2" xfId="69"/>
    <cellStyle name=" [0.00]_ Att. 1- Cover" xfId="29"/>
    <cellStyle name="_ Att. 1- Cover" xfId="30"/>
    <cellStyle name="?_ Att. 1- Cover" xfId="31"/>
    <cellStyle name="똿뗦먛귟 [0.00]_PRODUCT DETAIL Q1" xfId="32"/>
    <cellStyle name="똿뗦먛귟_PRODUCT DETAIL Q1" xfId="33"/>
    <cellStyle name="믅됞 [0.00]_PRODUCT DETAIL Q1" xfId="34"/>
    <cellStyle name="믅됞_PRODUCT DETAIL Q1" xfId="35"/>
    <cellStyle name="백분율_95" xfId="36"/>
    <cellStyle name="뷭?_BOOKSHIP" xfId="37"/>
    <cellStyle name="콤마 [0]_1202" xfId="38"/>
    <cellStyle name="콤마_1202" xfId="39"/>
    <cellStyle name="통화 [0]_1202" xfId="40"/>
    <cellStyle name="통화_1202" xfId="41"/>
    <cellStyle name="표준_(정보부문)월별인원계획" xfId="42"/>
    <cellStyle name="一般_99Q3647-ALL-CAS2" xfId="43"/>
    <cellStyle name="千分位[0]_Book1" xfId="44"/>
    <cellStyle name="千分位_99Q3647-ALL-CAS2" xfId="45"/>
    <cellStyle name="貨幣 [0]_Book1" xfId="46"/>
    <cellStyle name="貨幣[0]_BRE" xfId="47"/>
    <cellStyle name="貨幣_Book1" xfId="4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ReportDataObject.xsd'">
  <Schema ID="Schema2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EurofarPriceOverviewRpt_function_GetReportData" minOccurs="0" maxOccurs="unbounded">
              <xs:complexType>
                <xs:sequence>
                  <xs:element name="QuotationDetailID" type="xs:int"/>
                  <xs:element name="Season" minOccurs="0">
                    <xs:simpleType>
                      <xs:restriction base="xs:string">
                        <xs:maxLength value="9"/>
                      </xs:restriction>
                    </xs:simpleType>
                  </xs:element>
                  <xs:element name="ProformaInvoiceNo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nvoiceDate" type="xs:string" minOccurs="0"/>
                  <xs:element name="ClientUD" minOccurs="0">
                    <xs:simpleType>
                      <xs:restriction base="xs:string">
                        <xs:maxLength value="8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rticleCode" msdata:ReadOnly="true" minOccurs="0">
                    <xs:simpleType>
                      <xs:restriction base="xs:string">
                        <xs:maxLength value="26"/>
                      </xs:restriction>
                    </xs:simpleType>
                  </xs:element>
                  <xs:element name="Description" msdata:ReadOnly="tru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40HC" msdata:ReadOnly="true" type="xs:int" minOccurs="0"/>
                  <xs:element name="OrderQnt" msdata:ReadOnly="true" type="xs:int" minOccurs="0"/>
                  <xs:element name="LoadedQnt" msdata:ReadOnly="true" type="xs:int" minOccurs="0"/>
                  <xs:element name="ShippedQnt" msdata:ReadOnly="true" type="xs:int" minOccurs="0"/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roductionStatus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actory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LDS" type="xs:string" minOccurs="0"/>
                  <xs:element name="QuotationUD" minOccurs="0">
                    <xs:simpleType>
                      <xs:restriction base="xs:string">
                        <xs:maxLength value="17"/>
                      </xs:restriction>
                    </xs:simpleType>
                  </xs:element>
                  <xs:element name="ManufacturerCountry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Location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iceDifferenceCode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PurchasingPrice" type="xs:decimal" minOccurs="0"/>
                  <xs:element name="SalePrice" type="xs:decimal" minOccurs="0"/>
                  <xs:element name="TargetPrice" type="xs:decimal" minOccurs="0"/>
                  <xs:element name="BreakDownPrice" type="xs:decimal" minOccurs="0"/>
                  <xs:element name="QuotationStatus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StatusUpdatedDate" type="xs:string" minOccurs="0"/>
                  <xs:element name="Remark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UnitPrice" msdata:ReadOnly="true" type="xs:decimal" minOccurs="0"/>
                  <xs:element name="Transportation" type="xs:decimal" minOccurs="0"/>
                  <xs:element name="Commission" type="xs:decimal" minOccurs="0"/>
                </xs:sequence>
              </xs:complexType>
            </xs:element>
            <xs:element name="ReportHeader">
              <xs:complexType>
                <xs:sequence>
                  <xs:element name="Season" type="xs:string" minOccurs="0"/>
                  <xs:element name="ExRate" type="xs:decimal" minOccurs="0"/>
                  <xs:element name="TotalCont" type="xs:decimal" minOccurs="0"/>
                  <xs:element name="TotalTurnOverEuro" type="xs:decimal" minOccurs="0"/>
                  <xs:element name="SWOverhead" type="xs:decimal" minOccurs="0"/>
                </xs:sequence>
              </xs:complexType>
            </xs:element>
          </xs:sequence>
        </xs:complexType>
        <xs:unique name="Constraint1" msdata:PrimaryKey="true">
          <xs:selector xpath=".//mstns:EurofarPriceOverviewRpt_function_GetReportData"/>
          <xs:field xpath="mstns:QuotationDetailID"/>
        </xs:unique>
      </xs:element>
    </xs:schema>
  </Schema>
  <Map ID="14" Name="ReportDataObject_Map" RootElement="ReportDataObject" SchemaID="Schema2" ShowImportExportValidationErrors="false" AutoFit="false" Append="false" PreserveSortAFLayout="fals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9" name="Table9" displayName="Table9" ref="A1:AF2" tableType="xml" insertRow="1" insertRowShift="1" totalsRowShown="0">
  <autoFilter ref="A1:AF2"/>
  <tableColumns count="32">
    <tableColumn id="1" uniqueName="ns2:QuotationDetailID" name="ns2:QuotationDetailID">
      <xmlColumnPr mapId="14" xpath="/ns2:ReportDataObject/ns2:EurofarPriceOverviewRpt_function_GetReportData/ns2:QuotationDetailID" xmlDataType="int"/>
    </tableColumn>
    <tableColumn id="2" uniqueName="ns2:Season" name="ns2:Season">
      <xmlColumnPr mapId="14" xpath="/ns2:ReportDataObject/ns2:EurofarPriceOverviewRpt_function_GetReportData/ns2:Season" xmlDataType="string"/>
    </tableColumn>
    <tableColumn id="3" uniqueName="ns2:ProformaInvoiceNo" name="ns2:ProformaInvoiceNo">
      <xmlColumnPr mapId="14" xpath="/ns2:ReportDataObject/ns2:EurofarPriceOverviewRpt_function_GetReportData/ns2:ProformaInvoiceNo" xmlDataType="string"/>
    </tableColumn>
    <tableColumn id="4" uniqueName="ns2:InvoiceDate" name="ns2:InvoiceDate">
      <xmlColumnPr mapId="14" xpath="/ns2:ReportDataObject/ns2:EurofarPriceOverviewRpt_function_GetReportData/ns2:InvoiceDate" xmlDataType="string"/>
    </tableColumn>
    <tableColumn id="5" uniqueName="ns2:ClientUD" name="ns2:ClientUD">
      <xmlColumnPr mapId="14" xpath="/ns2:ReportDataObject/ns2:EurofarPriceOverviewRpt_function_GetReportData/ns2:ClientUD" xmlDataType="string"/>
    </tableColumn>
    <tableColumn id="6" uniqueName="ns2:ClientNM" name="ns2:ClientNM">
      <xmlColumnPr mapId="14" xpath="/ns2:ReportDataObject/ns2:EurofarPriceOverviewRpt_function_GetReportData/ns2:ClientNM" xmlDataType="string"/>
    </tableColumn>
    <tableColumn id="7" uniqueName="ns2:SaleNM" name="ns2:SaleNM">
      <xmlColumnPr mapId="14" xpath="/ns2:ReportDataObject/ns2:EurofarPriceOverviewRpt_function_GetReportData/ns2:SaleNM" xmlDataType="string"/>
    </tableColumn>
    <tableColumn id="8" uniqueName="ns2:ArticleCode" name="ns2:ArticleCode">
      <xmlColumnPr mapId="14" xpath="/ns2:ReportDataObject/ns2:EurofarPriceOverviewRpt_function_GetReportData/ns2:ArticleCode" xmlDataType="string"/>
    </tableColumn>
    <tableColumn id="9" uniqueName="ns2:Description" name="ns2:Description">
      <xmlColumnPr mapId="14" xpath="/ns2:ReportDataObject/ns2:EurofarPriceOverviewRpt_function_GetReportData/ns2:Description" xmlDataType="string"/>
    </tableColumn>
    <tableColumn id="10" uniqueName="ns2:Qnt40HC" name="ns2:Qnt40HC">
      <xmlColumnPr mapId="14" xpath="/ns2:ReportDataObject/ns2:EurofarPriceOverviewRpt_function_GetReportData/ns2:Qnt40HC" xmlDataType="int"/>
    </tableColumn>
    <tableColumn id="11" uniqueName="ns2:OrderQnt" name="ns2:OrderQnt">
      <xmlColumnPr mapId="14" xpath="/ns2:ReportDataObject/ns2:EurofarPriceOverviewRpt_function_GetReportData/ns2:OrderQnt" xmlDataType="int"/>
    </tableColumn>
    <tableColumn id="12" uniqueName="ns2:LoadedQnt" name="ns2:LoadedQnt">
      <xmlColumnPr mapId="14" xpath="/ns2:ReportDataObject/ns2:EurofarPriceOverviewRpt_function_GetReportData/ns2:LoadedQnt" xmlDataType="int"/>
    </tableColumn>
    <tableColumn id="13" uniqueName="ns2:ShippedQnt" name="ns2:ShippedQnt">
      <xmlColumnPr mapId="14" xpath="/ns2:ReportDataObject/ns2:EurofarPriceOverviewRpt_function_GetReportData/ns2:ShippedQnt" xmlDataType="int"/>
    </tableColumn>
    <tableColumn id="14" uniqueName="ns2:MaterialNM" name="ns2:MaterialNM">
      <xmlColumnPr mapId="14" xpath="/ns2:ReportDataObject/ns2:EurofarPriceOverviewRpt_function_GetReportData/ns2:MaterialNM" xmlDataType="string"/>
    </tableColumn>
    <tableColumn id="15" uniqueName="ns2:ProductionStatus" name="ns2:ProductionStatus">
      <xmlColumnPr mapId="14" xpath="/ns2:ReportDataObject/ns2:EurofarPriceOverviewRpt_function_GetReportData/ns2:ProductionStatus" xmlDataType="string"/>
    </tableColumn>
    <tableColumn id="16" uniqueName="ns2:FactoryUD" name="ns2:FactoryUD">
      <xmlColumnPr mapId="14" xpath="/ns2:ReportDataObject/ns2:EurofarPriceOverviewRpt_function_GetReportData/ns2:FactoryUD" xmlDataType="string"/>
    </tableColumn>
    <tableColumn id="17" uniqueName="ns2:LDS" name="ns2:LDS">
      <xmlColumnPr mapId="14" xpath="/ns2:ReportDataObject/ns2:EurofarPriceOverviewRpt_function_GetReportData/ns2:LDS" xmlDataType="string"/>
    </tableColumn>
    <tableColumn id="18" uniqueName="ns2:QuotationUD" name="ns2:QuotationUD">
      <xmlColumnPr mapId="14" xpath="/ns2:ReportDataObject/ns2:EurofarPriceOverviewRpt_function_GetReportData/ns2:QuotationUD" xmlDataType="string"/>
    </tableColumn>
    <tableColumn id="19" uniqueName="ns2:ManufacturerCountryNM" name="ns2:ManufacturerCountryNM">
      <xmlColumnPr mapId="14" xpath="/ns2:ReportDataObject/ns2:EurofarPriceOverviewRpt_function_GetReportData/ns2:ManufacturerCountryNM" xmlDataType="string"/>
    </tableColumn>
    <tableColumn id="20" uniqueName="ns2:LocationNM" name="ns2:LocationNM">
      <xmlColumnPr mapId="14" xpath="/ns2:ReportDataObject/ns2:EurofarPriceOverviewRpt_function_GetReportData/ns2:LocationNM" xmlDataType="string"/>
    </tableColumn>
    <tableColumn id="21" uniqueName="ns2:PriceDifferenceCode" name="ns2:PriceDifferenceCode">
      <xmlColumnPr mapId="14" xpath="/ns2:ReportDataObject/ns2:EurofarPriceOverviewRpt_function_GetReportData/ns2:PriceDifferenceCode" xmlDataType="string"/>
    </tableColumn>
    <tableColumn id="22" uniqueName="ns2:PurchasingPrice" name="ns2:PurchasingPrice">
      <xmlColumnPr mapId="14" xpath="/ns2:ReportDataObject/ns2:EurofarPriceOverviewRpt_function_GetReportData/ns2:PurchasingPrice" xmlDataType="decimal"/>
    </tableColumn>
    <tableColumn id="23" uniqueName="ns2:SalePrice" name="ns2:SalePrice">
      <xmlColumnPr mapId="14" xpath="/ns2:ReportDataObject/ns2:EurofarPriceOverviewRpt_function_GetReportData/ns2:SalePrice" xmlDataType="decimal"/>
    </tableColumn>
    <tableColumn id="24" uniqueName="ns2:TargetPrice" name="ns2:TargetPrice">
      <xmlColumnPr mapId="14" xpath="/ns2:ReportDataObject/ns2:EurofarPriceOverviewRpt_function_GetReportData/ns2:TargetPrice" xmlDataType="decimal"/>
    </tableColumn>
    <tableColumn id="25" uniqueName="ns2:BreakDownPrice" name="ns2:BreakDownPrice">
      <xmlColumnPr mapId="14" xpath="/ns2:ReportDataObject/ns2:EurofarPriceOverviewRpt_function_GetReportData/ns2:BreakDownPrice" xmlDataType="decimal"/>
    </tableColumn>
    <tableColumn id="26" uniqueName="ns2:QuotationStatusNM" name="ns2:QuotationStatusNM">
      <xmlColumnPr mapId="14" xpath="/ns2:ReportDataObject/ns2:EurofarPriceOverviewRpt_function_GetReportData/ns2:QuotationStatusNM" xmlDataType="string"/>
    </tableColumn>
    <tableColumn id="27" uniqueName="ns2:StatusUpdatedDate" name="ns2:StatusUpdatedDate">
      <xmlColumnPr mapId="14" xpath="/ns2:ReportDataObject/ns2:EurofarPriceOverviewRpt_function_GetReportData/ns2:StatusUpdatedDate" xmlDataType="string"/>
    </tableColumn>
    <tableColumn id="28" uniqueName="ns2:Remark" name="ns2:Remark">
      <xmlColumnPr mapId="14" xpath="/ns2:ReportDataObject/ns2:EurofarPriceOverviewRpt_function_GetReportData/ns2:Remark" xmlDataType="string"/>
    </tableColumn>
    <tableColumn id="29" uniqueName="ns2:Currency" name="ns2:Currency">
      <xmlColumnPr mapId="14" xpath="/ns2:ReportDataObject/ns2:EurofarPriceOverviewRpt_function_GetReportData/ns2:Currency" xmlDataType="string"/>
    </tableColumn>
    <tableColumn id="30" uniqueName="ns2:UnitPrice" name="ns2:UnitPrice">
      <xmlColumnPr mapId="14" xpath="/ns2:ReportDataObject/ns2:EurofarPriceOverviewRpt_function_GetReportData/ns2:UnitPrice" xmlDataType="decimal"/>
    </tableColumn>
    <tableColumn id="31" uniqueName="ns2:Transportation" name="ns2:Transportation">
      <xmlColumnPr mapId="14" xpath="/ns2:ReportDataObject/ns2:EurofarPriceOverviewRpt_function_GetReportData/ns2:Transportation" xmlDataType="decimal"/>
    </tableColumn>
    <tableColumn id="32" uniqueName="ns2:Commission" name="ns2:Commission">
      <xmlColumnPr mapId="14" xpath="/ns2:ReportDataObject/ns2:EurofarPriceOverviewRpt_function_GetReportData/ns2:Commission" xmlDataType="decimal"/>
    </tableColumn>
  </tableColumns>
  <tableStyleInfo showFirstColumn="0" showLastColumn="0" showRowStripes="0" showColumnStripes="0"/>
</table>
</file>

<file path=xl/tables/tableSingleCells1.xml><?xml version="1.0" encoding="utf-8"?>
<singleXmlCells xmlns="http://schemas.openxmlformats.org/spreadsheetml/2006/main">
  <singleXmlCell id="10" r="E2" connectionId="0">
    <xmlCellPr id="1" uniqueName="ns2:Season">
      <xmlPr mapId="14" xpath="/ns2:ReportDataObject/ns2:ReportHeader/ns2:Season" xmlDataType="string"/>
    </xmlCellPr>
  </singleXmlCell>
  <singleXmlCell id="11" r="H2" connectionId="0">
    <xmlCellPr id="1" uniqueName="ns2:ExRate">
      <xmlPr mapId="14" xpath="/ns2:ReportDataObject/ns2:ReportHeader/ns2:ExRate" xmlDataType="decimal"/>
    </xmlCellPr>
  </singleXmlCell>
</singleXmlCells>
</file>

<file path=xl/tables/tableSingleCells2.xml><?xml version="1.0" encoding="utf-8"?>
<singleXmlCells xmlns="http://schemas.openxmlformats.org/spreadsheetml/2006/main">
  <singleXmlCell id="1" r="B7" connectionId="0">
    <xmlCellPr id="1" uniqueName="ns2:TotalCont">
      <xmlPr mapId="14" xpath="/ns2:ReportDataObject/ns2:ReportHeader/ns2:TotalCont" xmlDataType="decimal"/>
    </xmlCellPr>
  </singleXmlCell>
  <singleXmlCell id="2" r="C7" connectionId="0">
    <xmlCellPr id="1" uniqueName="ns2:TotalTurnOverEuro">
      <xmlPr mapId="14" xpath="/ns2:ReportDataObject/ns2:ReportHeader/ns2:TotalTurnOverEuro" xmlDataType="decimal"/>
    </xmlCellPr>
  </singleXmlCell>
  <singleXmlCell id="3" r="H7" connectionId="0">
    <xmlCellPr id="1" uniqueName="ns2:SWOverhead">
      <xmlPr mapId="14" xpath="/ns2:ReportDataObject/ns2:ReportHeader/ns2:SWOverhead" xmlDataType="decimal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SingleCells" Target="../tables/tableSingleCell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A7"/>
  <sheetViews>
    <sheetView showZeros="0" tabSelected="1" zoomScale="75" zoomScaleNormal="75" zoomScaleSheetLayoutView="70" workbookViewId="0"/>
  </sheetViews>
  <sheetFormatPr defaultRowHeight="15"/>
  <cols>
    <col min="1" max="1" width="8.28515625" customWidth="1"/>
    <col min="2" max="2" width="8.85546875" bestFit="1" customWidth="1"/>
    <col min="3" max="3" width="10.7109375" bestFit="1" customWidth="1"/>
    <col min="4" max="4" width="13" bestFit="1" customWidth="1"/>
    <col min="5" max="5" width="21.140625" bestFit="1" customWidth="1"/>
    <col min="6" max="6" width="17.42578125" bestFit="1" customWidth="1"/>
    <col min="7" max="7" width="28.85546875" bestFit="1" customWidth="1"/>
    <col min="8" max="8" width="30" customWidth="1"/>
    <col min="9" max="9" width="11.28515625" customWidth="1"/>
    <col min="10" max="20" width="12.42578125" customWidth="1"/>
    <col min="21" max="21" width="19.5703125" bestFit="1" customWidth="1"/>
    <col min="22" max="31" width="12.42578125" customWidth="1"/>
    <col min="32" max="32" width="15.7109375" customWidth="1"/>
    <col min="33" max="33" width="9.7109375" customWidth="1"/>
    <col min="34" max="53" width="15.7109375" customWidth="1"/>
  </cols>
  <sheetData>
    <row r="1" spans="1:53" ht="18" customHeight="1">
      <c r="A1" s="46"/>
      <c r="I1" s="123" t="s">
        <v>45</v>
      </c>
      <c r="J1" s="123"/>
      <c r="AS1" s="41">
        <f>AS4/H2</f>
        <v>0</v>
      </c>
      <c r="AY1" s="41">
        <f>AY4/H2</f>
        <v>0</v>
      </c>
      <c r="AZ1" s="41"/>
      <c r="BA1" s="41">
        <f>AS1-AY1</f>
        <v>0</v>
      </c>
    </row>
    <row r="2" spans="1:53" ht="18">
      <c r="A2" s="47" t="s">
        <v>43</v>
      </c>
      <c r="B2" s="9"/>
      <c r="C2" s="10"/>
      <c r="D2" s="33"/>
      <c r="E2" s="48" t="s">
        <v>55</v>
      </c>
      <c r="F2" s="20"/>
      <c r="G2" s="20" t="s">
        <v>44</v>
      </c>
      <c r="H2" s="34">
        <v>1.3</v>
      </c>
      <c r="I2" s="123" t="s">
        <v>46</v>
      </c>
      <c r="J2" s="123"/>
      <c r="K2" s="8"/>
      <c r="L2" s="8"/>
      <c r="M2" s="8"/>
      <c r="N2" s="8"/>
      <c r="O2" s="8"/>
      <c r="P2" s="8"/>
      <c r="Q2" s="2"/>
      <c r="R2" s="4"/>
      <c r="S2" s="1"/>
      <c r="T2" s="1"/>
      <c r="U2" s="6"/>
      <c r="V2" s="7"/>
      <c r="W2" s="7"/>
      <c r="X2" s="1"/>
      <c r="Y2" s="1"/>
      <c r="Z2" s="1"/>
      <c r="AA2" s="1"/>
      <c r="AB2" s="1"/>
      <c r="AC2" s="1"/>
      <c r="AD2" s="3"/>
      <c r="AE2" s="1"/>
      <c r="AF2" s="5"/>
      <c r="AG2" s="5"/>
      <c r="AH2" s="12"/>
      <c r="AI2" s="13"/>
      <c r="AJ2" s="12"/>
      <c r="AK2" s="14"/>
      <c r="AL2" s="11"/>
      <c r="AM2" s="11"/>
      <c r="AN2" s="15"/>
      <c r="AO2" s="15"/>
      <c r="AP2" s="16"/>
      <c r="AQ2" s="17"/>
      <c r="AR2" s="17"/>
      <c r="AS2" s="42">
        <f>AS5/H2</f>
        <v>0</v>
      </c>
      <c r="AT2" s="18"/>
      <c r="AU2" s="18"/>
      <c r="AV2" s="18"/>
      <c r="AW2" s="18"/>
      <c r="AX2" s="19"/>
      <c r="AY2" s="41">
        <f>AY5/H2</f>
        <v>0</v>
      </c>
      <c r="AZ2" s="41"/>
      <c r="BA2" s="41">
        <f>AS2-AY2</f>
        <v>0</v>
      </c>
    </row>
    <row r="3" spans="1:53" ht="60">
      <c r="A3" s="35" t="s">
        <v>0</v>
      </c>
      <c r="B3" s="36" t="s">
        <v>1</v>
      </c>
      <c r="C3" s="37" t="s">
        <v>2</v>
      </c>
      <c r="D3" s="36" t="s">
        <v>3</v>
      </c>
      <c r="E3" s="38" t="s">
        <v>4</v>
      </c>
      <c r="F3" s="38" t="s">
        <v>47</v>
      </c>
      <c r="G3" s="38" t="s">
        <v>5</v>
      </c>
      <c r="H3" s="39" t="s">
        <v>6</v>
      </c>
      <c r="I3" s="39" t="s">
        <v>7</v>
      </c>
      <c r="J3" s="40" t="s">
        <v>8</v>
      </c>
      <c r="K3" s="38" t="s">
        <v>9</v>
      </c>
      <c r="L3" s="38" t="s">
        <v>48</v>
      </c>
      <c r="M3" s="38" t="s">
        <v>49</v>
      </c>
      <c r="N3" s="38" t="s">
        <v>10</v>
      </c>
      <c r="O3" s="38" t="s">
        <v>11</v>
      </c>
      <c r="P3" s="38" t="s">
        <v>12</v>
      </c>
      <c r="Q3" s="38" t="s">
        <v>13</v>
      </c>
      <c r="R3" s="38" t="s">
        <v>14</v>
      </c>
      <c r="S3" s="38" t="s">
        <v>15</v>
      </c>
      <c r="T3" s="38" t="s">
        <v>16</v>
      </c>
      <c r="U3" s="38" t="s">
        <v>17</v>
      </c>
      <c r="V3" s="38" t="s">
        <v>18</v>
      </c>
      <c r="W3" s="38" t="s">
        <v>51</v>
      </c>
      <c r="X3" s="38" t="s">
        <v>50</v>
      </c>
      <c r="Y3" s="38" t="s">
        <v>52</v>
      </c>
      <c r="Z3" s="38" t="s">
        <v>19</v>
      </c>
      <c r="AA3" s="38" t="s">
        <v>20</v>
      </c>
      <c r="AB3" s="38" t="s">
        <v>53</v>
      </c>
      <c r="AC3" s="38" t="s">
        <v>21</v>
      </c>
      <c r="AD3" s="38" t="s">
        <v>22</v>
      </c>
      <c r="AE3" s="38" t="s">
        <v>23</v>
      </c>
      <c r="AF3" s="38" t="s">
        <v>24</v>
      </c>
      <c r="AG3" s="38" t="s">
        <v>54</v>
      </c>
      <c r="AH3" s="38" t="s">
        <v>25</v>
      </c>
      <c r="AI3" s="38" t="s">
        <v>26</v>
      </c>
      <c r="AJ3" s="38" t="s">
        <v>27</v>
      </c>
      <c r="AK3" s="38" t="s">
        <v>28</v>
      </c>
      <c r="AL3" s="38" t="s">
        <v>29</v>
      </c>
      <c r="AM3" s="38" t="s">
        <v>30</v>
      </c>
      <c r="AN3" s="38" t="s">
        <v>31</v>
      </c>
      <c r="AO3" s="38" t="s">
        <v>32</v>
      </c>
      <c r="AP3" s="38" t="s">
        <v>33</v>
      </c>
      <c r="AQ3" s="38" t="s">
        <v>34</v>
      </c>
      <c r="AR3" s="38" t="s">
        <v>100</v>
      </c>
      <c r="AS3" s="38" t="s">
        <v>35</v>
      </c>
      <c r="AT3" s="38" t="s">
        <v>36</v>
      </c>
      <c r="AU3" s="38" t="s">
        <v>37</v>
      </c>
      <c r="AV3" s="38" t="s">
        <v>38</v>
      </c>
      <c r="AW3" s="38" t="s">
        <v>39</v>
      </c>
      <c r="AX3" s="38" t="s">
        <v>40</v>
      </c>
      <c r="AY3" s="38" t="s">
        <v>41</v>
      </c>
      <c r="AZ3" s="38" t="s">
        <v>42</v>
      </c>
      <c r="BA3" s="38" t="s">
        <v>42</v>
      </c>
    </row>
    <row r="4" spans="1:53">
      <c r="A4" s="21"/>
      <c r="B4" s="21"/>
      <c r="C4" s="21"/>
      <c r="D4" s="21"/>
      <c r="E4" s="21"/>
      <c r="F4" s="21"/>
      <c r="G4" s="21"/>
      <c r="H4" s="21"/>
      <c r="I4" s="21"/>
      <c r="J4" s="22">
        <f t="shared" ref="J4:O4" si="0">SUM(J7:J50000)</f>
        <v>0</v>
      </c>
      <c r="K4" s="23">
        <f t="shared" si="0"/>
        <v>0</v>
      </c>
      <c r="L4" s="22">
        <f t="shared" si="0"/>
        <v>0</v>
      </c>
      <c r="M4" s="22">
        <f t="shared" si="0"/>
        <v>0</v>
      </c>
      <c r="N4" s="22">
        <f t="shared" si="0"/>
        <v>0</v>
      </c>
      <c r="O4" s="22">
        <f t="shared" si="0"/>
        <v>0</v>
      </c>
      <c r="P4" s="21"/>
      <c r="Q4" s="21"/>
      <c r="R4" s="21"/>
      <c r="S4" s="21"/>
      <c r="T4" s="21"/>
      <c r="U4" s="21"/>
      <c r="V4" s="21"/>
      <c r="W4" s="21"/>
      <c r="X4" s="21"/>
      <c r="Y4" s="25"/>
      <c r="Z4" s="52">
        <f>SUM(Z7:Z50000)</f>
        <v>0</v>
      </c>
      <c r="AA4" s="25"/>
      <c r="AB4" s="25"/>
      <c r="AC4" s="21"/>
      <c r="AD4" s="21"/>
      <c r="AE4" s="21"/>
      <c r="AF4" s="21"/>
      <c r="AG4" s="21"/>
      <c r="AH4" s="24"/>
      <c r="AI4" s="55">
        <f>SUM(AI7:AI50000)</f>
        <v>0</v>
      </c>
      <c r="AJ4" s="25"/>
      <c r="AK4" s="52">
        <f>SUM(AK7:AK50000)</f>
        <v>0</v>
      </c>
      <c r="AL4" s="55">
        <f>SUM(AL7:AL50000)</f>
        <v>0</v>
      </c>
      <c r="AM4" s="24"/>
      <c r="AN4" s="24"/>
      <c r="AO4" s="55">
        <f>SUM(AO7:AO50000)</f>
        <v>0</v>
      </c>
      <c r="AP4" s="24"/>
      <c r="AQ4" s="43"/>
      <c r="AR4" s="43">
        <f>SUM(AR7:AR50000)</f>
        <v>0</v>
      </c>
      <c r="AS4" s="52">
        <f>SUM(AS7:AS50000)</f>
        <v>0</v>
      </c>
      <c r="AT4" s="54"/>
      <c r="AU4" s="26"/>
      <c r="AV4" s="25"/>
      <c r="AW4" s="24"/>
      <c r="AX4" s="25"/>
      <c r="AY4" s="52">
        <f>SUM(AY7:AY50000)</f>
        <v>0</v>
      </c>
      <c r="AZ4" s="52"/>
      <c r="BA4" s="52">
        <f>SUM(BA7:BA50000)</f>
        <v>0</v>
      </c>
    </row>
    <row r="5" spans="1:53">
      <c r="A5" s="27"/>
      <c r="B5" s="27"/>
      <c r="C5" s="27"/>
      <c r="D5" s="27"/>
      <c r="E5" s="27"/>
      <c r="F5" s="27"/>
      <c r="G5" s="27"/>
      <c r="H5" s="27"/>
      <c r="I5" s="27"/>
      <c r="J5" s="28">
        <f t="shared" ref="J5:O5" si="1">SUBTOTAL(9,J7:J50000)</f>
        <v>0</v>
      </c>
      <c r="K5" s="29">
        <f t="shared" si="1"/>
        <v>0</v>
      </c>
      <c r="L5" s="28">
        <f t="shared" si="1"/>
        <v>0</v>
      </c>
      <c r="M5" s="28">
        <f t="shared" si="1"/>
        <v>0</v>
      </c>
      <c r="N5" s="28">
        <f t="shared" si="1"/>
        <v>0</v>
      </c>
      <c r="O5" s="28">
        <f t="shared" si="1"/>
        <v>0</v>
      </c>
      <c r="P5" s="27"/>
      <c r="Q5" s="27"/>
      <c r="R5" s="27"/>
      <c r="S5" s="27"/>
      <c r="T5" s="27"/>
      <c r="U5" s="27"/>
      <c r="V5" s="27"/>
      <c r="W5" s="27"/>
      <c r="X5" s="27"/>
      <c r="Y5" s="31"/>
      <c r="Z5" s="53">
        <f>SUBTOTAL(9,Z7:Z50000)</f>
        <v>0</v>
      </c>
      <c r="AA5" s="31"/>
      <c r="AB5" s="31"/>
      <c r="AC5" s="27"/>
      <c r="AD5" s="27"/>
      <c r="AE5" s="27"/>
      <c r="AF5" s="27"/>
      <c r="AG5" s="27"/>
      <c r="AH5" s="30"/>
      <c r="AI5" s="56">
        <f>SUBTOTAL(9,AI7:AI50000)</f>
        <v>0</v>
      </c>
      <c r="AJ5" s="31"/>
      <c r="AK5" s="53">
        <f>SUBTOTAL(9,AK7:AK50000)</f>
        <v>0</v>
      </c>
      <c r="AL5" s="56">
        <f>SUBTOTAL(9,AL7:AL50000)</f>
        <v>0</v>
      </c>
      <c r="AM5" s="30"/>
      <c r="AN5" s="30"/>
      <c r="AO5" s="56">
        <f>SUBTOTAL(9,AO7:AO50000)</f>
        <v>0</v>
      </c>
      <c r="AP5" s="30"/>
      <c r="AQ5" s="44"/>
      <c r="AR5" s="44">
        <f>SUBTOTAL(9,AR7:AR50000)</f>
        <v>0</v>
      </c>
      <c r="AS5" s="53">
        <f>SUBTOTAL(9,AS7:AS50000)</f>
        <v>0</v>
      </c>
      <c r="AT5" s="29"/>
      <c r="AU5" s="32"/>
      <c r="AV5" s="31"/>
      <c r="AW5" s="30"/>
      <c r="AX5" s="31"/>
      <c r="AY5" s="53">
        <f>SUBTOTAL(9,AY7:AY50000)</f>
        <v>0</v>
      </c>
      <c r="AZ5" s="90" t="str">
        <f>IF(OR(Z5="",Z5=0),"",BA5/Z5)</f>
        <v/>
      </c>
      <c r="BA5" s="53">
        <f>SUBTOTAL(9,BA7:BA50000)</f>
        <v>0</v>
      </c>
    </row>
    <row r="6" spans="1:53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51"/>
      <c r="AU6" s="45"/>
      <c r="AV6" s="45"/>
      <c r="AW6" s="45"/>
      <c r="AX6" s="45"/>
      <c r="AY6" s="45"/>
      <c r="AZ6" s="45"/>
      <c r="BA6" s="45"/>
    </row>
    <row r="7" spans="1:53">
      <c r="A7" s="45">
        <f>ROW()-6</f>
        <v>1</v>
      </c>
      <c r="B7" s="57">
        <f>Data!C2</f>
        <v>0</v>
      </c>
      <c r="C7" s="58">
        <f>Data!D2</f>
        <v>0</v>
      </c>
      <c r="D7" s="57">
        <f>Data!E2</f>
        <v>0</v>
      </c>
      <c r="E7" s="57">
        <f>Data!F2</f>
        <v>0</v>
      </c>
      <c r="F7" s="57">
        <f>Data!G2</f>
        <v>0</v>
      </c>
      <c r="G7" s="57">
        <f>Data!H2</f>
        <v>0</v>
      </c>
      <c r="H7" s="57">
        <f>Data!I2</f>
        <v>0</v>
      </c>
      <c r="I7" s="59">
        <f>Data!J2</f>
        <v>0</v>
      </c>
      <c r="J7" s="60">
        <f>Data!K2</f>
        <v>0</v>
      </c>
      <c r="K7" s="61">
        <f>IF(OR(ISBLANK(I7),I7=0),0,J7/I7)</f>
        <v>0</v>
      </c>
      <c r="L7" s="62">
        <f>Data!L2</f>
        <v>0</v>
      </c>
      <c r="M7" s="61">
        <f>IF(OR(ISBLANK(I7),I7=0),0,L7/I7)</f>
        <v>0</v>
      </c>
      <c r="N7" s="62">
        <f>Data!M2</f>
        <v>0</v>
      </c>
      <c r="O7" s="61">
        <f>IF(OR(ISBLANK(I7),I7=0),0,N7/I7)</f>
        <v>0</v>
      </c>
      <c r="P7" s="57">
        <f>Data!N2</f>
        <v>0</v>
      </c>
      <c r="Q7" s="63">
        <f>Data!O2</f>
        <v>0</v>
      </c>
      <c r="R7" s="57">
        <f>Data!P2</f>
        <v>0</v>
      </c>
      <c r="S7" s="57">
        <f>Data!Q2</f>
        <v>0</v>
      </c>
      <c r="T7" s="45"/>
      <c r="U7" s="57">
        <f>Data!R2</f>
        <v>0</v>
      </c>
      <c r="V7" s="57">
        <f>Data!S2</f>
        <v>0</v>
      </c>
      <c r="W7" s="57">
        <f>Data!T2</f>
        <v>0</v>
      </c>
      <c r="X7" s="63">
        <f>Data!U2</f>
        <v>0</v>
      </c>
      <c r="Y7" s="64" t="str">
        <f>IF(ISBLANK(Data!W2),"",Data!W2)</f>
        <v/>
      </c>
      <c r="Z7" s="65">
        <f>IF(Y7="",0,Y7*J7)</f>
        <v>0</v>
      </c>
      <c r="AA7" s="64">
        <f>Data!X2</f>
        <v>0</v>
      </c>
      <c r="AB7" s="62">
        <f>Data!Y2</f>
        <v>0</v>
      </c>
      <c r="AC7" s="57">
        <f>Data!Z2</f>
        <v>0</v>
      </c>
      <c r="AD7" s="57">
        <f>Data!AA2</f>
        <v>0</v>
      </c>
      <c r="AE7" s="57">
        <f>Data!AH2</f>
        <v>0</v>
      </c>
      <c r="AF7" s="57">
        <f>Data!AB2</f>
        <v>0</v>
      </c>
      <c r="AG7" s="62">
        <f>Data!AC2</f>
        <v>0</v>
      </c>
      <c r="AH7" s="66">
        <f>IF(AG7="EUR",Data!AD2,0)</f>
        <v>0</v>
      </c>
      <c r="AI7" s="66">
        <f>AH7*J7</f>
        <v>0</v>
      </c>
      <c r="AJ7" s="64">
        <f>IF(AG7="USD",Data!AD2,0)</f>
        <v>0</v>
      </c>
      <c r="AK7" s="65">
        <f>AJ7*J7</f>
        <v>0</v>
      </c>
      <c r="AL7" s="68">
        <f>AK7/$H$2</f>
        <v>0</v>
      </c>
      <c r="AM7" s="66" t="str">
        <f>IF(ISBLANK(Data!AE2),"",Data!AE2)</f>
        <v/>
      </c>
      <c r="AN7" s="66">
        <f>IF(OR(ISBLANK(I7),I7=0,AM7=""),0,AM7/I7)</f>
        <v>0</v>
      </c>
      <c r="AO7" s="66">
        <f>AN7*J7</f>
        <v>0</v>
      </c>
      <c r="AP7" s="64">
        <f>(AH7-AN7)*$H$2</f>
        <v>0</v>
      </c>
      <c r="AQ7" s="64">
        <f>IF(AG7="USD",AJ7,AP7)</f>
        <v>0</v>
      </c>
      <c r="AR7" s="64">
        <f>AQ7*J7</f>
        <v>0</v>
      </c>
      <c r="AS7" s="65">
        <f>IF(OR(Y7="",Y7=0,AND(AG7="EUR",AM7="")),0,(AQ7-Y7)*J7)</f>
        <v>0</v>
      </c>
      <c r="AT7" s="67">
        <f>IF(OR(Y7="",Y7=0),0,(AQ7-Y7)/Y7)</f>
        <v>0</v>
      </c>
      <c r="AU7" s="51">
        <f>Data!AF2</f>
        <v>0</v>
      </c>
      <c r="AV7" s="64">
        <f>IF(AG7="USD",AU7*AJ7,0)</f>
        <v>0</v>
      </c>
      <c r="AW7" s="66">
        <f>IF(AG7="USD",0,AU7*AH7)</f>
        <v>0</v>
      </c>
      <c r="AX7" s="64">
        <f>IF(AG7="USD",AU7*AJ7,AU7*AH7*$H$2)</f>
        <v>0</v>
      </c>
      <c r="AY7" s="64">
        <f>AX7*J7</f>
        <v>0</v>
      </c>
      <c r="AZ7" s="67" t="str">
        <f>IF(IF(OR(Z7="",Z7=0),"",BA7/Z7)=0,"",IF(OR(Z7="",Z7=0),"",BA7/Z7))</f>
        <v/>
      </c>
      <c r="BA7" s="65">
        <f>IF(Y7="",0,AS7-AY7)</f>
        <v>0</v>
      </c>
    </row>
  </sheetData>
  <autoFilter ref="A6:BA6">
    <sortState ref="A7:BA3900">
      <sortCondition ref="B6"/>
    </sortState>
  </autoFilter>
  <mergeCells count="2">
    <mergeCell ref="I1:J1"/>
    <mergeCell ref="I2:J2"/>
  </mergeCells>
  <pageMargins left="0.11811023622047245" right="0.11811023622047245" top="0.31496062992125984" bottom="0.31496062992125984" header="0.31496062992125984" footer="0.31496062992125984"/>
  <pageSetup paperSize="8" scale="26" fitToHeight="0" orientation="landscape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J18"/>
  <sheetViews>
    <sheetView workbookViewId="0"/>
  </sheetViews>
  <sheetFormatPr defaultRowHeight="15"/>
  <cols>
    <col min="1" max="1" width="20.5703125" bestFit="1" customWidth="1"/>
    <col min="2" max="10" width="16.85546875" customWidth="1"/>
  </cols>
  <sheetData>
    <row r="2" spans="1:10">
      <c r="A2" s="45"/>
      <c r="B2" s="45"/>
      <c r="C2" s="69"/>
      <c r="D2" s="69"/>
      <c r="E2" s="69"/>
      <c r="F2" s="69"/>
      <c r="G2" s="69" t="s">
        <v>88</v>
      </c>
      <c r="H2" s="69" t="s">
        <v>89</v>
      </c>
      <c r="I2" s="69"/>
      <c r="J2" s="70"/>
    </row>
    <row r="3" spans="1:10" ht="30">
      <c r="A3" s="71"/>
      <c r="B3" s="71" t="s">
        <v>90</v>
      </c>
      <c r="C3" s="72" t="s">
        <v>91</v>
      </c>
      <c r="D3" s="72" t="s">
        <v>92</v>
      </c>
      <c r="E3" s="72" t="s">
        <v>93</v>
      </c>
      <c r="F3" s="73" t="s">
        <v>94</v>
      </c>
      <c r="G3" s="91">
        <v>1.2500000000000001E-2</v>
      </c>
      <c r="H3" s="74"/>
      <c r="I3" s="72" t="s">
        <v>95</v>
      </c>
      <c r="J3" s="75"/>
    </row>
    <row r="4" spans="1:10">
      <c r="A4" s="45" t="s">
        <v>96</v>
      </c>
      <c r="B4" s="76">
        <f>EurofarPriceOverview!K4</f>
        <v>0</v>
      </c>
      <c r="C4" s="69">
        <f>EurofarPriceOverview!AL4+EurofarPriceOverview!AI4</f>
        <v>0</v>
      </c>
      <c r="D4" s="69" t="e">
        <f>D5*(B4/B5)</f>
        <v>#DIV/0!</v>
      </c>
      <c r="E4" s="69">
        <f>EurofarPriceOverview!AO4</f>
        <v>0</v>
      </c>
      <c r="F4" s="69">
        <f>EurofarPriceOverview!AY1</f>
        <v>0</v>
      </c>
      <c r="G4" s="69" t="e">
        <f>+D4*G3</f>
        <v>#DIV/0!</v>
      </c>
      <c r="H4" s="69">
        <f>+B4/B7*H7</f>
        <v>0</v>
      </c>
      <c r="I4" s="69" t="e">
        <f>+C4-D4-E4-F4-G4-H4</f>
        <v>#DIV/0!</v>
      </c>
      <c r="J4" s="67" t="e">
        <f>+I4/C4</f>
        <v>#DIV/0!</v>
      </c>
    </row>
    <row r="5" spans="1:10">
      <c r="A5" s="77" t="s">
        <v>97</v>
      </c>
      <c r="B5" s="78">
        <f>EurofarPriceOverview!K5</f>
        <v>0</v>
      </c>
      <c r="C5" s="79">
        <f>+EurofarPriceOverview!AL5+EurofarPriceOverview!AI5</f>
        <v>0</v>
      </c>
      <c r="D5" s="79">
        <f>+EurofarPriceOverview!Z5/EurofarPriceOverview!H2</f>
        <v>0</v>
      </c>
      <c r="E5" s="79">
        <f>+EurofarPriceOverview!AO5</f>
        <v>0</v>
      </c>
      <c r="F5" s="79">
        <f>+EurofarPriceOverview!AY2</f>
        <v>0</v>
      </c>
      <c r="G5" s="79">
        <f>+D5*G3</f>
        <v>0</v>
      </c>
      <c r="H5" s="79">
        <f>+B5/B7*H7</f>
        <v>0</v>
      </c>
      <c r="I5" s="79">
        <f>+C5-D5-E5-F5-G5-H5</f>
        <v>0</v>
      </c>
      <c r="J5" s="80" t="e">
        <f>+I5/C5</f>
        <v>#DIV/0!</v>
      </c>
    </row>
    <row r="6" spans="1:10">
      <c r="A6" s="45"/>
      <c r="B6" s="76"/>
      <c r="C6" s="69"/>
      <c r="D6" s="69"/>
      <c r="E6" s="69"/>
      <c r="F6" s="69"/>
      <c r="G6" s="69"/>
      <c r="H6" s="69"/>
      <c r="I6" s="69"/>
      <c r="J6" s="67"/>
    </row>
    <row r="7" spans="1:10">
      <c r="A7" s="81" t="s">
        <v>98</v>
      </c>
      <c r="B7" s="81">
        <v>1718.3399999999672</v>
      </c>
      <c r="C7" s="82">
        <v>30698693.405652158</v>
      </c>
      <c r="D7" s="82" t="e">
        <f>+B7/B4*D4</f>
        <v>#DIV/0!</v>
      </c>
      <c r="E7" s="82" t="e">
        <f>+B7/B4*E4</f>
        <v>#DIV/0!</v>
      </c>
      <c r="F7" s="82">
        <f>F4</f>
        <v>0</v>
      </c>
      <c r="G7" s="82" t="e">
        <f>+B7/B4*G4</f>
        <v>#DIV/0!</v>
      </c>
      <c r="H7" s="82">
        <v>500000</v>
      </c>
      <c r="I7" s="82" t="e">
        <f>+C7-D7-E7-F7-G7-H7</f>
        <v>#DIV/0!</v>
      </c>
      <c r="J7" s="83" t="e">
        <f>+I7/C7</f>
        <v>#DIV/0!</v>
      </c>
    </row>
    <row r="8" spans="1:10">
      <c r="A8" s="84"/>
      <c r="B8" s="84"/>
      <c r="C8" s="85"/>
      <c r="D8" s="85"/>
      <c r="E8" s="85"/>
      <c r="F8" s="85"/>
      <c r="G8" s="85"/>
      <c r="H8" s="85"/>
      <c r="I8" s="85"/>
      <c r="J8" s="86"/>
    </row>
    <row r="9" spans="1:10">
      <c r="A9" s="45" t="s">
        <v>99</v>
      </c>
      <c r="B9" s="45">
        <v>1750</v>
      </c>
      <c r="C9" s="69" t="e">
        <f>+B9/B5*C5</f>
        <v>#DIV/0!</v>
      </c>
      <c r="D9" s="69" t="e">
        <f>+B9/B5*D5</f>
        <v>#DIV/0!</v>
      </c>
      <c r="E9" s="69" t="e">
        <f>+B9/B5*E5</f>
        <v>#DIV/0!</v>
      </c>
      <c r="F9" s="69">
        <f>F4</f>
        <v>0</v>
      </c>
      <c r="G9" s="69" t="e">
        <f>+B9/B5*G5</f>
        <v>#DIV/0!</v>
      </c>
      <c r="H9" s="69">
        <f>+H7</f>
        <v>500000</v>
      </c>
      <c r="I9" s="69" t="e">
        <f>+C9-D9-E9-F9-G9-H9</f>
        <v>#DIV/0!</v>
      </c>
      <c r="J9" s="67" t="e">
        <f>+I9/C9</f>
        <v>#DIV/0!</v>
      </c>
    </row>
    <row r="10" spans="1:10">
      <c r="A10" s="45" t="s">
        <v>99</v>
      </c>
      <c r="B10" s="45">
        <v>1775</v>
      </c>
      <c r="C10" s="69" t="e">
        <f>+B10/B5*C5</f>
        <v>#DIV/0!</v>
      </c>
      <c r="D10" s="69" t="e">
        <f>+B10/B5*D5</f>
        <v>#DIV/0!</v>
      </c>
      <c r="E10" s="69" t="e">
        <f>+B10/B5*E5</f>
        <v>#DIV/0!</v>
      </c>
      <c r="F10" s="69">
        <f>F4</f>
        <v>0</v>
      </c>
      <c r="G10" s="69" t="e">
        <f>+B10/B5*G5</f>
        <v>#DIV/0!</v>
      </c>
      <c r="H10" s="69">
        <f>+H7</f>
        <v>500000</v>
      </c>
      <c r="I10" s="69" t="e">
        <f>+C10-D10-E10-F10-G10-H10</f>
        <v>#DIV/0!</v>
      </c>
      <c r="J10" s="67" t="e">
        <f>+I10/C10</f>
        <v>#DIV/0!</v>
      </c>
    </row>
    <row r="11" spans="1:10">
      <c r="A11" s="84" t="s">
        <v>99</v>
      </c>
      <c r="B11" s="84">
        <v>1800</v>
      </c>
      <c r="C11" s="85" t="e">
        <f>+B11/B5*C5</f>
        <v>#DIV/0!</v>
      </c>
      <c r="D11" s="85" t="e">
        <f>+B11/B5*D5</f>
        <v>#DIV/0!</v>
      </c>
      <c r="E11" s="85" t="e">
        <f>+B11/B5*E5</f>
        <v>#DIV/0!</v>
      </c>
      <c r="F11" s="85">
        <f>F4</f>
        <v>0</v>
      </c>
      <c r="G11" s="85" t="e">
        <f>+B11/B5*G5</f>
        <v>#DIV/0!</v>
      </c>
      <c r="H11" s="85">
        <f>+H7</f>
        <v>500000</v>
      </c>
      <c r="I11" s="85" t="e">
        <f>+C11-D11-E11-F11-G11-H11</f>
        <v>#DIV/0!</v>
      </c>
      <c r="J11" s="86" t="e">
        <f>+I11/C11</f>
        <v>#DIV/0!</v>
      </c>
    </row>
    <row r="12" spans="1:10">
      <c r="A12" s="87" t="s">
        <v>99</v>
      </c>
      <c r="B12" s="87">
        <v>1825</v>
      </c>
      <c r="C12" s="88" t="e">
        <f>+B12/B5*C5</f>
        <v>#DIV/0!</v>
      </c>
      <c r="D12" s="88" t="e">
        <f>+B12/B5*D5</f>
        <v>#DIV/0!</v>
      </c>
      <c r="E12" s="88" t="e">
        <f>+B12/B5*E5</f>
        <v>#DIV/0!</v>
      </c>
      <c r="F12" s="88">
        <f>F4</f>
        <v>0</v>
      </c>
      <c r="G12" s="88" t="e">
        <f>+B12/B5*G5</f>
        <v>#DIV/0!</v>
      </c>
      <c r="H12" s="88">
        <f>+H7</f>
        <v>500000</v>
      </c>
      <c r="I12" s="88" t="e">
        <f t="shared" ref="I12:I16" si="0">+C12-D12-E12-F12-G12-H12</f>
        <v>#DIV/0!</v>
      </c>
      <c r="J12" s="89" t="e">
        <f t="shared" ref="J12:J16" si="1">+I12/C12</f>
        <v>#DIV/0!</v>
      </c>
    </row>
    <row r="13" spans="1:10">
      <c r="A13" s="45" t="s">
        <v>99</v>
      </c>
      <c r="B13" s="45">
        <v>1850</v>
      </c>
      <c r="C13" s="69" t="e">
        <f>+B13/B5*C5</f>
        <v>#DIV/0!</v>
      </c>
      <c r="D13" s="69" t="e">
        <f>+B13/B5*D5</f>
        <v>#DIV/0!</v>
      </c>
      <c r="E13" s="69" t="e">
        <f>+B13/B5*E5</f>
        <v>#DIV/0!</v>
      </c>
      <c r="F13" s="69">
        <f>F4</f>
        <v>0</v>
      </c>
      <c r="G13" s="69" t="e">
        <f>+B13/B5*G5</f>
        <v>#DIV/0!</v>
      </c>
      <c r="H13" s="69">
        <f>+H7</f>
        <v>500000</v>
      </c>
      <c r="I13" s="69" t="e">
        <f t="shared" si="0"/>
        <v>#DIV/0!</v>
      </c>
      <c r="J13" s="67" t="e">
        <f t="shared" si="1"/>
        <v>#DIV/0!</v>
      </c>
    </row>
    <row r="14" spans="1:10">
      <c r="A14" s="45" t="s">
        <v>99</v>
      </c>
      <c r="B14" s="45">
        <v>1875</v>
      </c>
      <c r="C14" s="69" t="e">
        <f>+B14/B5*C5</f>
        <v>#DIV/0!</v>
      </c>
      <c r="D14" s="69" t="e">
        <f>+B14/B5*D5</f>
        <v>#DIV/0!</v>
      </c>
      <c r="E14" s="69" t="e">
        <f>+B14/B5*E5</f>
        <v>#DIV/0!</v>
      </c>
      <c r="F14" s="69">
        <f>F4</f>
        <v>0</v>
      </c>
      <c r="G14" s="69" t="e">
        <f>+B14/B5*G5</f>
        <v>#DIV/0!</v>
      </c>
      <c r="H14" s="69">
        <f>+H7</f>
        <v>500000</v>
      </c>
      <c r="I14" s="69" t="e">
        <f t="shared" si="0"/>
        <v>#DIV/0!</v>
      </c>
      <c r="J14" s="67" t="e">
        <f t="shared" si="1"/>
        <v>#DIV/0!</v>
      </c>
    </row>
    <row r="15" spans="1:10">
      <c r="A15" s="45" t="s">
        <v>99</v>
      </c>
      <c r="B15" s="45">
        <v>1900</v>
      </c>
      <c r="C15" s="69" t="e">
        <f>+B15/B5*C5</f>
        <v>#DIV/0!</v>
      </c>
      <c r="D15" s="69" t="e">
        <f>+B15/B5*D5</f>
        <v>#DIV/0!</v>
      </c>
      <c r="E15" s="69" t="e">
        <f>+B15/B5*E5</f>
        <v>#DIV/0!</v>
      </c>
      <c r="F15" s="69">
        <f>F4</f>
        <v>0</v>
      </c>
      <c r="G15" s="69" t="e">
        <f>+B15/B5*G5</f>
        <v>#DIV/0!</v>
      </c>
      <c r="H15" s="69">
        <f>+H7</f>
        <v>500000</v>
      </c>
      <c r="I15" s="69" t="e">
        <f t="shared" si="0"/>
        <v>#DIV/0!</v>
      </c>
      <c r="J15" s="67" t="e">
        <f t="shared" si="1"/>
        <v>#DIV/0!</v>
      </c>
    </row>
    <row r="16" spans="1:10">
      <c r="A16" s="45" t="s">
        <v>99</v>
      </c>
      <c r="B16" s="45">
        <v>2000</v>
      </c>
      <c r="C16" s="69" t="e">
        <f>+B16/B5*C5</f>
        <v>#DIV/0!</v>
      </c>
      <c r="D16" s="69" t="e">
        <f>+B16/B5*D5</f>
        <v>#DIV/0!</v>
      </c>
      <c r="E16" s="69" t="e">
        <f>+B16/B5*E5</f>
        <v>#DIV/0!</v>
      </c>
      <c r="F16" s="69">
        <f>F4</f>
        <v>0</v>
      </c>
      <c r="G16" s="69" t="e">
        <f>+B16/B5*G5</f>
        <v>#DIV/0!</v>
      </c>
      <c r="H16" s="69">
        <f>+H7</f>
        <v>500000</v>
      </c>
      <c r="I16" s="69" t="e">
        <f t="shared" si="0"/>
        <v>#DIV/0!</v>
      </c>
      <c r="J16" s="67" t="e">
        <f t="shared" si="1"/>
        <v>#DIV/0!</v>
      </c>
    </row>
    <row r="18" spans="3:3">
      <c r="C18" s="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"/>
  <sheetViews>
    <sheetView workbookViewId="0"/>
  </sheetViews>
  <sheetFormatPr defaultRowHeight="12"/>
  <cols>
    <col min="1" max="1" width="29.7109375" style="100" customWidth="1"/>
    <col min="2" max="2" width="20.7109375" style="100" customWidth="1"/>
    <col min="3" max="13" width="13.28515625" style="100" customWidth="1"/>
    <col min="14" max="16384" width="9.140625" style="100"/>
  </cols>
  <sheetData>
    <row r="1" spans="1:13" ht="60">
      <c r="A1" s="38" t="s">
        <v>4</v>
      </c>
      <c r="B1" s="38" t="s">
        <v>101</v>
      </c>
      <c r="C1" s="38" t="s">
        <v>9</v>
      </c>
      <c r="D1" s="38" t="s">
        <v>102</v>
      </c>
      <c r="E1" s="38" t="s">
        <v>103</v>
      </c>
      <c r="F1" s="38" t="s">
        <v>28</v>
      </c>
      <c r="G1" s="38" t="s">
        <v>32</v>
      </c>
      <c r="H1" s="92" t="s">
        <v>104</v>
      </c>
      <c r="I1" s="38" t="s">
        <v>105</v>
      </c>
      <c r="J1" s="38" t="s">
        <v>106</v>
      </c>
      <c r="K1" s="93" t="s">
        <v>107</v>
      </c>
      <c r="L1" s="38" t="s">
        <v>108</v>
      </c>
      <c r="M1" s="38" t="s">
        <v>109</v>
      </c>
    </row>
    <row r="2" spans="1:13">
      <c r="A2" s="21"/>
      <c r="B2" s="21" t="s">
        <v>110</v>
      </c>
      <c r="C2" s="23">
        <f t="shared" ref="C2" si="0">SUM(C5:C49998)</f>
        <v>0</v>
      </c>
      <c r="D2" s="101">
        <f>SUM(D5:D49998)</f>
        <v>0</v>
      </c>
      <c r="E2" s="103">
        <f>SUM(E5:E49998)</f>
        <v>0</v>
      </c>
      <c r="F2" s="101">
        <f>SUM(F5:F49998)</f>
        <v>0</v>
      </c>
      <c r="G2" s="105">
        <f>SUM(G5:G49998)</f>
        <v>0</v>
      </c>
      <c r="H2" s="109">
        <f>SUM(H5:H49998)</f>
        <v>0</v>
      </c>
      <c r="I2" s="54"/>
      <c r="J2" s="107">
        <f>SUM(J5:J49998)</f>
        <v>0</v>
      </c>
      <c r="K2" s="52"/>
      <c r="L2" s="107">
        <f>SUM(L5:L49998)</f>
        <v>0</v>
      </c>
      <c r="M2" s="94">
        <f>SUM(M5:M49998)</f>
        <v>0</v>
      </c>
    </row>
    <row r="3" spans="1:13">
      <c r="A3" s="95"/>
      <c r="B3" s="95" t="s">
        <v>111</v>
      </c>
      <c r="C3" s="96">
        <f t="shared" ref="C3" si="1">SUBTOTAL(9,C5:C49998)</f>
        <v>0</v>
      </c>
      <c r="D3" s="102">
        <f>SUBTOTAL(9,D5:D49998)</f>
        <v>0</v>
      </c>
      <c r="E3" s="104">
        <f>SUBTOTAL(9,E5:E49998)</f>
        <v>0</v>
      </c>
      <c r="F3" s="102">
        <f>SUBTOTAL(9,F5:F49998)</f>
        <v>0</v>
      </c>
      <c r="G3" s="106">
        <f>SUBTOTAL(9,G5:G49998)</f>
        <v>0</v>
      </c>
      <c r="H3" s="110">
        <f>SUBTOTAL(9,H5:H49998)</f>
        <v>0</v>
      </c>
      <c r="I3" s="97"/>
      <c r="J3" s="108">
        <f>SUBTOTAL(9,J5:J49998)</f>
        <v>0</v>
      </c>
      <c r="K3" s="98"/>
      <c r="L3" s="110">
        <f>SUBTOTAL(9,L5:L49998)</f>
        <v>0</v>
      </c>
      <c r="M3" s="99">
        <f>SUBTOTAL(9,M5:M49998)</f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"/>
  <sheetViews>
    <sheetView workbookViewId="0"/>
  </sheetViews>
  <sheetFormatPr defaultRowHeight="12"/>
  <cols>
    <col min="1" max="1" width="5.42578125" style="111" customWidth="1"/>
    <col min="2" max="2" width="23.7109375" style="111" customWidth="1"/>
    <col min="3" max="6" width="16.140625" style="111" customWidth="1"/>
    <col min="7" max="16384" width="9.140625" style="111"/>
  </cols>
  <sheetData>
    <row r="1" spans="1:6" ht="42" customHeight="1">
      <c r="A1" s="121" t="s">
        <v>112</v>
      </c>
      <c r="B1" s="116" t="s">
        <v>14</v>
      </c>
      <c r="C1" s="116" t="s">
        <v>9</v>
      </c>
      <c r="D1" s="116" t="s">
        <v>102</v>
      </c>
      <c r="E1" s="116" t="s">
        <v>113</v>
      </c>
      <c r="F1" s="116" t="s">
        <v>42</v>
      </c>
    </row>
    <row r="2" spans="1:6">
      <c r="A2" s="112"/>
      <c r="B2" s="112"/>
      <c r="C2" s="113">
        <f>SUM(C4:C200)</f>
        <v>0</v>
      </c>
      <c r="D2" s="119">
        <f>SUM(D4:D200)</f>
        <v>0</v>
      </c>
      <c r="E2" s="119">
        <f>SUM(E4:E200)</f>
        <v>0</v>
      </c>
      <c r="F2" s="118" t="e">
        <f>E2/D2</f>
        <v>#DIV/0!</v>
      </c>
    </row>
    <row r="3" spans="1:6">
      <c r="A3" s="122"/>
      <c r="B3" s="114"/>
      <c r="C3" s="115">
        <f>SUBTOTAL(9,C4:C200)</f>
        <v>0</v>
      </c>
      <c r="D3" s="120">
        <f>SUBTOTAL(9,D4:D200)</f>
        <v>0</v>
      </c>
      <c r="E3" s="120">
        <f>SUBTOTAL(9,E4:E200)</f>
        <v>0</v>
      </c>
      <c r="F3" s="117" t="e">
        <f>E3/D3</f>
        <v>#DIV/0!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4"/>
  <sheetViews>
    <sheetView workbookViewId="0">
      <selection activeCell="C16" sqref="C16"/>
    </sheetView>
  </sheetViews>
  <sheetFormatPr defaultRowHeight="15"/>
  <cols>
    <col min="1" max="1" width="23.28515625" customWidth="1"/>
    <col min="2" max="2" width="13.140625" customWidth="1"/>
    <col min="3" max="3" width="24.5703125" customWidth="1"/>
    <col min="4" max="4" width="17.5703125" customWidth="1"/>
    <col min="5" max="5" width="14.85546875" customWidth="1"/>
    <col min="6" max="6" width="58" customWidth="1"/>
    <col min="7" max="7" width="17.42578125" customWidth="1"/>
    <col min="8" max="8" width="29" customWidth="1"/>
    <col min="9" max="9" width="81.140625" customWidth="1"/>
    <col min="10" max="10" width="14.5703125" customWidth="1"/>
    <col min="11" max="11" width="15.42578125" customWidth="1"/>
    <col min="12" max="12" width="16.7109375" customWidth="1"/>
    <col min="13" max="13" width="17.5703125" customWidth="1"/>
    <col min="14" max="14" width="18.42578125" customWidth="1"/>
    <col min="15" max="15" width="22.28515625" customWidth="1"/>
    <col min="16" max="16" width="16.140625" customWidth="1"/>
    <col min="17" max="17" width="10.42578125" customWidth="1"/>
    <col min="18" max="18" width="19.5703125" customWidth="1"/>
    <col min="19" max="19" width="29.85546875" customWidth="1"/>
    <col min="20" max="20" width="17.7109375" customWidth="1"/>
    <col min="21" max="21" width="25.7109375" customWidth="1"/>
    <col min="22" max="22" width="21.140625" customWidth="1"/>
    <col min="23" max="23" width="15" customWidth="1"/>
    <col min="24" max="24" width="17" customWidth="1"/>
    <col min="25" max="25" width="21.7109375" customWidth="1"/>
    <col min="26" max="26" width="25" customWidth="1"/>
    <col min="27" max="27" width="24.5703125" customWidth="1"/>
    <col min="28" max="28" width="13.5703125" customWidth="1"/>
    <col min="29" max="29" width="14.7109375" customWidth="1"/>
    <col min="30" max="30" width="15.140625" customWidth="1"/>
    <col min="31" max="31" width="20.140625" customWidth="1"/>
    <col min="32" max="32" width="17.85546875" customWidth="1"/>
  </cols>
  <sheetData>
    <row r="1" spans="1:32">
      <c r="A1" t="s">
        <v>56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L1" t="s">
        <v>67</v>
      </c>
      <c r="M1" t="s">
        <v>68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77</v>
      </c>
      <c r="W1" t="s">
        <v>78</v>
      </c>
      <c r="X1" t="s">
        <v>79</v>
      </c>
      <c r="Y1" t="s">
        <v>80</v>
      </c>
      <c r="Z1" t="s">
        <v>85</v>
      </c>
      <c r="AA1" t="s">
        <v>86</v>
      </c>
      <c r="AB1" t="s">
        <v>87</v>
      </c>
      <c r="AC1" t="s">
        <v>84</v>
      </c>
      <c r="AD1" t="s">
        <v>81</v>
      </c>
      <c r="AE1" t="s">
        <v>82</v>
      </c>
      <c r="AF1" t="s">
        <v>83</v>
      </c>
    </row>
    <row r="2" spans="1:32">
      <c r="B2" s="49"/>
      <c r="C2" s="49"/>
      <c r="D2" s="50"/>
      <c r="E2" s="49"/>
      <c r="F2" s="49"/>
      <c r="G2" s="49"/>
      <c r="H2" s="49"/>
      <c r="I2" s="49"/>
      <c r="N2" s="49"/>
      <c r="O2" s="49"/>
      <c r="P2" s="49"/>
      <c r="Q2" s="49"/>
      <c r="R2" s="49"/>
      <c r="S2" s="49"/>
      <c r="T2" s="49"/>
      <c r="U2" s="49"/>
      <c r="Z2" s="49"/>
      <c r="AA2" s="49"/>
      <c r="AB2" s="49"/>
      <c r="AC2" s="49"/>
    </row>
    <row r="3" spans="1:32">
      <c r="B3" s="49"/>
      <c r="C3" s="49"/>
      <c r="D3" s="49"/>
      <c r="E3" s="49"/>
      <c r="F3" s="49"/>
      <c r="G3" s="49"/>
      <c r="H3" s="49"/>
      <c r="I3" s="49"/>
      <c r="N3" s="49"/>
      <c r="O3" s="49"/>
      <c r="P3" s="49"/>
      <c r="Q3" s="49"/>
      <c r="R3" s="49"/>
      <c r="S3" s="49"/>
      <c r="T3" s="49"/>
      <c r="U3" s="49"/>
      <c r="Z3" s="49"/>
      <c r="AD3" s="49"/>
    </row>
    <row r="4" spans="1:32">
      <c r="B4" s="49"/>
      <c r="C4" s="49"/>
      <c r="D4" s="49"/>
      <c r="E4" s="49"/>
      <c r="F4" s="49"/>
      <c r="G4" s="49"/>
      <c r="H4" s="49"/>
      <c r="I4" s="49"/>
      <c r="N4" s="49"/>
      <c r="O4" s="49"/>
      <c r="P4" s="49"/>
      <c r="Q4" s="49"/>
      <c r="R4" s="49"/>
      <c r="S4" s="49"/>
      <c r="T4" s="49"/>
      <c r="U4" s="49"/>
      <c r="AC4" s="4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EurofarPriceOverview</vt:lpstr>
      <vt:lpstr>MI</vt:lpstr>
      <vt:lpstr>MarginCustomer</vt:lpstr>
      <vt:lpstr>Supplier</vt:lpstr>
      <vt:lpstr>Data</vt:lpstr>
      <vt:lpstr>EurofarPriceOverview!Print_Titles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my</cp:lastModifiedBy>
  <cp:lastPrinted>2013-10-03T11:15:29Z</cp:lastPrinted>
  <dcterms:created xsi:type="dcterms:W3CDTF">2011-12-02T07:43:50Z</dcterms:created>
  <dcterms:modified xsi:type="dcterms:W3CDTF">2018-11-01T02:03:47Z</dcterms:modified>
</cp:coreProperties>
</file>