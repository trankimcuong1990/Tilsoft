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026" codeName="{4AEB4F63-F33D-04DF-ECAF-5796C6CBFC7C}"/>
  <workbookPr filterPrivacy="1" codeName="ThisWorkbook" defaultThemeVersion="124226"/>
  <xr:revisionPtr revIDLastSave="0" documentId="13_ncr:1_{2A802FBC-091A-4510-925C-953CF752FD62}" xr6:coauthVersionLast="45" xr6:coauthVersionMax="45" xr10:uidLastSave="{00000000-0000-0000-0000-000000000000}"/>
  <bookViews>
    <workbookView xWindow="-120" yWindow="-120" windowWidth="20730" windowHeight="11310" xr2:uid="{00000000-000D-0000-FFFF-FFFF00000000}"/>
  </bookViews>
  <sheets>
    <sheet name="WEXStockOverview" sheetId="1" r:id="rId1"/>
    <sheet name="Data1" sheetId="2" r:id="rId2"/>
  </sheets>
  <definedNames>
    <definedName name="_xlnm._FilterDatabase" localSheetId="0" hidden="1">WEXStockOverview!$A$5:$BC$5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O6" i="1" l="1"/>
  <c r="I6" i="1"/>
  <c r="K6" i="1"/>
  <c r="H6" i="1"/>
  <c r="H3" i="1" l="1"/>
  <c r="BC6" i="1" l="1"/>
  <c r="BB6" i="1"/>
  <c r="BA6" i="1"/>
  <c r="AZ6" i="1"/>
  <c r="AY6" i="1"/>
  <c r="AX6" i="1"/>
  <c r="AW6" i="1"/>
  <c r="AV6" i="1"/>
  <c r="AU6" i="1"/>
  <c r="AT6" i="1"/>
  <c r="AS6" i="1"/>
  <c r="AR6" i="1"/>
  <c r="AQ6" i="1"/>
  <c r="AP6" i="1"/>
  <c r="AO6" i="1"/>
  <c r="AN6" i="1"/>
  <c r="AM6" i="1"/>
  <c r="AL6" i="1"/>
  <c r="AK6" i="1"/>
  <c r="AJ6" i="1"/>
  <c r="AI6" i="1"/>
  <c r="AH6" i="1"/>
  <c r="AG6" i="1"/>
  <c r="AF6" i="1"/>
  <c r="AE6" i="1"/>
  <c r="AD6" i="1"/>
  <c r="AC6" i="1"/>
  <c r="AB6" i="1"/>
  <c r="AA6" i="1"/>
  <c r="Z6" i="1"/>
  <c r="Y6" i="1"/>
  <c r="X6" i="1"/>
  <c r="W6" i="1"/>
  <c r="V6" i="1"/>
  <c r="U6" i="1"/>
  <c r="T6" i="1"/>
  <c r="S6" i="1"/>
  <c r="R6" i="1"/>
  <c r="P6" i="1"/>
  <c r="N6" i="1"/>
  <c r="M6" i="1"/>
  <c r="L6" i="1"/>
  <c r="J6" i="1"/>
  <c r="G6" i="1"/>
  <c r="F6" i="1"/>
  <c r="E6" i="1"/>
  <c r="D6" i="1"/>
  <c r="C6" i="1"/>
  <c r="B6" i="1"/>
  <c r="A6" i="1"/>
  <c r="H4" i="1"/>
  <c r="K3" i="1" l="1"/>
  <c r="Q6" i="1"/>
  <c r="Q4" i="1" s="1"/>
  <c r="Q3" i="1" l="1"/>
  <c r="K4" i="1"/>
  <c r="I4" i="1"/>
  <c r="I3" i="1"/>
</calcChain>
</file>

<file path=xl/sharedStrings.xml><?xml version="1.0" encoding="utf-8"?>
<sst xmlns="http://schemas.openxmlformats.org/spreadsheetml/2006/main" count="58" uniqueCount="58">
  <si>
    <t>Description</t>
  </si>
  <si>
    <t>WEX Stock Overview</t>
  </si>
  <si>
    <t>#</t>
  </si>
  <si>
    <t>Image</t>
  </si>
  <si>
    <t>Type</t>
  </si>
  <si>
    <t>EAN Code</t>
  </si>
  <si>
    <t>Art.Code</t>
  </si>
  <si>
    <t>Qnt / 40HC</t>
  </si>
  <si>
    <t>Stock Qnt/40HC</t>
  </si>
  <si>
    <t>Selling Price</t>
  </si>
  <si>
    <t>Selling Amount</t>
  </si>
  <si>
    <t>Standard Cost Price</t>
  </si>
  <si>
    <t>% obsolete</t>
  </si>
  <si>
    <t>Value per unit includin obsolesence</t>
  </si>
  <si>
    <t>Value include obsolesence</t>
  </si>
  <si>
    <t>VVP</t>
  </si>
  <si>
    <t>Cost Amount</t>
  </si>
  <si>
    <t>Item Source</t>
  </si>
  <si>
    <t>brand</t>
  </si>
  <si>
    <t>catalog_page_number</t>
  </si>
  <si>
    <t>warranty</t>
  </si>
  <si>
    <t>width</t>
  </si>
  <si>
    <t>length</t>
  </si>
  <si>
    <t>height</t>
  </si>
  <si>
    <t>distance_between_legs_long</t>
  </si>
  <si>
    <t>distance_between_legs_short</t>
  </si>
  <si>
    <t>FSC</t>
  </si>
  <si>
    <t>top_color</t>
  </si>
  <si>
    <t>legs_color</t>
  </si>
  <si>
    <t>weight</t>
  </si>
  <si>
    <t>number_of_seats</t>
  </si>
  <si>
    <t>armrest</t>
  </si>
  <si>
    <t>including_cushion</t>
  </si>
  <si>
    <t>adjustable</t>
  </si>
  <si>
    <t>seater_width</t>
  </si>
  <si>
    <t>seater_length</t>
  </si>
  <si>
    <t>seater_height</t>
  </si>
  <si>
    <t>armrest_width</t>
  </si>
  <si>
    <t>armrest_height</t>
  </si>
  <si>
    <t>material</t>
  </si>
  <si>
    <t>frame_material</t>
  </si>
  <si>
    <t>wicker_type</t>
  </si>
  <si>
    <t>all_season_cushions</t>
  </si>
  <si>
    <t>cushions_cover_material</t>
  </si>
  <si>
    <t>cushions_filling</t>
  </si>
  <si>
    <t>cushions_color</t>
  </si>
  <si>
    <t>number_of_cushions</t>
  </si>
  <si>
    <t>thickness_of_cushions_back</t>
  </si>
  <si>
    <t>thickness_of_cushions_seat</t>
  </si>
  <si>
    <t>adjustable_degree</t>
  </si>
  <si>
    <t>seater_back_height</t>
  </si>
  <si>
    <t>seater_legs_height</t>
  </si>
  <si>
    <t>height_from_lowest_point_to_gr</t>
  </si>
  <si>
    <t>legs_material</t>
  </si>
  <si>
    <t>leg_frame_color</t>
  </si>
  <si>
    <t>SUM</t>
  </si>
  <si>
    <t>SUB-TOTAL</t>
  </si>
  <si>
    <t>Stock / FTS Qnt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</si>
</sst>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164" formatCode="_([$€-2]\ * #,##0.00_);_([$€-2]\ * \(#,##0.00\);_([$€-2]\ * &quot;-&quot;??_);_(@_)"/>
  </numFmts>
  <fonts count="8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4"/>
      <color theme="1"/>
      <name val="Arial"/>
      <family val="2"/>
    </font>
    <font>
      <b/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4" fontId="4" fillId="0" borderId="0"/>
    <xf numFmtId="9" fontId="4" fillId="0" borderId="0"/>
  </cellStyleXfs>
  <cellXfs count="22">
    <xf numFmtId="0" fontId="0" fillId="0" borderId="0" xfId="0" applyNumberFormat="1" applyFont="1" applyFill="1" applyBorder="1"/>
    <xf numFmtId="0" fontId="1" fillId="0" borderId="0" xfId="0" applyNumberFormat="1" applyFont="1" applyFill="1" applyBorder="1"/>
    <xf numFmtId="0" fontId="2" fillId="0" borderId="0" xfId="0" applyNumberFormat="1" applyFont="1" applyFill="1" applyBorder="1"/>
    <xf numFmtId="0" fontId="1" fillId="0" borderId="1" xfId="0" applyNumberFormat="1" applyFont="1" applyFill="1" applyBorder="1"/>
    <xf numFmtId="0" fontId="3" fillId="2" borderId="1" xfId="0" applyNumberFormat="1" applyFont="1" applyFill="1" applyBorder="1" applyAlignment="1">
      <alignment horizontal="center" vertical="center" wrapText="1"/>
    </xf>
    <xf numFmtId="0" fontId="1" fillId="0" borderId="1" xfId="0" applyNumberFormat="1" applyFont="1" applyFill="1" applyBorder="1" applyAlignment="1">
      <alignment horizontal="right" vertical="top"/>
    </xf>
    <xf numFmtId="0" fontId="3" fillId="3" borderId="1" xfId="0" applyNumberFormat="1" applyFont="1" applyFill="1" applyBorder="1" applyAlignment="1">
      <alignment horizontal="center" vertical="center" wrapText="1"/>
    </xf>
    <xf numFmtId="0" fontId="3" fillId="3" borderId="1" xfId="0" applyNumberFormat="1" applyFont="1" applyFill="1" applyBorder="1" applyAlignment="1">
      <alignment horizontal="right" vertical="center" wrapText="1"/>
    </xf>
    <xf numFmtId="3" fontId="3" fillId="3" borderId="1" xfId="0" applyNumberFormat="1" applyFont="1" applyFill="1" applyBorder="1" applyAlignment="1">
      <alignment horizontal="right" vertical="center" wrapText="1"/>
    </xf>
    <xf numFmtId="4" fontId="3" fillId="3" borderId="1" xfId="0" applyNumberFormat="1" applyFont="1" applyFill="1" applyBorder="1" applyAlignment="1">
      <alignment horizontal="right" vertical="center" wrapText="1"/>
    </xf>
    <xf numFmtId="164" fontId="3" fillId="3" borderId="1" xfId="0" applyNumberFormat="1" applyFont="1" applyFill="1" applyBorder="1" applyAlignment="1">
      <alignment horizontal="right" vertical="center" wrapText="1"/>
    </xf>
    <xf numFmtId="0" fontId="0" fillId="0" borderId="0" xfId="0" applyNumberFormat="1" applyFont="1" applyFill="1" applyBorder="1"/>
    <xf numFmtId="0" fontId="6" fillId="2" borderId="1" xfId="0" applyNumberFormat="1" applyFont="1" applyFill="1" applyBorder="1" applyAlignment="1">
      <alignment horizontal="center" vertical="center" wrapText="1"/>
    </xf>
    <xf numFmtId="0" fontId="7" fillId="2" borderId="1" xfId="0" applyNumberFormat="1" applyFont="1" applyFill="1" applyBorder="1" applyAlignment="1">
      <alignment horizontal="center" vertical="center" wrapText="1"/>
    </xf>
    <xf numFmtId="0" fontId="1" fillId="0" borderId="1" xfId="0" applyNumberFormat="1" applyFont="1" applyFill="1" applyBorder="1" applyAlignment="1">
      <alignment horizontal="center" vertical="top" wrapText="1"/>
    </xf>
    <xf numFmtId="0" fontId="5" fillId="0" borderId="1" xfId="0" applyNumberFormat="1" applyFont="1" applyFill="1" applyBorder="1" applyAlignment="1">
      <alignment horizontal="center" vertical="top" wrapText="1"/>
    </xf>
    <xf numFmtId="3" fontId="1" fillId="0" borderId="1" xfId="0" applyNumberFormat="1" applyFont="1" applyFill="1" applyBorder="1" applyAlignment="1">
      <alignment horizontal="right" vertical="top"/>
    </xf>
    <xf numFmtId="4" fontId="1" fillId="0" borderId="1" xfId="0" applyNumberFormat="1" applyFont="1" applyFill="1" applyBorder="1" applyAlignment="1">
      <alignment horizontal="right" vertical="top"/>
    </xf>
    <xf numFmtId="164" fontId="1" fillId="0" borderId="1" xfId="0" applyNumberFormat="1" applyFont="1" applyFill="1" applyBorder="1" applyAlignment="1">
      <alignment horizontal="right" vertical="top"/>
    </xf>
    <xf numFmtId="10" fontId="1" fillId="0" borderId="1" xfId="2" applyNumberFormat="1" applyFont="1" applyFill="1" applyBorder="1" applyAlignment="1">
      <alignment horizontal="right" vertical="top"/>
    </xf>
    <xf numFmtId="164" fontId="1" fillId="0" borderId="1" xfId="1" applyNumberFormat="1" applyFont="1" applyFill="1" applyBorder="1" applyAlignment="1">
      <alignment horizontal="right" vertical="top"/>
    </xf>
    <xf numFmtId="0" fontId="1" fillId="0" borderId="1" xfId="0" applyNumberFormat="1" applyFont="1" applyFill="1" applyBorder="1" applyAlignment="1">
      <alignment vertical="top" wrapText="1"/>
    </xf>
  </cellXfs>
  <cellStyles count="3">
    <cellStyle name="Currency" xfId="1" builtinId="4"/>
    <cellStyle name="Normal" xfId="0" builtinId="0"/>
    <cellStyle name="Percent" xfId="2" builtinId="5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C21"/>
  <sheetViews>
    <sheetView tabSelected="1" workbookViewId="0">
      <selection activeCell="H6" sqref="H6"/>
    </sheetView>
  </sheetViews>
  <sheetFormatPr defaultRowHeight="12.75" x14ac:dyDescent="0.2"/>
  <cols>
    <col min="1" max="1" width="4.7109375" style="1" customWidth="1"/>
    <col min="2" max="2" width="14.5703125" style="1" customWidth="1"/>
    <col min="3" max="3" width="9.5703125" style="1" customWidth="1"/>
    <col min="4" max="4" width="15.140625" style="1" customWidth="1"/>
    <col min="5" max="5" width="27.85546875" style="1" bestFit="1" customWidth="1"/>
    <col min="6" max="6" width="41.5703125" style="1" customWidth="1"/>
    <col min="7" max="7" width="7.7109375" style="1" customWidth="1"/>
    <col min="8" max="8" width="11.28515625" style="1" customWidth="1"/>
    <col min="9" max="9" width="9.42578125" style="1" customWidth="1"/>
    <col min="10" max="10" width="10.7109375" style="1" customWidth="1"/>
    <col min="11" max="11" width="13.28515625" style="1" customWidth="1"/>
    <col min="12" max="13" width="11.85546875" style="1" customWidth="1"/>
    <col min="14" max="14" width="13.140625" style="1" customWidth="1"/>
    <col min="15" max="15" width="13.28515625" style="1" customWidth="1"/>
    <col min="16" max="16" width="12" style="1" hidden="1" customWidth="1"/>
    <col min="17" max="17" width="10.7109375" style="1" hidden="1" customWidth="1"/>
    <col min="18" max="18" width="10.7109375" style="1" customWidth="1"/>
    <col min="19" max="55" width="13.28515625" style="1" customWidth="1"/>
    <col min="56" max="57" width="9.140625" style="1" customWidth="1"/>
    <col min="58" max="16384" width="9.140625" style="1"/>
  </cols>
  <sheetData>
    <row r="1" spans="1:55" ht="18" x14ac:dyDescent="0.25">
      <c r="A1" s="2" t="s">
        <v>1</v>
      </c>
      <c r="B1" s="2"/>
    </row>
    <row r="2" spans="1:55" ht="39" customHeight="1" x14ac:dyDescent="0.2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0</v>
      </c>
      <c r="G2" s="4" t="s">
        <v>7</v>
      </c>
      <c r="H2" s="4" t="s">
        <v>57</v>
      </c>
      <c r="I2" s="4" t="s">
        <v>8</v>
      </c>
      <c r="J2" s="4" t="s">
        <v>9</v>
      </c>
      <c r="K2" s="4" t="s">
        <v>10</v>
      </c>
      <c r="L2" s="4" t="s">
        <v>11</v>
      </c>
      <c r="M2" s="4" t="s">
        <v>12</v>
      </c>
      <c r="N2" s="4" t="s">
        <v>13</v>
      </c>
      <c r="O2" s="4" t="s">
        <v>14</v>
      </c>
      <c r="P2" s="4" t="s">
        <v>15</v>
      </c>
      <c r="Q2" s="4" t="s">
        <v>16</v>
      </c>
      <c r="R2" s="4" t="s">
        <v>17</v>
      </c>
      <c r="S2" s="12" t="s">
        <v>18</v>
      </c>
      <c r="T2" s="12" t="s">
        <v>19</v>
      </c>
      <c r="U2" s="12" t="s">
        <v>20</v>
      </c>
      <c r="V2" s="12" t="s">
        <v>21</v>
      </c>
      <c r="W2" s="12" t="s">
        <v>22</v>
      </c>
      <c r="X2" s="12" t="s">
        <v>23</v>
      </c>
      <c r="Y2" s="12" t="s">
        <v>24</v>
      </c>
      <c r="Z2" s="12" t="s">
        <v>25</v>
      </c>
      <c r="AA2" s="12" t="s">
        <v>26</v>
      </c>
      <c r="AB2" s="12" t="s">
        <v>27</v>
      </c>
      <c r="AC2" s="12" t="s">
        <v>28</v>
      </c>
      <c r="AD2" s="12" t="s">
        <v>29</v>
      </c>
      <c r="AE2" s="12" t="s">
        <v>30</v>
      </c>
      <c r="AF2" s="12" t="s">
        <v>31</v>
      </c>
      <c r="AG2" s="12" t="s">
        <v>32</v>
      </c>
      <c r="AH2" s="12" t="s">
        <v>33</v>
      </c>
      <c r="AI2" s="12" t="s">
        <v>34</v>
      </c>
      <c r="AJ2" s="12" t="s">
        <v>35</v>
      </c>
      <c r="AK2" s="12" t="s">
        <v>36</v>
      </c>
      <c r="AL2" s="12" t="s">
        <v>37</v>
      </c>
      <c r="AM2" s="12" t="s">
        <v>38</v>
      </c>
      <c r="AN2" s="13" t="s">
        <v>39</v>
      </c>
      <c r="AO2" s="12" t="s">
        <v>40</v>
      </c>
      <c r="AP2" s="12" t="s">
        <v>41</v>
      </c>
      <c r="AQ2" s="12" t="s">
        <v>42</v>
      </c>
      <c r="AR2" s="12" t="s">
        <v>43</v>
      </c>
      <c r="AS2" s="12" t="s">
        <v>44</v>
      </c>
      <c r="AT2" s="12" t="s">
        <v>45</v>
      </c>
      <c r="AU2" s="12" t="s">
        <v>46</v>
      </c>
      <c r="AV2" s="12" t="s">
        <v>47</v>
      </c>
      <c r="AW2" s="12" t="s">
        <v>48</v>
      </c>
      <c r="AX2" s="12" t="s">
        <v>49</v>
      </c>
      <c r="AY2" s="12" t="s">
        <v>50</v>
      </c>
      <c r="AZ2" s="12" t="s">
        <v>51</v>
      </c>
      <c r="BA2" s="12" t="s">
        <v>52</v>
      </c>
      <c r="BB2" s="12" t="s">
        <v>53</v>
      </c>
      <c r="BC2" s="12" t="s">
        <v>54</v>
      </c>
    </row>
    <row r="3" spans="1:55" x14ac:dyDescent="0.2">
      <c r="A3" s="6"/>
      <c r="B3" s="6"/>
      <c r="C3" s="6"/>
      <c r="D3" s="6"/>
      <c r="E3" s="6"/>
      <c r="F3" s="7" t="s">
        <v>55</v>
      </c>
      <c r="G3" s="7"/>
      <c r="H3" s="8" t="str">
        <f>SUM(Data1!I2:'Data1'!I588)&amp;"/"&amp;SUM(Data1!BJ2:'Data1'!BJ588)</f>
        <v>0/0</v>
      </c>
      <c r="I3" s="9">
        <f>SUM(I6:I6)</f>
        <v>0</v>
      </c>
      <c r="J3" s="7"/>
      <c r="K3" s="10">
        <f>SUM(K6:K6)</f>
        <v>0</v>
      </c>
      <c r="L3" s="10"/>
      <c r="M3" s="10"/>
      <c r="N3" s="10"/>
      <c r="O3" s="10"/>
      <c r="P3" s="7"/>
      <c r="Q3" s="10" t="e">
        <f>SUM(Q6:Q6)</f>
        <v>#VALUE!</v>
      </c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7"/>
      <c r="AZ3" s="7"/>
      <c r="BA3" s="7"/>
      <c r="BB3" s="7"/>
      <c r="BC3" s="7"/>
    </row>
    <row r="4" spans="1:55" x14ac:dyDescent="0.2">
      <c r="A4" s="6"/>
      <c r="B4" s="6"/>
      <c r="C4" s="6"/>
      <c r="D4" s="6"/>
      <c r="E4" s="6"/>
      <c r="F4" s="7" t="s">
        <v>56</v>
      </c>
      <c r="G4" s="7"/>
      <c r="H4" s="8">
        <f>SUBTOTAL(9, H6:H6)</f>
        <v>0</v>
      </c>
      <c r="I4" s="9">
        <f>SUBTOTAL(9, I6:I6)</f>
        <v>0</v>
      </c>
      <c r="J4" s="7"/>
      <c r="K4" s="10">
        <f>SUBTOTAL(9, K6:K6)</f>
        <v>0</v>
      </c>
      <c r="L4" s="10"/>
      <c r="M4" s="10"/>
      <c r="N4" s="10"/>
      <c r="O4" s="10"/>
      <c r="P4" s="7"/>
      <c r="Q4" s="10" t="e">
        <f>SUBTOTAL(9, Q6:Q6)</f>
        <v>#VALUE!</v>
      </c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  <c r="AW4" s="7"/>
      <c r="AX4" s="7"/>
      <c r="AY4" s="7"/>
      <c r="AZ4" s="7"/>
      <c r="BA4" s="7"/>
      <c r="BB4" s="7"/>
      <c r="BC4" s="7"/>
    </row>
    <row r="5" spans="1:55" x14ac:dyDescent="0.2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</row>
    <row r="6" spans="1:55" ht="70.5" customHeight="1" x14ac:dyDescent="0.2">
      <c r="A6" s="5">
        <f>ROW()-5</f>
        <v>1</v>
      </c>
      <c r="B6" s="14" t="str">
        <f>Data1!C2&amp;""</f>
        <v/>
      </c>
      <c r="C6" s="14" t="str">
        <f>Data1!D2&amp;""</f>
        <v/>
      </c>
      <c r="D6" s="14" t="str">
        <f>Data1!F2&amp;""</f>
        <v/>
      </c>
      <c r="E6" s="14" t="str">
        <f>Data1!E2&amp;""</f>
        <v/>
      </c>
      <c r="F6" s="15" t="str">
        <f>Data1!G2&amp;""</f>
        <v/>
      </c>
      <c r="G6" s="16">
        <f>Data1!H2</f>
        <v>0</v>
      </c>
      <c r="H6" s="16" t="str">
        <f>Data1!I2 &amp; "/" &amp;Data1!BJ2</f>
        <v>/</v>
      </c>
      <c r="I6" s="17">
        <f>IF(G6&lt;&gt;0,Data1!I2/G6,0)</f>
        <v>0</v>
      </c>
      <c r="J6" s="18">
        <f>Data1!J2</f>
        <v>0</v>
      </c>
      <c r="K6" s="18">
        <f>J6*Data1!I2</f>
        <v>0</v>
      </c>
      <c r="L6" s="18">
        <f>IF(Data1!M2&gt;0,Data1!M2,Data1!N2)</f>
        <v>0</v>
      </c>
      <c r="M6" s="19">
        <f>Data1!O2/100</f>
        <v>0</v>
      </c>
      <c r="N6" s="18">
        <f>IF(Data1!P2&lt;&gt;0,Data1!P2,0)</f>
        <v>0</v>
      </c>
      <c r="O6" s="20">
        <f>Data1!I2*IF(N6=0,L6*(1-M6),IF(N6&lt;&gt;0,N6,0))</f>
        <v>0</v>
      </c>
      <c r="P6" s="18">
        <f>Data1!K2</f>
        <v>0</v>
      </c>
      <c r="Q6" s="18" t="e">
        <f>P6*H6</f>
        <v>#VALUE!</v>
      </c>
      <c r="R6" s="14">
        <f>Data1!Q2</f>
        <v>0</v>
      </c>
      <c r="S6" s="21" t="str">
        <f>Data1!BG2&amp;""</f>
        <v/>
      </c>
      <c r="T6" s="21" t="str">
        <f>Data1!BH2&amp;""</f>
        <v/>
      </c>
      <c r="U6" s="21" t="str">
        <f>Data1!V2&amp;""</f>
        <v/>
      </c>
      <c r="V6" s="21" t="str">
        <f>Data1!AA2&amp;""</f>
        <v/>
      </c>
      <c r="W6" s="21" t="str">
        <f>Data1!Z2&amp;""</f>
        <v/>
      </c>
      <c r="X6" s="21" t="str">
        <f>Data1!AB2&amp;""</f>
        <v/>
      </c>
      <c r="Y6" s="21" t="str">
        <f>Data1!AI2&amp;""</f>
        <v/>
      </c>
      <c r="Z6" s="21" t="str">
        <f>Data1!AJ2&amp;""</f>
        <v/>
      </c>
      <c r="AA6" s="21" t="str">
        <f>Data1!AP2&amp;""</f>
        <v/>
      </c>
      <c r="AB6" s="21" t="str">
        <f>Data1!AQ2&amp;""</f>
        <v/>
      </c>
      <c r="AC6" s="21" t="str">
        <f>Data1!BF2&amp;""</f>
        <v/>
      </c>
      <c r="AD6" s="21" t="str">
        <f>Data1!X2&amp;""</f>
        <v/>
      </c>
      <c r="AE6" s="21" t="str">
        <f>Data1!W2&amp;""</f>
        <v/>
      </c>
      <c r="AF6" s="21" t="str">
        <f>Data1!AS2&amp;""</f>
        <v/>
      </c>
      <c r="AG6" s="21" t="str">
        <f>Data1!AT2&amp;""</f>
        <v/>
      </c>
      <c r="AH6" s="21" t="str">
        <f>Data1!AU2&amp;""</f>
        <v/>
      </c>
      <c r="AI6" s="21" t="str">
        <f>Data1!AD2&amp;""</f>
        <v/>
      </c>
      <c r="AJ6" s="21" t="str">
        <f>Data1!AC2&amp;""</f>
        <v/>
      </c>
      <c r="AK6" s="21" t="str">
        <f>Data1!AE2&amp;""</f>
        <v/>
      </c>
      <c r="AL6" s="21" t="str">
        <f>Data1!AG2&amp;""</f>
        <v/>
      </c>
      <c r="AM6" s="21" t="str">
        <f>Data1!AH2&amp;""</f>
        <v/>
      </c>
      <c r="AN6" s="21" t="str">
        <f>Data1!AM2&amp;""</f>
        <v/>
      </c>
      <c r="AO6" s="21" t="str">
        <f>Data1!AN2&amp;""</f>
        <v/>
      </c>
      <c r="AP6" s="21" t="str">
        <f>Data1!AO2&amp;""</f>
        <v/>
      </c>
      <c r="AQ6" s="21" t="str">
        <f>Data1!BC2&amp;""</f>
        <v/>
      </c>
      <c r="AR6" s="21" t="str">
        <f>Data1!BB2&amp;""</f>
        <v/>
      </c>
      <c r="AS6" s="21" t="str">
        <f>Data1!BA2&amp;""</f>
        <v/>
      </c>
      <c r="AT6" s="21" t="str">
        <f>Data1!AZ2&amp;""</f>
        <v/>
      </c>
      <c r="AU6" s="21" t="str">
        <f>Data1!AY2&amp;""</f>
        <v/>
      </c>
      <c r="AV6" s="21" t="str">
        <f>Data1!AW2&amp;""</f>
        <v/>
      </c>
      <c r="AW6" s="21" t="str">
        <f>Data1!AX2&amp;""</f>
        <v/>
      </c>
      <c r="AX6" s="21" t="str">
        <f>Data1!AV2&amp;""</f>
        <v/>
      </c>
      <c r="AY6" s="21" t="str">
        <f>Data1!AK2&amp;""</f>
        <v/>
      </c>
      <c r="AZ6" s="21" t="str">
        <f>Data1!AL2&amp;""</f>
        <v/>
      </c>
      <c r="BA6" s="21" t="str">
        <f>Data1!BD2&amp;""</f>
        <v/>
      </c>
      <c r="BB6" s="21" t="str">
        <f>Data1!BE2&amp;""</f>
        <v/>
      </c>
      <c r="BC6" s="21" t="str">
        <f>Data1!BF2&amp;""</f>
        <v/>
      </c>
    </row>
    <row r="16" spans="1:55" ht="15" x14ac:dyDescent="0.25">
      <c r="N16" s="11"/>
    </row>
    <row r="19" spans="6:7" ht="15" x14ac:dyDescent="0.25">
      <c r="F19" s="11"/>
      <c r="G19" s="11"/>
    </row>
    <row r="20" spans="6:7" ht="15" x14ac:dyDescent="0.25">
      <c r="F20" s="11"/>
      <c r="G20" s="11"/>
    </row>
    <row r="21" spans="6:7" ht="15" x14ac:dyDescent="0.25">
      <c r="F21" s="11"/>
      <c r="G21" s="11"/>
    </row>
  </sheetData>
  <autoFilter ref="A5:BC5" xr:uid="{00000000-0009-0000-0000-000000000000}"/>
  <pageMargins left="0.7" right="0.7" top="0.75" bottom="0.75" header="0.3" footer="0.3"/>
  <pageSetup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topLeftCell="BB1" workbookViewId="0">
      <selection sqref="A1:XFD1048576"/>
    </sheetView>
  </sheetViews>
  <sheetFormatPr defaultRowHeight="15" x14ac:dyDescent="0.25"/>
  <cols>
    <col min="12" max="12" width="14.28515625" bestFit="1" customWidth="1"/>
    <col min="14" max="14" width="9.28515625" bestFit="1" customWidth="1"/>
    <col min="23" max="23" width="14.42578125" bestFit="1" customWidth="1"/>
    <col min="24" max="24" width="14" bestFit="1" customWidth="1"/>
    <col min="25" max="25" width="12.28515625" bestFit="1" customWidth="1"/>
    <col min="26" max="26" width="13.7109375" bestFit="1" customWidth="1"/>
    <col min="27" max="27" width="12.85546875" bestFit="1" customWidth="1"/>
    <col min="28" max="28" width="13.28515625" bestFit="1" customWidth="1"/>
    <col min="29" max="30" width="14.85546875" bestFit="1" customWidth="1"/>
    <col min="31" max="31" width="9.7109375" bestFit="1" customWidth="1"/>
    <col min="33" max="33" width="10.140625" bestFit="1" customWidth="1"/>
    <col min="34" max="34" width="9.5703125" bestFit="1" customWidth="1"/>
    <col min="35" max="35" width="18" bestFit="1" customWidth="1"/>
    <col min="36" max="36" width="18.5703125" bestFit="1" customWidth="1"/>
    <col min="37" max="37" width="13.85546875" bestFit="1" customWidth="1"/>
    <col min="38" max="38" width="13.7109375" bestFit="1" customWidth="1"/>
    <col min="39" max="39" width="18.42578125" bestFit="1" customWidth="1"/>
    <col min="40" max="40" width="17.42578125" bestFit="1" customWidth="1"/>
    <col min="41" max="41" width="24.7109375" bestFit="1" customWidth="1"/>
    <col min="42" max="42" width="11.5703125" bestFit="1" customWidth="1"/>
    <col min="43" max="43" width="33.140625" bestFit="1" customWidth="1"/>
    <col min="44" max="44" width="22.28515625" bestFit="1" customWidth="1"/>
    <col min="45" max="45" width="11.7109375" bestFit="1" customWidth="1"/>
    <col min="46" max="46" width="14.85546875" bestFit="1" customWidth="1"/>
    <col min="47" max="47" width="16.5703125" bestFit="1" customWidth="1"/>
    <col min="48" max="48" width="13.28515625" bestFit="1" customWidth="1"/>
    <col min="49" max="49" width="21.7109375" bestFit="1" customWidth="1"/>
    <col min="50" max="50" width="21.5703125" bestFit="1" customWidth="1"/>
    <col min="51" max="51" width="17.85546875" bestFit="1" customWidth="1"/>
    <col min="52" max="52" width="25.28515625" bestFit="1" customWidth="1"/>
    <col min="53" max="53" width="13.7109375" bestFit="1" customWidth="1"/>
    <col min="54" max="54" width="15.7109375" bestFit="1" customWidth="1"/>
    <col min="55" max="55" width="17" bestFit="1" customWidth="1"/>
    <col min="56" max="56" width="27.140625" bestFit="1" customWidth="1"/>
    <col min="57" max="57" width="14.7109375" bestFit="1" customWidth="1"/>
    <col min="58" max="58" width="19.5703125" bestFit="1" customWidth="1"/>
    <col min="59" max="59" width="46" bestFit="1" customWidth="1"/>
    <col min="60" max="60" width="16.85546875" bestFit="1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WEXStockOverview</vt:lpstr>
      <vt:lpstr>Data1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2019-10-21T09:45:59Z</dcterms:modified>
</cp:coreProperties>
</file>