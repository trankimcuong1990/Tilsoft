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0490" windowHeight="7695"/>
  </bookViews>
  <sheets>
    <sheet name="StandardCostPriceOverview" sheetId="1" r:id="rId1"/>
    <sheet name="Data1" sheetId="2" state="hidden" r:id="rId2"/>
  </sheets>
  <definedNames>
    <definedName name="_xlnm._FilterDatabase" localSheetId="0" hidden="1">StandardCostPriceOverview!$A$4:$H$4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I5" i="1" l="1"/>
  <c r="G5" i="1"/>
  <c r="F5" i="1"/>
</calcChain>
</file>

<file path=xl/sharedStrings.xml><?xml version="1.0" encoding="utf-8"?>
<sst xmlns="http://schemas.openxmlformats.org/spreadsheetml/2006/main" count="28" uniqueCount="26">
  <si>
    <t>Description</t>
  </si>
  <si>
    <t>Art.Code</t>
  </si>
  <si>
    <t>Factory</t>
  </si>
  <si>
    <t/>
  </si>
  <si>
    <t>FOB (USD)</t>
  </si>
  <si>
    <t>COST PRICE</t>
  </si>
  <si>
    <t>QNT / 40HC</t>
  </si>
  <si>
    <t>STANDARD COST PRICE OVERVIEW</t>
  </si>
  <si>
    <t>IMG</t>
  </si>
  <si>
    <t>Status</t>
  </si>
  <si>
    <t>Transport Cost/40HC</t>
  </si>
  <si>
    <t>ExRate</t>
  </si>
  <si>
    <t>PrimaryID</t>
  </si>
  <si>
    <t>ArticleCode</t>
  </si>
  <si>
    <t>FactoryUD</t>
  </si>
  <si>
    <t>QuotationStatusNM</t>
  </si>
  <si>
    <t>StatusUpdatedDate</t>
  </si>
  <si>
    <t>Qnt40HC</t>
  </si>
  <si>
    <t>SalePrice</t>
  </si>
  <si>
    <t>FactoryID</t>
  </si>
  <si>
    <t>StatusID</t>
  </si>
  <si>
    <t>ItemType</t>
  </si>
  <si>
    <t>FileLocation</t>
  </si>
  <si>
    <t>ThumbnailLocation</t>
  </si>
  <si>
    <t>CostPrice</t>
  </si>
  <si>
    <t>ProductID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</si>
</sst>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[$€-2]\ * #,##0.00_);_([$€-2]\ * \(#,##0.00\);_([$€-2]\ * &quot;-&quot;??_);_(@_)"/>
    <numFmt numFmtId="165" formatCode="_([$$-409]* #,##0.00_);_([$$-409]* \(#,##0.00\);_([$$-409]* &quot;-&quot;??_);_(@_)"/>
    <numFmt numFmtId="166" formatCode="#,##0;[Red]#,##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6">
    <xf numFmtId="0" fontId="0" fillId="0" borderId="0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1" fillId="2" borderId="1" xfId="0" applyNumberFormat="1" applyFont="1" applyFill="1" applyBorder="1" applyAlignment="1">
      <alignment horizontal="center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left" vertical="top" wrapText="1"/>
    </xf>
    <xf numFmtId="0" fontId="0" fillId="0" borderId="0" xfId="0" applyNumberFormat="1" applyFont="1" applyFill="1" applyBorder="1" applyAlignment="1">
      <alignment horizontal="left" vertical="top" wrapText="1"/>
    </xf>
    <xf numFmtId="0" fontId="0" fillId="0" borderId="1" xfId="0" applyNumberFormat="1" applyFont="1" applyFill="1" applyBorder="1" applyAlignment="1">
      <alignment horizontal="right" vertical="center" wrapText="1"/>
    </xf>
    <xf numFmtId="0" fontId="0" fillId="0" borderId="1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Fill="1" applyBorder="1" applyAlignment="1">
      <alignment horizontal="right"/>
    </xf>
    <xf numFmtId="0" fontId="0" fillId="0" borderId="1" xfId="0" applyNumberFormat="1" applyFont="1" applyFill="1" applyBorder="1" applyAlignment="1">
      <alignment horizontal="right"/>
    </xf>
    <xf numFmtId="0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right" vertical="center" wrapText="1"/>
    </xf>
    <xf numFmtId="0" fontId="2" fillId="0" borderId="0" xfId="0" applyNumberFormat="1" applyFont="1" applyFill="1" applyBorder="1" applyAlignment="1">
      <alignment horizontal="right" vertical="center"/>
    </xf>
    <xf numFmtId="165" fontId="0" fillId="0" borderId="1" xfId="0" applyNumberFormat="1" applyFont="1" applyFill="1" applyBorder="1" applyAlignment="1">
      <alignment horizontal="right" vertical="center" wrapText="1"/>
    </xf>
    <xf numFmtId="166" fontId="0" fillId="0" borderId="1" xfId="0" applyNumberFormat="1" applyFont="1" applyFill="1" applyBorder="1" applyAlignment="1">
      <alignment horizontal="right" vertical="center" wrapText="1"/>
    </xf>
    <xf numFmtId="0" fontId="1" fillId="2" borderId="3" xfId="0" applyNumberFormat="1" applyFont="1" applyFill="1" applyBorder="1" applyAlignment="1">
      <alignment horizontal="center" vertical="center" wrapText="1"/>
    </xf>
    <xf numFmtId="164" fontId="0" fillId="0" borderId="1" xfId="1" applyNumberFormat="1" applyFont="1" applyFill="1" applyBorder="1" applyAlignment="1">
      <alignment horizontal="right" vertical="center"/>
    </xf>
    <xf numFmtId="0" fontId="0" fillId="2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C4" sqref="C4"/>
    </sheetView>
  </sheetViews>
  <sheetFormatPr defaultRowHeight="15" x14ac:dyDescent="0.25"/>
  <cols>
    <col min="1" max="1" width="19" style="15" customWidth="1"/>
    <col min="2" max="2" width="34" style="2" customWidth="1"/>
    <col min="3" max="3" width="63.42578125" style="8" bestFit="1" customWidth="1"/>
    <col min="4" max="4" width="18.28515625" style="2" customWidth="1"/>
    <col min="5" max="5" width="14.140625" style="2" customWidth="1"/>
    <col min="6" max="7" width="12.5703125" style="11" customWidth="1"/>
    <col min="8" max="8" width="13.42578125" style="12" customWidth="1"/>
    <col min="9" max="9" width="0" hidden="1" customWidth="1"/>
    <col min="12" max="12" width="0" hidden="1" customWidth="1"/>
  </cols>
  <sheetData>
    <row r="1" spans="1:9" ht="18.75" customHeight="1" x14ac:dyDescent="0.25">
      <c r="A1" s="23" t="s">
        <v>7</v>
      </c>
      <c r="B1" s="23"/>
      <c r="C1" s="23"/>
      <c r="D1" s="24"/>
      <c r="E1" s="24"/>
      <c r="F1" s="24"/>
      <c r="G1" s="24"/>
      <c r="H1" s="24"/>
    </row>
    <row r="2" spans="1:9" x14ac:dyDescent="0.25">
      <c r="A2" s="17" t="s">
        <v>10</v>
      </c>
      <c r="B2" s="16">
        <v>2500</v>
      </c>
      <c r="C2" s="2"/>
      <c r="D2" s="25"/>
      <c r="E2" s="25"/>
      <c r="F2" s="25"/>
      <c r="G2" s="25"/>
      <c r="H2" s="25"/>
    </row>
    <row r="3" spans="1:9" ht="15.75" x14ac:dyDescent="0.25">
      <c r="A3" s="3" t="s">
        <v>8</v>
      </c>
      <c r="B3" s="3" t="s">
        <v>1</v>
      </c>
      <c r="C3" s="5" t="s">
        <v>0</v>
      </c>
      <c r="D3" s="3" t="s">
        <v>2</v>
      </c>
      <c r="E3" s="3" t="s">
        <v>9</v>
      </c>
      <c r="F3" s="3" t="s">
        <v>6</v>
      </c>
      <c r="G3" s="3" t="s">
        <v>4</v>
      </c>
      <c r="H3" s="3" t="s">
        <v>5</v>
      </c>
      <c r="I3" s="20" t="s">
        <v>11</v>
      </c>
    </row>
    <row r="4" spans="1:9" x14ac:dyDescent="0.25">
      <c r="A4" s="14"/>
      <c r="B4" s="4"/>
      <c r="C4" s="6"/>
      <c r="D4" s="4"/>
      <c r="E4" s="4"/>
      <c r="F4" s="10"/>
      <c r="G4" s="9"/>
      <c r="H4" s="13"/>
    </row>
    <row r="5" spans="1:9" ht="15.75" customHeight="1" x14ac:dyDescent="0.25">
      <c r="A5" s="14"/>
      <c r="B5" s="1"/>
      <c r="C5" s="7"/>
      <c r="D5" s="1" t="s">
        <v>3</v>
      </c>
      <c r="E5" s="4"/>
      <c r="F5" s="19">
        <f>Data1!G2</f>
        <v>0</v>
      </c>
      <c r="G5" s="18">
        <f>Data1!H2</f>
        <v>0</v>
      </c>
      <c r="H5" s="21" t="e">
        <f>IF(Data1!O2 &lt;&gt;0,Data1!O2,((Data1!H2/Data1!L2)+(2500/Data1!G2)))</f>
        <v>#DIV/0!</v>
      </c>
      <c r="I5">
        <f>Data1!L2</f>
        <v>0</v>
      </c>
    </row>
  </sheetData>
  <autoFilter ref="A4:H4"/>
  <mergeCells count="2">
    <mergeCell ref="A1:C1"/>
    <mergeCell ref="D1:H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"/>
  <sheetViews>
    <sheetView workbookViewId="0">
      <selection activeCell="F4" sqref="F4"/>
    </sheetView>
  </sheetViews>
  <sheetFormatPr defaultRowHeight="15" x14ac:dyDescent="0.25"/>
  <cols>
    <col min="1" max="1" width="9" bestFit="1" customWidth="1"/>
    <col min="2" max="2" width="10.42578125" bestFit="1" customWidth="1"/>
    <col min="3" max="3" width="10.28515625" bestFit="1" customWidth="1"/>
    <col min="4" max="4" width="9.7109375" bestFit="1" customWidth="1"/>
    <col min="5" max="5" width="17.5703125" bestFit="1" customWidth="1"/>
    <col min="6" max="6" width="17" bestFit="1" customWidth="1"/>
    <col min="7" max="8" width="8.28515625" bestFit="1" customWidth="1"/>
    <col min="10" max="10" width="7.7109375" bestFit="1" customWidth="1"/>
    <col min="11" max="11" width="8.7109375" bestFit="1" customWidth="1"/>
    <col min="12" max="12" width="6.7109375" bestFit="1" customWidth="1"/>
    <col min="13" max="13" width="10.85546875" bestFit="1" customWidth="1"/>
    <col min="14" max="14" width="16.7109375" bestFit="1" customWidth="1"/>
    <col min="15" max="15" width="8.7109375" bestFit="1" customWidth="1"/>
    <col min="16" max="16" width="9.140625" bestFit="1" customWidth="1"/>
  </cols>
  <sheetData>
    <row r="1" spans="1:16" x14ac:dyDescent="0.25">
      <c r="A1" t="s">
        <v>12</v>
      </c>
      <c r="B1" t="s">
        <v>13</v>
      </c>
      <c r="C1" t="s">
        <v>0</v>
      </c>
      <c r="D1" t="s">
        <v>14</v>
      </c>
      <c r="E1" t="s">
        <v>15</v>
      </c>
      <c r="F1" t="s">
        <v>16</v>
      </c>
      <c r="G1" s="22" t="s">
        <v>17</v>
      </c>
      <c r="H1" s="22" t="s">
        <v>18</v>
      </c>
      <c r="I1" t="s">
        <v>19</v>
      </c>
      <c r="J1" t="s">
        <v>20</v>
      </c>
      <c r="K1" t="s">
        <v>21</v>
      </c>
      <c r="L1" s="22" t="s">
        <v>11</v>
      </c>
      <c r="M1" t="s">
        <v>22</v>
      </c>
      <c r="N1" t="s">
        <v>23</v>
      </c>
      <c r="O1" t="s">
        <v>24</v>
      </c>
      <c r="P1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StandardCostPriceOverview</vt:lpstr>
      <vt:lpstr>Data1</vt:lpstr>
    </vt:vector>
  </TitlesOfParts>
  <Company>Ocean Mind Consultant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Van Nhut</dc:creator>
  <cp:lastModifiedBy>Hau Tran</cp:lastModifiedBy>
  <dcterms:created xsi:type="dcterms:W3CDTF">2018-04-05T06:09:43Z</dcterms:created>
  <dcterms:modified xsi:type="dcterms:W3CDTF">2018-08-31T09:18:55Z</dcterms:modified>
</cp:coreProperties>
</file>