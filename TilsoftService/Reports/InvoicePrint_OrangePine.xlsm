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8800" windowHeight="12435"/>
  </bookViews>
  <sheets>
    <sheet name="COMMERCIAL INVOICE" sheetId="6" r:id="rId1"/>
    <sheet name="ECommercialInvoice" sheetId="1" r:id="rId2"/>
    <sheet name="Booking" sheetId="2" r:id="rId3"/>
    <sheet name="Container" sheetId="3" r:id="rId4"/>
    <sheet name="Goods" sheetId="4" r:id="rId5"/>
    <sheet name="GoodsDescription" sheetId="7" r:id="rId6"/>
    <sheet name="BottomDescription" sheetId="8" r:id="rId7"/>
    <sheet name="ContainerTransport" sheetId="9" r:id="rId8"/>
    <sheet name="ExtDetail" sheetId="10" r:id="rId9"/>
  </sheets>
  <definedNames>
    <definedName name="_xlnm.Print_Area" localSheetId="0">'COMMERCIAL INVOICE'!$A$1:$I$38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6" l="1"/>
  <c r="H10" i="6" l="1"/>
  <c r="G19" i="6" l="1"/>
  <c r="G20" i="6"/>
  <c r="G21" i="6" l="1"/>
  <c r="G16" i="6"/>
  <c r="H16" i="6"/>
  <c r="B29" i="6"/>
  <c r="C26" i="6"/>
  <c r="C25" i="6"/>
  <c r="C24" i="6"/>
  <c r="H9" i="6"/>
  <c r="H8" i="6"/>
  <c r="H7" i="6"/>
  <c r="H6" i="6"/>
  <c r="A9" i="6"/>
  <c r="A7" i="6"/>
  <c r="A8" i="6"/>
</calcChain>
</file>

<file path=xl/sharedStrings.xml><?xml version="1.0" encoding="utf-8"?>
<sst xmlns="http://schemas.openxmlformats.org/spreadsheetml/2006/main" count="84" uniqueCount="72">
  <si>
    <t>ECommercialInvoiceID</t>
  </si>
  <si>
    <t>BookingID</t>
  </si>
  <si>
    <t>ContainerNo</t>
  </si>
  <si>
    <t>SealNo</t>
  </si>
  <si>
    <t>GrossWeight</t>
  </si>
  <si>
    <t>NettWeight</t>
  </si>
  <si>
    <t>Measurement</t>
  </si>
  <si>
    <t>ForwarderNM</t>
  </si>
  <si>
    <t>ShipedDate</t>
  </si>
  <si>
    <t>POLName</t>
  </si>
  <si>
    <t>PODName</t>
  </si>
  <si>
    <t>Vessel</t>
  </si>
  <si>
    <t>BLNo</t>
  </si>
  <si>
    <t>ClientNM</t>
  </si>
  <si>
    <t>StreetAddress1</t>
  </si>
  <si>
    <t>ZipCode</t>
  </si>
  <si>
    <t>ClientCityNM</t>
  </si>
  <si>
    <t>ClientCountryNM</t>
  </si>
  <si>
    <t>InvoiceNo</t>
  </si>
  <si>
    <t>InvoiceDate</t>
  </si>
  <si>
    <t>ClientUD</t>
  </si>
  <si>
    <t>ClientOrderNos</t>
  </si>
  <si>
    <t>CustomerOrderNos</t>
  </si>
  <si>
    <t>PaymentTermNM</t>
  </si>
  <si>
    <t>DeliveryTermNM</t>
  </si>
  <si>
    <t>Conditions</t>
  </si>
  <si>
    <t>SaleNM</t>
  </si>
  <si>
    <t>VATRate</t>
  </si>
  <si>
    <t>Currency</t>
  </si>
  <si>
    <t>ORANGE PINE PTE. LTD.
APEX @ HENDERSON
201 HENDERSON ROAD # 04-14 
SINGAPORE 159545
TEL: +65 6266 1572
Co Reg No : 201604447R</t>
  </si>
  <si>
    <t xml:space="preserve">Issued To: </t>
  </si>
  <si>
    <t>Invoice No:</t>
  </si>
  <si>
    <t>Date:</t>
  </si>
  <si>
    <t>Account No:</t>
  </si>
  <si>
    <t>Client Order No:</t>
  </si>
  <si>
    <t>Customer Order No:</t>
  </si>
  <si>
    <t>ARTICLE CODE</t>
  </si>
  <si>
    <t xml:space="preserve">DESCRIPTION OF GOODS </t>
  </si>
  <si>
    <t>SETS / PCS</t>
  </si>
  <si>
    <t>Grand Total</t>
  </si>
  <si>
    <t>GST (0%)</t>
  </si>
  <si>
    <t>Grand Total with GST</t>
  </si>
  <si>
    <t>DELIVERY TERMS:</t>
  </si>
  <si>
    <t>CONDITIONS:</t>
  </si>
  <si>
    <t>ACCOUNT MANAGER:</t>
  </si>
  <si>
    <t>Other Comments or Special Instructions</t>
  </si>
  <si>
    <t>Please quote the invoice number when making payment</t>
  </si>
  <si>
    <t>Orange Pine Pte Ltd</t>
  </si>
  <si>
    <t xml:space="preserve">Please note that the bank charges are to be borne by the remitter. </t>
  </si>
  <si>
    <t>Make cheques or wired transfers payable to :</t>
  </si>
  <si>
    <r>
      <rPr>
        <b/>
        <sz val="10"/>
        <rFont val="Arial"/>
        <family val="2"/>
      </rPr>
      <t>Account Name</t>
    </r>
    <r>
      <rPr>
        <sz val="10"/>
        <rFont val="Arial"/>
        <family val="2"/>
      </rPr>
      <t xml:space="preserve">: </t>
    </r>
  </si>
  <si>
    <t>Orange Pine Pte. Ltd.</t>
  </si>
  <si>
    <t xml:space="preserve">Bank Name: </t>
  </si>
  <si>
    <t>OCBC Bank</t>
  </si>
  <si>
    <t>Authorised Signature</t>
  </si>
  <si>
    <t xml:space="preserve">Bank Address: </t>
  </si>
  <si>
    <t>65 Chulia Street #01-00 OCBC Centre Singapore 049513</t>
  </si>
  <si>
    <t xml:space="preserve">Bank Account No: </t>
  </si>
  <si>
    <t>503316846301</t>
  </si>
  <si>
    <t xml:space="preserve">SWIFT Code: </t>
  </si>
  <si>
    <t>OCBCSGSG</t>
  </si>
  <si>
    <t>Quantity</t>
  </si>
  <si>
    <t>UnitPrice</t>
  </si>
  <si>
    <t>TotalAmount</t>
  </si>
  <si>
    <t>ArticleCode</t>
  </si>
  <si>
    <t>Description</t>
  </si>
  <si>
    <t xml:space="preserve">Payment : </t>
  </si>
  <si>
    <t>RowIndex</t>
  </si>
  <si>
    <t>ECommercialInvoiceDetailID</t>
  </si>
  <si>
    <t>VATNo</t>
  </si>
  <si>
    <t>EORI - number:</t>
  </si>
  <si>
    <t>INVOICE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</si>
</sst>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413]#,##0;\-#,##0"/>
    <numFmt numFmtId="165" formatCode="[$-10413]#,##0.00;\-#,##0.00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10"/>
      <color rgb="FFFF00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</font>
    <font>
      <b/>
      <sz val="18"/>
      <color indexed="8"/>
      <name val="Calibri"/>
      <family val="2"/>
    </font>
    <font>
      <sz val="9"/>
      <color indexed="8"/>
      <name val="Times New Roman"/>
      <family val="1"/>
    </font>
    <font>
      <b/>
      <sz val="11"/>
      <color theme="1"/>
      <name val="Calibri"/>
      <family val="2"/>
      <scheme val="minor"/>
    </font>
    <font>
      <b/>
      <sz val="10"/>
      <color indexed="8"/>
      <name val="Calibri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9"/>
      <color indexed="8"/>
      <name val="Times New Roman"/>
      <family val="1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A9DA74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>
      <alignment vertical="center"/>
    </xf>
    <xf numFmtId="9" fontId="3" fillId="0" borderId="0"/>
  </cellStyleXfs>
  <cellXfs count="56">
    <xf numFmtId="0" fontId="0" fillId="0" borderId="0" xfId="0" applyNumberFormat="1" applyFont="1" applyFill="1" applyBorder="1"/>
    <xf numFmtId="0" fontId="3" fillId="0" borderId="0" xfId="1" applyNumberFormat="1" applyFont="1" applyFill="1" applyBorder="1"/>
    <xf numFmtId="0" fontId="1" fillId="0" borderId="0" xfId="2" applyNumberFormat="1" applyFont="1" applyFill="1" applyBorder="1">
      <alignment vertical="center"/>
    </xf>
    <xf numFmtId="0" fontId="0" fillId="0" borderId="0" xfId="0" applyNumberFormat="1" applyFont="1" applyFill="1" applyBorder="1"/>
    <xf numFmtId="0" fontId="4" fillId="2" borderId="0" xfId="2" applyNumberFormat="1" applyFont="1" applyFill="1" applyBorder="1" applyAlignment="1">
      <alignment horizontal="center" wrapText="1"/>
    </xf>
    <xf numFmtId="0" fontId="5" fillId="0" borderId="0" xfId="2" applyNumberFormat="1" applyFont="1" applyFill="1" applyBorder="1">
      <alignment vertical="center"/>
    </xf>
    <xf numFmtId="0" fontId="6" fillId="2" borderId="0" xfId="2" applyNumberFormat="1" applyFont="1" applyFill="1" applyBorder="1" applyAlignment="1"/>
    <xf numFmtId="0" fontId="7" fillId="2" borderId="0" xfId="2" applyNumberFormat="1" applyFont="1" applyFill="1" applyBorder="1" applyAlignment="1">
      <alignment horizontal="right"/>
    </xf>
    <xf numFmtId="0" fontId="8" fillId="2" borderId="0" xfId="2" applyNumberFormat="1" applyFont="1" applyFill="1" applyBorder="1" applyAlignment="1">
      <alignment horizontal="right"/>
    </xf>
    <xf numFmtId="0" fontId="8" fillId="2" borderId="0" xfId="2" applyNumberFormat="1" applyFont="1" applyFill="1" applyBorder="1" applyAlignment="1">
      <alignment horizontal="left"/>
    </xf>
    <xf numFmtId="0" fontId="7" fillId="2" borderId="0" xfId="2" applyNumberFormat="1" applyFont="1" applyFill="1" applyBorder="1" applyAlignment="1"/>
    <xf numFmtId="15" fontId="8" fillId="2" borderId="0" xfId="2" applyNumberFormat="1" applyFont="1" applyFill="1" applyBorder="1" applyAlignment="1">
      <alignment horizontal="left"/>
    </xf>
    <xf numFmtId="0" fontId="9" fillId="2" borderId="0" xfId="2" applyNumberFormat="1" applyFont="1" applyFill="1" applyBorder="1" applyAlignment="1"/>
    <xf numFmtId="0" fontId="10" fillId="2" borderId="1" xfId="2" applyNumberFormat="1" applyFont="1" applyFill="1" applyBorder="1" applyAlignment="1">
      <alignment horizontal="center" vertical="center"/>
    </xf>
    <xf numFmtId="0" fontId="12" fillId="0" borderId="3" xfId="1" applyNumberFormat="1" applyFont="1" applyFill="1" applyBorder="1" applyAlignment="1">
      <alignment horizontal="right"/>
    </xf>
    <xf numFmtId="0" fontId="12" fillId="0" borderId="4" xfId="1" applyNumberFormat="1" applyFont="1" applyFill="1" applyBorder="1" applyAlignment="1">
      <alignment horizontal="right"/>
    </xf>
    <xf numFmtId="164" fontId="12" fillId="0" borderId="4" xfId="1" applyNumberFormat="1" applyFont="1" applyFill="1" applyBorder="1"/>
    <xf numFmtId="165" fontId="12" fillId="0" borderId="4" xfId="1" applyNumberFormat="1" applyFont="1" applyFill="1" applyBorder="1" applyAlignment="1">
      <alignment horizontal="right"/>
    </xf>
    <xf numFmtId="165" fontId="12" fillId="0" borderId="5" xfId="1" applyNumberFormat="1" applyFont="1" applyFill="1" applyBorder="1" applyAlignment="1">
      <alignment horizontal="right"/>
    </xf>
    <xf numFmtId="0" fontId="3" fillId="0" borderId="3" xfId="1" applyNumberFormat="1" applyFont="1" applyFill="1" applyBorder="1"/>
    <xf numFmtId="0" fontId="3" fillId="0" borderId="4" xfId="1" applyNumberFormat="1" applyFont="1" applyFill="1" applyBorder="1"/>
    <xf numFmtId="0" fontId="13" fillId="2" borderId="0" xfId="2" applyNumberFormat="1" applyFont="1" applyFill="1" applyBorder="1" applyAlignment="1"/>
    <xf numFmtId="0" fontId="6" fillId="2" borderId="0" xfId="2" applyNumberFormat="1" applyFont="1" applyFill="1" applyBorder="1" applyAlignment="1"/>
    <xf numFmtId="0" fontId="8" fillId="2" borderId="0" xfId="2" applyNumberFormat="1" applyFont="1" applyFill="1" applyBorder="1" applyAlignment="1"/>
    <xf numFmtId="0" fontId="3" fillId="0" borderId="9" xfId="1" applyNumberFormat="1" applyFont="1" applyFill="1" applyBorder="1" applyAlignment="1">
      <alignment horizontal="left"/>
    </xf>
    <xf numFmtId="0" fontId="3" fillId="0" borderId="0" xfId="1" applyNumberFormat="1" applyFont="1" applyFill="1" applyBorder="1" applyAlignment="1">
      <alignment horizontal="left"/>
    </xf>
    <xf numFmtId="0" fontId="3" fillId="0" borderId="10" xfId="1" applyNumberFormat="1" applyFont="1" applyFill="1" applyBorder="1" applyAlignment="1">
      <alignment horizontal="left"/>
    </xf>
    <xf numFmtId="0" fontId="3" fillId="0" borderId="11" xfId="1" applyNumberFormat="1" applyFont="1" applyFill="1" applyBorder="1" applyAlignment="1">
      <alignment horizontal="left"/>
    </xf>
    <xf numFmtId="0" fontId="3" fillId="0" borderId="12" xfId="1" applyNumberFormat="1" applyFont="1" applyFill="1" applyBorder="1" applyAlignment="1">
      <alignment horizontal="left"/>
    </xf>
    <xf numFmtId="0" fontId="3" fillId="0" borderId="13" xfId="1" applyNumberFormat="1" applyFont="1" applyFill="1" applyBorder="1" applyAlignment="1">
      <alignment horizontal="left"/>
    </xf>
    <xf numFmtId="0" fontId="14" fillId="0" borderId="0" xfId="2" applyNumberFormat="1" applyFont="1" applyFill="1" applyBorder="1" applyAlignment="1">
      <alignment horizontal="left" vertical="center"/>
    </xf>
    <xf numFmtId="0" fontId="16" fillId="0" borderId="0" xfId="2" applyNumberFormat="1" applyFont="1" applyFill="1" applyBorder="1" applyAlignment="1">
      <alignment horizontal="left" vertical="center"/>
    </xf>
    <xf numFmtId="0" fontId="3" fillId="0" borderId="0" xfId="1" quotePrefix="1" applyNumberFormat="1" applyFont="1" applyFill="1" applyBorder="1"/>
    <xf numFmtId="0" fontId="0" fillId="0" borderId="9" xfId="1" applyNumberFormat="1" applyFont="1" applyFill="1" applyBorder="1" applyAlignment="1">
      <alignment horizontal="left"/>
    </xf>
    <xf numFmtId="0" fontId="11" fillId="0" borderId="11" xfId="1" applyNumberFormat="1" applyFont="1" applyFill="1" applyBorder="1" applyAlignment="1" applyProtection="1">
      <alignment vertical="center" wrapText="1" readingOrder="1"/>
      <protection locked="0"/>
    </xf>
    <xf numFmtId="0" fontId="11" fillId="0" borderId="12" xfId="1" applyNumberFormat="1" applyFont="1" applyFill="1" applyBorder="1" applyAlignment="1" applyProtection="1">
      <alignment vertical="center" wrapText="1" readingOrder="1"/>
      <protection locked="0"/>
    </xf>
    <xf numFmtId="0" fontId="11" fillId="0" borderId="13" xfId="1" applyNumberFormat="1" applyFont="1" applyFill="1" applyBorder="1" applyAlignment="1" applyProtection="1">
      <alignment vertical="center" wrapText="1" readingOrder="1"/>
      <protection locked="0"/>
    </xf>
    <xf numFmtId="0" fontId="17" fillId="0" borderId="14" xfId="1" applyNumberFormat="1" applyFont="1" applyFill="1" applyBorder="1" applyAlignment="1" applyProtection="1">
      <alignment horizontal="center" vertical="center" wrapText="1" readingOrder="1"/>
      <protection locked="0"/>
    </xf>
    <xf numFmtId="0" fontId="18" fillId="0" borderId="0" xfId="1" applyNumberFormat="1" applyFont="1" applyFill="1" applyBorder="1"/>
    <xf numFmtId="0" fontId="2" fillId="2" borderId="0" xfId="2" applyNumberFormat="1" applyFont="1" applyFill="1" applyBorder="1" applyAlignment="1">
      <alignment vertical="center" wrapText="1"/>
    </xf>
    <xf numFmtId="4" fontId="12" fillId="0" borderId="4" xfId="1" applyNumberFormat="1" applyFont="1" applyFill="1" applyBorder="1" applyAlignment="1">
      <alignment horizontal="right"/>
    </xf>
    <xf numFmtId="4" fontId="12" fillId="0" borderId="5" xfId="1" applyNumberFormat="1" applyFont="1" applyFill="1" applyBorder="1" applyAlignment="1">
      <alignment horizontal="right"/>
    </xf>
    <xf numFmtId="0" fontId="2" fillId="2" borderId="0" xfId="2" applyNumberFormat="1" applyFont="1" applyFill="1" applyBorder="1" applyAlignment="1">
      <alignment horizontal="center" vertical="center" wrapText="1"/>
    </xf>
    <xf numFmtId="0" fontId="10" fillId="2" borderId="0" xfId="2" applyNumberFormat="1" applyFont="1" applyFill="1" applyBorder="1" applyAlignment="1">
      <alignment horizontal="center" vertical="center"/>
    </xf>
    <xf numFmtId="0" fontId="17" fillId="0" borderId="14" xfId="1" applyNumberFormat="1" applyFont="1" applyFill="1" applyBorder="1" applyAlignment="1" applyProtection="1">
      <alignment horizontal="center" vertical="center" wrapText="1" readingOrder="1"/>
      <protection locked="0"/>
    </xf>
    <xf numFmtId="0" fontId="15" fillId="0" borderId="7" xfId="2" applyNumberFormat="1" applyFont="1" applyFill="1" applyBorder="1" applyAlignment="1">
      <alignment horizontal="center" vertical="center" wrapText="1"/>
    </xf>
    <xf numFmtId="0" fontId="3" fillId="0" borderId="7" xfId="1" applyNumberFormat="1" applyFont="1" applyFill="1" applyBorder="1" applyAlignment="1">
      <alignment horizontal="center" vertical="center" wrapText="1"/>
    </xf>
    <xf numFmtId="0" fontId="12" fillId="0" borderId="5" xfId="1" applyNumberFormat="1" applyFont="1" applyFill="1" applyBorder="1" applyAlignment="1">
      <alignment horizontal="right"/>
    </xf>
    <xf numFmtId="0" fontId="12" fillId="0" borderId="2" xfId="1" applyNumberFormat="1" applyFont="1" applyFill="1" applyBorder="1" applyAlignment="1">
      <alignment horizontal="right"/>
    </xf>
    <xf numFmtId="4" fontId="12" fillId="0" borderId="2" xfId="1" applyNumberFormat="1" applyFont="1" applyFill="1" applyBorder="1" applyAlignment="1">
      <alignment horizontal="right"/>
    </xf>
    <xf numFmtId="4" fontId="12" fillId="0" borderId="2" xfId="3" applyNumberFormat="1" applyFont="1" applyFill="1" applyBorder="1" applyAlignment="1">
      <alignment horizontal="right"/>
    </xf>
    <xf numFmtId="0" fontId="14" fillId="3" borderId="6" xfId="1" applyNumberFormat="1" applyFont="1" applyFill="1" applyBorder="1" applyAlignment="1">
      <alignment horizontal="left"/>
    </xf>
    <xf numFmtId="0" fontId="14" fillId="3" borderId="7" xfId="1" applyNumberFormat="1" applyFont="1" applyFill="1" applyBorder="1" applyAlignment="1">
      <alignment horizontal="left"/>
    </xf>
    <xf numFmtId="0" fontId="14" fillId="3" borderId="8" xfId="1" applyNumberFormat="1" applyFont="1" applyFill="1" applyBorder="1" applyAlignment="1">
      <alignment horizontal="left"/>
    </xf>
    <xf numFmtId="0" fontId="15" fillId="0" borderId="0" xfId="2" applyNumberFormat="1" applyFont="1" applyFill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center" vertical="center" wrapText="1"/>
    </xf>
  </cellXfs>
  <cellStyles count="4">
    <cellStyle name="Normal" xfId="0" builtinId="0"/>
    <cellStyle name="Normal 2" xfId="1"/>
    <cellStyle name="Normal 3" xfId="2"/>
    <cellStyle name="Percent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257174</xdr:colOff>
      <xdr:row>1</xdr:row>
      <xdr:rowOff>171450</xdr:rowOff>
    </xdr:from>
    <xdr:to>
      <xdr:col>3</xdr:col>
      <xdr:colOff>228600</xdr:colOff>
      <xdr:row>1</xdr:row>
      <xdr:rowOff>1009650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1AF0073-19EE-4755-8D24-F6E2507C4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4" y="361950"/>
          <a:ext cx="2228851" cy="83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I38"/>
  <sheetViews>
    <sheetView tabSelected="1" topLeftCell="A11" zoomScaleNormal="100" workbookViewId="0">
      <selection activeCell="A7" sqref="A7"/>
    </sheetView>
  </sheetViews>
  <sheetFormatPr defaultRowHeight="15" x14ac:dyDescent="0.25"/>
  <cols>
    <col min="1" max="1" width="15.28515625" style="1" customWidth="1"/>
    <col min="2" max="2" width="12.42578125" style="1" customWidth="1"/>
    <col min="3" max="3" width="6.140625" style="1" customWidth="1"/>
    <col min="4" max="4" width="30.28515625" style="1" customWidth="1"/>
    <col min="5" max="5" width="28.42578125" style="1" customWidth="1"/>
    <col min="6" max="6" width="8.28515625" style="1" customWidth="1"/>
    <col min="7" max="7" width="12.28515625" style="1" customWidth="1"/>
    <col min="8" max="8" width="13.28515625" style="1" customWidth="1"/>
    <col min="9" max="9" width="2.42578125" style="1" customWidth="1"/>
    <col min="10" max="16384" width="9.140625" style="1"/>
  </cols>
  <sheetData>
    <row r="1" spans="1:9" ht="15" hidden="1" customHeight="1" x14ac:dyDescent="0.25">
      <c r="A1" s="39"/>
      <c r="B1" s="39"/>
      <c r="C1" s="39"/>
      <c r="D1" s="39"/>
      <c r="E1" s="39"/>
      <c r="F1" s="39"/>
      <c r="G1" s="39"/>
      <c r="H1" s="39"/>
    </row>
    <row r="2" spans="1:9" ht="81.75" customHeight="1" x14ac:dyDescent="0.25">
      <c r="A2" s="39"/>
      <c r="B2" s="39"/>
      <c r="C2" s="39"/>
      <c r="D2" s="39"/>
      <c r="E2" s="42" t="s">
        <v>29</v>
      </c>
      <c r="F2" s="42"/>
      <c r="G2" s="42"/>
      <c r="H2" s="42"/>
      <c r="I2" s="42"/>
    </row>
    <row r="3" spans="1:9" x14ac:dyDescent="0.25">
      <c r="A3" s="39"/>
      <c r="B3" s="39"/>
      <c r="C3" s="39"/>
      <c r="D3" s="39"/>
      <c r="E3" s="39"/>
      <c r="F3" s="39"/>
      <c r="G3" s="39"/>
      <c r="H3" s="39"/>
    </row>
    <row r="4" spans="1:9" x14ac:dyDescent="0.25">
      <c r="A4" s="39"/>
      <c r="B4" s="39"/>
      <c r="C4" s="39"/>
      <c r="D4" s="39"/>
      <c r="E4" s="39"/>
      <c r="F4" s="39"/>
      <c r="G4" s="39"/>
      <c r="H4" s="39"/>
    </row>
    <row r="5" spans="1:9" x14ac:dyDescent="0.25">
      <c r="A5" s="4"/>
      <c r="B5" s="4"/>
      <c r="C5" s="4"/>
      <c r="D5" s="4"/>
      <c r="E5" s="4"/>
      <c r="F5" s="4"/>
      <c r="G5" s="4"/>
      <c r="H5" s="4"/>
    </row>
    <row r="6" spans="1:9" x14ac:dyDescent="0.25">
      <c r="A6" s="5" t="s">
        <v>30</v>
      </c>
      <c r="B6" s="6"/>
      <c r="C6" s="6"/>
      <c r="D6" s="6"/>
      <c r="E6" s="6"/>
      <c r="F6" s="7"/>
      <c r="G6" s="8" t="s">
        <v>31</v>
      </c>
      <c r="H6" s="9">
        <f>ECommercialInvoice!G2</f>
        <v>0</v>
      </c>
    </row>
    <row r="7" spans="1:9" x14ac:dyDescent="0.25">
      <c r="A7" s="2">
        <f>ECommercialInvoice!B2</f>
        <v>0</v>
      </c>
      <c r="B7" s="6"/>
      <c r="C7" s="6"/>
      <c r="D7" s="6"/>
      <c r="E7" s="6"/>
      <c r="F7" s="10"/>
      <c r="G7" s="8" t="s">
        <v>32</v>
      </c>
      <c r="H7" s="11">
        <f>ECommercialInvoice!H2</f>
        <v>0</v>
      </c>
    </row>
    <row r="8" spans="1:9" x14ac:dyDescent="0.25">
      <c r="A8" s="2" t="str">
        <f>ECommercialInvoice!C2 &amp;" " &amp;ECommercialInvoice!D2</f>
        <v xml:space="preserve"> </v>
      </c>
      <c r="B8" s="6"/>
      <c r="C8" s="6"/>
      <c r="D8" s="6"/>
      <c r="E8" s="6"/>
      <c r="F8" s="10"/>
      <c r="G8" s="8" t="s">
        <v>33</v>
      </c>
      <c r="H8" s="9">
        <f>ECommercialInvoice!I2</f>
        <v>0</v>
      </c>
    </row>
    <row r="9" spans="1:9" x14ac:dyDescent="0.25">
      <c r="A9" s="2" t="str">
        <f>ECommercialInvoice!E2 &amp;" " &amp;ECommercialInvoice!F2</f>
        <v xml:space="preserve"> </v>
      </c>
      <c r="B9" s="6"/>
      <c r="C9" s="6"/>
      <c r="D9" s="6"/>
      <c r="E9" s="6"/>
      <c r="F9" s="12"/>
      <c r="G9" s="8" t="s">
        <v>34</v>
      </c>
      <c r="H9" s="9">
        <f>ECommercialInvoice!J2</f>
        <v>0</v>
      </c>
    </row>
    <row r="10" spans="1:9" x14ac:dyDescent="0.25">
      <c r="A10" s="2" t="s">
        <v>70</v>
      </c>
      <c r="B10" s="6">
        <f>ECommercialInvoice!R2</f>
        <v>0</v>
      </c>
      <c r="C10" s="6"/>
      <c r="D10" s="6"/>
      <c r="E10" s="6"/>
      <c r="G10" s="8" t="s">
        <v>35</v>
      </c>
      <c r="H10" s="9">
        <f>ECommercialInvoice!K2</f>
        <v>0</v>
      </c>
    </row>
    <row r="11" spans="1:9" x14ac:dyDescent="0.25">
      <c r="A11" s="2"/>
      <c r="B11" s="6"/>
      <c r="C11" s="6"/>
      <c r="D11" s="6"/>
      <c r="E11" s="6"/>
      <c r="F11" s="6"/>
      <c r="G11" s="6"/>
      <c r="H11" s="6"/>
    </row>
    <row r="12" spans="1:9" x14ac:dyDescent="0.25">
      <c r="A12" s="2"/>
      <c r="B12" s="6"/>
      <c r="C12" s="6"/>
      <c r="D12" s="6"/>
      <c r="E12" s="6"/>
      <c r="F12" s="6"/>
      <c r="G12" s="6"/>
      <c r="H12" s="6"/>
    </row>
    <row r="13" spans="1:9" x14ac:dyDescent="0.25">
      <c r="A13" s="43" t="s">
        <v>71</v>
      </c>
      <c r="B13" s="43"/>
      <c r="C13" s="43"/>
      <c r="D13" s="43"/>
      <c r="E13" s="43"/>
      <c r="F13" s="43"/>
      <c r="G13" s="43"/>
      <c r="H13" s="43"/>
    </row>
    <row r="14" spans="1:9" x14ac:dyDescent="0.25">
      <c r="A14" s="43"/>
      <c r="B14" s="43"/>
      <c r="C14" s="43"/>
      <c r="D14" s="43"/>
      <c r="E14" s="43"/>
      <c r="F14" s="43"/>
      <c r="G14" s="43"/>
      <c r="H14" s="43"/>
    </row>
    <row r="15" spans="1:9" ht="6" customHeight="1" thickBot="1" x14ac:dyDescent="0.3">
      <c r="A15" s="13"/>
      <c r="B15" s="13"/>
      <c r="C15" s="13"/>
      <c r="D15" s="13"/>
      <c r="E15" s="13"/>
      <c r="F15" s="13"/>
      <c r="G15" s="13"/>
      <c r="H15" s="13"/>
    </row>
    <row r="16" spans="1:9" ht="36" customHeight="1" x14ac:dyDescent="0.25">
      <c r="A16" s="44" t="s">
        <v>36</v>
      </c>
      <c r="B16" s="44"/>
      <c r="C16" s="44" t="s">
        <v>37</v>
      </c>
      <c r="D16" s="44"/>
      <c r="E16" s="44"/>
      <c r="F16" s="37" t="s">
        <v>38</v>
      </c>
      <c r="G16" s="37" t="str">
        <f>"UNIT PRICE(" &amp; ECommercialInvoice!Q2 &amp; ")"</f>
        <v>UNIT PRICE()</v>
      </c>
      <c r="H16" s="37" t="str">
        <f>"TOTAL(" &amp; ECommercialInvoice!Q2 &amp; ")"</f>
        <v>TOTAL()</v>
      </c>
      <c r="I16" s="38"/>
    </row>
    <row r="17" spans="1:8" ht="15" customHeight="1" x14ac:dyDescent="0.25">
      <c r="A17" s="34"/>
      <c r="B17" s="35"/>
      <c r="C17" s="35"/>
      <c r="D17" s="35"/>
      <c r="E17" s="35"/>
      <c r="F17" s="35"/>
      <c r="G17" s="35"/>
      <c r="H17" s="36"/>
    </row>
    <row r="18" spans="1:8" x14ac:dyDescent="0.25">
      <c r="A18" s="14"/>
      <c r="B18" s="15"/>
      <c r="C18" s="15"/>
      <c r="D18" s="15"/>
      <c r="E18" s="15"/>
      <c r="F18" s="16"/>
      <c r="G18" s="17"/>
      <c r="H18" s="18"/>
    </row>
    <row r="19" spans="1:8" ht="16.149999999999999" customHeight="1" x14ac:dyDescent="0.25">
      <c r="A19" s="19"/>
      <c r="B19" s="20"/>
      <c r="C19" s="47" t="s">
        <v>39</v>
      </c>
      <c r="D19" s="48"/>
      <c r="E19" s="48"/>
      <c r="F19" s="48"/>
      <c r="G19" s="49" t="e">
        <f>+#REF!+#REF!+#REF!+#REF!</f>
        <v>#REF!</v>
      </c>
      <c r="H19" s="49"/>
    </row>
    <row r="20" spans="1:8" ht="16.149999999999999" customHeight="1" x14ac:dyDescent="0.25">
      <c r="A20" s="19"/>
      <c r="B20" s="20"/>
      <c r="C20" s="47" t="s">
        <v>40</v>
      </c>
      <c r="D20" s="48"/>
      <c r="E20" s="48"/>
      <c r="F20" s="48"/>
      <c r="G20" s="50">
        <f>ECommercialInvoice!P2</f>
        <v>0</v>
      </c>
      <c r="H20" s="50"/>
    </row>
    <row r="21" spans="1:8" ht="16.149999999999999" customHeight="1" x14ac:dyDescent="0.25">
      <c r="A21" s="19"/>
      <c r="B21" s="20"/>
      <c r="C21" s="47" t="s">
        <v>41</v>
      </c>
      <c r="D21" s="48"/>
      <c r="E21" s="48"/>
      <c r="F21" s="48"/>
      <c r="G21" s="49" t="e">
        <f>G19*(1+G20/100)</f>
        <v>#REF!</v>
      </c>
      <c r="H21" s="49"/>
    </row>
    <row r="22" spans="1:8" ht="16.149999999999999" customHeight="1" x14ac:dyDescent="0.25">
      <c r="A22" s="19"/>
      <c r="B22" s="20"/>
      <c r="C22" s="15"/>
      <c r="D22" s="15"/>
      <c r="E22" s="15"/>
      <c r="F22" s="15"/>
      <c r="G22" s="40"/>
      <c r="H22" s="41"/>
    </row>
    <row r="24" spans="1:8" x14ac:dyDescent="0.25">
      <c r="A24" s="21" t="s">
        <v>42</v>
      </c>
      <c r="C24" s="6">
        <f>ECommercialInvoice!M2</f>
        <v>0</v>
      </c>
    </row>
    <row r="25" spans="1:8" x14ac:dyDescent="0.25">
      <c r="A25" s="21" t="s">
        <v>43</v>
      </c>
      <c r="C25" s="22">
        <f>ECommercialInvoice!N2</f>
        <v>0</v>
      </c>
    </row>
    <row r="26" spans="1:8" x14ac:dyDescent="0.25">
      <c r="A26" s="21" t="s">
        <v>44</v>
      </c>
      <c r="C26" s="23">
        <f>ECommercialInvoice!O2</f>
        <v>0</v>
      </c>
    </row>
    <row r="28" spans="1:8" x14ac:dyDescent="0.25">
      <c r="A28" s="51" t="s">
        <v>45</v>
      </c>
      <c r="B28" s="52"/>
      <c r="C28" s="52"/>
      <c r="D28" s="53"/>
    </row>
    <row r="29" spans="1:8" x14ac:dyDescent="0.25">
      <c r="A29" s="33" t="s">
        <v>66</v>
      </c>
      <c r="B29" s="25">
        <f>ECommercialInvoice!L2</f>
        <v>0</v>
      </c>
      <c r="C29" s="25"/>
      <c r="D29" s="26"/>
    </row>
    <row r="30" spans="1:8" x14ac:dyDescent="0.25">
      <c r="A30" s="24" t="s">
        <v>46</v>
      </c>
      <c r="B30" s="25"/>
      <c r="C30" s="25"/>
      <c r="D30" s="26"/>
      <c r="G30" s="54" t="s">
        <v>47</v>
      </c>
      <c r="H30" s="55"/>
    </row>
    <row r="31" spans="1:8" x14ac:dyDescent="0.25">
      <c r="A31" s="27" t="s">
        <v>48</v>
      </c>
      <c r="B31" s="28"/>
      <c r="C31" s="28"/>
      <c r="D31" s="29"/>
    </row>
    <row r="33" spans="1:8" x14ac:dyDescent="0.25">
      <c r="A33" s="30" t="s">
        <v>49</v>
      </c>
    </row>
    <row r="34" spans="1:8" x14ac:dyDescent="0.25">
      <c r="A34" s="31" t="s">
        <v>50</v>
      </c>
      <c r="C34" s="1" t="s">
        <v>51</v>
      </c>
    </row>
    <row r="35" spans="1:8" x14ac:dyDescent="0.25">
      <c r="A35" s="30" t="s">
        <v>52</v>
      </c>
      <c r="C35" s="1" t="s">
        <v>53</v>
      </c>
      <c r="G35" s="45" t="s">
        <v>54</v>
      </c>
      <c r="H35" s="46"/>
    </row>
    <row r="36" spans="1:8" x14ac:dyDescent="0.25">
      <c r="A36" s="30" t="s">
        <v>55</v>
      </c>
      <c r="C36" s="1" t="s">
        <v>56</v>
      </c>
    </row>
    <row r="37" spans="1:8" x14ac:dyDescent="0.25">
      <c r="A37" s="30" t="s">
        <v>57</v>
      </c>
      <c r="C37" s="32" t="s">
        <v>58</v>
      </c>
    </row>
    <row r="38" spans="1:8" x14ac:dyDescent="0.25">
      <c r="A38" s="30" t="s">
        <v>59</v>
      </c>
      <c r="C38" s="1" t="s">
        <v>60</v>
      </c>
    </row>
  </sheetData>
  <mergeCells count="13">
    <mergeCell ref="E2:I2"/>
    <mergeCell ref="A13:H14"/>
    <mergeCell ref="A16:B16"/>
    <mergeCell ref="C16:E16"/>
    <mergeCell ref="G35:H35"/>
    <mergeCell ref="C19:F19"/>
    <mergeCell ref="G19:H19"/>
    <mergeCell ref="C20:F20"/>
    <mergeCell ref="G20:H20"/>
    <mergeCell ref="C21:F21"/>
    <mergeCell ref="G21:H21"/>
    <mergeCell ref="A28:D28"/>
    <mergeCell ref="G30:H30"/>
  </mergeCells>
  <pageMargins left="0.15748031496062992" right="0.15748031496062992" top="0.15748031496062992" bottom="0.15748031496062992" header="0" footer="0"/>
  <pageSetup paperSize="9" scale="73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"/>
  <sheetViews>
    <sheetView workbookViewId="0">
      <selection activeCell="C2" sqref="C2"/>
    </sheetView>
  </sheetViews>
  <sheetFormatPr defaultRowHeight="15" x14ac:dyDescent="0.25"/>
  <cols>
    <col min="1" max="1" width="21.140625" bestFit="1" customWidth="1"/>
    <col min="2" max="2" width="28.140625" bestFit="1" customWidth="1"/>
    <col min="3" max="3" width="14.7109375" bestFit="1" customWidth="1"/>
    <col min="4" max="4" width="8.28515625" bestFit="1" customWidth="1"/>
    <col min="5" max="5" width="12.85546875" bestFit="1" customWidth="1"/>
    <col min="6" max="6" width="16.5703125" bestFit="1" customWidth="1"/>
    <col min="7" max="7" width="10" bestFit="1" customWidth="1"/>
    <col min="8" max="8" width="11.5703125" bestFit="1" customWidth="1"/>
    <col min="9" max="9" width="8.85546875" bestFit="1" customWidth="1"/>
    <col min="10" max="10" width="15" bestFit="1" customWidth="1"/>
    <col min="11" max="11" width="18.42578125" bestFit="1" customWidth="1"/>
    <col min="12" max="12" width="16.7109375" bestFit="1" customWidth="1"/>
    <col min="13" max="13" width="16.28515625" bestFit="1" customWidth="1"/>
    <col min="14" max="14" width="10.5703125" bestFit="1" customWidth="1"/>
  </cols>
  <sheetData>
    <row r="1" spans="1:18" x14ac:dyDescent="0.25">
      <c r="A1" s="3" t="s">
        <v>0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  <c r="H1" s="3" t="s">
        <v>19</v>
      </c>
      <c r="I1" s="3" t="s">
        <v>20</v>
      </c>
      <c r="J1" s="3" t="s">
        <v>21</v>
      </c>
      <c r="K1" s="3" t="s">
        <v>22</v>
      </c>
      <c r="L1" s="3" t="s">
        <v>23</v>
      </c>
      <c r="M1" s="3" t="s">
        <v>24</v>
      </c>
      <c r="N1" s="3" t="s">
        <v>25</v>
      </c>
      <c r="O1" s="3" t="s">
        <v>26</v>
      </c>
      <c r="P1" s="3" t="s">
        <v>27</v>
      </c>
      <c r="Q1" s="3" t="s">
        <v>28</v>
      </c>
      <c r="R1" s="3" t="s">
        <v>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"/>
  <sheetViews>
    <sheetView workbookViewId="0">
      <selection activeCell="C10" sqref="C10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24.140625" bestFit="1" customWidth="1"/>
    <col min="4" max="4" width="11.28515625" bestFit="1" customWidth="1"/>
    <col min="5" max="5" width="9.7109375" bestFit="1" customWidth="1"/>
    <col min="6" max="6" width="10.140625" bestFit="1" customWidth="1"/>
    <col min="7" max="7" width="6.85546875" bestFit="1" customWidth="1"/>
    <col min="8" max="8" width="17.28515625" customWidth="1"/>
  </cols>
  <sheetData>
    <row r="1" spans="1:8" x14ac:dyDescent="0.25">
      <c r="A1" s="3" t="s">
        <v>0</v>
      </c>
      <c r="B1" s="3" t="s">
        <v>1</v>
      </c>
      <c r="C1" s="3" t="s">
        <v>7</v>
      </c>
      <c r="D1" s="3" t="s">
        <v>8</v>
      </c>
      <c r="E1" s="3" t="s">
        <v>9</v>
      </c>
      <c r="F1" s="3" t="s">
        <v>10</v>
      </c>
      <c r="G1" s="3" t="s">
        <v>11</v>
      </c>
      <c r="H1" s="3" t="s">
        <v>12</v>
      </c>
    </row>
    <row r="3" spans="1:8" x14ac:dyDescent="0.25">
      <c r="A3" s="3"/>
      <c r="B3" s="3"/>
      <c r="C3" s="3"/>
      <c r="D3" s="3"/>
      <c r="E3" s="3"/>
      <c r="F3" s="3"/>
      <c r="G3" s="3"/>
      <c r="H3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"/>
  <sheetViews>
    <sheetView workbookViewId="0">
      <selection activeCell="A2" sqref="A2:G5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12.28515625" bestFit="1" customWidth="1"/>
    <col min="4" max="4" width="9.85546875" bestFit="1" customWidth="1"/>
    <col min="5" max="5" width="12.28515625" bestFit="1" customWidth="1"/>
    <col min="6" max="6" width="11.42578125" bestFit="1" customWidth="1"/>
    <col min="7" max="7" width="13.5703125" bestFit="1" customWidth="1"/>
  </cols>
  <sheetData>
    <row r="1" spans="1:10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/>
      <c r="I1" s="3"/>
      <c r="J1" s="3"/>
    </row>
    <row r="3" spans="1:10" x14ac:dyDescent="0.25">
      <c r="A3" s="3"/>
      <c r="B3" s="3"/>
      <c r="C3" s="3"/>
      <c r="D3" s="3"/>
      <c r="E3" s="3"/>
      <c r="F3" s="3"/>
      <c r="G3" s="3"/>
    </row>
    <row r="4" spans="1:10" x14ac:dyDescent="0.25">
      <c r="A4" s="3"/>
      <c r="B4" s="3"/>
      <c r="C4" s="3"/>
      <c r="D4" s="3"/>
      <c r="E4" s="3"/>
      <c r="F4" s="3"/>
      <c r="G4" s="3"/>
    </row>
    <row r="5" spans="1:10" x14ac:dyDescent="0.25">
      <c r="A5" s="3"/>
      <c r="B5" s="3"/>
      <c r="C5" s="3"/>
      <c r="D5" s="3"/>
      <c r="E5" s="3"/>
      <c r="F5" s="3"/>
      <c r="G5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9"/>
  <sheetViews>
    <sheetView workbookViewId="0">
      <selection activeCell="E11" sqref="E11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12.28515625" bestFit="1" customWidth="1"/>
    <col min="4" max="4" width="9.85546875" bestFit="1" customWidth="1"/>
    <col min="5" max="5" width="11.42578125" style="3" bestFit="1" customWidth="1"/>
    <col min="6" max="6" width="11.140625" style="3" bestFit="1" customWidth="1"/>
    <col min="9" max="9" width="12.5703125" bestFit="1" customWidth="1"/>
  </cols>
  <sheetData>
    <row r="1" spans="1:10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64</v>
      </c>
      <c r="F1" s="3" t="s">
        <v>65</v>
      </c>
      <c r="G1" s="3" t="s">
        <v>61</v>
      </c>
      <c r="H1" s="3" t="s">
        <v>62</v>
      </c>
      <c r="I1" s="3" t="s">
        <v>63</v>
      </c>
      <c r="J1" s="3"/>
    </row>
    <row r="6" spans="1:10" x14ac:dyDescent="0.25">
      <c r="A6" s="3"/>
      <c r="B6" s="3"/>
      <c r="C6" s="3"/>
      <c r="D6" s="3"/>
      <c r="G6" s="3"/>
      <c r="H6" s="3"/>
      <c r="I6" s="3"/>
    </row>
    <row r="7" spans="1:10" x14ac:dyDescent="0.25">
      <c r="A7" s="3"/>
      <c r="B7" s="3"/>
      <c r="C7" s="3"/>
      <c r="D7" s="3"/>
      <c r="G7" s="3"/>
      <c r="H7" s="3"/>
      <c r="I7" s="3"/>
    </row>
    <row r="8" spans="1:10" x14ac:dyDescent="0.25">
      <c r="A8" s="3"/>
      <c r="B8" s="3"/>
      <c r="C8" s="3"/>
      <c r="D8" s="3"/>
      <c r="G8" s="3"/>
      <c r="H8" s="3"/>
      <c r="I8" s="3"/>
    </row>
    <row r="9" spans="1:10" x14ac:dyDescent="0.25">
      <c r="A9" s="3"/>
      <c r="B9" s="3"/>
      <c r="C9" s="3"/>
      <c r="D9" s="3"/>
      <c r="G9" s="3"/>
      <c r="H9" s="3"/>
      <c r="I9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"/>
  <sheetViews>
    <sheetView workbookViewId="0">
      <selection activeCell="B5" sqref="B5"/>
    </sheetView>
  </sheetViews>
  <sheetFormatPr defaultRowHeight="15" x14ac:dyDescent="0.25"/>
  <cols>
    <col min="1" max="1" width="26.7109375" bestFit="1" customWidth="1"/>
    <col min="2" max="2" width="11.140625" bestFit="1" customWidth="1"/>
    <col min="3" max="3" width="9.85546875" bestFit="1" customWidth="1"/>
    <col min="4" max="4" width="21.140625" bestFit="1" customWidth="1"/>
  </cols>
  <sheetData>
    <row r="1" spans="1:4" x14ac:dyDescent="0.25">
      <c r="A1" t="s">
        <v>68</v>
      </c>
      <c r="B1" t="s">
        <v>65</v>
      </c>
      <c r="C1" t="s">
        <v>67</v>
      </c>
      <c r="D1" t="s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"/>
  <sheetViews>
    <sheetView workbookViewId="0">
      <selection sqref="A1:C1"/>
    </sheetView>
  </sheetViews>
  <sheetFormatPr defaultRowHeight="15" x14ac:dyDescent="0.25"/>
  <cols>
    <col min="1" max="1" width="21.140625" bestFit="1" customWidth="1"/>
    <col min="2" max="2" width="11.140625" bestFit="1" customWidth="1"/>
    <col min="3" max="3" width="9.85546875" bestFit="1" customWidth="1"/>
  </cols>
  <sheetData>
    <row r="1" spans="1:3" x14ac:dyDescent="0.25">
      <c r="A1" s="3" t="s">
        <v>0</v>
      </c>
      <c r="B1" s="3" t="s">
        <v>65</v>
      </c>
      <c r="C1" s="3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K18" sqref="K1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COMMERCIAL INVOICE</vt:lpstr>
      <vt:lpstr>ECommercialInvoice</vt:lpstr>
      <vt:lpstr>Booking</vt:lpstr>
      <vt:lpstr>Container</vt:lpstr>
      <vt:lpstr>Goods</vt:lpstr>
      <vt:lpstr>GoodsDescription</vt:lpstr>
      <vt:lpstr>BottomDescription</vt:lpstr>
      <vt:lpstr>ContainerTransport</vt:lpstr>
      <vt:lpstr>ExtDetail</vt:lpstr>
      <vt:lpstr>'COMMERCIAL INVOICE'!Print_Area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 quang ho</dc:creator>
  <cp:lastModifiedBy>AuvietSoft</cp:lastModifiedBy>
  <cp:lastPrinted>2019-02-25T08:36:38Z</cp:lastPrinted>
  <dcterms:created xsi:type="dcterms:W3CDTF">2018-02-26T03:08:15Z</dcterms:created>
  <dcterms:modified xsi:type="dcterms:W3CDTF">2019-07-05T08:11:26Z</dcterms:modified>
</cp:coreProperties>
</file>