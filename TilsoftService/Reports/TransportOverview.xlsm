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 tabRatio="797"/>
  </bookViews>
  <sheets>
    <sheet name="Overview" sheetId="7" r:id="rId1"/>
    <sheet name="Container" sheetId="11" r:id="rId2"/>
    <sheet name="TransportInvoice" sheetId="1" r:id="rId3"/>
    <sheet name="ClientTransportInvoice" sheetId="2" r:id="rId4"/>
    <sheet name="TransportCostItem" sheetId="3" r:id="rId5"/>
    <sheet name="ClientCostType" sheetId="4" r:id="rId6"/>
    <sheet name="ContainerSubInfo" sheetId="8" r:id="rId7"/>
    <sheet name="TransportInvoiceSubInfo" sheetId="9" r:id="rId8"/>
    <sheet name="ClientTransportInvoiceSubInfo" sheetId="10" r:id="rId9"/>
  </sheets>
  <definedNames>
    <definedName name="_xlnm._FilterDatabase" localSheetId="0" hidden="1">Overview!$A$3:$AT$4</definedName>
    <definedName name="_xlnm._FilterDatabase" localSheetId="2" hidden="1">TransportInvoice!$A$1:$E$2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" l="1"/>
  <c r="K4" i="7" l="1"/>
  <c r="J4" i="7"/>
  <c r="I4" i="7"/>
  <c r="H4" i="7"/>
  <c r="G4" i="7"/>
  <c r="F4" i="7"/>
  <c r="E4" i="7"/>
  <c r="D4" i="7"/>
  <c r="C4" i="7"/>
  <c r="B4" i="7"/>
  <c r="AL4" i="7" l="1"/>
  <c r="AB4" i="7"/>
  <c r="X4" i="7"/>
  <c r="T4" i="7"/>
  <c r="AA4" i="7"/>
  <c r="W4" i="7"/>
  <c r="AK4" i="7"/>
  <c r="AJ4" i="7"/>
  <c r="Z4" i="7"/>
  <c r="V4" i="7"/>
  <c r="AC4" i="7"/>
  <c r="Y4" i="7"/>
  <c r="U4" i="7"/>
  <c r="S4" i="7"/>
  <c r="AF4" i="7"/>
  <c r="AQ4" i="7" l="1"/>
  <c r="AS4" i="7"/>
  <c r="AD4" i="7"/>
  <c r="AE4" i="7"/>
  <c r="AR4" i="7"/>
  <c r="AG4" i="7"/>
  <c r="AT4" i="7" l="1"/>
</calcChain>
</file>

<file path=xl/sharedStrings.xml><?xml version="1.0" encoding="utf-8"?>
<sst xmlns="http://schemas.openxmlformats.org/spreadsheetml/2006/main" count="91" uniqueCount="69">
  <si>
    <t>KeyID</t>
  </si>
  <si>
    <t>LoadingPlanID</t>
  </si>
  <si>
    <t>ClientCostTypeID</t>
  </si>
  <si>
    <t>ClientCostTypeNM</t>
  </si>
  <si>
    <t>TotalAmount</t>
  </si>
  <si>
    <t>SHIPMENT</t>
  </si>
  <si>
    <t>CHARGED BY FORWARDER</t>
  </si>
  <si>
    <t>CHARGED TO CLIENT</t>
  </si>
  <si>
    <t>RESULT ON TRANSPORT</t>
  </si>
  <si>
    <t>BL</t>
  </si>
  <si>
    <t>CONTAINER</t>
  </si>
  <si>
    <t>CLIENT ID</t>
  </si>
  <si>
    <t>CLIENT NAME</t>
  </si>
  <si>
    <t>FORWARDER</t>
  </si>
  <si>
    <t>TYPE</t>
  </si>
  <si>
    <t>ETD</t>
  </si>
  <si>
    <t>ETA</t>
  </si>
  <si>
    <t>POL</t>
  </si>
  <si>
    <t>POD</t>
  </si>
  <si>
    <t>PI NO</t>
  </si>
  <si>
    <t>COMMERCIAL INVOICE NO</t>
  </si>
  <si>
    <t>COMMERCIAL INVOICE DATE</t>
  </si>
  <si>
    <t>DELIVERY TERM</t>
  </si>
  <si>
    <t>EUROFAR NO</t>
  </si>
  <si>
    <t>FORWARDER INOVICE DATE</t>
  </si>
  <si>
    <t>FORWARDER INVOICE NO</t>
  </si>
  <si>
    <t>SEAFREIGHT</t>
  </si>
  <si>
    <t>LSF</t>
  </si>
  <si>
    <t>PEAK SEASON SURCHARGE</t>
  </si>
  <si>
    <t>CHARGES / BL</t>
  </si>
  <si>
    <t>CHARGES / CONTAINER</t>
  </si>
  <si>
    <t>TRANSPORT</t>
  </si>
  <si>
    <t>DEMURRAGE</t>
  </si>
  <si>
    <t>DETENTION</t>
  </si>
  <si>
    <t>WAITING HOURS</t>
  </si>
  <si>
    <t>GAS MEASSUREMENT</t>
  </si>
  <si>
    <t>OTHER COST</t>
  </si>
  <si>
    <t>TOTAL SEAFREIGHT</t>
  </si>
  <si>
    <t>TOTAL HANDLING</t>
  </si>
  <si>
    <t>TOTAL TRUCKING</t>
  </si>
  <si>
    <t>TOTAL OTHER</t>
  </si>
  <si>
    <t>DISPUTE</t>
  </si>
  <si>
    <t>CONFIRMED</t>
  </si>
  <si>
    <t>LOCAL HARBOUR</t>
  </si>
  <si>
    <t>BARGE  / TRUCKING</t>
  </si>
  <si>
    <t>OTHER</t>
  </si>
  <si>
    <t>EUROFAR INVOICE NO</t>
  </si>
  <si>
    <t>EUROFAR INVOICE DATE</t>
  </si>
  <si>
    <t>DATE SEND TO CLIENT</t>
  </si>
  <si>
    <t>HANDLING/TRUCKING</t>
  </si>
  <si>
    <t>TOTAL</t>
  </si>
  <si>
    <t>TransportCostItemID</t>
  </si>
  <si>
    <t>TransportCostItemNM</t>
  </si>
  <si>
    <t>BLNo</t>
  </si>
  <si>
    <t>ContainerNo</t>
  </si>
  <si>
    <t>ClientUD</t>
  </si>
  <si>
    <t>ClientNM</t>
  </si>
  <si>
    <t>ForwarderNM</t>
  </si>
  <si>
    <t>ContainerTypeNM</t>
  </si>
  <si>
    <t>POLName</t>
  </si>
  <si>
    <t>PODName</t>
  </si>
  <si>
    <t>PINos</t>
  </si>
  <si>
    <t>CommercialInvoiceNos</t>
  </si>
  <si>
    <t>CommercialInvoiceNoDate</t>
  </si>
  <si>
    <t>DeliveryTerm</t>
  </si>
  <si>
    <t>InvoiceNo</t>
  </si>
  <si>
    <t>InvoiceDate</t>
  </si>
  <si>
    <t>ProformaInvoiceNo</t>
  </si>
  <si>
    <t>RefNo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</si>
</sst>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$-409]* #,##0.00_ ;_-[$$-409]* \-#,##0.00\ ;_-[$$-409]* &quot;-&quot;??_ ;_-@_ "/>
    <numFmt numFmtId="165" formatCode="_ &quot;€&quot;\ * #,##0.00_ ;_ &quot;€&quot;\ * \-#,##0.00_ ;_ &quot;€&quot;\ * &quot;-&quot;??_ ;_ 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 applyNumberFormat="1" applyFont="1" applyFill="1" applyBorder="1"/>
    <xf numFmtId="0" fontId="0" fillId="3" borderId="1" xfId="0" applyNumberFormat="1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165" fontId="0" fillId="4" borderId="1" xfId="0" applyNumberFormat="1" applyFont="1" applyFill="1" applyBorder="1" applyAlignment="1">
      <alignment horizontal="center" vertical="center" wrapText="1"/>
    </xf>
    <xf numFmtId="164" fontId="0" fillId="6" borderId="1" xfId="0" applyNumberFormat="1" applyFont="1" applyFill="1" applyBorder="1" applyAlignment="1">
      <alignment horizontal="center" vertical="center" wrapText="1"/>
    </xf>
    <xf numFmtId="165" fontId="0" fillId="5" borderId="1" xfId="0" applyNumberFormat="1" applyFont="1" applyFill="1" applyBorder="1" applyAlignment="1">
      <alignment horizontal="center" vertical="center" wrapText="1"/>
    </xf>
    <xf numFmtId="0" fontId="0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Fill="1" applyBorder="1"/>
    <xf numFmtId="0" fontId="1" fillId="2" borderId="1" xfId="0" applyNumberFormat="1" applyFont="1" applyFill="1" applyBorder="1" applyAlignment="1">
      <alignment horizontal="left" vertical="top" wrapText="1"/>
    </xf>
    <xf numFmtId="0" fontId="0" fillId="0" borderId="1" xfId="0" applyNumberFormat="1" applyFont="1" applyFill="1" applyBorder="1" applyAlignment="1">
      <alignment horizontal="left" vertical="top" wrapText="1"/>
    </xf>
    <xf numFmtId="49" fontId="0" fillId="0" borderId="1" xfId="0" applyNumberFormat="1" applyFont="1" applyFill="1" applyBorder="1" applyAlignment="1">
      <alignment horizontal="left" vertical="top" wrapText="1"/>
    </xf>
    <xf numFmtId="0" fontId="0" fillId="0" borderId="0" xfId="0" applyNumberFormat="1" applyFont="1" applyFill="1" applyBorder="1" applyAlignment="1">
      <alignment horizontal="left" vertical="top" wrapText="1"/>
    </xf>
    <xf numFmtId="0" fontId="1" fillId="3" borderId="1" xfId="0" applyNumberFormat="1" applyFont="1" applyFill="1" applyBorder="1" applyAlignment="1">
      <alignment horizontal="center" vertical="top" wrapText="1"/>
    </xf>
    <xf numFmtId="0" fontId="0" fillId="0" borderId="1" xfId="0" applyNumberFormat="1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 wrapText="1"/>
    </xf>
    <xf numFmtId="14" fontId="0" fillId="0" borderId="1" xfId="0" applyNumberFormat="1" applyFont="1" applyFill="1" applyBorder="1" applyAlignment="1">
      <alignment vertical="top" wrapText="1"/>
    </xf>
    <xf numFmtId="1" fontId="1" fillId="4" borderId="1" xfId="0" applyNumberFormat="1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left" vertical="top"/>
    </xf>
    <xf numFmtId="0" fontId="0" fillId="0" borderId="1" xfId="0" applyNumberFormat="1" applyFont="1" applyFill="1" applyBorder="1" applyAlignment="1">
      <alignment horizontal="left" vertical="top"/>
    </xf>
    <xf numFmtId="0" fontId="0" fillId="0" borderId="0" xfId="0" applyNumberFormat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right" vertical="top"/>
    </xf>
    <xf numFmtId="165" fontId="0" fillId="0" borderId="1" xfId="0" applyNumberFormat="1" applyFont="1" applyFill="1" applyBorder="1" applyAlignment="1">
      <alignment horizontal="right" vertical="top"/>
    </xf>
    <xf numFmtId="0" fontId="0" fillId="0" borderId="1" xfId="0" applyNumberFormat="1" applyFont="1" applyFill="1" applyBorder="1" applyAlignment="1">
      <alignment horizontal="right" vertical="top"/>
    </xf>
    <xf numFmtId="164" fontId="0" fillId="0" borderId="0" xfId="0" applyNumberFormat="1" applyFont="1" applyFill="1" applyBorder="1" applyAlignment="1">
      <alignment horizontal="right" vertical="top"/>
    </xf>
    <xf numFmtId="165" fontId="0" fillId="0" borderId="0" xfId="0" applyNumberFormat="1" applyFont="1" applyFill="1" applyBorder="1" applyAlignment="1">
      <alignment horizontal="right" vertical="top"/>
    </xf>
    <xf numFmtId="0" fontId="0" fillId="0" borderId="0" xfId="0" applyNumberFormat="1" applyFont="1" applyFill="1" applyBorder="1" applyAlignment="1">
      <alignment horizontal="right" vertical="top"/>
    </xf>
    <xf numFmtId="164" fontId="1" fillId="3" borderId="1" xfId="0" applyNumberFormat="1" applyFont="1" applyFill="1" applyBorder="1" applyAlignment="1">
      <alignment horizontal="right" vertical="center"/>
    </xf>
    <xf numFmtId="165" fontId="1" fillId="3" borderId="1" xfId="0" applyNumberFormat="1" applyFont="1" applyFill="1" applyBorder="1" applyAlignment="1">
      <alignment horizontal="right" vertical="center"/>
    </xf>
    <xf numFmtId="0" fontId="1" fillId="3" borderId="1" xfId="0" applyNumberFormat="1" applyFont="1" applyFill="1" applyBorder="1" applyAlignment="1">
      <alignment horizontal="right" vertical="center"/>
    </xf>
    <xf numFmtId="0" fontId="1" fillId="3" borderId="4" xfId="0" applyNumberFormat="1" applyFont="1" applyFill="1" applyBorder="1" applyAlignment="1">
      <alignment horizontal="right" vertical="center"/>
    </xf>
    <xf numFmtId="164" fontId="2" fillId="3" borderId="1" xfId="0" applyNumberFormat="1" applyFont="1" applyFill="1" applyBorder="1" applyAlignment="1">
      <alignment horizontal="right" vertical="center" wrapText="1"/>
    </xf>
    <xf numFmtId="1" fontId="1" fillId="3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right" vertical="top"/>
    </xf>
    <xf numFmtId="0" fontId="0" fillId="4" borderId="1" xfId="0" applyNumberFormat="1" applyFont="1" applyFill="1" applyBorder="1" applyAlignment="1">
      <alignment horizontal="center" vertical="center" wrapText="1"/>
    </xf>
    <xf numFmtId="0" fontId="0" fillId="4" borderId="1" xfId="0" applyNumberFormat="1" applyFont="1" applyFill="1" applyBorder="1" applyAlignment="1">
      <alignment horizontal="left" vertical="top" wrapText="1"/>
    </xf>
    <xf numFmtId="164" fontId="0" fillId="6" borderId="1" xfId="0" applyNumberFormat="1" applyFont="1" applyFill="1" applyBorder="1" applyAlignment="1">
      <alignment horizontal="right" vertical="top"/>
    </xf>
    <xf numFmtId="165" fontId="0" fillId="6" borderId="1" xfId="0" applyNumberFormat="1" applyFont="1" applyFill="1" applyBorder="1" applyAlignment="1">
      <alignment horizontal="right" vertical="top"/>
    </xf>
    <xf numFmtId="0" fontId="0" fillId="2" borderId="1" xfId="0" applyNumberFormat="1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left" vertical="top"/>
    </xf>
    <xf numFmtId="14" fontId="0" fillId="2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left" vertical="top"/>
    </xf>
    <xf numFmtId="14" fontId="0" fillId="0" borderId="0" xfId="0" applyNumberFormat="1" applyFont="1" applyFill="1" applyBorder="1" applyAlignment="1">
      <alignment horizontal="left" vertical="top"/>
    </xf>
    <xf numFmtId="0" fontId="1" fillId="3" borderId="2" xfId="0" applyNumberFormat="1" applyFont="1" applyFill="1" applyBorder="1" applyAlignment="1">
      <alignment horizontal="center"/>
    </xf>
    <xf numFmtId="0" fontId="1" fillId="3" borderId="3" xfId="0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>
      <alignment horizontal="center"/>
    </xf>
    <xf numFmtId="0" fontId="1" fillId="6" borderId="4" xfId="0" applyNumberFormat="1" applyFont="1" applyFill="1" applyBorder="1" applyAlignment="1">
      <alignment horizontal="center" vertical="center" wrapText="1"/>
    </xf>
    <xf numFmtId="0" fontId="1" fillId="6" borderId="5" xfId="0" applyNumberFormat="1" applyFont="1" applyFill="1" applyBorder="1" applyAlignment="1">
      <alignment horizontal="center" vertical="center" wrapText="1"/>
    </xf>
    <xf numFmtId="0" fontId="1" fillId="6" borderId="6" xfId="0" applyNumberFormat="1" applyFont="1" applyFill="1" applyBorder="1" applyAlignment="1">
      <alignment horizontal="center" vertical="center" wrapText="1"/>
    </xf>
    <xf numFmtId="0" fontId="1" fillId="2" borderId="4" xfId="0" applyNumberFormat="1" applyFont="1" applyFill="1" applyBorder="1" applyAlignment="1">
      <alignment horizontal="center" wrapText="1"/>
    </xf>
    <xf numFmtId="0" fontId="1" fillId="2" borderId="5" xfId="0" applyNumberFormat="1" applyFont="1" applyFill="1" applyBorder="1" applyAlignment="1">
      <alignment horizontal="center" wrapText="1"/>
    </xf>
    <xf numFmtId="0" fontId="1" fillId="2" borderId="6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966"/>
      <color rgb="FF00B0F0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4"/>
  <sheetViews>
    <sheetView showZeros="0" tabSelected="1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B5" sqref="B5"/>
    </sheetView>
  </sheetViews>
  <sheetFormatPr defaultRowHeight="15" x14ac:dyDescent="0.25"/>
  <cols>
    <col min="1" max="1" width="13.5703125" style="22" hidden="1" customWidth="1"/>
    <col min="2" max="2" width="19.28515625" style="22" customWidth="1"/>
    <col min="3" max="3" width="13.5703125" style="22" bestFit="1" customWidth="1"/>
    <col min="4" max="4" width="8.85546875" style="22" bestFit="1" customWidth="1"/>
    <col min="5" max="5" width="26.42578125" style="22" bestFit="1" customWidth="1"/>
    <col min="6" max="6" width="16.7109375" style="22" bestFit="1" customWidth="1"/>
    <col min="7" max="7" width="10" style="22" customWidth="1"/>
    <col min="8" max="9" width="10.7109375" style="44" customWidth="1"/>
    <col min="10" max="10" width="11.7109375" style="22" bestFit="1" customWidth="1"/>
    <col min="11" max="11" width="12" style="22" bestFit="1" customWidth="1"/>
    <col min="12" max="12" width="9.7109375" style="14" customWidth="1"/>
    <col min="13" max="13" width="13" style="14" customWidth="1"/>
    <col min="14" max="14" width="12.5703125" style="14" customWidth="1"/>
    <col min="15" max="15" width="24.140625" style="14" customWidth="1"/>
    <col min="16" max="16" width="20.85546875" style="17" customWidth="1"/>
    <col min="17" max="17" width="13.28515625" style="17" customWidth="1"/>
    <col min="18" max="18" width="17.85546875" style="17" customWidth="1"/>
    <col min="19" max="21" width="15.7109375" style="26" customWidth="1"/>
    <col min="22" max="29" width="15.7109375" style="27" customWidth="1"/>
    <col min="30" max="30" width="15.7109375" style="26" customWidth="1"/>
    <col min="31" max="33" width="15.7109375" style="27" customWidth="1"/>
    <col min="34" max="35" width="15.7109375" style="28" customWidth="1"/>
    <col min="36" max="36" width="15.7109375" style="26" customWidth="1"/>
    <col min="37" max="38" width="15.7109375" style="27" customWidth="1"/>
    <col min="39" max="39" width="11.28515625" style="27" customWidth="1"/>
    <col min="40" max="40" width="20" style="14" customWidth="1"/>
    <col min="41" max="41" width="22.7109375" style="14" customWidth="1"/>
    <col min="42" max="42" width="14.7109375" style="14" customWidth="1"/>
    <col min="43" max="43" width="15.7109375" style="26" customWidth="1"/>
    <col min="44" max="46" width="15.7109375" style="27" customWidth="1"/>
  </cols>
  <sheetData>
    <row r="1" spans="1:46" x14ac:dyDescent="0.25">
      <c r="A1" s="20"/>
      <c r="B1" s="51" t="s">
        <v>5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3"/>
      <c r="P1" s="45" t="s">
        <v>6</v>
      </c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 t="s">
        <v>7</v>
      </c>
      <c r="AK1" s="47"/>
      <c r="AL1" s="47"/>
      <c r="AM1" s="47"/>
      <c r="AN1" s="47"/>
      <c r="AO1" s="47"/>
      <c r="AP1" s="47"/>
      <c r="AQ1" s="48" t="s">
        <v>8</v>
      </c>
      <c r="AR1" s="49"/>
      <c r="AS1" s="49"/>
      <c r="AT1" s="50"/>
    </row>
    <row r="2" spans="1:46" ht="29.25" hidden="1" customHeight="1" x14ac:dyDescent="0.25">
      <c r="A2" s="20"/>
      <c r="B2" s="20"/>
      <c r="C2" s="20"/>
      <c r="D2" s="20"/>
      <c r="E2" s="20"/>
      <c r="F2" s="20"/>
      <c r="G2" s="20"/>
      <c r="H2" s="41"/>
      <c r="I2" s="41"/>
      <c r="J2" s="20"/>
      <c r="K2" s="20"/>
      <c r="L2" s="11"/>
      <c r="M2" s="11"/>
      <c r="N2" s="11"/>
      <c r="O2" s="11"/>
      <c r="P2" s="15"/>
      <c r="Q2" s="15"/>
      <c r="R2" s="15"/>
      <c r="S2" s="34">
        <v>1</v>
      </c>
      <c r="T2" s="34">
        <v>4</v>
      </c>
      <c r="U2" s="34"/>
      <c r="V2" s="34">
        <v>10</v>
      </c>
      <c r="W2" s="34">
        <v>9</v>
      </c>
      <c r="X2" s="34">
        <v>8</v>
      </c>
      <c r="Y2" s="34">
        <v>13</v>
      </c>
      <c r="Z2" s="34">
        <v>14</v>
      </c>
      <c r="AA2" s="34">
        <v>15</v>
      </c>
      <c r="AB2" s="34">
        <v>16</v>
      </c>
      <c r="AC2" s="34">
        <v>17</v>
      </c>
      <c r="AD2" s="29"/>
      <c r="AE2" s="30"/>
      <c r="AF2" s="30"/>
      <c r="AG2" s="30"/>
      <c r="AH2" s="31"/>
      <c r="AI2" s="32"/>
      <c r="AJ2" s="19">
        <v>1</v>
      </c>
      <c r="AK2" s="19">
        <v>2</v>
      </c>
      <c r="AL2" s="19">
        <v>3</v>
      </c>
      <c r="AM2" s="35"/>
      <c r="AN2" s="37"/>
      <c r="AO2" s="37"/>
      <c r="AP2" s="37"/>
      <c r="AQ2" s="38"/>
      <c r="AR2" s="39"/>
      <c r="AS2" s="39"/>
      <c r="AT2" s="39"/>
    </row>
    <row r="3" spans="1:46" ht="42.75" customHeight="1" x14ac:dyDescent="0.25">
      <c r="A3" s="9" t="s">
        <v>1</v>
      </c>
      <c r="B3" s="40" t="s">
        <v>9</v>
      </c>
      <c r="C3" s="40" t="s">
        <v>10</v>
      </c>
      <c r="D3" s="40" t="s">
        <v>11</v>
      </c>
      <c r="E3" s="40" t="s">
        <v>12</v>
      </c>
      <c r="F3" s="40" t="s">
        <v>13</v>
      </c>
      <c r="G3" s="40" t="s">
        <v>14</v>
      </c>
      <c r="H3" s="42" t="s">
        <v>15</v>
      </c>
      <c r="I3" s="42" t="s">
        <v>16</v>
      </c>
      <c r="J3" s="40" t="s">
        <v>17</v>
      </c>
      <c r="K3" s="40" t="s">
        <v>18</v>
      </c>
      <c r="L3" s="9" t="s">
        <v>19</v>
      </c>
      <c r="M3" s="9" t="s">
        <v>20</v>
      </c>
      <c r="N3" s="9" t="s">
        <v>21</v>
      </c>
      <c r="O3" s="9" t="s">
        <v>22</v>
      </c>
      <c r="P3" s="1" t="s">
        <v>23</v>
      </c>
      <c r="Q3" s="1" t="s">
        <v>24</v>
      </c>
      <c r="R3" s="1" t="s">
        <v>25</v>
      </c>
      <c r="S3" s="33" t="s">
        <v>26</v>
      </c>
      <c r="T3" s="3" t="s">
        <v>27</v>
      </c>
      <c r="U3" s="3" t="s">
        <v>28</v>
      </c>
      <c r="V3" s="4" t="s">
        <v>29</v>
      </c>
      <c r="W3" s="4" t="s">
        <v>30</v>
      </c>
      <c r="X3" s="4" t="s">
        <v>31</v>
      </c>
      <c r="Y3" s="4" t="s">
        <v>32</v>
      </c>
      <c r="Z3" s="4" t="s">
        <v>33</v>
      </c>
      <c r="AA3" s="4" t="s">
        <v>34</v>
      </c>
      <c r="AB3" s="4" t="s">
        <v>35</v>
      </c>
      <c r="AC3" s="4" t="s">
        <v>36</v>
      </c>
      <c r="AD3" s="3" t="s">
        <v>37</v>
      </c>
      <c r="AE3" s="4" t="s">
        <v>38</v>
      </c>
      <c r="AF3" s="4" t="s">
        <v>39</v>
      </c>
      <c r="AG3" s="4" t="s">
        <v>40</v>
      </c>
      <c r="AH3" s="2" t="s">
        <v>41</v>
      </c>
      <c r="AI3" s="2" t="s">
        <v>42</v>
      </c>
      <c r="AJ3" s="5" t="s">
        <v>26</v>
      </c>
      <c r="AK3" s="6" t="s">
        <v>43</v>
      </c>
      <c r="AL3" s="6" t="s">
        <v>44</v>
      </c>
      <c r="AM3" s="6" t="s">
        <v>45</v>
      </c>
      <c r="AN3" s="36" t="s">
        <v>46</v>
      </c>
      <c r="AO3" s="36" t="s">
        <v>47</v>
      </c>
      <c r="AP3" s="36" t="s">
        <v>48</v>
      </c>
      <c r="AQ3" s="7" t="s">
        <v>26</v>
      </c>
      <c r="AR3" s="8" t="s">
        <v>49</v>
      </c>
      <c r="AS3" s="8" t="s">
        <v>45</v>
      </c>
      <c r="AT3" s="8" t="s">
        <v>50</v>
      </c>
    </row>
    <row r="4" spans="1:46" x14ac:dyDescent="0.25">
      <c r="A4" s="21">
        <f>Container!A2</f>
        <v>0</v>
      </c>
      <c r="B4" s="21">
        <f>Container!B2</f>
        <v>0</v>
      </c>
      <c r="C4" s="21">
        <f>Container!C2</f>
        <v>0</v>
      </c>
      <c r="D4" s="21">
        <f>Container!D2</f>
        <v>0</v>
      </c>
      <c r="E4" s="21">
        <f>Container!E2</f>
        <v>0</v>
      </c>
      <c r="F4" s="21">
        <f>Container!F2</f>
        <v>0</v>
      </c>
      <c r="G4" s="21">
        <f>Container!G2</f>
        <v>0</v>
      </c>
      <c r="H4" s="43">
        <f>Container!H2</f>
        <v>0</v>
      </c>
      <c r="I4" s="43">
        <f>Container!I2</f>
        <v>0</v>
      </c>
      <c r="J4" s="21">
        <f>Container!J2</f>
        <v>0</v>
      </c>
      <c r="K4" s="21">
        <f>Container!K2</f>
        <v>0</v>
      </c>
      <c r="L4" s="12"/>
      <c r="M4" s="12"/>
      <c r="N4" s="13"/>
      <c r="O4" s="12"/>
      <c r="P4" s="16"/>
      <c r="Q4" s="18"/>
      <c r="R4" s="16"/>
      <c r="S4" s="23">
        <f>_xlfn.IFNA(VLOOKUP($A4&amp;"_"&amp;$S$2,TransportInvoice!$A$2:$E$999999,5,FALSE),0)</f>
        <v>0</v>
      </c>
      <c r="T4" s="23">
        <f>_xlfn.IFNA(VLOOKUP($A4&amp;"_"&amp;$T$2,TransportInvoice!$A$2:$E$999999,5,FALSE),0)</f>
        <v>0</v>
      </c>
      <c r="U4" s="23">
        <f>_xlfn.IFNA(VLOOKUP($A4&amp;"_"&amp;$U$2,TransportInvoice!$A$2:$E$999999,5,FALSE),0)</f>
        <v>0</v>
      </c>
      <c r="V4" s="24">
        <f>_xlfn.IFNA(VLOOKUP($A4&amp;"_"&amp;$V$2,TransportInvoice!$A$2:$E$999999,5,FALSE),0)</f>
        <v>0</v>
      </c>
      <c r="W4" s="24">
        <f>_xlfn.IFNA(VLOOKUP($A4&amp;"_"&amp;$W$2,TransportInvoice!$A$2:$E$999999,5,FALSE),0)</f>
        <v>0</v>
      </c>
      <c r="X4" s="24">
        <f>_xlfn.IFNA(VLOOKUP($A4&amp;"_"&amp;$X$2,TransportInvoice!$A$2:$E$999999,5,FALSE),0)</f>
        <v>0</v>
      </c>
      <c r="Y4" s="24">
        <f>_xlfn.IFNA(VLOOKUP($A4&amp;"_"&amp;$Y$2,TransportInvoice!$A$2:$E$999999,5,FALSE),0)</f>
        <v>0</v>
      </c>
      <c r="Z4" s="24">
        <f>_xlfn.IFNA(VLOOKUP($A4&amp;"_"&amp;$Z$2,TransportInvoice!$A$2:$E$999999,5,FALSE),0)</f>
        <v>0</v>
      </c>
      <c r="AA4" s="24">
        <f>_xlfn.IFNA(VLOOKUP($A4&amp;"_"&amp;$AA$2,TransportInvoice!$A$2:$E$999999,5,FALSE),0)</f>
        <v>0</v>
      </c>
      <c r="AB4" s="24">
        <f>_xlfn.IFNA(VLOOKUP($A4&amp;"_"&amp;$AB$2,TransportInvoice!$A$2:$E$999999,5,FALSE),0)</f>
        <v>0</v>
      </c>
      <c r="AC4" s="24">
        <f>_xlfn.IFNA(VLOOKUP($A4&amp;"_"&amp;$AC$2,TransportInvoice!$A$2:$E$999999,5,FALSE),0)</f>
        <v>0</v>
      </c>
      <c r="AD4" s="23">
        <f>S4+T4+U4</f>
        <v>0</v>
      </c>
      <c r="AE4" s="24">
        <f>V4+W4</f>
        <v>0</v>
      </c>
      <c r="AF4" s="24">
        <f>X4</f>
        <v>0</v>
      </c>
      <c r="AG4" s="24">
        <f>Y4+Z4+AA4+AB4+AC4</f>
        <v>0</v>
      </c>
      <c r="AH4" s="25"/>
      <c r="AI4" s="25"/>
      <c r="AJ4" s="23">
        <f>_xlfn.IFNA(VLOOKUP($A4&amp;"_"&amp;$AJ$2,ClientTransportInvoice!$A$2:$E$999999,5,FALSE),0)</f>
        <v>0</v>
      </c>
      <c r="AK4" s="24">
        <f>_xlfn.IFNA(VLOOKUP($A4&amp;"_"&amp;$AK$2,ClientTransportInvoice!$A$2:$E$999999,5,FALSE),0)</f>
        <v>0</v>
      </c>
      <c r="AL4" s="24">
        <f>_xlfn.IFNA(VLOOKUP($A4&amp;"_"&amp;$AL$2,ClientTransportInvoice!$A$2:$E$999999,5,FALSE),0)</f>
        <v>0</v>
      </c>
      <c r="AM4" s="24"/>
      <c r="AN4" s="12"/>
      <c r="AO4" s="12"/>
      <c r="AP4" s="12"/>
      <c r="AQ4" s="23">
        <f>AJ4-(S4+T4)</f>
        <v>0</v>
      </c>
      <c r="AR4" s="24">
        <f>(AK4+AL4)-V4-W4-X4</f>
        <v>0</v>
      </c>
      <c r="AS4" s="24">
        <f>AM4-Y4-Z4-AA4-AB4-AC4</f>
        <v>0</v>
      </c>
      <c r="AT4" s="24">
        <f>(AQ4/1.2)+AR4+AS4</f>
        <v>0</v>
      </c>
    </row>
  </sheetData>
  <mergeCells count="4">
    <mergeCell ref="P1:AI1"/>
    <mergeCell ref="AJ1:AP1"/>
    <mergeCell ref="AQ1:AT1"/>
    <mergeCell ref="B1:O1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1"/>
  <sheetViews>
    <sheetView workbookViewId="0">
      <selection activeCell="B15" sqref="B15"/>
    </sheetView>
  </sheetViews>
  <sheetFormatPr defaultRowHeight="15" x14ac:dyDescent="0.25"/>
  <cols>
    <col min="1" max="1" width="13.7109375" bestFit="1" customWidth="1"/>
    <col min="2" max="2" width="19.42578125" customWidth="1"/>
    <col min="3" max="3" width="21.5703125" customWidth="1"/>
    <col min="4" max="4" width="24" customWidth="1"/>
    <col min="5" max="5" width="26.5703125" customWidth="1"/>
    <col min="6" max="6" width="24.85546875" customWidth="1"/>
    <col min="7" max="7" width="34.140625" customWidth="1"/>
    <col min="8" max="8" width="14.5703125" customWidth="1"/>
    <col min="9" max="9" width="13.140625" customWidth="1"/>
    <col min="10" max="10" width="18.5703125" customWidth="1"/>
    <col min="11" max="11" width="17.7109375" customWidth="1"/>
    <col min="12" max="12" width="16.85546875" customWidth="1"/>
    <col min="13" max="13" width="21.85546875" bestFit="1" customWidth="1"/>
    <col min="14" max="14" width="25.140625" bestFit="1" customWidth="1"/>
    <col min="15" max="15" width="13.140625" bestFit="1" customWidth="1"/>
  </cols>
  <sheetData>
    <row r="1" spans="1:15" x14ac:dyDescent="0.25">
      <c r="A1" t="s">
        <v>1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15</v>
      </c>
      <c r="I1" t="s">
        <v>16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"/>
  <sheetViews>
    <sheetView workbookViewId="0">
      <selection activeCell="D10" sqref="D10"/>
    </sheetView>
  </sheetViews>
  <sheetFormatPr defaultRowHeight="15" x14ac:dyDescent="0.25"/>
  <cols>
    <col min="1" max="1" width="9" bestFit="1" customWidth="1"/>
    <col min="2" max="2" width="16" bestFit="1" customWidth="1"/>
    <col min="3" max="3" width="21.85546875" bestFit="1" customWidth="1"/>
    <col min="4" max="4" width="20.85546875" bestFit="1" customWidth="1"/>
    <col min="5" max="5" width="14.85546875" bestFit="1" customWidth="1"/>
  </cols>
  <sheetData>
    <row r="1" spans="1:5" x14ac:dyDescent="0.25">
      <c r="A1" t="s">
        <v>0</v>
      </c>
      <c r="B1" t="s">
        <v>1</v>
      </c>
      <c r="C1" t="s">
        <v>51</v>
      </c>
      <c r="D1" t="s">
        <v>52</v>
      </c>
      <c r="E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"/>
  <sheetViews>
    <sheetView workbookViewId="0">
      <selection activeCell="A2" sqref="A2:E6"/>
    </sheetView>
  </sheetViews>
  <sheetFormatPr defaultRowHeight="15" x14ac:dyDescent="0.25"/>
  <cols>
    <col min="2" max="2" width="13.7109375" bestFit="1" customWidth="1"/>
    <col min="3" max="3" width="16.28515625" bestFit="1" customWidth="1"/>
    <col min="4" max="4" width="20.5703125" bestFit="1" customWidth="1"/>
    <col min="5" max="5" width="12.5703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A2" sqref="A2:D12"/>
    </sheetView>
  </sheetViews>
  <sheetFormatPr defaultRowHeight="15" x14ac:dyDescent="0.25"/>
  <cols>
    <col min="1" max="1" width="19.5703125" bestFit="1" customWidth="1"/>
    <col min="2" max="2" width="20.85546875" bestFit="1" customWidth="1"/>
  </cols>
  <sheetData>
    <row r="1" spans="1:2" x14ac:dyDescent="0.25">
      <c r="A1" t="s">
        <v>51</v>
      </c>
      <c r="B1" t="s">
        <v>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A2" sqref="A2:B4"/>
    </sheetView>
  </sheetViews>
  <sheetFormatPr defaultRowHeight="15" x14ac:dyDescent="0.25"/>
  <cols>
    <col min="1" max="1" width="16.28515625" bestFit="1" customWidth="1"/>
    <col min="2" max="2" width="20.5703125" bestFit="1" customWidth="1"/>
  </cols>
  <sheetData>
    <row r="1" spans="1:2" x14ac:dyDescent="0.25">
      <c r="A1" t="s">
        <v>2</v>
      </c>
      <c r="B1" t="s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8"/>
  <sheetViews>
    <sheetView workbookViewId="0">
      <selection activeCell="E12" sqref="E12"/>
    </sheetView>
  </sheetViews>
  <sheetFormatPr defaultRowHeight="15" x14ac:dyDescent="0.25"/>
  <cols>
    <col min="1" max="1" width="13.7109375" bestFit="1" customWidth="1"/>
    <col min="2" max="2" width="18.5703125" bestFit="1" customWidth="1"/>
    <col min="3" max="3" width="10" bestFit="1" customWidth="1"/>
    <col min="4" max="4" width="11.5703125" bestFit="1" customWidth="1"/>
    <col min="5" max="5" width="23.140625" bestFit="1" customWidth="1"/>
  </cols>
  <sheetData>
    <row r="1" spans="1:5" x14ac:dyDescent="0.25">
      <c r="A1" t="s">
        <v>1</v>
      </c>
      <c r="B1" t="s">
        <v>67</v>
      </c>
      <c r="C1" t="s">
        <v>65</v>
      </c>
      <c r="D1" t="s">
        <v>66</v>
      </c>
      <c r="E1" t="s">
        <v>64</v>
      </c>
    </row>
    <row r="2" spans="1:5" x14ac:dyDescent="0.25">
      <c r="D2" s="10"/>
    </row>
    <row r="3" spans="1:5" x14ac:dyDescent="0.25">
      <c r="D3" s="10"/>
    </row>
    <row r="4" spans="1:5" x14ac:dyDescent="0.25">
      <c r="D4" s="10"/>
    </row>
    <row r="5" spans="1:5" x14ac:dyDescent="0.25">
      <c r="D5" s="10"/>
    </row>
    <row r="6" spans="1:5" x14ac:dyDescent="0.25">
      <c r="D6" s="10"/>
    </row>
    <row r="7" spans="1:5" x14ac:dyDescent="0.25">
      <c r="D7" s="10"/>
    </row>
    <row r="8" spans="1:5" x14ac:dyDescent="0.25">
      <c r="D8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"/>
  <sheetViews>
    <sheetView workbookViewId="0">
      <selection activeCell="I21" sqref="I21"/>
    </sheetView>
  </sheetViews>
  <sheetFormatPr defaultRowHeight="15" x14ac:dyDescent="0.25"/>
  <cols>
    <col min="1" max="1" width="13.7109375" bestFit="1" customWidth="1"/>
    <col min="2" max="2" width="10" bestFit="1" customWidth="1"/>
    <col min="3" max="3" width="11.5703125" bestFit="1" customWidth="1"/>
  </cols>
  <sheetData>
    <row r="1" spans="1:4" x14ac:dyDescent="0.25">
      <c r="A1" t="s">
        <v>1</v>
      </c>
      <c r="B1" t="s">
        <v>65</v>
      </c>
      <c r="C1" t="s">
        <v>66</v>
      </c>
      <c r="D1" t="s">
        <v>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C22" sqref="C22"/>
    </sheetView>
  </sheetViews>
  <sheetFormatPr defaultRowHeight="15" x14ac:dyDescent="0.25"/>
  <cols>
    <col min="1" max="1" width="13.7109375" bestFit="1" customWidth="1"/>
    <col min="2" max="2" width="10" bestFit="1" customWidth="1"/>
    <col min="3" max="3" width="11.5703125" bestFit="1" customWidth="1"/>
  </cols>
  <sheetData>
    <row r="1" spans="1:3" x14ac:dyDescent="0.25">
      <c r="A1" t="s">
        <v>1</v>
      </c>
      <c r="B1" t="s">
        <v>65</v>
      </c>
      <c r="C1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Container</vt:lpstr>
      <vt:lpstr>TransportInvoice</vt:lpstr>
      <vt:lpstr>ClientTransportInvoice</vt:lpstr>
      <vt:lpstr>TransportCostItem</vt:lpstr>
      <vt:lpstr>ClientCostType</vt:lpstr>
      <vt:lpstr>ContainerSubInfo</vt:lpstr>
      <vt:lpstr>TransportInvoiceSubInfo</vt:lpstr>
      <vt:lpstr>ClientTransportInvoiceSubInfo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van quang ho</cp:lastModifiedBy>
  <dcterms:created xsi:type="dcterms:W3CDTF">2018-05-11T10:13:25Z</dcterms:created>
  <dcterms:modified xsi:type="dcterms:W3CDTF">2018-05-16T10:24:15Z</dcterms:modified>
</cp:coreProperties>
</file>