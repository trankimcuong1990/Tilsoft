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SingleCells2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INVOICE" sheetId="1" r:id="rId1"/>
    <sheet name="DETAIL" sheetId="2" r:id="rId2"/>
    <sheet name="TOTAL" sheetId="3" r:id="rId3"/>
    <sheet name="InvoiceData" sheetId="6" state="hidden" r:id="rId4"/>
    <sheet name="DetailData" sheetId="4" state="hidden" r:id="rId5"/>
    <sheet name="ExtraData" sheetId="5" state="hidden" r:id="rId6"/>
  </sheets>
  <definedNames>
    <definedName name="_xlnm._FilterDatabase" localSheetId="1" hidden="1">DETAIL!$A$7:$P$7</definedName>
    <definedName name="_xlnm._FilterDatabase" localSheetId="0" hidden="1">INVOICE!$A$7:$V$7</definedName>
  </definedNames>
  <calcPr calcId="152511"/>
</workbook>
</file>

<file path=xl/calcChain.xml><?xml version="1.0" encoding="utf-8"?>
<calcChain xmlns="http://schemas.openxmlformats.org/spreadsheetml/2006/main">
  <c r="K6" i="1" l="1"/>
  <c r="I6" i="1"/>
  <c r="A8" i="1"/>
  <c r="D10" i="3" l="1"/>
  <c r="D11" i="3"/>
  <c r="D12" i="3"/>
  <c r="D9" i="3"/>
  <c r="B10" i="3"/>
  <c r="B11" i="3"/>
  <c r="B12" i="3"/>
  <c r="B9" i="3"/>
  <c r="L8" i="2"/>
  <c r="G8" i="2"/>
  <c r="F8" i="2" s="1"/>
  <c r="E8" i="2"/>
  <c r="D8" i="2"/>
  <c r="C8" i="2"/>
  <c r="B8" i="2"/>
  <c r="P8" i="2"/>
  <c r="P6" i="2" s="1"/>
  <c r="O8" i="2"/>
  <c r="N8" i="2"/>
  <c r="N6" i="2" s="1"/>
  <c r="J8" i="2"/>
  <c r="J5" i="2" s="1"/>
  <c r="I8" i="2"/>
  <c r="H8" i="2"/>
  <c r="H6" i="2" s="1"/>
  <c r="A8" i="2"/>
  <c r="K8" i="2" l="1"/>
  <c r="K6" i="2"/>
  <c r="K5" i="2"/>
  <c r="F6" i="2"/>
  <c r="F5" i="2"/>
  <c r="J6" i="2"/>
  <c r="N5" i="2"/>
  <c r="P5" i="2"/>
  <c r="H5" i="2"/>
  <c r="E8" i="1"/>
  <c r="O8" i="1"/>
  <c r="H8" i="1"/>
  <c r="G8" i="1"/>
  <c r="F8" i="1"/>
  <c r="D8" i="1"/>
  <c r="C8" i="1"/>
  <c r="B8" i="1"/>
  <c r="P5" i="1"/>
  <c r="Q5" i="1"/>
  <c r="V8" i="1"/>
  <c r="T8" i="1"/>
  <c r="U8" i="1" s="1"/>
  <c r="R8" i="1"/>
  <c r="Q8" i="1"/>
  <c r="P8" i="1"/>
  <c r="K8" i="1"/>
  <c r="I8" i="1"/>
  <c r="J8" i="1" s="1"/>
  <c r="S8" i="1" l="1"/>
  <c r="S4" i="1" s="1"/>
  <c r="T5" i="1"/>
  <c r="V5" i="1"/>
  <c r="I4" i="1"/>
  <c r="I5" i="1"/>
  <c r="K5" i="1"/>
  <c r="P4" i="1"/>
  <c r="Q4" i="1"/>
  <c r="T4" i="1"/>
  <c r="R5" i="1"/>
  <c r="L8" i="1"/>
  <c r="M8" i="1"/>
  <c r="K4" i="1"/>
  <c r="R4" i="1"/>
  <c r="V4" i="1"/>
  <c r="B2" i="3"/>
  <c r="B1" i="3"/>
  <c r="C2" i="2"/>
  <c r="C1" i="2"/>
  <c r="F14" i="3"/>
  <c r="D14" i="3"/>
  <c r="C14" i="3"/>
  <c r="S5" i="1" l="1"/>
  <c r="M5" i="1"/>
  <c r="M4" i="1"/>
  <c r="L4" i="1"/>
  <c r="L5" i="1"/>
  <c r="E14" i="3"/>
  <c r="G14" i="3" s="1"/>
</calcChain>
</file>

<file path=xl/connections.xml><?xml version="1.0" encoding="utf-8"?>
<connections xmlns="http://schemas.openxmlformats.org/spreadsheetml/2006/main">
  <connection id="1" name="FactoryPaymentOverview" type="4" refreshedVersion="0" background="1">
    <webPr xml="1" sourceData="1" url="D:\REPORTS\FactoryPaymentOverview\FactoryPaymentOverview.xml" htmlTables="1" htmlFormat="all"/>
  </connection>
</connections>
</file>

<file path=xl/sharedStrings.xml><?xml version="1.0" encoding="utf-8"?>
<sst xmlns="http://schemas.openxmlformats.org/spreadsheetml/2006/main" count="94" uniqueCount="80">
  <si>
    <t>No.</t>
  </si>
  <si>
    <t xml:space="preserve"> Invoice No</t>
  </si>
  <si>
    <t>Date</t>
  </si>
  <si>
    <t>Companay</t>
  </si>
  <si>
    <t>Client ID</t>
  </si>
  <si>
    <t xml:space="preserve"> Invoice Amount</t>
  </si>
  <si>
    <t>Cumulation 
Invoices Amount</t>
  </si>
  <si>
    <t>Eurofurnindo</t>
  </si>
  <si>
    <t>Insurance</t>
  </si>
  <si>
    <t>Payment date</t>
  </si>
  <si>
    <t>DP Amount</t>
  </si>
  <si>
    <t>Cumulation 
Paid Amount</t>
  </si>
  <si>
    <t>To Be Paid</t>
  </si>
  <si>
    <t>Supplier</t>
  </si>
  <si>
    <t>Financial year</t>
  </si>
  <si>
    <t>Order
 No.</t>
  </si>
  <si>
    <t>Naam 
Client</t>
  </si>
  <si>
    <t>Art. Code</t>
  </si>
  <si>
    <t>Art. Description</t>
  </si>
  <si>
    <t>No cont</t>
  </si>
  <si>
    <t>Cont 
Nr</t>
  </si>
  <si>
    <t>Order 
qnt</t>
  </si>
  <si>
    <t>Cost-price
( USD )</t>
  </si>
  <si>
    <t>Amount
( USD )</t>
  </si>
  <si>
    <t>Total Amount
( USD )</t>
  </si>
  <si>
    <t>So Hoa
Don</t>
  </si>
  <si>
    <t>FACTORY 'S RATE/ INVOICE ChECK</t>
  </si>
  <si>
    <t>EUROFURNINDO CHECKING</t>
  </si>
  <si>
    <t>SUM</t>
  </si>
  <si>
    <t>SUB-TOTAL</t>
  </si>
  <si>
    <t>CHI TIET</t>
  </si>
  <si>
    <t>Receipt No</t>
  </si>
  <si>
    <t>Bank Receipt No</t>
  </si>
  <si>
    <t>Invoice Season</t>
  </si>
  <si>
    <t>Diff</t>
  </si>
  <si>
    <t>DP Deducted Amount</t>
  </si>
  <si>
    <t>Total Payment</t>
  </si>
  <si>
    <t>Total Paid Amount</t>
  </si>
  <si>
    <t>Payment</t>
  </si>
  <si>
    <t>ns1:Season</t>
  </si>
  <si>
    <t>ns1:ReceiptNo</t>
  </si>
  <si>
    <t>ns1:BankReceiptNo</t>
  </si>
  <si>
    <t>ns1:FactoryInvoiceNo</t>
  </si>
  <si>
    <t>ns1:InvoiceDate</t>
  </si>
  <si>
    <t>ns1:InvoiceSeason</t>
  </si>
  <si>
    <t>ns1:CompanyNM</t>
  </si>
  <si>
    <t>ns1:ClientUD</t>
  </si>
  <si>
    <t>ns1:FactoryTotalAmount</t>
  </si>
  <si>
    <t>ns1:TotalAMount</t>
  </si>
  <si>
    <t>ns1:PaymentDate</t>
  </si>
  <si>
    <t>ns1:DPAmount</t>
  </si>
  <si>
    <t>ns1:DPDeductedAmount</t>
  </si>
  <si>
    <t>ns1:PaymentAmount</t>
  </si>
  <si>
    <t>ns1:PaidAmount</t>
  </si>
  <si>
    <t>ns1:ToBePaid</t>
  </si>
  <si>
    <t>ns1:FactoryCostTypeNM</t>
  </si>
  <si>
    <t>ns1:PurchasingInvoiceID</t>
  </si>
  <si>
    <t>ns1:ProformaInvoiceNo</t>
  </si>
  <si>
    <t>ns1:ArticleCode</t>
  </si>
  <si>
    <t>ns1:Description</t>
  </si>
  <si>
    <t>ns1:ContainerNo</t>
  </si>
  <si>
    <t>ns1:FactoryQnt</t>
  </si>
  <si>
    <t>ns1:FactoryPrice</t>
  </si>
  <si>
    <t>ns1:FactoryAmount</t>
  </si>
  <si>
    <t>ns1:Quantity</t>
  </si>
  <si>
    <t>ns1:UnitPrice</t>
  </si>
  <si>
    <t>ns1:FurnindoAmount</t>
  </si>
  <si>
    <t>ns1:SupplierID</t>
  </si>
  <si>
    <t>EUROFAR</t>
  </si>
  <si>
    <t>NỢ ĐẦU KỲ</t>
  </si>
  <si>
    <t>TỔNG TIỀN HÀNG</t>
  </si>
  <si>
    <t>ĐÃ THANH TOÁN</t>
  </si>
  <si>
    <t>TIỀN HÀNG</t>
  </si>
  <si>
    <t>TIỀN LINH TINH</t>
  </si>
  <si>
    <t>TỔNG</t>
  </si>
  <si>
    <t>CÒN LẠI</t>
  </si>
  <si>
    <t>ỨNG TRƯỚC ĐẦU KỲ</t>
  </si>
  <si>
    <t>TỔNG CỘNG</t>
  </si>
  <si>
    <t>TOTAL</t>
  </si>
  <si>
    <t>CROSS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</si>
</sst>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₫_-;\-* #,##0.00\ _₫_-;_-* &quot;-&quot;??\ _₫_-;_-@_-"/>
    <numFmt numFmtId="164" formatCode="000"/>
    <numFmt numFmtId="165" formatCode="_-* #,##0\ _B_F_-;\-* #,##0\ _B_F_-;_-* &quot;-&quot;\ _B_F_-;_-@_-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[$$-409]* #,##0.00_ ;_-[$$-409]* \-#,##0.00\ ;_-[$$-409]* &quot;-&quot;??_ ;_-@_ "/>
    <numFmt numFmtId="169" formatCode="_-* #,##0\ _₫_-;\-* #,##0\ _₫_-;_-* &quot;-&quot;??\ _₫_-;_-@_-"/>
  </numFmts>
  <fonts count="8" x14ac:knownFonts="1">
    <font>
      <sz val="11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4" fillId="0" borderId="0" applyFill="0" applyBorder="0" applyAlignment="0" applyProtection="0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1">
    <xf numFmtId="0" fontId="0" fillId="0" borderId="0" xfId="0"/>
    <xf numFmtId="164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2" fillId="3" borderId="0" xfId="0" applyFont="1" applyFill="1"/>
    <xf numFmtId="0" fontId="3" fillId="3" borderId="0" xfId="0" applyFont="1" applyFill="1"/>
    <xf numFmtId="1" fontId="5" fillId="4" borderId="1" xfId="1" applyNumberFormat="1" applyFont="1" applyFill="1" applyBorder="1" applyAlignment="1">
      <alignment horizontal="center" vertical="center"/>
    </xf>
    <xf numFmtId="165" fontId="5" fillId="4" borderId="1" xfId="1" applyNumberFormat="1" applyFont="1" applyFill="1" applyBorder="1" applyAlignment="1">
      <alignment horizontal="center" vertical="center" wrapText="1"/>
    </xf>
    <xf numFmtId="165" fontId="5" fillId="4" borderId="1" xfId="1" applyNumberFormat="1" applyFont="1" applyFill="1" applyBorder="1" applyAlignment="1">
      <alignment horizontal="left" vertical="center"/>
    </xf>
    <xf numFmtId="165" fontId="5" fillId="4" borderId="1" xfId="1" applyNumberFormat="1" applyFont="1" applyFill="1" applyBorder="1" applyAlignment="1">
      <alignment horizontal="center" vertical="center"/>
    </xf>
    <xf numFmtId="0" fontId="5" fillId="4" borderId="1" xfId="1" applyNumberFormat="1" applyFont="1" applyFill="1" applyBorder="1" applyAlignment="1">
      <alignment horizontal="center" vertical="center" wrapText="1"/>
    </xf>
    <xf numFmtId="166" fontId="5" fillId="4" borderId="1" xfId="2" applyFont="1" applyFill="1" applyBorder="1" applyAlignment="1">
      <alignment horizontal="center" vertical="center" wrapText="1"/>
    </xf>
    <xf numFmtId="166" fontId="5" fillId="4" borderId="1" xfId="3" applyNumberFormat="1" applyFont="1" applyFill="1" applyBorder="1" applyAlignment="1">
      <alignment horizontal="center" vertical="center" wrapText="1"/>
    </xf>
    <xf numFmtId="166" fontId="5" fillId="4" borderId="1" xfId="1" applyNumberFormat="1" applyFont="1" applyFill="1" applyBorder="1" applyAlignment="1">
      <alignment horizontal="center" vertical="center" wrapText="1"/>
    </xf>
    <xf numFmtId="167" fontId="5" fillId="4" borderId="1" xfId="3" applyNumberFormat="1" applyFont="1" applyFill="1" applyBorder="1" applyAlignment="1">
      <alignment horizontal="center" vertical="center" wrapText="1"/>
    </xf>
    <xf numFmtId="166" fontId="6" fillId="5" borderId="1" xfId="3" applyNumberFormat="1" applyFont="1" applyFill="1" applyBorder="1" applyAlignment="1">
      <alignment horizontal="center" vertical="center" wrapText="1"/>
    </xf>
    <xf numFmtId="0" fontId="6" fillId="5" borderId="4" xfId="1" applyNumberFormat="1" applyFont="1" applyFill="1" applyBorder="1" applyAlignment="1">
      <alignment horizontal="center" vertical="center" wrapText="1"/>
    </xf>
    <xf numFmtId="164" fontId="1" fillId="2" borderId="2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/>
    <xf numFmtId="0" fontId="3" fillId="4" borderId="1" xfId="0" applyFont="1" applyFill="1" applyBorder="1" applyAlignment="1">
      <alignment horizontal="right"/>
    </xf>
    <xf numFmtId="49" fontId="0" fillId="0" borderId="0" xfId="0" applyNumberFormat="1"/>
    <xf numFmtId="0" fontId="2" fillId="0" borderId="1" xfId="0" applyFont="1" applyBorder="1"/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168" fontId="2" fillId="0" borderId="1" xfId="0" applyNumberFormat="1" applyFont="1" applyBorder="1" applyAlignment="1">
      <alignment horizontal="right" vertical="center"/>
    </xf>
    <xf numFmtId="168" fontId="2" fillId="0" borderId="1" xfId="0" applyNumberFormat="1" applyFont="1" applyBorder="1"/>
    <xf numFmtId="168" fontId="1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/>
    <xf numFmtId="0" fontId="2" fillId="0" borderId="1" xfId="0" applyFont="1" applyFill="1" applyBorder="1"/>
    <xf numFmtId="0" fontId="1" fillId="0" borderId="1" xfId="0" applyFont="1" applyFill="1" applyBorder="1" applyAlignment="1">
      <alignment horizontal="right"/>
    </xf>
    <xf numFmtId="168" fontId="1" fillId="2" borderId="1" xfId="0" applyNumberFormat="1" applyFont="1" applyFill="1" applyBorder="1"/>
    <xf numFmtId="0" fontId="1" fillId="2" borderId="1" xfId="0" applyFont="1" applyFill="1" applyBorder="1"/>
    <xf numFmtId="14" fontId="2" fillId="0" borderId="1" xfId="0" applyNumberFormat="1" applyFont="1" applyBorder="1" applyAlignment="1">
      <alignment horizontal="center"/>
    </xf>
    <xf numFmtId="168" fontId="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center"/>
    </xf>
    <xf numFmtId="0" fontId="2" fillId="0" borderId="1" xfId="0" applyNumberFormat="1" applyFont="1" applyBorder="1"/>
    <xf numFmtId="0" fontId="2" fillId="0" borderId="1" xfId="0" applyFont="1" applyBorder="1" applyAlignment="1">
      <alignment horizontal="center" vertical="center"/>
    </xf>
    <xf numFmtId="168" fontId="2" fillId="0" borderId="1" xfId="5" applyNumberFormat="1" applyFont="1" applyBorder="1" applyAlignment="1">
      <alignment horizontal="center" vertical="center"/>
    </xf>
    <xf numFmtId="169" fontId="2" fillId="4" borderId="1" xfId="4" applyNumberFormat="1" applyFont="1" applyFill="1" applyBorder="1"/>
    <xf numFmtId="169" fontId="2" fillId="4" borderId="1" xfId="4" applyNumberFormat="1" applyFont="1" applyFill="1" applyBorder="1" applyAlignment="1">
      <alignment horizontal="right"/>
    </xf>
    <xf numFmtId="168" fontId="2" fillId="4" borderId="1" xfId="0" applyNumberFormat="1" applyFont="1" applyFill="1" applyBorder="1"/>
    <xf numFmtId="169" fontId="2" fillId="0" borderId="1" xfId="4" applyNumberFormat="1" applyFont="1" applyBorder="1" applyAlignment="1">
      <alignment horizontal="right"/>
    </xf>
    <xf numFmtId="168" fontId="2" fillId="5" borderId="1" xfId="0" applyNumberFormat="1" applyFont="1" applyFill="1" applyBorder="1" applyAlignment="1">
      <alignment horizontal="right"/>
    </xf>
    <xf numFmtId="168" fontId="2" fillId="4" borderId="1" xfId="0" applyNumberFormat="1" applyFont="1" applyFill="1" applyBorder="1" applyAlignment="1">
      <alignment horizontal="right"/>
    </xf>
    <xf numFmtId="0" fontId="2" fillId="7" borderId="0" xfId="0" applyFont="1" applyFill="1"/>
    <xf numFmtId="164" fontId="1" fillId="7" borderId="1" xfId="0" applyNumberFormat="1" applyFont="1" applyFill="1" applyBorder="1" applyAlignment="1">
      <alignment horizontal="center" vertical="center"/>
    </xf>
    <xf numFmtId="168" fontId="1" fillId="7" borderId="1" xfId="0" applyNumberFormat="1" applyFont="1" applyFill="1" applyBorder="1"/>
    <xf numFmtId="0" fontId="2" fillId="7" borderId="1" xfId="0" applyFont="1" applyFill="1" applyBorder="1"/>
    <xf numFmtId="168" fontId="2" fillId="7" borderId="1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right"/>
    </xf>
    <xf numFmtId="0" fontId="5" fillId="6" borderId="2" xfId="1" applyNumberFormat="1" applyFont="1" applyFill="1" applyBorder="1" applyAlignment="1">
      <alignment horizontal="center" vertical="center" wrapText="1"/>
    </xf>
    <xf numFmtId="0" fontId="5" fillId="6" borderId="3" xfId="1" applyNumberFormat="1" applyFont="1" applyFill="1" applyBorder="1" applyAlignment="1">
      <alignment horizontal="center" vertical="center" wrapText="1"/>
    </xf>
    <xf numFmtId="0" fontId="5" fillId="6" borderId="4" xfId="1" applyNumberFormat="1" applyFont="1" applyFill="1" applyBorder="1" applyAlignment="1">
      <alignment horizontal="center" vertical="center" wrapText="1"/>
    </xf>
    <xf numFmtId="0" fontId="5" fillId="4" borderId="2" xfId="1" applyNumberFormat="1" applyFont="1" applyFill="1" applyBorder="1" applyAlignment="1">
      <alignment horizontal="center" vertical="center" wrapText="1"/>
    </xf>
    <xf numFmtId="0" fontId="5" fillId="4" borderId="3" xfId="1" applyNumberFormat="1" applyFont="1" applyFill="1" applyBorder="1" applyAlignment="1">
      <alignment horizontal="center" vertical="center" wrapText="1"/>
    </xf>
    <xf numFmtId="0" fontId="5" fillId="4" borderId="4" xfId="1" applyNumberFormat="1" applyFont="1" applyFill="1" applyBorder="1" applyAlignment="1">
      <alignment horizontal="center" vertical="center" wrapText="1"/>
    </xf>
  </cellXfs>
  <cellStyles count="6">
    <cellStyle name="Comma" xfId="4" builtinId="3"/>
    <cellStyle name="Comma 2 5" xfId="3"/>
    <cellStyle name="Currency 3" xfId="2"/>
    <cellStyle name="Normal" xfId="0" builtinId="0"/>
    <cellStyle name="Normal 6" xfId="1"/>
    <cellStyle name="Percent" xfId="5" builtinId="5"/>
  </cellStyles>
  <dxfs count="1"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FactoryPaymentOverviewRpt_function_getDetailData" minOccurs="0" maxOccurs="unbounded">
              <xs:complexType>
                <xs:sequence>
                  <xs:element name="PurchasingInvoiceID" type="xs:int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FactoryQnt" type="xs:int" minOccurs="0"/>
                  <xs:element name="FactoryPrice" type="xs:decimal" minOccurs="0"/>
                  <xs:element name="FactoryAmount" type="xs:decimal" minOccurs="0"/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UnitPrice" type="xs:decimal" minOccurs="0"/>
                  <xs:element name="FurnindoAmount" type="xs:decimal" minOccurs="0"/>
                  <xs:element name="SupplierID" type="xs:int" minOccurs="0"/>
                </xs:sequence>
              </xs:complexType>
            </xs:element>
            <xs:element name="FactoryPaymentOverviewRpt_function_getTotalData">
              <xs:complexType>
                <xs:sequence>
                  <xs:element name="DPBeginBalanceAmount" type="xs:decimal" minOccurs="0"/>
                  <xs:element name="DebtAmount" type="xs:decimal" minOccurs="0"/>
                  <xs:element name="ProductCostAmount" type="xs:decimal" minOccurs="0"/>
                  <xs:element name="PaidAmount" type="xs:decimal" minOccurs="0"/>
                </xs:sequence>
              </xs:complexType>
            </xs:element>
            <xs:element name="FactoryPaymentOverviewRpt_function_getTotalExtraData" minOccurs="0" maxOccurs="unbounded">
              <xs:complexType>
                <xs:sequence>
                  <xs:element name="FactoryCost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otalAMount" type="xs:decimal" minOccurs="0"/>
                </xs:sequence>
              </xs:complexType>
            </xs:element>
            <xs:element name="FactoryPaymentOverviewRpt_function_getInvoiceData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ReceiptNo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BankReceiptNo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nvoiceDate" type="xs:date" minOccurs="0"/>
                  <xs:element name="InvoiceSeason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CompanyNM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FactoryTotalAmount" type="xs:decimal" minOccurs="0"/>
                  <xs:element name="TotalAMount" type="xs:decimal" minOccurs="0"/>
                  <xs:element name="PaymentDate" type="xs:date" minOccurs="0"/>
                  <xs:element name="DPAmount" type="xs:decimal" minOccurs="0"/>
                  <xs:element name="DPDeductedAmount" type="xs:decimal" minOccurs="0"/>
                  <xs:element name="PaymentAmount" type="xs:decimal" minOccurs="0"/>
                  <xs:element name="PaidAmount" type="xs:decimal" minOccurs="0"/>
                  <xs:element name="ToBePaid" type="xs:decimal" minOccurs="0"/>
                </xs:sequence>
              </xs:complexType>
            </xs:element>
            <xs:element name="ReportHeader">
              <xs:complexType>
                <xs:sequence>
                  <xs:element name="SupplierUD" type="xs:string" minOccurs="0"/>
                  <xs:element name="SupplierNM" type="xs:string" minOccurs="0"/>
                  <xs:element name="Season" type="xs:string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P2" tableType="xml" insertRow="1" totalsRowShown="0" connectionId="1">
  <autoFilter ref="A1:P2"/>
  <tableColumns count="16">
    <tableColumn id="1" uniqueName="ns1:Season" name="ns1:Season">
      <xmlColumnPr mapId="2" xpath="/ns1:ReportDataObject/ns1:FactoryPaymentOverviewRpt_function_getInvoiceData/ns1:Season" xmlDataType="string"/>
    </tableColumn>
    <tableColumn id="2" uniqueName="ns1:ReceiptNo" name="ns1:ReceiptNo">
      <xmlColumnPr mapId="2" xpath="/ns1:ReportDataObject/ns1:FactoryPaymentOverviewRpt_function_getInvoiceData/ns1:ReceiptNo" xmlDataType="string"/>
    </tableColumn>
    <tableColumn id="3" uniqueName="ns1:BankReceiptNo" name="ns1:BankReceiptNo">
      <xmlColumnPr mapId="2" xpath="/ns1:ReportDataObject/ns1:FactoryPaymentOverviewRpt_function_getInvoiceData/ns1:BankReceiptNo" xmlDataType="string"/>
    </tableColumn>
    <tableColumn id="4" uniqueName="ns1:FactoryInvoiceNo" name="ns1:FactoryInvoiceNo">
      <xmlColumnPr mapId="2" xpath="/ns1:ReportDataObject/ns1:FactoryPaymentOverviewRpt_function_getInvoiceData/ns1:FactoryInvoiceNo" xmlDataType="string"/>
    </tableColumn>
    <tableColumn id="5" uniqueName="ns1:InvoiceDate" name="ns1:InvoiceDate">
      <xmlColumnPr mapId="2" xpath="/ns1:ReportDataObject/ns1:FactoryPaymentOverviewRpt_function_getInvoiceData/ns1:InvoiceDate" xmlDataType="date"/>
    </tableColumn>
    <tableColumn id="6" uniqueName="ns1:InvoiceSeason" name="ns1:InvoiceSeason">
      <xmlColumnPr mapId="2" xpath="/ns1:ReportDataObject/ns1:FactoryPaymentOverviewRpt_function_getInvoiceData/ns1:InvoiceSeason" xmlDataType="string"/>
    </tableColumn>
    <tableColumn id="7" uniqueName="ns1:CompanyNM" name="ns1:CompanyNM">
      <xmlColumnPr mapId="2" xpath="/ns1:ReportDataObject/ns1:FactoryPaymentOverviewRpt_function_getInvoiceData/ns1:CompanyNM" xmlDataType="string"/>
    </tableColumn>
    <tableColumn id="8" uniqueName="ns1:ClientUD" name="ns1:ClientUD">
      <xmlColumnPr mapId="2" xpath="/ns1:ReportDataObject/ns1:FactoryPaymentOverviewRpt_function_getInvoiceData/ns1:ClientUD" xmlDataType="string"/>
    </tableColumn>
    <tableColumn id="9" uniqueName="ns1:FactoryTotalAmount" name="ns1:FactoryTotalAmount">
      <xmlColumnPr mapId="2" xpath="/ns1:ReportDataObject/ns1:FactoryPaymentOverviewRpt_function_getInvoiceData/ns1:FactoryTotalAmount" xmlDataType="decimal"/>
    </tableColumn>
    <tableColumn id="10" uniqueName="ns1:TotalAMount" name="ns1:TotalAMount">
      <xmlColumnPr mapId="2" xpath="/ns1:ReportDataObject/ns1:FactoryPaymentOverviewRpt_function_getInvoiceData/ns1:TotalAMount" xmlDataType="decimal"/>
    </tableColumn>
    <tableColumn id="11" uniqueName="ns1:PaymentDate" name="ns1:PaymentDate">
      <xmlColumnPr mapId="2" xpath="/ns1:ReportDataObject/ns1:FactoryPaymentOverviewRpt_function_getInvoiceData/ns1:PaymentDate" xmlDataType="date"/>
    </tableColumn>
    <tableColumn id="12" uniqueName="ns1:DPAmount" name="ns1:DPAmount">
      <xmlColumnPr mapId="2" xpath="/ns1:ReportDataObject/ns1:FactoryPaymentOverviewRpt_function_getInvoiceData/ns1:DPAmount" xmlDataType="decimal"/>
    </tableColumn>
    <tableColumn id="13" uniqueName="ns1:DPDeductedAmount" name="ns1:DPDeductedAmount">
      <xmlColumnPr mapId="2" xpath="/ns1:ReportDataObject/ns1:FactoryPaymentOverviewRpt_function_getInvoiceData/ns1:DPDeductedAmount" xmlDataType="decimal"/>
    </tableColumn>
    <tableColumn id="14" uniqueName="ns1:PaymentAmount" name="ns1:PaymentAmount">
      <xmlColumnPr mapId="2" xpath="/ns1:ReportDataObject/ns1:FactoryPaymentOverviewRpt_function_getInvoiceData/ns1:PaymentAmount" xmlDataType="decimal"/>
    </tableColumn>
    <tableColumn id="15" uniqueName="ns1:PaidAmount" name="ns1:PaidAmount">
      <xmlColumnPr mapId="2" xpath="/ns1:ReportDataObject/ns1:FactoryPaymentOverviewRpt_function_getInvoiceData/ns1:PaidAmount" xmlDataType="decimal"/>
    </tableColumn>
    <tableColumn id="16" uniqueName="ns1:ToBePaid" name="ns1:ToBePaid">
      <xmlColumnPr mapId="2" xpath="/ns1:ReportDataObject/ns1:FactoryPaymentOverviewRpt_function_getInvoiceData/ns1:ToBePaid" xmlDataType="decimal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O2" tableType="xml" insertRow="1" totalsRowShown="0" connectionId="1">
  <autoFilter ref="A1:O2"/>
  <tableColumns count="15">
    <tableColumn id="1" uniqueName="ns1:PurchasingInvoiceID" name="ns1:PurchasingInvoiceID">
      <xmlColumnPr mapId="2" xpath="/ns1:ReportDataObject/ns1:FactoryPaymentOverviewRpt_function_getDetailData/ns1:PurchasingInvoiceID" xmlDataType="int"/>
    </tableColumn>
    <tableColumn id="2" uniqueName="ns1:Season" name="ns1:Season">
      <xmlColumnPr mapId="2" xpath="/ns1:ReportDataObject/ns1:FactoryPaymentOverviewRpt_function_getDetailData/ns1:Season" xmlDataType="string"/>
    </tableColumn>
    <tableColumn id="3" uniqueName="ns1:ProformaInvoiceNo" name="ns1:ProformaInvoiceNo">
      <xmlColumnPr mapId="2" xpath="/ns1:ReportDataObject/ns1:FactoryPaymentOverviewRpt_function_getDetailData/ns1:ProformaInvoiceNo" xmlDataType="string"/>
    </tableColumn>
    <tableColumn id="4" uniqueName="ns1:ClientUD" name="ns1:ClientUD">
      <xmlColumnPr mapId="2" xpath="/ns1:ReportDataObject/ns1:FactoryPaymentOverviewRpt_function_getDetailData/ns1:ClientUD" xmlDataType="string"/>
    </tableColumn>
    <tableColumn id="5" uniqueName="ns1:ArticleCode" name="ns1:ArticleCode">
      <xmlColumnPr mapId="2" xpath="/ns1:ReportDataObject/ns1:FactoryPaymentOverviewRpt_function_getDetailData/ns1:ArticleCode" xmlDataType="string"/>
    </tableColumn>
    <tableColumn id="6" uniqueName="ns1:Description" name="ns1:Description">
      <xmlColumnPr mapId="2" xpath="/ns1:ReportDataObject/ns1:FactoryPaymentOverviewRpt_function_getDetailData/ns1:Description" xmlDataType="string"/>
    </tableColumn>
    <tableColumn id="7" uniqueName="ns1:ContainerNo" name="ns1:ContainerNo">
      <xmlColumnPr mapId="2" xpath="/ns1:ReportDataObject/ns1:FactoryPaymentOverviewRpt_function_getDetailData/ns1:ContainerNo" xmlDataType="string"/>
    </tableColumn>
    <tableColumn id="8" uniqueName="ns1:FactoryQnt" name="ns1:FactoryQnt">
      <xmlColumnPr mapId="2" xpath="/ns1:ReportDataObject/ns1:FactoryPaymentOverviewRpt_function_getDetailData/ns1:FactoryQnt" xmlDataType="int"/>
    </tableColumn>
    <tableColumn id="9" uniqueName="ns1:FactoryPrice" name="ns1:FactoryPrice">
      <xmlColumnPr mapId="2" xpath="/ns1:ReportDataObject/ns1:FactoryPaymentOverviewRpt_function_getDetailData/ns1:FactoryPrice" xmlDataType="decimal"/>
    </tableColumn>
    <tableColumn id="10" uniqueName="ns1:FactoryAmount" name="ns1:FactoryAmount">
      <xmlColumnPr mapId="2" xpath="/ns1:ReportDataObject/ns1:FactoryPaymentOverviewRpt_function_getDetailData/ns1:FactoryAmount" xmlDataType="decimal"/>
    </tableColumn>
    <tableColumn id="11" uniqueName="ns1:FactoryInvoiceNo" name="ns1:FactoryInvoiceNo">
      <xmlColumnPr mapId="2" xpath="/ns1:ReportDataObject/ns1:FactoryPaymentOverviewRpt_function_getDetailData/ns1:FactoryInvoiceNo" xmlDataType="string"/>
    </tableColumn>
    <tableColumn id="12" uniqueName="ns1:Quantity" name="ns1:Quantity">
      <xmlColumnPr mapId="2" xpath="/ns1:ReportDataObject/ns1:FactoryPaymentOverviewRpt_function_getDetailData/ns1:Quantity" xmlDataType="int"/>
    </tableColumn>
    <tableColumn id="13" uniqueName="ns1:UnitPrice" name="ns1:UnitPrice">
      <xmlColumnPr mapId="2" xpath="/ns1:ReportDataObject/ns1:FactoryPaymentOverviewRpt_function_getDetailData/ns1:UnitPrice" xmlDataType="decimal"/>
    </tableColumn>
    <tableColumn id="14" uniqueName="ns1:FurnindoAmount" name="ns1:FurnindoAmount">
      <xmlColumnPr mapId="2" xpath="/ns1:ReportDataObject/ns1:FactoryPaymentOverviewRpt_function_getDetailData/ns1:FurnindoAmount" xmlDataType="decimal"/>
    </tableColumn>
    <tableColumn id="15" uniqueName="ns1:SupplierID" name="ns1:SupplierID">
      <xmlColumnPr mapId="2" xpath="/ns1:ReportDataObject/ns1:FactoryPaymentOverviewRpt_function_getDetailData/ns1:SupplierID" xmlDataType="int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B2" tableType="xml" insertRow="1" totalsRowShown="0" connectionId="1">
  <autoFilter ref="A1:B2"/>
  <tableColumns count="2">
    <tableColumn id="1" uniqueName="ns1:FactoryCostTypeNM" name="ns1:FactoryCostTypeNM" dataDxfId="0">
      <xmlColumnPr mapId="2" xpath="/ns1:ReportDataObject/ns1:FactoryPaymentOverviewRpt_function_getTotalExtraData/ns1:FactoryCostTypeNM" xmlDataType="string"/>
    </tableColumn>
    <tableColumn id="2" uniqueName="ns1:TotalAMount" name="ns1:TotalAMount">
      <xmlColumnPr mapId="2" xpath="/ns1:ReportDataObject/ns1:FactoryPaymentOverviewRpt_function_getTotalExtraData/ns1:TotalAMount" xmlDataType="decimal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4" r="C1" connectionId="1">
    <xmlCellPr id="1" uniqueName="ns1:SupplierNM">
      <xmlPr mapId="2" xpath="/ns1:ReportDataObject/ns1:ReportHeader/ns1:SupplierNM" xmlDataType="string"/>
    </xmlCellPr>
  </singleXmlCell>
  <singleXmlCell id="5" r="C2" connectionId="1">
    <xmlCellPr id="1" uniqueName="ns1:Season">
      <xmlPr mapId="2" xpath="/ns1:ReportDataObject/ns1:ReportHeader/ns1:Season" xmlDataType="string"/>
    </xmlCellPr>
  </singleXmlCell>
</singleXmlCells>
</file>

<file path=xl/tables/tableSingleCells2.xml><?xml version="1.0" encoding="utf-8"?>
<singleXmlCells xmlns="http://schemas.openxmlformats.org/spreadsheetml/2006/main">
  <singleXmlCell id="6" r="C4" connectionId="1">
    <xmlCellPr id="1" uniqueName="ns1:DebtAmount">
      <xmlPr mapId="2" xpath="/ns1:ReportDataObject/ns1:FactoryPaymentOverviewRpt_function_getTotalData/ns1:DebtAmount" xmlDataType="decimal"/>
    </xmlCellPr>
  </singleXmlCell>
  <singleXmlCell id="7" r="F5" connectionId="1">
    <xmlCellPr id="1" uniqueName="ns1:DPBeginBalanceAmount">
      <xmlPr mapId="2" xpath="/ns1:ReportDataObject/ns1:FactoryPaymentOverviewRpt_function_getTotalData/ns1:DPBeginBalanceAmount" xmlDataType="decimal"/>
    </xmlCellPr>
  </singleXmlCell>
  <singleXmlCell id="8" r="C6" connectionId="1">
    <xmlCellPr id="1" uniqueName="ns1:ProductCostAmount">
      <xmlPr mapId="2" xpath="/ns1:ReportDataObject/ns1:FactoryPaymentOverviewRpt_function_getTotalData/ns1:ProductCostAmount" xmlDataType="decimal"/>
    </xmlCellPr>
  </singleXmlCell>
  <singleXmlCell id="9" r="F7" connectionId="1">
    <xmlCellPr id="1" uniqueName="ns1:PaidAmount">
      <xmlPr mapId="2" xpath="/ns1:ReportDataObject/ns1:FactoryPaymentOverviewRpt_function_getTotalData/ns1:PaidAmount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"/>
  <sheetViews>
    <sheetView tabSelected="1" workbookViewId="0"/>
  </sheetViews>
  <sheetFormatPr defaultRowHeight="12.75" x14ac:dyDescent="0.2"/>
  <cols>
    <col min="1" max="1" width="3.7109375" style="3" bestFit="1" customWidth="1"/>
    <col min="2" max="2" width="11.42578125" style="3" bestFit="1" customWidth="1"/>
    <col min="3" max="3" width="36.28515625" style="3" bestFit="1" customWidth="1"/>
    <col min="4" max="4" width="18.7109375" style="3" bestFit="1" customWidth="1"/>
    <col min="5" max="5" width="10.42578125" style="3" bestFit="1" customWidth="1"/>
    <col min="6" max="6" width="12.28515625" style="3" bestFit="1" customWidth="1"/>
    <col min="7" max="7" width="9.140625" style="3" bestFit="1" customWidth="1"/>
    <col min="8" max="8" width="7.5703125" style="3" bestFit="1" customWidth="1"/>
    <col min="9" max="9" width="13.85546875" style="3" bestFit="1" customWidth="1"/>
    <col min="10" max="10" width="14.140625" style="3" bestFit="1" customWidth="1"/>
    <col min="11" max="11" width="11.85546875" style="3" bestFit="1" customWidth="1"/>
    <col min="12" max="12" width="5.5703125" style="3" bestFit="1" customWidth="1"/>
    <col min="13" max="13" width="13" style="3" customWidth="1"/>
    <col min="14" max="14" width="0.7109375" style="47" customWidth="1"/>
    <col min="15" max="15" width="12" style="3" bestFit="1" customWidth="1"/>
    <col min="16" max="16" width="16.42578125" style="3" customWidth="1"/>
    <col min="17" max="17" width="11.140625" style="3" bestFit="1" customWidth="1"/>
    <col min="18" max="18" width="10.85546875" style="3" bestFit="1" customWidth="1"/>
    <col min="19" max="19" width="12.28515625" style="3" bestFit="1" customWidth="1"/>
    <col min="20" max="20" width="15.5703125" style="3" bestFit="1" customWidth="1"/>
    <col min="21" max="21" width="11.140625" style="3" bestFit="1" customWidth="1"/>
    <col min="22" max="22" width="13.7109375" style="3" customWidth="1"/>
    <col min="23" max="16384" width="9.140625" style="3"/>
  </cols>
  <sheetData>
    <row r="1" spans="1:22" x14ac:dyDescent="0.2">
      <c r="A1" s="4"/>
      <c r="B1" s="5" t="s">
        <v>13</v>
      </c>
      <c r="C1" s="30"/>
      <c r="D1" s="5"/>
      <c r="E1" s="5"/>
      <c r="F1" s="5"/>
      <c r="G1" s="4"/>
      <c r="H1" s="4"/>
      <c r="I1" s="4"/>
      <c r="J1" s="4"/>
      <c r="K1" s="4"/>
      <c r="L1" s="4"/>
      <c r="M1" s="4"/>
      <c r="O1" s="4"/>
      <c r="P1" s="4"/>
      <c r="Q1" s="4"/>
      <c r="R1" s="4"/>
      <c r="S1" s="4"/>
      <c r="T1" s="4"/>
      <c r="U1" s="4"/>
      <c r="V1" s="4"/>
    </row>
    <row r="2" spans="1:22" x14ac:dyDescent="0.2">
      <c r="A2" s="4"/>
      <c r="B2" s="5" t="s">
        <v>14</v>
      </c>
      <c r="C2" s="30"/>
      <c r="D2" s="5"/>
      <c r="E2" s="5"/>
      <c r="F2" s="5"/>
      <c r="G2" s="4"/>
      <c r="H2" s="4"/>
      <c r="I2" s="4"/>
      <c r="J2" s="4"/>
      <c r="K2" s="4"/>
      <c r="L2" s="4"/>
      <c r="M2" s="4"/>
      <c r="O2" s="4"/>
      <c r="P2" s="4"/>
      <c r="Q2" s="4"/>
      <c r="R2" s="4"/>
      <c r="S2" s="4"/>
      <c r="T2" s="4"/>
      <c r="U2" s="4"/>
      <c r="V2" s="4"/>
    </row>
    <row r="3" spans="1:22" ht="25.5" x14ac:dyDescent="0.2">
      <c r="A3" s="1" t="s">
        <v>0</v>
      </c>
      <c r="B3" s="1" t="s">
        <v>31</v>
      </c>
      <c r="C3" s="1" t="s">
        <v>32</v>
      </c>
      <c r="D3" s="1" t="s">
        <v>1</v>
      </c>
      <c r="E3" s="1" t="s">
        <v>2</v>
      </c>
      <c r="F3" s="1" t="s">
        <v>33</v>
      </c>
      <c r="G3" s="1" t="s">
        <v>3</v>
      </c>
      <c r="H3" s="1" t="s">
        <v>4</v>
      </c>
      <c r="I3" s="1" t="s">
        <v>5</v>
      </c>
      <c r="J3" s="2" t="s">
        <v>6</v>
      </c>
      <c r="K3" s="1" t="s">
        <v>7</v>
      </c>
      <c r="L3" s="1" t="s">
        <v>34</v>
      </c>
      <c r="M3" s="1" t="s">
        <v>8</v>
      </c>
      <c r="N3" s="48"/>
      <c r="O3" s="1" t="s">
        <v>9</v>
      </c>
      <c r="P3" s="1" t="s">
        <v>10</v>
      </c>
      <c r="Q3" s="2" t="s">
        <v>35</v>
      </c>
      <c r="R3" s="1" t="s">
        <v>38</v>
      </c>
      <c r="S3" s="1" t="s">
        <v>36</v>
      </c>
      <c r="T3" s="1" t="s">
        <v>37</v>
      </c>
      <c r="U3" s="2" t="s">
        <v>11</v>
      </c>
      <c r="V3" s="1" t="s">
        <v>12</v>
      </c>
    </row>
    <row r="4" spans="1:22" x14ac:dyDescent="0.2">
      <c r="A4" s="52" t="s">
        <v>78</v>
      </c>
      <c r="B4" s="53"/>
      <c r="C4" s="53"/>
      <c r="D4" s="53"/>
      <c r="E4" s="53"/>
      <c r="F4" s="53"/>
      <c r="G4" s="53"/>
      <c r="H4" s="54"/>
      <c r="I4" s="33">
        <f>SUM(I8:I4191)</f>
        <v>0</v>
      </c>
      <c r="J4" s="34"/>
      <c r="K4" s="33">
        <f>SUM(K8:K4191)</f>
        <v>0</v>
      </c>
      <c r="L4" s="33">
        <f>SUM(L8:L4191)</f>
        <v>0</v>
      </c>
      <c r="M4" s="33">
        <f>SUM(M8:M4191)</f>
        <v>0</v>
      </c>
      <c r="N4" s="49"/>
      <c r="O4" s="34"/>
      <c r="P4" s="33">
        <f>SUM(P8:P4191)</f>
        <v>0</v>
      </c>
      <c r="Q4" s="33">
        <f>SUM(Q8:Q4191)</f>
        <v>0</v>
      </c>
      <c r="R4" s="33">
        <f>SUM(R8:R4191)</f>
        <v>0</v>
      </c>
      <c r="S4" s="33">
        <f>SUM(S8:S4191)</f>
        <v>0</v>
      </c>
      <c r="T4" s="33">
        <f>SUM(T8:T4191)</f>
        <v>0</v>
      </c>
      <c r="U4" s="34"/>
      <c r="V4" s="33">
        <f>SUM(V8:V4191)</f>
        <v>0</v>
      </c>
    </row>
    <row r="5" spans="1:22" x14ac:dyDescent="0.2">
      <c r="A5" s="52" t="s">
        <v>29</v>
      </c>
      <c r="B5" s="53"/>
      <c r="C5" s="53"/>
      <c r="D5" s="53"/>
      <c r="E5" s="53"/>
      <c r="F5" s="53"/>
      <c r="G5" s="53"/>
      <c r="H5" s="54"/>
      <c r="I5" s="33">
        <f>SUBTOTAL(9,I8:I4191)</f>
        <v>0</v>
      </c>
      <c r="J5" s="34"/>
      <c r="K5" s="33">
        <f>SUBTOTAL(9,K8:K4191)</f>
        <v>0</v>
      </c>
      <c r="L5" s="33">
        <f>SUBTOTAL(9,L8:L4191)</f>
        <v>0</v>
      </c>
      <c r="M5" s="33">
        <f>SUBTOTAL(9,M8:M4191)</f>
        <v>0</v>
      </c>
      <c r="N5" s="49"/>
      <c r="O5" s="34"/>
      <c r="P5" s="33">
        <f>SUBTOTAL(9,P8:P4191)</f>
        <v>0</v>
      </c>
      <c r="Q5" s="33">
        <f>SUBTOTAL(9,Q8:Q4191)</f>
        <v>0</v>
      </c>
      <c r="R5" s="33">
        <f>SUBTOTAL(9,R8:R4191)</f>
        <v>0</v>
      </c>
      <c r="S5" s="33">
        <f>SUBTOTAL(9,S8:S4191)</f>
        <v>0</v>
      </c>
      <c r="T5" s="33">
        <f>SUBTOTAL(9,T8:T4191)</f>
        <v>0</v>
      </c>
      <c r="U5" s="34"/>
      <c r="V5" s="33">
        <f>SUBTOTAL(9,V8:V4191)</f>
        <v>0</v>
      </c>
    </row>
    <row r="6" spans="1:22" x14ac:dyDescent="0.2">
      <c r="A6" s="52" t="s">
        <v>79</v>
      </c>
      <c r="B6" s="53"/>
      <c r="C6" s="53"/>
      <c r="D6" s="53"/>
      <c r="E6" s="53"/>
      <c r="F6" s="53"/>
      <c r="G6" s="53"/>
      <c r="H6" s="54"/>
      <c r="I6" s="33">
        <f>DETAIL!K5</f>
        <v>0</v>
      </c>
      <c r="J6" s="34"/>
      <c r="K6" s="33">
        <f>DETAIL!P5</f>
        <v>0</v>
      </c>
      <c r="L6" s="33"/>
      <c r="M6" s="33"/>
      <c r="N6" s="49"/>
      <c r="O6" s="34"/>
      <c r="P6" s="33"/>
      <c r="Q6" s="33"/>
      <c r="R6" s="33"/>
      <c r="S6" s="33"/>
      <c r="T6" s="33"/>
      <c r="U6" s="34"/>
      <c r="V6" s="33"/>
    </row>
    <row r="7" spans="1:22" x14ac:dyDescent="0.2">
      <c r="A7" s="32"/>
      <c r="B7" s="32"/>
      <c r="C7" s="32"/>
      <c r="D7" s="32"/>
      <c r="E7" s="32"/>
      <c r="F7" s="32"/>
      <c r="G7" s="32"/>
      <c r="H7" s="32"/>
      <c r="I7" s="31"/>
      <c r="J7" s="31"/>
      <c r="K7" s="31"/>
      <c r="L7" s="31"/>
      <c r="M7" s="31"/>
      <c r="N7" s="50"/>
      <c r="O7" s="31"/>
      <c r="P7" s="31"/>
      <c r="Q7" s="31"/>
      <c r="R7" s="31"/>
      <c r="S7" s="31"/>
      <c r="T7" s="31"/>
      <c r="U7" s="31"/>
      <c r="V7" s="31"/>
    </row>
    <row r="8" spans="1:22" x14ac:dyDescent="0.2">
      <c r="A8" s="22">
        <f>ROW()-7</f>
        <v>1</v>
      </c>
      <c r="B8" s="37" t="str">
        <f>InvoiceData!B2&amp;""</f>
        <v/>
      </c>
      <c r="C8" s="37" t="str">
        <f>InvoiceData!C2&amp;""</f>
        <v/>
      </c>
      <c r="D8" s="37" t="str">
        <f>InvoiceData!D2&amp;""</f>
        <v/>
      </c>
      <c r="E8" s="35" t="str">
        <f>IF(ISBLANK(InvoiceData!E2)=FALSE,InvoiceData!E2,"")</f>
        <v/>
      </c>
      <c r="F8" s="37" t="str">
        <f>InvoiceData!F2&amp;""</f>
        <v/>
      </c>
      <c r="G8" s="37" t="str">
        <f>InvoiceData!G2&amp;""</f>
        <v/>
      </c>
      <c r="H8" s="37" t="str">
        <f>InvoiceData!H2&amp;""</f>
        <v/>
      </c>
      <c r="I8" s="45">
        <f>InvoiceData!I2</f>
        <v>0</v>
      </c>
      <c r="J8" s="36">
        <f>I8</f>
        <v>0</v>
      </c>
      <c r="K8" s="46">
        <f>InvoiceData!J2</f>
        <v>0</v>
      </c>
      <c r="L8" s="36">
        <f>K8-I8</f>
        <v>0</v>
      </c>
      <c r="M8" s="36">
        <f>K8*2%</f>
        <v>0</v>
      </c>
      <c r="N8" s="51"/>
      <c r="O8" s="35" t="str">
        <f>IF(ISBLANK(InvoiceData!K2)=FALSE,InvoiceData!K2,"")</f>
        <v/>
      </c>
      <c r="P8" s="36">
        <f>InvoiceData!L2</f>
        <v>0</v>
      </c>
      <c r="Q8" s="36">
        <f>InvoiceData!M2</f>
        <v>0</v>
      </c>
      <c r="R8" s="36">
        <f>InvoiceData!N2</f>
        <v>0</v>
      </c>
      <c r="S8" s="36">
        <f>R8+Q8</f>
        <v>0</v>
      </c>
      <c r="T8" s="36">
        <f>InvoiceData!O2</f>
        <v>0</v>
      </c>
      <c r="U8" s="36">
        <f>T8</f>
        <v>0</v>
      </c>
      <c r="V8" s="36">
        <f>InvoiceData!P2</f>
        <v>0</v>
      </c>
    </row>
  </sheetData>
  <autoFilter ref="A7:V7"/>
  <mergeCells count="3">
    <mergeCell ref="A4:H4"/>
    <mergeCell ref="A5:H5"/>
    <mergeCell ref="A6:H6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opLeftCell="F1" workbookViewId="0"/>
  </sheetViews>
  <sheetFormatPr defaultRowHeight="12.75" x14ac:dyDescent="0.2"/>
  <cols>
    <col min="1" max="1" width="6.140625" style="3" customWidth="1"/>
    <col min="2" max="2" width="10.7109375" style="3" customWidth="1"/>
    <col min="3" max="3" width="8.7109375" style="3" customWidth="1"/>
    <col min="4" max="4" width="23" style="3" customWidth="1"/>
    <col min="5" max="5" width="53.5703125" style="3" customWidth="1"/>
    <col min="6" max="6" width="8.28515625" style="3" bestFit="1" customWidth="1"/>
    <col min="7" max="7" width="14.85546875" style="3" customWidth="1"/>
    <col min="8" max="8" width="11.28515625" style="3" customWidth="1"/>
    <col min="9" max="9" width="11.140625" style="3" customWidth="1"/>
    <col min="10" max="10" width="16.7109375" style="3" customWidth="1"/>
    <col min="11" max="11" width="16.5703125" style="3" customWidth="1"/>
    <col min="12" max="12" width="20.5703125" style="3" customWidth="1"/>
    <col min="13" max="13" width="1.28515625" style="3" customWidth="1"/>
    <col min="14" max="14" width="10.85546875" style="3" customWidth="1"/>
    <col min="15" max="15" width="13" style="3" customWidth="1"/>
    <col min="16" max="16" width="19.85546875" style="3" customWidth="1"/>
    <col min="17" max="16384" width="9.140625" style="3"/>
  </cols>
  <sheetData>
    <row r="1" spans="1:16" x14ac:dyDescent="0.2">
      <c r="A1" s="5" t="s">
        <v>13</v>
      </c>
      <c r="B1" s="4"/>
      <c r="C1" s="30">
        <f>INVOICE!C1</f>
        <v>0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">
      <c r="A2" s="5" t="s">
        <v>14</v>
      </c>
      <c r="B2" s="4"/>
      <c r="C2" s="30">
        <f>INVOICE!C2</f>
        <v>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5.5" x14ac:dyDescent="0.2">
      <c r="A3" s="6" t="s">
        <v>0</v>
      </c>
      <c r="B3" s="7" t="s">
        <v>15</v>
      </c>
      <c r="C3" s="7" t="s">
        <v>16</v>
      </c>
      <c r="D3" s="8" t="s">
        <v>17</v>
      </c>
      <c r="E3" s="8" t="s">
        <v>18</v>
      </c>
      <c r="F3" s="9" t="s">
        <v>19</v>
      </c>
      <c r="G3" s="7" t="s">
        <v>20</v>
      </c>
      <c r="H3" s="10" t="s">
        <v>21</v>
      </c>
      <c r="I3" s="11" t="s">
        <v>22</v>
      </c>
      <c r="J3" s="12" t="s">
        <v>23</v>
      </c>
      <c r="K3" s="13" t="s">
        <v>24</v>
      </c>
      <c r="L3" s="14" t="s">
        <v>25</v>
      </c>
      <c r="M3" s="15"/>
      <c r="N3" s="10" t="s">
        <v>21</v>
      </c>
      <c r="O3" s="11" t="s">
        <v>22</v>
      </c>
      <c r="P3" s="12" t="s">
        <v>23</v>
      </c>
    </row>
    <row r="4" spans="1:16" x14ac:dyDescent="0.2">
      <c r="A4" s="6"/>
      <c r="B4" s="7"/>
      <c r="C4" s="7"/>
      <c r="D4" s="8"/>
      <c r="E4" s="8"/>
      <c r="F4" s="9"/>
      <c r="G4" s="7"/>
      <c r="H4" s="55" t="s">
        <v>26</v>
      </c>
      <c r="I4" s="56"/>
      <c r="J4" s="56"/>
      <c r="K4" s="56"/>
      <c r="L4" s="57"/>
      <c r="M4" s="16"/>
      <c r="N4" s="58" t="s">
        <v>27</v>
      </c>
      <c r="O4" s="59"/>
      <c r="P4" s="60"/>
    </row>
    <row r="5" spans="1:16" x14ac:dyDescent="0.2">
      <c r="A5" s="19"/>
      <c r="B5" s="19"/>
      <c r="C5" s="19"/>
      <c r="D5" s="19"/>
      <c r="E5" s="20" t="s">
        <v>28</v>
      </c>
      <c r="F5" s="41">
        <f>SUM(F8:F4512)</f>
        <v>1</v>
      </c>
      <c r="G5" s="19"/>
      <c r="H5" s="42">
        <f>SUM(H8:H4512)</f>
        <v>0</v>
      </c>
      <c r="I5" s="19"/>
      <c r="J5" s="43">
        <f t="shared" ref="J5:K5" si="0">SUM(J8:J4512)</f>
        <v>0</v>
      </c>
      <c r="K5" s="43">
        <f t="shared" si="0"/>
        <v>0</v>
      </c>
      <c r="L5" s="19"/>
      <c r="M5" s="19"/>
      <c r="N5" s="42">
        <f>SUM(N8:N4512)</f>
        <v>0</v>
      </c>
      <c r="O5" s="19"/>
      <c r="P5" s="43">
        <f>SUM(P8:P4512)</f>
        <v>0</v>
      </c>
    </row>
    <row r="6" spans="1:16" x14ac:dyDescent="0.2">
      <c r="A6" s="19"/>
      <c r="B6" s="19"/>
      <c r="C6" s="19"/>
      <c r="D6" s="19"/>
      <c r="E6" s="20" t="s">
        <v>29</v>
      </c>
      <c r="F6" s="41">
        <f>SUBTOTAL(9,F8:F4512)</f>
        <v>1</v>
      </c>
      <c r="G6" s="19"/>
      <c r="H6" s="42">
        <f>SUBTOTAL(9,H8:H4512)</f>
        <v>0</v>
      </c>
      <c r="I6" s="19"/>
      <c r="J6" s="43">
        <f>SUBTOTAL(9,J8:J4512)</f>
        <v>0</v>
      </c>
      <c r="K6" s="43">
        <f>SUBTOTAL(9,K8:K4512)</f>
        <v>0</v>
      </c>
      <c r="L6" s="19"/>
      <c r="M6" s="19"/>
      <c r="N6" s="42">
        <f>SUBTOTAL(9,N8:N4512)</f>
        <v>0</v>
      </c>
      <c r="O6" s="19"/>
      <c r="P6" s="43">
        <f>SUBTOTAL(9,P8:P4512)</f>
        <v>0</v>
      </c>
    </row>
    <row r="7" spans="1:16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x14ac:dyDescent="0.2">
      <c r="A8" s="22">
        <f>ROW()-7</f>
        <v>1</v>
      </c>
      <c r="B8" s="37" t="str">
        <f>DetailData!C2&amp;""</f>
        <v/>
      </c>
      <c r="C8" s="37" t="str">
        <f>DetailData!D2&amp;""</f>
        <v/>
      </c>
      <c r="D8" s="38" t="str">
        <f>DetailData!E2&amp;""</f>
        <v/>
      </c>
      <c r="E8" s="38" t="str">
        <f>DetailData!F2&amp;""</f>
        <v/>
      </c>
      <c r="F8" s="39">
        <f>SUMPRODUCT(1/COUNTIF(G8:G8,G8:G8))</f>
        <v>1</v>
      </c>
      <c r="G8" s="37" t="str">
        <f>DetailData!G2&amp;""</f>
        <v/>
      </c>
      <c r="H8" s="44">
        <f>DetailData!H2</f>
        <v>0</v>
      </c>
      <c r="I8" s="36">
        <f>DetailData!I2</f>
        <v>0</v>
      </c>
      <c r="J8" s="36">
        <f>DetailData!J2</f>
        <v>0</v>
      </c>
      <c r="K8" s="40">
        <f>SUM(J8:J8)</f>
        <v>0</v>
      </c>
      <c r="L8" s="37" t="str">
        <f>DetailData!K2&amp;""</f>
        <v/>
      </c>
      <c r="M8" s="22"/>
      <c r="N8" s="44">
        <f>DetailData!L2</f>
        <v>0</v>
      </c>
      <c r="O8" s="36">
        <f>DetailData!M2</f>
        <v>0</v>
      </c>
      <c r="P8" s="36">
        <f>DetailData!N2</f>
        <v>0</v>
      </c>
    </row>
  </sheetData>
  <autoFilter ref="A7:P7"/>
  <mergeCells count="2">
    <mergeCell ref="H4:L4"/>
    <mergeCell ref="N4:P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A7" sqref="A7"/>
    </sheetView>
  </sheetViews>
  <sheetFormatPr defaultRowHeight="12.75" x14ac:dyDescent="0.2"/>
  <cols>
    <col min="1" max="1" width="18.5703125" style="3" customWidth="1"/>
    <col min="2" max="2" width="48.28515625" style="3" customWidth="1"/>
    <col min="3" max="7" width="16.7109375" style="3" customWidth="1"/>
    <col min="8" max="16384" width="9.140625" style="3"/>
  </cols>
  <sheetData>
    <row r="1" spans="1:7" x14ac:dyDescent="0.2">
      <c r="A1" s="5" t="s">
        <v>13</v>
      </c>
      <c r="B1" s="30">
        <f>INVOICE!C1</f>
        <v>0</v>
      </c>
      <c r="C1" s="5"/>
      <c r="D1" s="4"/>
      <c r="E1" s="4"/>
      <c r="F1" s="4"/>
      <c r="G1" s="4"/>
    </row>
    <row r="2" spans="1:7" x14ac:dyDescent="0.2">
      <c r="A2" s="5" t="s">
        <v>14</v>
      </c>
      <c r="B2" s="30">
        <f>INVOICE!C2</f>
        <v>0</v>
      </c>
      <c r="C2" s="5"/>
      <c r="D2" s="4"/>
      <c r="E2" s="4"/>
      <c r="F2" s="4"/>
      <c r="G2" s="4"/>
    </row>
    <row r="3" spans="1:7" ht="30.75" customHeight="1" x14ac:dyDescent="0.2">
      <c r="A3" s="1"/>
      <c r="B3" s="1" t="s">
        <v>30</v>
      </c>
      <c r="C3" s="1" t="s">
        <v>72</v>
      </c>
      <c r="D3" s="1" t="s">
        <v>73</v>
      </c>
      <c r="E3" s="1" t="s">
        <v>74</v>
      </c>
      <c r="F3" s="17" t="s">
        <v>71</v>
      </c>
      <c r="G3" s="18" t="s">
        <v>75</v>
      </c>
    </row>
    <row r="4" spans="1:7" ht="18" customHeight="1" x14ac:dyDescent="0.2">
      <c r="A4" s="24" t="s">
        <v>68</v>
      </c>
      <c r="B4" s="24" t="s">
        <v>69</v>
      </c>
      <c r="C4" s="27"/>
      <c r="D4" s="27"/>
      <c r="E4" s="27"/>
      <c r="F4" s="27"/>
      <c r="G4" s="27"/>
    </row>
    <row r="5" spans="1:7" ht="18" customHeight="1" x14ac:dyDescent="0.2">
      <c r="A5" s="23"/>
      <c r="B5" s="24" t="s">
        <v>76</v>
      </c>
      <c r="C5" s="27"/>
      <c r="D5" s="27"/>
      <c r="E5" s="27"/>
      <c r="F5" s="27"/>
      <c r="G5" s="27"/>
    </row>
    <row r="6" spans="1:7" ht="18" customHeight="1" x14ac:dyDescent="0.2">
      <c r="A6" s="23"/>
      <c r="B6" s="24" t="s">
        <v>70</v>
      </c>
      <c r="C6" s="27"/>
      <c r="D6" s="27"/>
      <c r="E6" s="27"/>
      <c r="F6" s="27"/>
      <c r="G6" s="27"/>
    </row>
    <row r="7" spans="1:7" ht="18" customHeight="1" x14ac:dyDescent="0.2">
      <c r="A7" s="23"/>
      <c r="B7" s="24" t="s">
        <v>71</v>
      </c>
      <c r="C7" s="27"/>
      <c r="D7" s="27"/>
      <c r="E7" s="27"/>
      <c r="F7" s="27"/>
      <c r="G7" s="27"/>
    </row>
    <row r="8" spans="1:7" ht="18" customHeight="1" x14ac:dyDescent="0.2">
      <c r="A8" s="22"/>
      <c r="B8" s="22"/>
      <c r="C8" s="28"/>
      <c r="D8" s="28"/>
      <c r="E8" s="28"/>
      <c r="F8" s="28"/>
      <c r="G8" s="28"/>
    </row>
    <row r="9" spans="1:7" ht="18" customHeight="1" x14ac:dyDescent="0.2">
      <c r="A9" s="22"/>
      <c r="B9" s="38" t="str">
        <f>IF(ISBLANK(ExtraData!A2)=FALSE,ExtraData!A2,"")</f>
        <v/>
      </c>
      <c r="C9" s="28"/>
      <c r="D9" s="28" t="str">
        <f>IF(ISBLANK(ExtraData!B2)=FALSE,ExtraData!B2,"")</f>
        <v/>
      </c>
      <c r="E9" s="28"/>
      <c r="F9" s="28"/>
      <c r="G9" s="28"/>
    </row>
    <row r="10" spans="1:7" ht="18" customHeight="1" x14ac:dyDescent="0.2">
      <c r="A10" s="22"/>
      <c r="B10" s="38" t="str">
        <f>IF(ISBLANK(ExtraData!A3)=FALSE,ExtraData!A3,"")</f>
        <v/>
      </c>
      <c r="C10" s="28"/>
      <c r="D10" s="28" t="str">
        <f>IF(ISBLANK(ExtraData!B3)=FALSE,ExtraData!B3,"")</f>
        <v/>
      </c>
      <c r="E10" s="28"/>
      <c r="F10" s="28"/>
      <c r="G10" s="28"/>
    </row>
    <row r="11" spans="1:7" ht="18" customHeight="1" x14ac:dyDescent="0.2">
      <c r="A11" s="22"/>
      <c r="B11" s="38" t="str">
        <f>IF(ISBLANK(ExtraData!A4)=FALSE,ExtraData!A4,"")</f>
        <v/>
      </c>
      <c r="C11" s="28"/>
      <c r="D11" s="28" t="str">
        <f>IF(ISBLANK(ExtraData!B4)=FALSE,ExtraData!B4,"")</f>
        <v/>
      </c>
      <c r="E11" s="28"/>
      <c r="F11" s="28"/>
      <c r="G11" s="28"/>
    </row>
    <row r="12" spans="1:7" ht="18" customHeight="1" x14ac:dyDescent="0.2">
      <c r="A12" s="22"/>
      <c r="B12" s="38" t="str">
        <f>IF(ISBLANK(ExtraData!A5)=FALSE,ExtraData!A5,"")</f>
        <v/>
      </c>
      <c r="C12" s="28"/>
      <c r="D12" s="28" t="str">
        <f>IF(ISBLANK(ExtraData!B5)=FALSE,ExtraData!B5,"")</f>
        <v/>
      </c>
      <c r="E12" s="28"/>
      <c r="F12" s="28"/>
      <c r="G12" s="28"/>
    </row>
    <row r="13" spans="1:7" ht="18" customHeight="1" x14ac:dyDescent="0.2">
      <c r="A13" s="22"/>
      <c r="B13" s="22"/>
      <c r="C13" s="28"/>
      <c r="D13" s="28"/>
      <c r="E13" s="28"/>
      <c r="F13" s="28"/>
      <c r="G13" s="28"/>
    </row>
    <row r="14" spans="1:7" ht="30.75" customHeight="1" x14ac:dyDescent="0.2">
      <c r="A14" s="25" t="s">
        <v>77</v>
      </c>
      <c r="B14" s="26"/>
      <c r="C14" s="29">
        <f>SUM(C4:C13)</f>
        <v>0</v>
      </c>
      <c r="D14" s="29">
        <f t="shared" ref="D14:F14" si="0">SUM(D4:D13)</f>
        <v>0</v>
      </c>
      <c r="E14" s="29">
        <f>C14+D14</f>
        <v>0</v>
      </c>
      <c r="F14" s="29">
        <f t="shared" si="0"/>
        <v>0</v>
      </c>
      <c r="G14" s="29">
        <f>F14-E14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"/>
  <sheetViews>
    <sheetView workbookViewId="0">
      <selection activeCell="J6" sqref="J6"/>
    </sheetView>
  </sheetViews>
  <sheetFormatPr defaultRowHeight="15" x14ac:dyDescent="0.25"/>
  <cols>
    <col min="1" max="9" width="11" customWidth="1"/>
    <col min="10" max="20" width="12" customWidth="1"/>
  </cols>
  <sheetData>
    <row r="1" spans="1:20" x14ac:dyDescent="0.2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</row>
    <row r="2" spans="1:20" x14ac:dyDescent="0.25">
      <c r="T2" s="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"/>
  <sheetViews>
    <sheetView workbookViewId="0">
      <selection activeCell="A4" sqref="A4"/>
    </sheetView>
  </sheetViews>
  <sheetFormatPr defaultRowHeight="15" x14ac:dyDescent="0.25"/>
  <cols>
    <col min="1" max="9" width="11" customWidth="1"/>
    <col min="10" max="15" width="12" customWidth="1"/>
  </cols>
  <sheetData>
    <row r="1" spans="1:15" x14ac:dyDescent="0.25">
      <c r="A1" t="s">
        <v>56</v>
      </c>
      <c r="B1" t="s">
        <v>39</v>
      </c>
      <c r="C1" t="s">
        <v>57</v>
      </c>
      <c r="D1" t="s">
        <v>46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42</v>
      </c>
      <c r="L1" t="s">
        <v>64</v>
      </c>
      <c r="M1" t="s">
        <v>65</v>
      </c>
      <c r="N1" t="s">
        <v>66</v>
      </c>
      <c r="O1" t="s">
        <v>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"/>
  <sheetViews>
    <sheetView workbookViewId="0">
      <selection activeCell="D5" sqref="D5"/>
    </sheetView>
  </sheetViews>
  <sheetFormatPr defaultRowHeight="15" x14ac:dyDescent="0.25"/>
  <cols>
    <col min="1" max="2" width="11" customWidth="1"/>
  </cols>
  <sheetData>
    <row r="1" spans="1:2" x14ac:dyDescent="0.25">
      <c r="A1" t="s">
        <v>55</v>
      </c>
      <c r="B1" t="s">
        <v>48</v>
      </c>
    </row>
    <row r="2" spans="1:2" x14ac:dyDescent="0.25">
      <c r="A2" s="2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INVOICE</vt:lpstr>
      <vt:lpstr>DETAIL</vt:lpstr>
      <vt:lpstr>TOTAL</vt:lpstr>
      <vt:lpstr>InvoiceData</vt:lpstr>
      <vt:lpstr>DetailData</vt:lpstr>
      <vt:lpstr>ExtraData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2016-12-14T06:28:03Z</dcterms:modified>
</cp:coreProperties>
</file>