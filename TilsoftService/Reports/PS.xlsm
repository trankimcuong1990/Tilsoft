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ilsoft\TILSOFTv1\SOLUTION\TilsoftService\Reports\"/>
    </mc:Choice>
  </mc:AlternateContent>
  <bookViews>
    <workbookView xWindow="360" yWindow="270" windowWidth="18795" windowHeight="11760"/>
  </bookViews>
  <sheets>
    <sheet name="PS" sheetId="2" r:id="rId1"/>
    <sheet name="Data1" sheetId="4" r:id="rId2"/>
    <sheet name="Data2" sheetId="5" r:id="rId3"/>
  </sheets>
  <definedNames>
    <definedName name="Excel_BuiltIn_Print_Area_1" localSheetId="0">#REF!</definedName>
    <definedName name="Excel_BuiltIn_Print_Area_1">#REF!</definedName>
    <definedName name="_xlnm.Print_Area" localSheetId="0">PS!$A$1:$U$79</definedName>
  </definedNames>
  <calcPr calcId="152511"/>
</workbook>
</file>

<file path=xl/calcChain.xml><?xml version="1.0" encoding="utf-8"?>
<calcChain xmlns="http://schemas.openxmlformats.org/spreadsheetml/2006/main">
  <c r="J12" i="2" l="1"/>
  <c r="A15" i="2"/>
  <c r="J27" i="2"/>
  <c r="A72" i="2" l="1"/>
  <c r="M68" i="2" l="1"/>
  <c r="A66" i="2"/>
  <c r="M61" i="2"/>
  <c r="M62" i="2"/>
  <c r="L62" i="2"/>
  <c r="L61" i="2"/>
  <c r="K62" i="2"/>
  <c r="K61" i="2"/>
  <c r="I61" i="2"/>
  <c r="G61" i="2"/>
  <c r="E61" i="2"/>
  <c r="D62" i="2"/>
  <c r="C62" i="2"/>
  <c r="B62" i="2"/>
  <c r="D61" i="2"/>
  <c r="C61" i="2"/>
  <c r="B61" i="2"/>
  <c r="O55" i="2"/>
  <c r="O54" i="2"/>
  <c r="O53" i="2"/>
  <c r="O52" i="2"/>
  <c r="O51" i="2"/>
  <c r="O49" i="2"/>
  <c r="O48" i="2"/>
  <c r="O47" i="2"/>
  <c r="T45" i="2"/>
  <c r="T44" i="2"/>
  <c r="R45" i="2"/>
  <c r="R44" i="2"/>
  <c r="P45" i="2"/>
  <c r="P44" i="2"/>
  <c r="C53" i="2"/>
  <c r="C52" i="2"/>
  <c r="C51" i="2"/>
  <c r="H48" i="2"/>
  <c r="H47" i="2"/>
  <c r="H46" i="2"/>
  <c r="H45" i="2"/>
  <c r="F48" i="2"/>
  <c r="F47" i="2"/>
  <c r="F46" i="2"/>
  <c r="F45" i="2"/>
  <c r="E48" i="2"/>
  <c r="E47" i="2"/>
  <c r="E46" i="2"/>
  <c r="E45" i="2"/>
  <c r="U40" i="2"/>
  <c r="N41" i="2"/>
  <c r="N40" i="2"/>
  <c r="U26" i="2"/>
  <c r="U25" i="2"/>
  <c r="N26" i="2"/>
  <c r="N25" i="2"/>
  <c r="M9" i="2"/>
  <c r="M8" i="2"/>
  <c r="C8" i="2"/>
  <c r="C7" i="2"/>
  <c r="C6" i="2"/>
  <c r="M10" i="2"/>
  <c r="M6" i="2"/>
  <c r="H79" i="2" s="1"/>
</calcChain>
</file>

<file path=xl/sharedStrings.xml><?xml version="1.0" encoding="utf-8"?>
<sst xmlns="http://schemas.openxmlformats.org/spreadsheetml/2006/main" count="154" uniqueCount="137">
  <si>
    <t>FactoryOrderDetailID</t>
  </si>
  <si>
    <t>ClientUD</t>
  </si>
  <si>
    <t>ArticleCode</t>
  </si>
  <si>
    <t>Description</t>
  </si>
  <si>
    <t>FactoryUD</t>
  </si>
  <si>
    <t>UpdatorName</t>
  </si>
  <si>
    <t>UpdatedDate</t>
  </si>
  <si>
    <t>ModelThumbnail</t>
  </si>
  <si>
    <t>MaterialThumbnail</t>
  </si>
  <si>
    <t>SubMaterialThumbnail</t>
  </si>
  <si>
    <t>SubMaterialOptionNM</t>
  </si>
  <si>
    <t>SubMaterialOptionUD</t>
  </si>
  <si>
    <t>MaterialColorNM</t>
  </si>
  <si>
    <t>MaterialColorUD</t>
  </si>
  <si>
    <t>CushionColorNM</t>
  </si>
  <si>
    <t>CushionColorUD</t>
  </si>
  <si>
    <t>FabricWeight</t>
  </si>
  <si>
    <t>OverallDimL</t>
  </si>
  <si>
    <t>OverallDimW</t>
  </si>
  <si>
    <t>OverallDimH</t>
  </si>
  <si>
    <t>SeatDimL</t>
  </si>
  <si>
    <t>SeatDimW</t>
  </si>
  <si>
    <t>SeatDimH</t>
  </si>
  <si>
    <t>ArmDimL</t>
  </si>
  <si>
    <t>ArmDimW</t>
  </si>
  <si>
    <t>ArmDimH</t>
  </si>
  <si>
    <t>OtherDimL</t>
  </si>
  <si>
    <t>OtherDimW</t>
  </si>
  <si>
    <t>OtherDimH</t>
  </si>
  <si>
    <t>SeatCushionDimL</t>
  </si>
  <si>
    <t>SeatCushionDimW</t>
  </si>
  <si>
    <t>SeatCushionDimH</t>
  </si>
  <si>
    <t>BackCushionDimL</t>
  </si>
  <si>
    <t>BackCushionDimW</t>
  </si>
  <si>
    <t>BackCushionDimH</t>
  </si>
  <si>
    <t>SeatCushionStuffing</t>
  </si>
  <si>
    <t>SeatCushionWeight</t>
  </si>
  <si>
    <t>SeatCushionParts</t>
  </si>
  <si>
    <t>MaterialDescription</t>
  </si>
  <si>
    <t>MaterialWeight</t>
  </si>
  <si>
    <t>NetWeight</t>
  </si>
  <si>
    <t>BackCushionType</t>
  </si>
  <si>
    <t>BackCushionStuffing</t>
  </si>
  <si>
    <t>BackCushionWeight</t>
  </si>
  <si>
    <t>BackCushionParts</t>
  </si>
  <si>
    <t>BackCushionFinishing</t>
  </si>
  <si>
    <t>ItemCartonBoxDimL</t>
  </si>
  <si>
    <t>ItemCartonBoxDimW</t>
  </si>
  <si>
    <t>ItemCartonBoxDimH</t>
  </si>
  <si>
    <t>ItemQnt20DC</t>
  </si>
  <si>
    <t>ItemQnt40DC</t>
  </si>
  <si>
    <t>ItemQnt40HC</t>
  </si>
  <si>
    <t>SetCartonBoxDimL</t>
  </si>
  <si>
    <t>SetCartonBoxDimW</t>
  </si>
  <si>
    <t>SetCartonBoxDimH</t>
  </si>
  <si>
    <t>SetQnt20DC</t>
  </si>
  <si>
    <t>SetQnt40DC</t>
  </si>
  <si>
    <t>SetQnt40HC</t>
  </si>
  <si>
    <t>QntInBox</t>
  </si>
  <si>
    <t>CartonPaperThickness</t>
  </si>
  <si>
    <t>GrossWeight</t>
  </si>
  <si>
    <t>Remark</t>
  </si>
  <si>
    <t>POLNM</t>
  </si>
  <si>
    <t>SignatureThumbnail</t>
  </si>
  <si>
    <t>000654</t>
  </si>
  <si>
    <t>F9LJ0103010434303000000A00</t>
  </si>
  <si>
    <t>MALLORCA ALCUDIA TABLE 110X110X63 CM / ALU BROWN / WICKER HALFROUND 7 MM RATTAN MIXED BROWN / GLASS TOP TRANSPARANT</t>
  </si>
  <si>
    <t>BIG-07-VHU</t>
  </si>
  <si>
    <t>5/21092016/a64c474125f14b2cb798fd354ba000a0.jpg</t>
  </si>
  <si>
    <t>9/18042016/a7bcfcdf0cd74ff7b95450d758928d0f.jpg</t>
  </si>
  <si>
    <t>GLASS TOP NONE</t>
  </si>
  <si>
    <t>0300</t>
  </si>
  <si>
    <t>RATTAN MIXED BROWN</t>
  </si>
  <si>
    <t>343</t>
  </si>
  <si>
    <t>NONE</t>
  </si>
  <si>
    <t>00</t>
  </si>
  <si>
    <t>110</t>
  </si>
  <si>
    <t>63</t>
  </si>
  <si>
    <t>WICKERHALFROUND 7 MM</t>
  </si>
  <si>
    <t>PRODUCT SHEET</t>
  </si>
  <si>
    <t>CLIENT:</t>
  </si>
  <si>
    <t>DATE:</t>
  </si>
  <si>
    <t>ART. CODE:</t>
  </si>
  <si>
    <t>VERSION:</t>
  </si>
  <si>
    <t>PRODUCT DESCRIPTION:</t>
  </si>
  <si>
    <t>LOC:</t>
  </si>
  <si>
    <t>CREATED BY</t>
  </si>
  <si>
    <t>CREATED DATE</t>
  </si>
  <si>
    <t>PIECE DETAILS:</t>
  </si>
  <si>
    <t>QNT/SET:</t>
  </si>
  <si>
    <t>REMARKS: THE BELOW PICTURE IS THE MODEL OF PRODUCT ONLY</t>
  </si>
  <si>
    <t>FOR ACTUAL MATERIALS, PLEASE SEE MAIN &amp; SUB MATERIAL</t>
  </si>
  <si>
    <t>SUB-MATERIAL:</t>
  </si>
  <si>
    <t>CODE</t>
  </si>
  <si>
    <t>COLOR / FINISHING MATERIAL:</t>
  </si>
  <si>
    <t>COLOR CUSHION:</t>
  </si>
  <si>
    <t>FABRIC WEIGHT M2:</t>
  </si>
  <si>
    <t>DIMENSIONS</t>
  </si>
  <si>
    <t>L</t>
  </si>
  <si>
    <t>W</t>
  </si>
  <si>
    <t>H</t>
  </si>
  <si>
    <t>SEAT CUSION DIMENSION (CM):</t>
  </si>
  <si>
    <t>OVERALL DIMENSION (CM):</t>
  </si>
  <si>
    <t>BACK CUSION DIMENSION (CM):</t>
  </si>
  <si>
    <t>SEAT DIMENSION (CM):</t>
  </si>
  <si>
    <t>ARM DIMENSION (CM):</t>
  </si>
  <si>
    <t>SEAT CUSHION STUFFING:</t>
  </si>
  <si>
    <t>OTHERS:</t>
  </si>
  <si>
    <t>SEAT CUSHION WEIGHT (GR):</t>
  </si>
  <si>
    <t>SEAT CUSHION PARTS:</t>
  </si>
  <si>
    <t>MAIN MATERIAL:</t>
  </si>
  <si>
    <t>BACK CUSHION TYPE:</t>
  </si>
  <si>
    <t>MATERIAL WEIGHT:</t>
  </si>
  <si>
    <t>BACK CUSHION STUFFING:</t>
  </si>
  <si>
    <t>NET WEIGHT ITEM (KG):</t>
  </si>
  <si>
    <t>BACK CUSHION WEIGHT (GR):</t>
  </si>
  <si>
    <t>BACK CUSHION PARTS:</t>
  </si>
  <si>
    <t>BACK CUSHION FINISHING:</t>
  </si>
  <si>
    <t>PACKAGING &amp; LOADABILITY</t>
  </si>
  <si>
    <t>PAPER WRAPPED
BOX SIZE (CM)</t>
  </si>
  <si>
    <t>QNT BOX</t>
  </si>
  <si>
    <t>CARTON / PAPER THICKNESS</t>
  </si>
  <si>
    <t>GROSS WEIGHT (KG)</t>
  </si>
  <si>
    <t>QNT CONTAINER</t>
  </si>
  <si>
    <t>PALLET SIZE (CM)</t>
  </si>
  <si>
    <t>PALLET CONTAINER</t>
  </si>
  <si>
    <t>20'</t>
  </si>
  <si>
    <t>40'</t>
  </si>
  <si>
    <t>40'HC</t>
  </si>
  <si>
    <t>ITEM:</t>
  </si>
  <si>
    <t>SET:</t>
  </si>
  <si>
    <t>REMARKS (TECHNICAL)</t>
  </si>
  <si>
    <t>BUYING TERMS</t>
  </si>
  <si>
    <t>PORT OF LOADING:</t>
  </si>
  <si>
    <t>SIGNATURE EUROFURNINDO:</t>
  </si>
  <si>
    <t>SIGNATURE EUROFAR</t>
  </si>
  <si>
    <t>NAME: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</si>
</sst>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9">
    <numFmt numFmtId="43" formatCode="_(* #,##0.00_);_(* \(#,##0.00\);_(* &quot;-&quot;??_);_(@_)"/>
    <numFmt numFmtId="164" formatCode="_-* #,##0_-;\-* #,##0_-;_-* &quot;-&quot;_-;_-@_-"/>
    <numFmt numFmtId="165" formatCode="&quot;€&quot;\ #,##0.00_-;&quot;€&quot;\ #,##0.00\-"/>
    <numFmt numFmtId="166" formatCode="&quot;€&quot;\ #,##0.00_-;[Red]&quot;€&quot;\ #,##0.00\-"/>
    <numFmt numFmtId="167" formatCode="[$-409]d\-mmm\-yy;@"/>
    <numFmt numFmtId="168" formatCode="0.0"/>
    <numFmt numFmtId="169" formatCode="[$-413]d/mmm/yy;@"/>
    <numFmt numFmtId="170" formatCode="_-* #,##0\ _B_F_-;\-* #,##0\ _B_F_-;_-* &quot;-&quot;\ _B_F_-;_-@_-"/>
    <numFmt numFmtId="171" formatCode="_ * #,##0.00_ ;_ * \-#,##0.00_ ;_ * &quot;-&quot;??_ ;_ @_ "/>
    <numFmt numFmtId="172" formatCode="00.000"/>
    <numFmt numFmtId="173" formatCode="_(* #,##0.00_);_(* \(#,##0.00\);_(* \-??_);_(@_)"/>
    <numFmt numFmtId="174" formatCode="_([$€]* #,##0.00_);_([$€]* \(#,##0.00\);_([$€]* &quot;-&quot;??_);_(@_)"/>
    <numFmt numFmtId="175" formatCode="[$$-409]#,##0.00"/>
    <numFmt numFmtId="176" formatCode="#,##0\ &quot;DM&quot;;\-#,##0\ &quot;DM&quot;"/>
    <numFmt numFmtId="177" formatCode="0.000%"/>
    <numFmt numFmtId="178" formatCode="&quot;￥&quot;#,##0;&quot;￥&quot;\-#,##0"/>
    <numFmt numFmtId="179" formatCode="_-&quot;F&quot;* #,##0_-;\-&quot;F&quot;* #,##0_-;_-&quot;F&quot;* &quot;-&quot;_-;_-@_-"/>
    <numFmt numFmtId="180" formatCode="#,##0\ &quot;F&quot;;[Red]\-#,##0\ &quot;F&quot;"/>
    <numFmt numFmtId="181" formatCode="_-&quot;F&quot;* #,##0.00_-;\-&quot;F&quot;* #,##0.00_-;_-&quot;F&quot;* &quot;-&quot;??_-;_-@_-"/>
  </numFmts>
  <fonts count="35">
    <font>
      <sz val="11"/>
      <color theme="1"/>
      <name val="Calibri"/>
      <family val="2"/>
      <scheme val="minor"/>
    </font>
    <font>
      <sz val="10"/>
      <name val="Arial"/>
      <family val="2"/>
    </font>
    <font>
      <b/>
      <i/>
      <sz val="11"/>
      <name val="Arial"/>
      <family val="2"/>
    </font>
    <font>
      <b/>
      <sz val="20"/>
      <name val="Arial"/>
      <family val="2"/>
    </font>
    <font>
      <b/>
      <sz val="13"/>
      <name val="Arial"/>
      <family val="2"/>
    </font>
    <font>
      <sz val="13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indexed="10"/>
      <name val="Arial"/>
      <family val="2"/>
    </font>
    <font>
      <b/>
      <u/>
      <sz val="11"/>
      <name val="Arial"/>
      <family val="2"/>
    </font>
    <font>
      <sz val="12"/>
      <name val="宋体"/>
    </font>
    <font>
      <sz val="11"/>
      <color indexed="8"/>
      <name val="Calibri"/>
      <family val="2"/>
    </font>
    <font>
      <sz val="11"/>
      <name val="VNI-Times"/>
    </font>
    <font>
      <b/>
      <sz val="12"/>
      <name val="Arial"/>
      <family val="2"/>
    </font>
    <font>
      <u/>
      <sz val="12"/>
      <color indexed="12"/>
      <name val="VNtimes new roman"/>
    </font>
    <font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b/>
      <sz val="9"/>
      <name val="Arial"/>
      <family val="2"/>
    </font>
    <font>
      <sz val="12"/>
      <name val="新細明體"/>
    </font>
    <font>
      <sz val="12"/>
      <name val="Courier"/>
      <family val="3"/>
    </font>
    <font>
      <sz val="11"/>
      <name val="돋움"/>
      <family val="3"/>
    </font>
    <font>
      <sz val="10"/>
      <name val="굴림체"/>
      <family val="3"/>
    </font>
    <font>
      <sz val="10"/>
      <name val=" "/>
      <family val="1"/>
    </font>
    <font>
      <sz val="12"/>
      <name val="Times New Roman"/>
      <family val="1"/>
    </font>
    <font>
      <sz val="11"/>
      <color theme="1"/>
      <name val="Calibri"/>
      <family val="2"/>
      <scheme val="minor"/>
    </font>
    <font>
      <u/>
      <sz val="8.25"/>
      <color theme="10"/>
      <name val="Calibri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52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auto="1"/>
      </bottom>
      <diagonal/>
    </border>
  </borders>
  <cellStyleXfs count="109">
    <xf numFmtId="0" fontId="0" fillId="0" borderId="0"/>
    <xf numFmtId="170" fontId="10" fillId="0" borderId="0"/>
    <xf numFmtId="171" fontId="11" fillId="0" borderId="0"/>
    <xf numFmtId="171" fontId="11" fillId="0" borderId="0"/>
    <xf numFmtId="171" fontId="11" fillId="0" borderId="0"/>
    <xf numFmtId="171" fontId="11" fillId="0" borderId="0"/>
    <xf numFmtId="171" fontId="11" fillId="0" borderId="0"/>
    <xf numFmtId="171" fontId="11" fillId="0" borderId="0"/>
    <xf numFmtId="172" fontId="11" fillId="0" borderId="0"/>
    <xf numFmtId="172" fontId="11" fillId="0" borderId="0"/>
    <xf numFmtId="172" fontId="11" fillId="0" borderId="0"/>
    <xf numFmtId="172" fontId="26" fillId="0" borderId="0"/>
    <xf numFmtId="172" fontId="26" fillId="0" borderId="0"/>
    <xf numFmtId="43" fontId="12" fillId="0" borderId="0"/>
    <xf numFmtId="43" fontId="1" fillId="0" borderId="0"/>
    <xf numFmtId="0" fontId="1" fillId="0" borderId="0"/>
    <xf numFmtId="43" fontId="26" fillId="0" borderId="0"/>
    <xf numFmtId="172" fontId="26" fillId="0" borderId="0"/>
    <xf numFmtId="172" fontId="26" fillId="0" borderId="0"/>
    <xf numFmtId="172" fontId="26" fillId="0" borderId="0"/>
    <xf numFmtId="172" fontId="26" fillId="0" borderId="0"/>
    <xf numFmtId="172" fontId="26" fillId="0" borderId="0"/>
    <xf numFmtId="172" fontId="26" fillId="0" borderId="0"/>
    <xf numFmtId="172" fontId="26" fillId="0" borderId="0"/>
    <xf numFmtId="172" fontId="26" fillId="0" borderId="0"/>
    <xf numFmtId="172" fontId="26" fillId="0" borderId="0"/>
    <xf numFmtId="172" fontId="26" fillId="0" borderId="0"/>
    <xf numFmtId="173" fontId="1" fillId="0" borderId="0"/>
    <xf numFmtId="43" fontId="11" fillId="0" borderId="0"/>
    <xf numFmtId="166" fontId="11" fillId="0" borderId="0"/>
    <xf numFmtId="165" fontId="26" fillId="0" borderId="0"/>
    <xf numFmtId="43" fontId="11" fillId="0" borderId="0"/>
    <xf numFmtId="43" fontId="11" fillId="0" borderId="0"/>
    <xf numFmtId="166" fontId="11" fillId="0" borderId="0"/>
    <xf numFmtId="165" fontId="26" fillId="0" borderId="0"/>
    <xf numFmtId="171" fontId="11" fillId="0" borderId="0"/>
    <xf numFmtId="171" fontId="11" fillId="0" borderId="0"/>
    <xf numFmtId="166" fontId="11" fillId="0" borderId="0"/>
    <xf numFmtId="171" fontId="11" fillId="0" borderId="0"/>
    <xf numFmtId="171" fontId="11" fillId="0" borderId="0"/>
    <xf numFmtId="171" fontId="11" fillId="0" borderId="0"/>
    <xf numFmtId="172" fontId="11" fillId="0" borderId="0"/>
    <xf numFmtId="166" fontId="11" fillId="0" borderId="0"/>
    <xf numFmtId="172" fontId="11" fillId="0" borderId="0"/>
    <xf numFmtId="166" fontId="11" fillId="0" borderId="0"/>
    <xf numFmtId="172" fontId="11" fillId="0" borderId="0"/>
    <xf numFmtId="166" fontId="11" fillId="0" borderId="0"/>
    <xf numFmtId="166" fontId="11" fillId="0" borderId="0"/>
    <xf numFmtId="165" fontId="26" fillId="0" borderId="0"/>
    <xf numFmtId="168" fontId="11" fillId="0" borderId="0"/>
    <xf numFmtId="43" fontId="26" fillId="0" borderId="0"/>
    <xf numFmtId="43" fontId="11" fillId="0" borderId="0"/>
    <xf numFmtId="171" fontId="11" fillId="0" borderId="0"/>
    <xf numFmtId="171" fontId="11" fillId="0" borderId="0"/>
    <xf numFmtId="171" fontId="11" fillId="0" borderId="0"/>
    <xf numFmtId="174" fontId="1" fillId="0" borderId="0"/>
    <xf numFmtId="0" fontId="13" fillId="0" borderId="1">
      <alignment horizontal="left" vertical="center"/>
    </xf>
    <xf numFmtId="0" fontId="13" fillId="0" borderId="2">
      <alignment horizontal="left" vertical="center"/>
    </xf>
    <xf numFmtId="0" fontId="27" fillId="0" borderId="0">
      <alignment vertical="top"/>
      <protection locked="0"/>
    </xf>
    <xf numFmtId="0" fontId="14" fillId="0" borderId="0">
      <alignment vertical="top"/>
      <protection locked="0"/>
    </xf>
    <xf numFmtId="43" fontId="12" fillId="0" borderId="0"/>
    <xf numFmtId="0" fontId="15" fillId="0" borderId="0"/>
    <xf numFmtId="0" fontId="1" fillId="0" borderId="0"/>
    <xf numFmtId="0" fontId="1" fillId="0" borderId="0"/>
    <xf numFmtId="0" fontId="1" fillId="0" borderId="0"/>
    <xf numFmtId="170" fontId="1" fillId="0" borderId="0"/>
    <xf numFmtId="0" fontId="11" fillId="0" borderId="0"/>
    <xf numFmtId="0" fontId="26" fillId="0" borderId="0"/>
    <xf numFmtId="175" fontId="26" fillId="0" borderId="0"/>
    <xf numFmtId="170" fontId="1" fillId="0" borderId="0"/>
    <xf numFmtId="0" fontId="1" fillId="0" borderId="0"/>
    <xf numFmtId="0" fontId="11" fillId="0" borderId="0"/>
    <xf numFmtId="0" fontId="1" fillId="0" borderId="0"/>
    <xf numFmtId="170" fontId="26" fillId="0" borderId="0"/>
    <xf numFmtId="170" fontId="11" fillId="0" borderId="0"/>
    <xf numFmtId="0" fontId="1" fillId="0" borderId="0"/>
    <xf numFmtId="0" fontId="26" fillId="0" borderId="0"/>
    <xf numFmtId="0" fontId="1" fillId="0" borderId="0"/>
    <xf numFmtId="170" fontId="26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0" fontId="12" fillId="0" borderId="0"/>
    <xf numFmtId="0" fontId="26" fillId="0" borderId="0"/>
    <xf numFmtId="0" fontId="1" fillId="0" borderId="0"/>
    <xf numFmtId="170" fontId="1" fillId="0" borderId="0"/>
    <xf numFmtId="170" fontId="1" fillId="0" borderId="0"/>
    <xf numFmtId="0" fontId="24" fillId="0" borderId="0"/>
    <xf numFmtId="0" fontId="24" fillId="0" borderId="0"/>
    <xf numFmtId="0" fontId="25" fillId="0" borderId="0">
      <alignment vertical="center"/>
    </xf>
    <xf numFmtId="40" fontId="16" fillId="0" borderId="0"/>
    <xf numFmtId="38" fontId="16" fillId="0" borderId="0"/>
    <xf numFmtId="0" fontId="16" fillId="0" borderId="0"/>
    <xf numFmtId="0" fontId="16" fillId="0" borderId="0"/>
    <xf numFmtId="9" fontId="17" fillId="0" borderId="0"/>
    <xf numFmtId="0" fontId="18" fillId="0" borderId="0"/>
    <xf numFmtId="176" fontId="22" fillId="0" borderId="0"/>
    <xf numFmtId="177" fontId="22" fillId="0" borderId="0"/>
    <xf numFmtId="178" fontId="22" fillId="0" borderId="0"/>
    <xf numFmtId="172" fontId="22" fillId="0" borderId="0"/>
    <xf numFmtId="0" fontId="23" fillId="0" borderId="0"/>
    <xf numFmtId="0" fontId="19" fillId="0" borderId="0"/>
    <xf numFmtId="164" fontId="20" fillId="0" borderId="0"/>
    <xf numFmtId="40" fontId="21" fillId="0" borderId="0"/>
    <xf numFmtId="0" fontId="1" fillId="0" borderId="0"/>
    <xf numFmtId="179" fontId="20" fillId="0" borderId="0"/>
    <xf numFmtId="180" fontId="21" fillId="0" borderId="0"/>
    <xf numFmtId="181" fontId="20" fillId="0" borderId="0"/>
  </cellStyleXfs>
  <cellXfs count="290">
    <xf numFmtId="0" fontId="0" fillId="0" borderId="0" xfId="0" applyNumberFormat="1" applyFont="1" applyFill="1" applyBorder="1"/>
    <xf numFmtId="0" fontId="1" fillId="2" borderId="0" xfId="81" applyNumberFormat="1" applyFont="1" applyFill="1" applyBorder="1"/>
    <xf numFmtId="0" fontId="8" fillId="2" borderId="0" xfId="82" applyNumberFormat="1" applyFont="1" applyFill="1" applyBorder="1" applyAlignment="1">
      <alignment vertical="top"/>
    </xf>
    <xf numFmtId="0" fontId="8" fillId="2" borderId="4" xfId="82" applyNumberFormat="1" applyFont="1" applyFill="1" applyBorder="1" applyAlignment="1">
      <alignment vertical="top"/>
    </xf>
    <xf numFmtId="0" fontId="8" fillId="2" borderId="3" xfId="82" applyNumberFormat="1" applyFont="1" applyFill="1" applyBorder="1" applyAlignment="1">
      <alignment vertical="top"/>
    </xf>
    <xf numFmtId="0" fontId="7" fillId="2" borderId="0" xfId="82" applyNumberFormat="1" applyFont="1" applyFill="1" applyBorder="1"/>
    <xf numFmtId="0" fontId="7" fillId="2" borderId="4" xfId="82" applyNumberFormat="1" applyFont="1" applyFill="1" applyBorder="1"/>
    <xf numFmtId="0" fontId="7" fillId="2" borderId="3" xfId="82" applyNumberFormat="1" applyFont="1" applyFill="1" applyBorder="1"/>
    <xf numFmtId="0" fontId="9" fillId="2" borderId="3" xfId="82" applyNumberFormat="1" applyFont="1" applyFill="1" applyBorder="1" applyAlignment="1">
      <alignment horizontal="left" wrapText="1"/>
    </xf>
    <xf numFmtId="0" fontId="7" fillId="2" borderId="0" xfId="82" applyNumberFormat="1" applyFont="1" applyFill="1" applyBorder="1" applyAlignment="1">
      <alignment vertical="center" wrapText="1"/>
    </xf>
    <xf numFmtId="0" fontId="7" fillId="2" borderId="4" xfId="82" applyNumberFormat="1" applyFont="1" applyFill="1" applyBorder="1" applyAlignment="1">
      <alignment horizontal="center" vertical="center" wrapText="1"/>
    </xf>
    <xf numFmtId="0" fontId="7" fillId="2" borderId="3" xfId="82" applyNumberFormat="1" applyFont="1" applyFill="1" applyBorder="1" applyAlignment="1">
      <alignment horizontal="right"/>
    </xf>
    <xf numFmtId="0" fontId="7" fillId="2" borderId="0" xfId="82" applyNumberFormat="1" applyFont="1" applyFill="1" applyBorder="1" applyAlignment="1">
      <alignment horizontal="center" vertical="center" wrapText="1"/>
    </xf>
    <xf numFmtId="0" fontId="26" fillId="2" borderId="0" xfId="67" applyNumberFormat="1" applyFont="1" applyFill="1" applyBorder="1"/>
    <xf numFmtId="0" fontId="28" fillId="2" borderId="0" xfId="67" applyNumberFormat="1" applyFont="1" applyFill="1" applyBorder="1"/>
    <xf numFmtId="0" fontId="6" fillId="2" borderId="0" xfId="81" applyNumberFormat="1" applyFont="1" applyFill="1" applyBorder="1" applyAlignment="1">
      <alignment horizontal="left"/>
    </xf>
    <xf numFmtId="0" fontId="6" fillId="2" borderId="3" xfId="81" applyNumberFormat="1" applyFont="1" applyFill="1" applyBorder="1" applyAlignment="1">
      <alignment horizontal="left"/>
    </xf>
    <xf numFmtId="0" fontId="7" fillId="2" borderId="0" xfId="82" applyNumberFormat="1" applyFont="1" applyFill="1" applyBorder="1" applyAlignment="1">
      <alignment horizontal="left"/>
    </xf>
    <xf numFmtId="0" fontId="7" fillId="2" borderId="8" xfId="82" applyNumberFormat="1" applyFont="1" applyFill="1" applyBorder="1" applyAlignment="1">
      <alignment horizontal="center" vertical="center"/>
    </xf>
    <xf numFmtId="0" fontId="26" fillId="2" borderId="0" xfId="67" applyNumberFormat="1" applyFont="1" applyFill="1" applyBorder="1"/>
    <xf numFmtId="0" fontId="6" fillId="2" borderId="14" xfId="82" applyNumberFormat="1" applyFont="1" applyFill="1" applyBorder="1" applyAlignment="1">
      <alignment vertical="top"/>
    </xf>
    <xf numFmtId="0" fontId="8" fillId="2" borderId="15" xfId="82" applyNumberFormat="1" applyFont="1" applyFill="1" applyBorder="1" applyAlignment="1">
      <alignment vertical="top"/>
    </xf>
    <xf numFmtId="0" fontId="26" fillId="2" borderId="3" xfId="67" applyNumberFormat="1" applyFont="1" applyFill="1" applyBorder="1"/>
    <xf numFmtId="0" fontId="2" fillId="2" borderId="14" xfId="82" applyNumberFormat="1" applyFont="1" applyFill="1" applyBorder="1"/>
    <xf numFmtId="0" fontId="1" fillId="2" borderId="15" xfId="82" applyNumberFormat="1" applyFont="1" applyFill="1" applyBorder="1"/>
    <xf numFmtId="0" fontId="3" fillId="2" borderId="15" xfId="82" applyNumberFormat="1" applyFont="1" applyFill="1" applyBorder="1"/>
    <xf numFmtId="0" fontId="3" fillId="2" borderId="16" xfId="82" applyNumberFormat="1" applyFont="1" applyFill="1" applyBorder="1"/>
    <xf numFmtId="0" fontId="3" fillId="2" borderId="14" xfId="82" applyNumberFormat="1" applyFont="1" applyFill="1" applyBorder="1" applyAlignment="1">
      <alignment vertical="center"/>
    </xf>
    <xf numFmtId="0" fontId="1" fillId="2" borderId="15" xfId="81" applyNumberFormat="1" applyFont="1" applyFill="1" applyBorder="1"/>
    <xf numFmtId="0" fontId="4" fillId="2" borderId="19" xfId="82" applyNumberFormat="1" applyFont="1" applyFill="1" applyBorder="1" applyAlignment="1">
      <alignment vertical="center"/>
    </xf>
    <xf numFmtId="0" fontId="2" fillId="2" borderId="20" xfId="82" applyNumberFormat="1" applyFont="1" applyFill="1" applyBorder="1"/>
    <xf numFmtId="0" fontId="5" fillId="2" borderId="1" xfId="82" applyNumberFormat="1" applyFont="1" applyFill="1" applyBorder="1" applyAlignment="1">
      <alignment vertical="center"/>
    </xf>
    <xf numFmtId="0" fontId="3" fillId="2" borderId="15" xfId="82" applyNumberFormat="1" applyFont="1" applyFill="1" applyBorder="1" applyAlignment="1">
      <alignment vertical="center"/>
    </xf>
    <xf numFmtId="0" fontId="4" fillId="2" borderId="15" xfId="82" applyNumberFormat="1" applyFont="1" applyFill="1" applyBorder="1" applyAlignment="1">
      <alignment vertical="center"/>
    </xf>
    <xf numFmtId="0" fontId="2" fillId="2" borderId="15" xfId="82" applyNumberFormat="1" applyFont="1" applyFill="1" applyBorder="1"/>
    <xf numFmtId="0" fontId="5" fillId="2" borderId="15" xfId="82" applyNumberFormat="1" applyFont="1" applyFill="1" applyBorder="1" applyAlignment="1">
      <alignment vertical="center"/>
    </xf>
    <xf numFmtId="0" fontId="5" fillId="2" borderId="15" xfId="82" applyNumberFormat="1" applyFont="1" applyFill="1" applyBorder="1" applyAlignment="1">
      <alignment horizontal="left" vertical="center"/>
    </xf>
    <xf numFmtId="0" fontId="5" fillId="2" borderId="0" xfId="82" applyNumberFormat="1" applyFont="1" applyFill="1" applyBorder="1" applyAlignment="1">
      <alignment horizontal="left" vertical="center"/>
    </xf>
    <xf numFmtId="0" fontId="5" fillId="2" borderId="4" xfId="82" applyNumberFormat="1" applyFont="1" applyFill="1" applyBorder="1" applyAlignment="1">
      <alignment horizontal="left" vertical="center"/>
    </xf>
    <xf numFmtId="0" fontId="2" fillId="2" borderId="3" xfId="82" applyNumberFormat="1" applyFont="1" applyFill="1" applyBorder="1"/>
    <xf numFmtId="0" fontId="1" fillId="2" borderId="0" xfId="82" applyNumberFormat="1" applyFont="1" applyFill="1" applyBorder="1"/>
    <xf numFmtId="0" fontId="3" fillId="2" borderId="0" xfId="82" applyNumberFormat="1" applyFont="1" applyFill="1" applyBorder="1"/>
    <xf numFmtId="0" fontId="3" fillId="2" borderId="0" xfId="82" applyNumberFormat="1" applyFont="1" applyFill="1" applyBorder="1" applyAlignment="1">
      <alignment vertical="center"/>
    </xf>
    <xf numFmtId="0" fontId="3" fillId="2" borderId="4" xfId="82" applyNumberFormat="1" applyFont="1" applyFill="1" applyBorder="1"/>
    <xf numFmtId="0" fontId="4" fillId="2" borderId="0" xfId="82" applyNumberFormat="1" applyFont="1" applyFill="1" applyBorder="1" applyAlignment="1">
      <alignment vertical="center"/>
    </xf>
    <xf numFmtId="0" fontId="2" fillId="2" borderId="0" xfId="82" applyNumberFormat="1" applyFont="1" applyFill="1" applyBorder="1"/>
    <xf numFmtId="0" fontId="5" fillId="2" borderId="0" xfId="82" applyNumberFormat="1" applyFont="1" applyFill="1" applyBorder="1" applyAlignment="1">
      <alignment vertical="center"/>
    </xf>
    <xf numFmtId="0" fontId="0" fillId="2" borderId="0" xfId="0" applyNumberFormat="1" applyFont="1" applyFill="1" applyBorder="1" applyAlignment="1">
      <alignment horizontal="left" vertical="center"/>
    </xf>
    <xf numFmtId="0" fontId="0" fillId="2" borderId="16" xfId="0" applyNumberFormat="1" applyFont="1" applyFill="1" applyBorder="1" applyAlignment="1">
      <alignment horizontal="left" vertical="center"/>
    </xf>
    <xf numFmtId="0" fontId="3" fillId="2" borderId="14" xfId="82" applyNumberFormat="1" applyFont="1" applyFill="1" applyBorder="1"/>
    <xf numFmtId="0" fontId="5" fillId="2" borderId="16" xfId="82" applyNumberFormat="1" applyFont="1" applyFill="1" applyBorder="1" applyAlignment="1">
      <alignment horizontal="left" vertical="center"/>
    </xf>
    <xf numFmtId="0" fontId="3" fillId="2" borderId="3" xfId="82" applyNumberFormat="1" applyFont="1" applyFill="1" applyBorder="1"/>
    <xf numFmtId="0" fontId="3" fillId="2" borderId="22" xfId="82" applyNumberFormat="1" applyFont="1" applyFill="1" applyBorder="1"/>
    <xf numFmtId="0" fontId="1" fillId="2" borderId="23" xfId="81" applyNumberFormat="1" applyFont="1" applyFill="1" applyBorder="1"/>
    <xf numFmtId="0" fontId="4" fillId="2" borderId="23" xfId="82" applyNumberFormat="1" applyFont="1" applyFill="1" applyBorder="1" applyAlignment="1">
      <alignment vertical="center"/>
    </xf>
    <xf numFmtId="0" fontId="2" fillId="2" borderId="23" xfId="82" applyNumberFormat="1" applyFont="1" applyFill="1" applyBorder="1"/>
    <xf numFmtId="0" fontId="5" fillId="2" borderId="23" xfId="82" applyNumberFormat="1" applyFont="1" applyFill="1" applyBorder="1" applyAlignment="1">
      <alignment vertical="center"/>
    </xf>
    <xf numFmtId="0" fontId="5" fillId="2" borderId="23" xfId="82" applyNumberFormat="1" applyFont="1" applyFill="1" applyBorder="1" applyAlignment="1">
      <alignment horizontal="left" vertical="center"/>
    </xf>
    <xf numFmtId="0" fontId="5" fillId="2" borderId="24" xfId="82" applyNumberFormat="1" applyFont="1" applyFill="1" applyBorder="1" applyAlignment="1">
      <alignment horizontal="left" vertical="center"/>
    </xf>
    <xf numFmtId="0" fontId="2" fillId="2" borderId="22" xfId="82" applyNumberFormat="1" applyFont="1" applyFill="1" applyBorder="1"/>
    <xf numFmtId="0" fontId="1" fillId="2" borderId="23" xfId="82" applyNumberFormat="1" applyFont="1" applyFill="1" applyBorder="1"/>
    <xf numFmtId="0" fontId="3" fillId="2" borderId="23" xfId="82" applyNumberFormat="1" applyFont="1" applyFill="1" applyBorder="1"/>
    <xf numFmtId="0" fontId="3" fillId="2" borderId="23" xfId="82" applyNumberFormat="1" applyFont="1" applyFill="1" applyBorder="1" applyAlignment="1">
      <alignment vertical="center"/>
    </xf>
    <xf numFmtId="0" fontId="3" fillId="2" borderId="24" xfId="82" applyNumberFormat="1" applyFont="1" applyFill="1" applyBorder="1"/>
    <xf numFmtId="0" fontId="6" fillId="2" borderId="3" xfId="81" applyNumberFormat="1" applyFont="1" applyFill="1" applyBorder="1"/>
    <xf numFmtId="0" fontId="7" fillId="2" borderId="26" xfId="82" applyNumberFormat="1" applyFont="1" applyFill="1" applyBorder="1" applyAlignment="1">
      <alignment horizontal="left"/>
    </xf>
    <xf numFmtId="0" fontId="30" fillId="2" borderId="3" xfId="82" applyNumberFormat="1" applyFont="1" applyFill="1" applyBorder="1" applyAlignment="1">
      <alignment vertical="top"/>
    </xf>
    <xf numFmtId="0" fontId="0" fillId="2" borderId="0" xfId="67" applyNumberFormat="1" applyFont="1" applyFill="1" applyBorder="1"/>
    <xf numFmtId="0" fontId="31" fillId="2" borderId="0" xfId="67" applyNumberFormat="1" applyFont="1" applyFill="1" applyBorder="1"/>
    <xf numFmtId="0" fontId="32" fillId="2" borderId="0" xfId="67" applyNumberFormat="1" applyFont="1" applyFill="1" applyBorder="1"/>
    <xf numFmtId="0" fontId="34" fillId="2" borderId="0" xfId="67" applyNumberFormat="1" applyFont="1" applyFill="1" applyBorder="1"/>
    <xf numFmtId="0" fontId="33" fillId="2" borderId="0" xfId="67" applyNumberFormat="1" applyFont="1" applyFill="1" applyBorder="1"/>
    <xf numFmtId="0" fontId="6" fillId="2" borderId="7" xfId="81" applyNumberFormat="1" applyFont="1" applyFill="1" applyBorder="1" applyAlignment="1">
      <alignment horizontal="left"/>
    </xf>
    <xf numFmtId="0" fontId="6" fillId="2" borderId="25" xfId="81" applyNumberFormat="1" applyFont="1" applyFill="1" applyBorder="1" applyAlignment="1">
      <alignment horizontal="left"/>
    </xf>
    <xf numFmtId="0" fontId="6" fillId="2" borderId="26" xfId="81" applyNumberFormat="1" applyFont="1" applyFill="1" applyBorder="1" applyAlignment="1">
      <alignment horizontal="left"/>
    </xf>
    <xf numFmtId="0" fontId="6" fillId="2" borderId="8" xfId="81" applyNumberFormat="1" applyFont="1" applyFill="1" applyBorder="1" applyAlignment="1">
      <alignment horizontal="left"/>
    </xf>
    <xf numFmtId="0" fontId="0" fillId="2" borderId="15" xfId="0" applyNumberFormat="1" applyFont="1" applyFill="1" applyBorder="1" applyAlignment="1">
      <alignment horizontal="left" vertical="center"/>
    </xf>
    <xf numFmtId="0" fontId="0" fillId="2" borderId="5" xfId="0" applyNumberFormat="1" applyFont="1" applyFill="1" applyBorder="1" applyAlignment="1">
      <alignment horizontal="left" vertical="center"/>
    </xf>
    <xf numFmtId="0" fontId="6" fillId="2" borderId="8" xfId="82" applyNumberFormat="1" applyFont="1" applyFill="1" applyBorder="1" applyAlignment="1">
      <alignment horizontal="center" vertical="center" wrapText="1"/>
    </xf>
    <xf numFmtId="0" fontId="6" fillId="2" borderId="9" xfId="81" applyNumberFormat="1" applyFont="1" applyFill="1" applyBorder="1" applyAlignment="1">
      <alignment horizontal="left"/>
    </xf>
    <xf numFmtId="0" fontId="6" fillId="2" borderId="34" xfId="82" applyNumberFormat="1" applyFont="1" applyFill="1" applyBorder="1" applyAlignment="1">
      <alignment horizontal="center"/>
    </xf>
    <xf numFmtId="0" fontId="6" fillId="2" borderId="8" xfId="82" applyNumberFormat="1" applyFont="1" applyFill="1" applyBorder="1" applyAlignment="1">
      <alignment horizontal="center"/>
    </xf>
    <xf numFmtId="0" fontId="6" fillId="2" borderId="30" xfId="81" applyNumberFormat="1" applyFont="1" applyFill="1" applyBorder="1" applyAlignment="1">
      <alignment horizontal="left"/>
    </xf>
    <xf numFmtId="0" fontId="6" fillId="2" borderId="51" xfId="81" applyNumberFormat="1" applyFont="1" applyFill="1" applyBorder="1" applyAlignment="1">
      <alignment horizontal="left"/>
    </xf>
    <xf numFmtId="0" fontId="6" fillId="2" borderId="7" xfId="82" applyNumberFormat="1" applyFont="1" applyFill="1" applyBorder="1" applyAlignment="1">
      <alignment horizontal="center" vertical="center"/>
    </xf>
    <xf numFmtId="0" fontId="0" fillId="2" borderId="9" xfId="0" applyNumberFormat="1" applyFont="1" applyFill="1" applyBorder="1"/>
    <xf numFmtId="0" fontId="6" fillId="2" borderId="9" xfId="82" applyNumberFormat="1" applyFont="1" applyFill="1" applyBorder="1" applyAlignment="1">
      <alignment horizontal="left"/>
    </xf>
    <xf numFmtId="0" fontId="6" fillId="2" borderId="31" xfId="82" applyNumberFormat="1" applyFont="1" applyFill="1" applyBorder="1"/>
    <xf numFmtId="0" fontId="6" fillId="2" borderId="2" xfId="82" applyNumberFormat="1" applyFont="1" applyFill="1" applyBorder="1"/>
    <xf numFmtId="0" fontId="6" fillId="2" borderId="8" xfId="81" applyNumberFormat="1" applyFont="1" applyFill="1" applyBorder="1" applyAlignment="1">
      <alignment horizontal="left"/>
    </xf>
    <xf numFmtId="0" fontId="0" fillId="2" borderId="8" xfId="0" applyNumberFormat="1" applyFont="1" applyFill="1" applyBorder="1"/>
    <xf numFmtId="0" fontId="0" fillId="2" borderId="30" xfId="0" applyNumberFormat="1" applyFont="1" applyFill="1" applyBorder="1"/>
    <xf numFmtId="0" fontId="28" fillId="0" borderId="49" xfId="0" applyNumberFormat="1" applyFont="1" applyFill="1" applyBorder="1" applyAlignment="1">
      <alignment horizontal="center" vertical="center"/>
    </xf>
    <xf numFmtId="0" fontId="0" fillId="2" borderId="10" xfId="0" applyNumberFormat="1" applyFont="1" applyFill="1" applyBorder="1"/>
    <xf numFmtId="0" fontId="6" fillId="2" borderId="7" xfId="82" applyNumberFormat="1" applyFont="1" applyFill="1" applyBorder="1" applyAlignment="1">
      <alignment horizontal="left"/>
    </xf>
    <xf numFmtId="0" fontId="6" fillId="2" borderId="8" xfId="82" applyNumberFormat="1" applyFont="1" applyFill="1" applyBorder="1" applyAlignment="1">
      <alignment horizontal="left"/>
    </xf>
    <xf numFmtId="0" fontId="6" fillId="2" borderId="30" xfId="82" applyNumberFormat="1" applyFont="1" applyFill="1" applyBorder="1" applyAlignment="1">
      <alignment horizontal="left"/>
    </xf>
    <xf numFmtId="0" fontId="6" fillId="2" borderId="8" xfId="82" applyNumberFormat="1" applyFont="1" applyFill="1" applyBorder="1" applyAlignment="1">
      <alignment horizontal="center" vertical="center"/>
    </xf>
    <xf numFmtId="0" fontId="7" fillId="2" borderId="8" xfId="82" applyNumberFormat="1" applyFont="1" applyFill="1" applyBorder="1" applyAlignment="1">
      <alignment horizontal="left" vertical="center"/>
    </xf>
    <xf numFmtId="0" fontId="7" fillId="2" borderId="10" xfId="81" applyNumberFormat="1" applyFont="1" applyFill="1" applyBorder="1" applyAlignment="1">
      <alignment horizontal="center"/>
    </xf>
    <xf numFmtId="0" fontId="7" fillId="2" borderId="13" xfId="81" applyNumberFormat="1" applyFont="1" applyFill="1" applyBorder="1" applyAlignment="1">
      <alignment horizontal="center"/>
    </xf>
    <xf numFmtId="0" fontId="28" fillId="2" borderId="8" xfId="0" applyNumberFormat="1" applyFont="1" applyFill="1" applyBorder="1" applyAlignment="1">
      <alignment horizontal="center" vertical="center"/>
    </xf>
    <xf numFmtId="0" fontId="0" fillId="2" borderId="29" xfId="0" applyNumberFormat="1" applyFont="1" applyFill="1" applyBorder="1"/>
    <xf numFmtId="0" fontId="7" fillId="2" borderId="8" xfId="16" applyNumberFormat="1" applyFont="1" applyFill="1" applyBorder="1" applyAlignment="1">
      <alignment horizontal="center" vertical="center"/>
    </xf>
    <xf numFmtId="0" fontId="7" fillId="2" borderId="9" xfId="81" applyNumberFormat="1" applyFont="1" applyFill="1" applyBorder="1" applyAlignment="1">
      <alignment horizontal="left"/>
    </xf>
    <xf numFmtId="0" fontId="0" fillId="2" borderId="2" xfId="0" applyNumberFormat="1" applyFont="1" applyFill="1" applyBorder="1"/>
    <xf numFmtId="0" fontId="0" fillId="2" borderId="10" xfId="0" applyNumberFormat="1" applyFont="1" applyFill="1" applyBorder="1"/>
    <xf numFmtId="0" fontId="0" fillId="2" borderId="9" xfId="0" applyNumberFormat="1" applyFont="1" applyFill="1" applyBorder="1"/>
    <xf numFmtId="0" fontId="0" fillId="0" borderId="2" xfId="0" applyNumberFormat="1" applyFont="1" applyFill="1" applyBorder="1"/>
    <xf numFmtId="0" fontId="0" fillId="0" borderId="30" xfId="0" applyNumberFormat="1" applyFont="1" applyFill="1" applyBorder="1"/>
    <xf numFmtId="0" fontId="0" fillId="2" borderId="11" xfId="0" applyNumberFormat="1" applyFont="1" applyFill="1" applyBorder="1"/>
    <xf numFmtId="0" fontId="0" fillId="0" borderId="12" xfId="0" applyNumberFormat="1" applyFont="1" applyFill="1" applyBorder="1"/>
    <xf numFmtId="0" fontId="0" fillId="0" borderId="51" xfId="0" applyNumberFormat="1" applyFont="1" applyFill="1" applyBorder="1"/>
    <xf numFmtId="0" fontId="6" fillId="2" borderId="31" xfId="81" applyNumberFormat="1" applyFont="1" applyFill="1" applyBorder="1" applyAlignment="1">
      <alignment horizontal="left"/>
    </xf>
    <xf numFmtId="0" fontId="0" fillId="0" borderId="2" xfId="0" applyNumberFormat="1" applyFont="1" applyFill="1" applyBorder="1" applyAlignment="1">
      <alignment horizontal="left"/>
    </xf>
    <xf numFmtId="0" fontId="0" fillId="0" borderId="30" xfId="0" applyNumberFormat="1" applyFont="1" applyFill="1" applyBorder="1" applyAlignment="1">
      <alignment horizontal="left"/>
    </xf>
    <xf numFmtId="0" fontId="6" fillId="2" borderId="50" xfId="82" applyNumberFormat="1" applyFont="1" applyFill="1" applyBorder="1" applyAlignment="1">
      <alignment horizontal="left"/>
    </xf>
    <xf numFmtId="0" fontId="0" fillId="0" borderId="12" xfId="0" applyNumberFormat="1" applyFont="1" applyFill="1" applyBorder="1" applyAlignment="1">
      <alignment horizontal="left"/>
    </xf>
    <xf numFmtId="0" fontId="0" fillId="0" borderId="51" xfId="0" applyNumberFormat="1" applyFont="1" applyFill="1" applyBorder="1" applyAlignment="1">
      <alignment horizontal="left"/>
    </xf>
    <xf numFmtId="0" fontId="0" fillId="2" borderId="9" xfId="0" applyNumberFormat="1" applyFont="1" applyFill="1" applyBorder="1" applyAlignment="1">
      <alignment horizontal="left" vertical="center"/>
    </xf>
    <xf numFmtId="0" fontId="0" fillId="0" borderId="30" xfId="0" applyNumberFormat="1" applyFont="1" applyFill="1" applyBorder="1" applyAlignment="1">
      <alignment horizontal="left" vertical="center"/>
    </xf>
    <xf numFmtId="0" fontId="0" fillId="2" borderId="30" xfId="0" applyNumberFormat="1" applyFont="1" applyFill="1" applyBorder="1" applyAlignment="1">
      <alignment horizontal="left" vertical="center"/>
    </xf>
    <xf numFmtId="0" fontId="6" fillId="2" borderId="7" xfId="82" applyNumberFormat="1" applyFont="1" applyFill="1" applyBorder="1" applyAlignment="1">
      <alignment horizontal="left"/>
    </xf>
    <xf numFmtId="0" fontId="6" fillId="2" borderId="8" xfId="82" applyNumberFormat="1" applyFont="1" applyFill="1" applyBorder="1" applyAlignment="1">
      <alignment horizontal="left"/>
    </xf>
    <xf numFmtId="0" fontId="7" fillId="2" borderId="8" xfId="82" applyNumberFormat="1" applyFont="1" applyFill="1" applyBorder="1" applyAlignment="1">
      <alignment horizontal="left"/>
    </xf>
    <xf numFmtId="0" fontId="7" fillId="2" borderId="9" xfId="82" applyNumberFormat="1" applyFont="1" applyFill="1" applyBorder="1" applyAlignment="1">
      <alignment horizontal="left" vertical="center"/>
    </xf>
    <xf numFmtId="0" fontId="7" fillId="2" borderId="30" xfId="82" applyNumberFormat="1" applyFont="1" applyFill="1" applyBorder="1" applyAlignment="1">
      <alignment horizontal="left" vertical="center"/>
    </xf>
    <xf numFmtId="0" fontId="6" fillId="2" borderId="25" xfId="82" applyNumberFormat="1" applyFont="1" applyFill="1" applyBorder="1" applyAlignment="1">
      <alignment horizontal="left"/>
    </xf>
    <xf numFmtId="0" fontId="6" fillId="2" borderId="27" xfId="82" applyNumberFormat="1" applyFont="1" applyFill="1" applyBorder="1" applyAlignment="1">
      <alignment horizontal="left"/>
    </xf>
    <xf numFmtId="0" fontId="7" fillId="2" borderId="21" xfId="82" applyNumberFormat="1" applyFont="1" applyFill="1" applyBorder="1" applyAlignment="1">
      <alignment horizontal="left"/>
    </xf>
    <xf numFmtId="0" fontId="7" fillId="2" borderId="3" xfId="81" applyNumberFormat="1" applyFont="1" applyFill="1" applyBorder="1" applyAlignment="1">
      <alignment horizontal="center"/>
    </xf>
    <xf numFmtId="0" fontId="7" fillId="2" borderId="0" xfId="81" applyNumberFormat="1" applyFont="1" applyFill="1" applyBorder="1" applyAlignment="1">
      <alignment horizontal="center"/>
    </xf>
    <xf numFmtId="0" fontId="7" fillId="2" borderId="4" xfId="81" applyNumberFormat="1" applyFont="1" applyFill="1" applyBorder="1" applyAlignment="1">
      <alignment horizontal="center"/>
    </xf>
    <xf numFmtId="0" fontId="7" fillId="2" borderId="41" xfId="81" applyNumberFormat="1" applyFont="1" applyFill="1" applyBorder="1" applyAlignment="1">
      <alignment horizontal="center"/>
    </xf>
    <xf numFmtId="0" fontId="7" fillId="2" borderId="5" xfId="81" applyNumberFormat="1" applyFont="1" applyFill="1" applyBorder="1" applyAlignment="1">
      <alignment horizontal="center"/>
    </xf>
    <xf numFmtId="0" fontId="7" fillId="2" borderId="6" xfId="81" applyNumberFormat="1" applyFont="1" applyFill="1" applyBorder="1" applyAlignment="1">
      <alignment horizontal="center"/>
    </xf>
    <xf numFmtId="0" fontId="2" fillId="2" borderId="14" xfId="81" applyNumberFormat="1" applyFont="1" applyFill="1" applyBorder="1" applyAlignment="1">
      <alignment horizontal="left" vertical="center"/>
    </xf>
    <xf numFmtId="0" fontId="0" fillId="0" borderId="15" xfId="0" applyNumberFormat="1" applyFont="1" applyFill="1" applyBorder="1" applyAlignment="1">
      <alignment horizontal="left" vertical="center"/>
    </xf>
    <xf numFmtId="0" fontId="29" fillId="2" borderId="41" xfId="0" applyNumberFormat="1" applyFont="1" applyFill="1" applyBorder="1" applyAlignment="1">
      <alignment horizontal="left" vertical="center"/>
    </xf>
    <xf numFmtId="0" fontId="0" fillId="0" borderId="5" xfId="0" applyNumberFormat="1" applyFont="1" applyFill="1" applyBorder="1" applyAlignment="1">
      <alignment horizontal="left" vertical="center"/>
    </xf>
    <xf numFmtId="0" fontId="28" fillId="2" borderId="9" xfId="0" applyNumberFormat="1" applyFont="1" applyFill="1" applyBorder="1" applyAlignment="1">
      <alignment horizontal="center" vertical="center"/>
    </xf>
    <xf numFmtId="0" fontId="28" fillId="0" borderId="10" xfId="0" applyNumberFormat="1" applyFont="1" applyFill="1" applyBorder="1" applyAlignment="1">
      <alignment horizontal="center" vertical="center"/>
    </xf>
    <xf numFmtId="0" fontId="28" fillId="0" borderId="30" xfId="0" applyNumberFormat="1" applyFont="1" applyFill="1" applyBorder="1" applyAlignment="1">
      <alignment horizontal="center" vertical="center"/>
    </xf>
    <xf numFmtId="0" fontId="28" fillId="2" borderId="30" xfId="0" applyNumberFormat="1" applyFont="1" applyFill="1" applyBorder="1" applyAlignment="1">
      <alignment horizontal="center" vertical="center"/>
    </xf>
    <xf numFmtId="0" fontId="0" fillId="0" borderId="9" xfId="0" applyNumberFormat="1" applyFont="1" applyFill="1" applyBorder="1"/>
    <xf numFmtId="0" fontId="0" fillId="0" borderId="11" xfId="0" applyNumberFormat="1" applyFont="1" applyFill="1" applyBorder="1"/>
    <xf numFmtId="0" fontId="6" fillId="2" borderId="9" xfId="82" applyNumberFormat="1" applyFont="1" applyFill="1" applyBorder="1" applyAlignment="1">
      <alignment horizontal="center" vertical="center"/>
    </xf>
    <xf numFmtId="0" fontId="6" fillId="2" borderId="30" xfId="82" applyNumberFormat="1" applyFont="1" applyFill="1" applyBorder="1" applyAlignment="1">
      <alignment horizontal="center" vertical="center"/>
    </xf>
    <xf numFmtId="0" fontId="6" fillId="2" borderId="2" xfId="82" applyNumberFormat="1" applyFont="1" applyFill="1" applyBorder="1" applyAlignment="1">
      <alignment horizontal="center" vertical="center"/>
    </xf>
    <xf numFmtId="0" fontId="6" fillId="2" borderId="8" xfId="81" applyNumberFormat="1" applyFont="1" applyFill="1" applyBorder="1" applyAlignment="1">
      <alignment horizontal="left"/>
    </xf>
    <xf numFmtId="0" fontId="0" fillId="2" borderId="8" xfId="0" applyNumberFormat="1" applyFont="1" applyFill="1" applyBorder="1"/>
    <xf numFmtId="0" fontId="6" fillId="2" borderId="9" xfId="81" applyNumberFormat="1" applyFont="1" applyFill="1" applyBorder="1" applyAlignment="1">
      <alignment horizontal="left"/>
    </xf>
    <xf numFmtId="0" fontId="0" fillId="2" borderId="30" xfId="0" applyNumberFormat="1" applyFont="1" applyFill="1" applyBorder="1"/>
    <xf numFmtId="0" fontId="6" fillId="2" borderId="32" xfId="81" applyNumberFormat="1" applyFont="1" applyFill="1" applyBorder="1" applyAlignment="1">
      <alignment horizontal="center" vertical="center"/>
    </xf>
    <xf numFmtId="0" fontId="28" fillId="0" borderId="49" xfId="0" applyNumberFormat="1" applyFont="1" applyFill="1" applyBorder="1" applyAlignment="1">
      <alignment horizontal="center" vertical="center"/>
    </xf>
    <xf numFmtId="0" fontId="7" fillId="2" borderId="26" xfId="82" applyNumberFormat="1" applyFont="1" applyFill="1" applyBorder="1" applyAlignment="1">
      <alignment vertical="top" wrapText="1"/>
    </xf>
    <xf numFmtId="0" fontId="7" fillId="2" borderId="29" xfId="82" applyNumberFormat="1" applyFont="1" applyFill="1" applyBorder="1" applyAlignment="1">
      <alignment vertical="top" wrapText="1"/>
    </xf>
    <xf numFmtId="0" fontId="7" fillId="2" borderId="0" xfId="82" applyNumberFormat="1" applyFont="1" applyFill="1" applyBorder="1" applyAlignment="1">
      <alignment vertical="top" wrapText="1"/>
    </xf>
    <xf numFmtId="0" fontId="7" fillId="2" borderId="44" xfId="82" applyNumberFormat="1" applyFont="1" applyFill="1" applyBorder="1" applyAlignment="1">
      <alignment vertical="top" wrapText="1"/>
    </xf>
    <xf numFmtId="0" fontId="7" fillId="2" borderId="23" xfId="82" applyNumberFormat="1" applyFont="1" applyFill="1" applyBorder="1" applyAlignment="1">
      <alignment vertical="top" wrapText="1"/>
    </xf>
    <xf numFmtId="0" fontId="6" fillId="2" borderId="50" xfId="82" applyNumberFormat="1" applyFont="1" applyFill="1" applyBorder="1" applyAlignment="1">
      <alignment horizontal="left" vertical="top"/>
    </xf>
    <xf numFmtId="0" fontId="6" fillId="2" borderId="12" xfId="82" applyNumberFormat="1" applyFont="1" applyFill="1" applyBorder="1" applyAlignment="1">
      <alignment horizontal="left" vertical="top"/>
    </xf>
    <xf numFmtId="0" fontId="6" fillId="2" borderId="51" xfId="82" applyNumberFormat="1" applyFont="1" applyFill="1" applyBorder="1" applyAlignment="1">
      <alignment horizontal="left" vertical="top"/>
    </xf>
    <xf numFmtId="167" fontId="6" fillId="2" borderId="11" xfId="82" applyNumberFormat="1" applyFont="1" applyFill="1" applyBorder="1" applyAlignment="1">
      <alignment horizontal="left" vertical="top"/>
    </xf>
    <xf numFmtId="167" fontId="6" fillId="2" borderId="12" xfId="82" applyNumberFormat="1" applyFont="1" applyFill="1" applyBorder="1" applyAlignment="1">
      <alignment horizontal="left" vertical="top"/>
    </xf>
    <xf numFmtId="167" fontId="6" fillId="2" borderId="13" xfId="82" applyNumberFormat="1" applyFont="1" applyFill="1" applyBorder="1" applyAlignment="1">
      <alignment horizontal="left" vertical="top"/>
    </xf>
    <xf numFmtId="0" fontId="6" fillId="2" borderId="31" xfId="82" applyNumberFormat="1" applyFont="1" applyFill="1" applyBorder="1" applyAlignment="1">
      <alignment horizontal="left"/>
    </xf>
    <xf numFmtId="0" fontId="6" fillId="2" borderId="2" xfId="82" applyNumberFormat="1" applyFont="1" applyFill="1" applyBorder="1" applyAlignment="1">
      <alignment horizontal="left"/>
    </xf>
    <xf numFmtId="0" fontId="6" fillId="2" borderId="30" xfId="82" applyNumberFormat="1" applyFont="1" applyFill="1" applyBorder="1" applyAlignment="1">
      <alignment horizontal="left"/>
    </xf>
    <xf numFmtId="0" fontId="7" fillId="2" borderId="9" xfId="82" applyNumberFormat="1" applyFont="1" applyFill="1" applyBorder="1" applyAlignment="1">
      <alignment horizontal="left"/>
    </xf>
    <xf numFmtId="0" fontId="7" fillId="2" borderId="2" xfId="82" applyNumberFormat="1" applyFont="1" applyFill="1" applyBorder="1" applyAlignment="1">
      <alignment horizontal="left"/>
    </xf>
    <xf numFmtId="0" fontId="7" fillId="2" borderId="10" xfId="82" applyNumberFormat="1" applyFont="1" applyFill="1" applyBorder="1" applyAlignment="1">
      <alignment horizontal="left"/>
    </xf>
    <xf numFmtId="0" fontId="6" fillId="2" borderId="25" xfId="82" applyNumberFormat="1" applyFont="1" applyFill="1" applyBorder="1" applyAlignment="1">
      <alignment horizontal="left" vertical="top"/>
    </xf>
    <xf numFmtId="0" fontId="6" fillId="2" borderId="27" xfId="82" applyNumberFormat="1" applyFont="1" applyFill="1" applyBorder="1" applyAlignment="1">
      <alignment horizontal="left" vertical="top"/>
    </xf>
    <xf numFmtId="0" fontId="0" fillId="0" borderId="3" xfId="0" applyNumberFormat="1" applyFont="1" applyFill="1" applyBorder="1" applyAlignment="1">
      <alignment horizontal="left" vertical="top"/>
    </xf>
    <xf numFmtId="0" fontId="0" fillId="0" borderId="39" xfId="0" applyNumberFormat="1" applyFont="1" applyFill="1" applyBorder="1" applyAlignment="1">
      <alignment horizontal="left" vertical="top"/>
    </xf>
    <xf numFmtId="0" fontId="0" fillId="0" borderId="22" xfId="0" applyNumberFormat="1" applyFont="1" applyFill="1" applyBorder="1" applyAlignment="1">
      <alignment horizontal="left" vertical="top"/>
    </xf>
    <xf numFmtId="0" fontId="0" fillId="0" borderId="42" xfId="0" applyNumberFormat="1" applyFont="1" applyFill="1" applyBorder="1" applyAlignment="1">
      <alignment horizontal="left" vertical="top"/>
    </xf>
    <xf numFmtId="0" fontId="5" fillId="2" borderId="1" xfId="82" applyNumberFormat="1" applyFont="1" applyFill="1" applyBorder="1" applyAlignment="1">
      <alignment horizontal="left" vertical="center"/>
    </xf>
    <xf numFmtId="0" fontId="5" fillId="2" borderId="19" xfId="82" applyNumberFormat="1" applyFont="1" applyFill="1" applyBorder="1" applyAlignment="1">
      <alignment horizontal="left" vertical="center"/>
    </xf>
    <xf numFmtId="0" fontId="6" fillId="2" borderId="45" xfId="82" applyNumberFormat="1" applyFont="1" applyFill="1" applyBorder="1" applyAlignment="1">
      <alignment horizontal="left"/>
    </xf>
    <xf numFmtId="0" fontId="6" fillId="2" borderId="46" xfId="82" applyNumberFormat="1" applyFont="1" applyFill="1" applyBorder="1" applyAlignment="1">
      <alignment horizontal="left"/>
    </xf>
    <xf numFmtId="0" fontId="7" fillId="2" borderId="17" xfId="82" applyNumberFormat="1" applyFont="1" applyFill="1" applyBorder="1" applyAlignment="1">
      <alignment horizontal="left"/>
    </xf>
    <xf numFmtId="0" fontId="7" fillId="2" borderId="35" xfId="82" applyNumberFormat="1" applyFont="1" applyFill="1" applyBorder="1" applyAlignment="1">
      <alignment horizontal="left"/>
    </xf>
    <xf numFmtId="0" fontId="6" fillId="2" borderId="36" xfId="82" applyNumberFormat="1" applyFont="1" applyFill="1" applyBorder="1" applyAlignment="1">
      <alignment horizontal="left"/>
    </xf>
    <xf numFmtId="0" fontId="6" fillId="2" borderId="37" xfId="82" applyNumberFormat="1" applyFont="1" applyFill="1" applyBorder="1" applyAlignment="1">
      <alignment horizontal="left"/>
    </xf>
    <xf numFmtId="167" fontId="7" fillId="2" borderId="37" xfId="82" applyNumberFormat="1" applyFont="1" applyFill="1" applyBorder="1" applyAlignment="1">
      <alignment horizontal="left"/>
    </xf>
    <xf numFmtId="167" fontId="7" fillId="2" borderId="38" xfId="82" applyNumberFormat="1" applyFont="1" applyFill="1" applyBorder="1" applyAlignment="1">
      <alignment horizontal="left"/>
    </xf>
    <xf numFmtId="0" fontId="2" fillId="2" borderId="36" xfId="81" applyNumberFormat="1" applyFont="1" applyFill="1" applyBorder="1" applyAlignment="1">
      <alignment vertical="center"/>
    </xf>
    <xf numFmtId="0" fontId="0" fillId="0" borderId="37" xfId="0" applyNumberFormat="1" applyFont="1" applyFill="1" applyBorder="1"/>
    <xf numFmtId="0" fontId="2" fillId="2" borderId="37" xfId="82" applyNumberFormat="1" applyFont="1" applyFill="1" applyBorder="1" applyAlignment="1">
      <alignment vertical="center"/>
    </xf>
    <xf numFmtId="0" fontId="0" fillId="0" borderId="38" xfId="0" applyNumberFormat="1" applyFont="1" applyFill="1" applyBorder="1"/>
    <xf numFmtId="0" fontId="6" fillId="2" borderId="8" xfId="82" applyNumberFormat="1" applyFont="1" applyFill="1" applyBorder="1" applyAlignment="1">
      <alignment horizontal="center" vertical="center" wrapText="1"/>
    </xf>
    <xf numFmtId="0" fontId="7" fillId="2" borderId="30" xfId="82" applyNumberFormat="1" applyFont="1" applyFill="1" applyBorder="1" applyAlignment="1">
      <alignment horizontal="left"/>
    </xf>
    <xf numFmtId="0" fontId="1" fillId="2" borderId="9" xfId="82" applyNumberFormat="1" applyFont="1" applyFill="1" applyBorder="1" applyAlignment="1">
      <alignment horizontal="center" vertical="center"/>
    </xf>
    <xf numFmtId="0" fontId="0" fillId="0" borderId="30" xfId="0" applyNumberFormat="1" applyFont="1" applyFill="1" applyBorder="1" applyAlignment="1">
      <alignment horizontal="center" vertical="center"/>
    </xf>
    <xf numFmtId="0" fontId="0" fillId="0" borderId="30" xfId="0" applyNumberFormat="1" applyFont="1" applyFill="1" applyBorder="1" applyAlignment="1">
      <alignment vertical="center"/>
    </xf>
    <xf numFmtId="0" fontId="7" fillId="2" borderId="2" xfId="82" applyNumberFormat="1" applyFont="1" applyFill="1" applyBorder="1" applyAlignment="1">
      <alignment horizontal="left" vertical="center"/>
    </xf>
    <xf numFmtId="0" fontId="0" fillId="0" borderId="10" xfId="0" applyNumberFormat="1" applyFont="1" applyFill="1" applyBorder="1" applyAlignment="1">
      <alignment horizontal="left" vertical="center"/>
    </xf>
    <xf numFmtId="0" fontId="6" fillId="2" borderId="22" xfId="82" applyNumberFormat="1" applyFont="1" applyFill="1" applyBorder="1" applyAlignment="1">
      <alignment horizontal="left" vertical="center" wrapText="1"/>
    </xf>
    <xf numFmtId="0" fontId="6" fillId="2" borderId="24" xfId="82" applyNumberFormat="1" applyFont="1" applyFill="1" applyBorder="1" applyAlignment="1">
      <alignment horizontal="left" vertical="center" wrapText="1"/>
    </xf>
    <xf numFmtId="167" fontId="6" fillId="2" borderId="47" xfId="82" applyNumberFormat="1" applyFont="1" applyFill="1" applyBorder="1" applyAlignment="1">
      <alignment horizontal="left" vertical="center" wrapText="1"/>
    </xf>
    <xf numFmtId="167" fontId="6" fillId="2" borderId="48" xfId="82" applyNumberFormat="1" applyFont="1" applyFill="1" applyBorder="1" applyAlignment="1">
      <alignment horizontal="left" vertical="center" wrapText="1"/>
    </xf>
    <xf numFmtId="0" fontId="6" fillId="2" borderId="22" xfId="82" applyNumberFormat="1" applyFont="1" applyFill="1" applyBorder="1" applyAlignment="1">
      <alignment horizontal="center" vertical="center" wrapText="1"/>
    </xf>
    <xf numFmtId="0" fontId="6" fillId="2" borderId="24" xfId="82" applyNumberFormat="1" applyFont="1" applyFill="1" applyBorder="1" applyAlignment="1">
      <alignment horizontal="center" vertical="center" wrapText="1"/>
    </xf>
    <xf numFmtId="49" fontId="7" fillId="2" borderId="22" xfId="82" applyNumberFormat="1" applyFont="1" applyFill="1" applyBorder="1" applyAlignment="1">
      <alignment horizontal="center" vertical="center" wrapText="1"/>
    </xf>
    <xf numFmtId="49" fontId="7" fillId="2" borderId="23" xfId="82" applyNumberFormat="1" applyFont="1" applyFill="1" applyBorder="1" applyAlignment="1">
      <alignment horizontal="center" vertical="center" wrapText="1"/>
    </xf>
    <xf numFmtId="49" fontId="7" fillId="2" borderId="24" xfId="82" applyNumberFormat="1" applyFont="1" applyFill="1" applyBorder="1" applyAlignment="1">
      <alignment horizontal="center" vertical="center" wrapText="1"/>
    </xf>
    <xf numFmtId="0" fontId="8" fillId="2" borderId="3" xfId="82" applyNumberFormat="1" applyFont="1" applyFill="1" applyBorder="1" applyAlignment="1">
      <alignment horizontal="center" vertical="top"/>
    </xf>
    <xf numFmtId="0" fontId="8" fillId="2" borderId="0" xfId="82" applyNumberFormat="1" applyFont="1" applyFill="1" applyBorder="1" applyAlignment="1">
      <alignment horizontal="center" vertical="top"/>
    </xf>
    <xf numFmtId="0" fontId="8" fillId="2" borderId="4" xfId="82" applyNumberFormat="1" applyFont="1" applyFill="1" applyBorder="1" applyAlignment="1">
      <alignment horizontal="center" vertical="top"/>
    </xf>
    <xf numFmtId="0" fontId="8" fillId="2" borderId="22" xfId="82" applyNumberFormat="1" applyFont="1" applyFill="1" applyBorder="1" applyAlignment="1">
      <alignment horizontal="center" vertical="top"/>
    </xf>
    <xf numFmtId="0" fontId="8" fillId="2" borderId="23" xfId="82" applyNumberFormat="1" applyFont="1" applyFill="1" applyBorder="1" applyAlignment="1">
      <alignment horizontal="center" vertical="top"/>
    </xf>
    <xf numFmtId="0" fontId="8" fillId="2" borderId="24" xfId="82" applyNumberFormat="1" applyFont="1" applyFill="1" applyBorder="1" applyAlignment="1">
      <alignment horizontal="center" vertical="top"/>
    </xf>
    <xf numFmtId="0" fontId="6" fillId="2" borderId="34" xfId="82" applyNumberFormat="1" applyFont="1" applyFill="1" applyBorder="1" applyAlignment="1">
      <alignment horizontal="center"/>
    </xf>
    <xf numFmtId="167" fontId="7" fillId="2" borderId="34" xfId="82" applyNumberFormat="1" applyFont="1" applyFill="1" applyBorder="1" applyAlignment="1">
      <alignment horizontal="center"/>
    </xf>
    <xf numFmtId="0" fontId="6" fillId="2" borderId="8" xfId="82" applyNumberFormat="1" applyFont="1" applyFill="1" applyBorder="1" applyAlignment="1">
      <alignment horizontal="center" vertical="center"/>
    </xf>
    <xf numFmtId="0" fontId="6" fillId="2" borderId="8" xfId="82" applyNumberFormat="1" applyFont="1" applyFill="1" applyBorder="1" applyAlignment="1">
      <alignment horizontal="left" vertical="center"/>
    </xf>
    <xf numFmtId="0" fontId="6" fillId="2" borderId="21" xfId="82" applyNumberFormat="1" applyFont="1" applyFill="1" applyBorder="1" applyAlignment="1">
      <alignment horizontal="left" vertical="center"/>
    </xf>
    <xf numFmtId="0" fontId="6" fillId="2" borderId="28" xfId="82" applyNumberFormat="1" applyFont="1" applyFill="1" applyBorder="1" applyAlignment="1">
      <alignment horizontal="left" vertical="center"/>
    </xf>
    <xf numFmtId="0" fontId="6" fillId="2" borderId="26" xfId="82" applyNumberFormat="1" applyFont="1" applyFill="1" applyBorder="1" applyAlignment="1">
      <alignment horizontal="left" vertical="center"/>
    </xf>
    <xf numFmtId="0" fontId="6" fillId="2" borderId="27" xfId="82" applyNumberFormat="1" applyFont="1" applyFill="1" applyBorder="1" applyAlignment="1">
      <alignment horizontal="left" vertical="center"/>
    </xf>
    <xf numFmtId="0" fontId="6" fillId="2" borderId="18" xfId="82" applyNumberFormat="1" applyFont="1" applyFill="1" applyBorder="1" applyAlignment="1">
      <alignment horizontal="left" vertical="center"/>
    </xf>
    <xf numFmtId="0" fontId="6" fillId="2" borderId="5" xfId="82" applyNumberFormat="1" applyFont="1" applyFill="1" applyBorder="1" applyAlignment="1">
      <alignment horizontal="left" vertical="center"/>
    </xf>
    <xf numFmtId="0" fontId="6" fillId="2" borderId="40" xfId="82" applyNumberFormat="1" applyFont="1" applyFill="1" applyBorder="1" applyAlignment="1">
      <alignment horizontal="left" vertical="center"/>
    </xf>
    <xf numFmtId="0" fontId="7" fillId="2" borderId="8" xfId="82" applyNumberFormat="1" applyFont="1" applyFill="1" applyBorder="1" applyAlignment="1">
      <alignment horizontal="left" vertical="center"/>
    </xf>
    <xf numFmtId="0" fontId="7" fillId="2" borderId="21" xfId="82" applyNumberFormat="1" applyFont="1" applyFill="1" applyBorder="1" applyAlignment="1">
      <alignment horizontal="left" vertical="center"/>
    </xf>
    <xf numFmtId="0" fontId="6" fillId="2" borderId="32" xfId="82" applyNumberFormat="1" applyFont="1" applyFill="1" applyBorder="1" applyAlignment="1">
      <alignment horizontal="center"/>
    </xf>
    <xf numFmtId="0" fontId="6" fillId="2" borderId="8" xfId="82" applyNumberFormat="1" applyFont="1" applyFill="1" applyBorder="1" applyAlignment="1">
      <alignment horizontal="center"/>
    </xf>
    <xf numFmtId="0" fontId="6" fillId="2" borderId="25" xfId="82" applyNumberFormat="1" applyFont="1" applyFill="1" applyBorder="1"/>
    <xf numFmtId="0" fontId="0" fillId="0" borderId="26" xfId="0" applyNumberFormat="1" applyFont="1" applyFill="1" applyBorder="1"/>
    <xf numFmtId="0" fontId="0" fillId="0" borderId="27" xfId="0" applyNumberFormat="1" applyFont="1" applyFill="1" applyBorder="1"/>
    <xf numFmtId="0" fontId="0" fillId="0" borderId="3" xfId="0" applyNumberFormat="1" applyFont="1" applyFill="1" applyBorder="1"/>
    <xf numFmtId="0" fontId="0" fillId="0" borderId="0" xfId="0" applyNumberFormat="1" applyFont="1" applyFill="1" applyBorder="1"/>
    <xf numFmtId="0" fontId="0" fillId="0" borderId="39" xfId="0" applyNumberFormat="1" applyFont="1" applyFill="1" applyBorder="1"/>
    <xf numFmtId="0" fontId="0" fillId="0" borderId="41" xfId="0" applyNumberFormat="1" applyFont="1" applyFill="1" applyBorder="1"/>
    <xf numFmtId="0" fontId="0" fillId="0" borderId="5" xfId="0" applyNumberFormat="1" applyFont="1" applyFill="1" applyBorder="1"/>
    <xf numFmtId="0" fontId="0" fillId="0" borderId="40" xfId="0" applyNumberFormat="1" applyFont="1" applyFill="1" applyBorder="1"/>
    <xf numFmtId="0" fontId="7" fillId="2" borderId="25" xfId="82" applyNumberFormat="1" applyFont="1" applyFill="1" applyBorder="1" applyAlignment="1">
      <alignment horizontal="right"/>
    </xf>
    <xf numFmtId="0" fontId="0" fillId="0" borderId="22" xfId="0" applyNumberFormat="1" applyFont="1" applyFill="1" applyBorder="1"/>
    <xf numFmtId="0" fontId="0" fillId="0" borderId="23" xfId="0" applyNumberFormat="1" applyFont="1" applyFill="1" applyBorder="1"/>
    <xf numFmtId="0" fontId="0" fillId="0" borderId="42" xfId="0" applyNumberFormat="1" applyFont="1" applyFill="1" applyBorder="1"/>
    <xf numFmtId="0" fontId="6" fillId="2" borderId="28" xfId="82" applyNumberFormat="1" applyFont="1" applyFill="1" applyBorder="1"/>
    <xf numFmtId="0" fontId="0" fillId="0" borderId="29" xfId="0" applyNumberFormat="1" applyFont="1" applyFill="1" applyBorder="1"/>
    <xf numFmtId="0" fontId="0" fillId="0" borderId="43" xfId="0" applyNumberFormat="1" applyFont="1" applyFill="1" applyBorder="1"/>
    <xf numFmtId="0" fontId="0" fillId="0" borderId="4" xfId="0" applyNumberFormat="1" applyFont="1" applyFill="1" applyBorder="1"/>
    <xf numFmtId="0" fontId="0" fillId="0" borderId="18" xfId="0" applyNumberFormat="1" applyFont="1" applyFill="1" applyBorder="1"/>
    <xf numFmtId="0" fontId="0" fillId="0" borderId="6" xfId="0" applyNumberFormat="1" applyFont="1" applyFill="1" applyBorder="1"/>
    <xf numFmtId="0" fontId="7" fillId="2" borderId="28" xfId="82" applyNumberFormat="1" applyFont="1" applyFill="1" applyBorder="1" applyAlignment="1">
      <alignment horizontal="center" vertical="center"/>
    </xf>
    <xf numFmtId="0" fontId="0" fillId="0" borderId="44" xfId="0" applyNumberFormat="1" applyFont="1" applyFill="1" applyBorder="1"/>
    <xf numFmtId="0" fontId="7" fillId="2" borderId="25" xfId="82" applyNumberFormat="1" applyFont="1" applyFill="1" applyBorder="1" applyAlignment="1">
      <alignment vertical="top" wrapText="1"/>
    </xf>
    <xf numFmtId="0" fontId="7" fillId="2" borderId="27" xfId="82" applyNumberFormat="1" applyFont="1" applyFill="1" applyBorder="1" applyAlignment="1">
      <alignment vertical="top" wrapText="1"/>
    </xf>
    <xf numFmtId="0" fontId="0" fillId="0" borderId="3" xfId="0" applyNumberFormat="1" applyFont="1" applyFill="1" applyBorder="1" applyAlignment="1">
      <alignment vertical="top" wrapText="1"/>
    </xf>
    <xf numFmtId="0" fontId="0" fillId="0" borderId="0" xfId="0" applyNumberFormat="1" applyFont="1" applyFill="1" applyBorder="1" applyAlignment="1">
      <alignment vertical="top" wrapText="1"/>
    </xf>
    <xf numFmtId="0" fontId="0" fillId="0" borderId="39" xfId="0" applyNumberFormat="1" applyFont="1" applyFill="1" applyBorder="1" applyAlignment="1">
      <alignment vertical="top" wrapText="1"/>
    </xf>
    <xf numFmtId="0" fontId="0" fillId="0" borderId="22" xfId="0" applyNumberFormat="1" applyFont="1" applyFill="1" applyBorder="1" applyAlignment="1">
      <alignment vertical="top" wrapText="1"/>
    </xf>
    <xf numFmtId="0" fontId="0" fillId="0" borderId="23" xfId="0" applyNumberFormat="1" applyFont="1" applyFill="1" applyBorder="1" applyAlignment="1">
      <alignment vertical="top" wrapText="1"/>
    </xf>
    <xf numFmtId="0" fontId="0" fillId="0" borderId="42" xfId="0" applyNumberFormat="1" applyFont="1" applyFill="1" applyBorder="1" applyAlignment="1">
      <alignment vertical="top" wrapText="1"/>
    </xf>
    <xf numFmtId="169" fontId="7" fillId="2" borderId="8" xfId="82" applyNumberFormat="1" applyFont="1" applyFill="1" applyBorder="1" applyAlignment="1">
      <alignment horizontal="center"/>
    </xf>
    <xf numFmtId="0" fontId="6" fillId="2" borderId="9" xfId="82" applyNumberFormat="1" applyFont="1" applyFill="1" applyBorder="1" applyAlignment="1">
      <alignment horizontal="center"/>
    </xf>
    <xf numFmtId="0" fontId="0" fillId="0" borderId="2" xfId="0" applyNumberFormat="1" applyFont="1" applyFill="1" applyBorder="1" applyAlignment="1">
      <alignment horizontal="center"/>
    </xf>
    <xf numFmtId="0" fontId="0" fillId="0" borderId="10" xfId="0" applyNumberFormat="1" applyFont="1" applyFill="1" applyBorder="1" applyAlignment="1">
      <alignment horizontal="center"/>
    </xf>
    <xf numFmtId="0" fontId="6" fillId="2" borderId="11" xfId="82" applyNumberFormat="1" applyFont="1" applyFill="1" applyBorder="1" applyAlignment="1">
      <alignment horizontal="center"/>
    </xf>
    <xf numFmtId="0" fontId="0" fillId="0" borderId="12" xfId="0" applyNumberFormat="1" applyFont="1" applyFill="1" applyBorder="1" applyAlignment="1">
      <alignment horizontal="center"/>
    </xf>
    <xf numFmtId="0" fontId="0" fillId="0" borderId="13" xfId="0" applyNumberFormat="1" applyFont="1" applyFill="1" applyBorder="1" applyAlignment="1">
      <alignment horizontal="center"/>
    </xf>
    <xf numFmtId="0" fontId="7" fillId="2" borderId="32" xfId="82" applyNumberFormat="1" applyFont="1" applyFill="1" applyBorder="1" applyAlignment="1">
      <alignment horizontal="left"/>
    </xf>
    <xf numFmtId="0" fontId="7" fillId="2" borderId="33" xfId="82" applyNumberFormat="1" applyFont="1" applyFill="1" applyBorder="1" applyAlignment="1">
      <alignment horizontal="left"/>
    </xf>
    <xf numFmtId="0" fontId="7" fillId="2" borderId="28" xfId="81" applyNumberFormat="1" applyFont="1" applyFill="1" applyBorder="1" applyAlignment="1">
      <alignment horizontal="left"/>
    </xf>
    <xf numFmtId="0" fontId="0" fillId="2" borderId="26" xfId="0" applyNumberFormat="1" applyFont="1" applyFill="1" applyBorder="1"/>
    <xf numFmtId="0" fontId="0" fillId="2" borderId="29" xfId="0" applyNumberFormat="1" applyFont="1" applyFill="1" applyBorder="1"/>
    <xf numFmtId="0" fontId="6" fillId="2" borderId="28" xfId="81" applyNumberFormat="1" applyFont="1" applyFill="1" applyBorder="1" applyAlignment="1">
      <alignment horizontal="left"/>
    </xf>
    <xf numFmtId="0" fontId="0" fillId="2" borderId="27" xfId="0" applyNumberFormat="1" applyFont="1" applyFill="1" applyBorder="1"/>
    <xf numFmtId="0" fontId="2" fillId="2" borderId="36" xfId="81" applyNumberFormat="1" applyFont="1" applyFill="1" applyBorder="1" applyAlignment="1">
      <alignment horizontal="left" vertical="center"/>
    </xf>
    <xf numFmtId="0" fontId="0" fillId="2" borderId="37" xfId="0" applyNumberFormat="1" applyFont="1" applyFill="1" applyBorder="1" applyAlignment="1">
      <alignment horizontal="left" vertical="center"/>
    </xf>
    <xf numFmtId="0" fontId="0" fillId="2" borderId="38" xfId="0" applyNumberFormat="1" applyFont="1" applyFill="1" applyBorder="1" applyAlignment="1">
      <alignment horizontal="left" vertical="center"/>
    </xf>
    <xf numFmtId="0" fontId="0" fillId="2" borderId="7" xfId="0" applyNumberFormat="1" applyFont="1" applyFill="1" applyBorder="1" applyAlignment="1">
      <alignment horizontal="left" vertical="center"/>
    </xf>
    <xf numFmtId="0" fontId="0" fillId="2" borderId="8" xfId="0" applyNumberFormat="1" applyFont="1" applyFill="1" applyBorder="1" applyAlignment="1">
      <alignment horizontal="left" vertical="center"/>
    </xf>
    <xf numFmtId="0" fontId="0" fillId="2" borderId="21" xfId="0" applyNumberFormat="1" applyFont="1" applyFill="1" applyBorder="1" applyAlignment="1">
      <alignment horizontal="left" vertical="center"/>
    </xf>
    <xf numFmtId="0" fontId="2" fillId="2" borderId="37" xfId="81" applyNumberFormat="1" applyFont="1" applyFill="1" applyBorder="1" applyAlignment="1">
      <alignment horizontal="left" vertical="center"/>
    </xf>
    <xf numFmtId="0" fontId="7" fillId="2" borderId="27" xfId="82" applyNumberFormat="1" applyFont="1" applyFill="1" applyBorder="1" applyAlignment="1">
      <alignment horizontal="center" vertical="center"/>
    </xf>
    <xf numFmtId="0" fontId="7" fillId="2" borderId="18" xfId="82" applyNumberFormat="1" applyFont="1" applyFill="1" applyBorder="1" applyAlignment="1">
      <alignment horizontal="center" vertical="center"/>
    </xf>
    <xf numFmtId="0" fontId="7" fillId="2" borderId="40" xfId="82" applyNumberFormat="1" applyFont="1" applyFill="1" applyBorder="1" applyAlignment="1">
      <alignment horizontal="center" vertical="center"/>
    </xf>
    <xf numFmtId="0" fontId="7" fillId="2" borderId="28" xfId="82" applyNumberFormat="1" applyFont="1" applyFill="1" applyBorder="1" applyAlignment="1">
      <alignment horizontal="center" vertical="center" wrapText="1"/>
    </xf>
    <xf numFmtId="0" fontId="7" fillId="2" borderId="27" xfId="82" applyNumberFormat="1" applyFont="1" applyFill="1" applyBorder="1" applyAlignment="1">
      <alignment horizontal="center" vertical="center" wrapText="1"/>
    </xf>
    <xf numFmtId="0" fontId="7" fillId="2" borderId="18" xfId="82" applyNumberFormat="1" applyFont="1" applyFill="1" applyBorder="1" applyAlignment="1">
      <alignment horizontal="center" vertical="center" wrapText="1"/>
    </xf>
    <xf numFmtId="0" fontId="7" fillId="2" borderId="40" xfId="82" applyNumberFormat="1" applyFont="1" applyFill="1" applyBorder="1" applyAlignment="1">
      <alignment horizontal="center" vertical="center" wrapText="1"/>
    </xf>
    <xf numFmtId="0" fontId="26" fillId="2" borderId="25" xfId="67" applyNumberFormat="1" applyFont="1" applyFill="1" applyBorder="1"/>
    <xf numFmtId="0" fontId="0" fillId="2" borderId="3" xfId="0" applyNumberFormat="1" applyFont="1" applyFill="1" applyBorder="1"/>
    <xf numFmtId="0" fontId="0" fillId="2" borderId="0" xfId="0" applyNumberFormat="1" applyFont="1" applyFill="1" applyBorder="1"/>
    <xf numFmtId="0" fontId="0" fillId="2" borderId="39" xfId="0" applyNumberFormat="1" applyFont="1" applyFill="1" applyBorder="1"/>
  </cellXfs>
  <cellStyles count="109">
    <cellStyle name="_ET_STYLE_NoName_00_" xfId="1"/>
    <cellStyle name="Comma 10" xfId="2"/>
    <cellStyle name="Comma 11" xfId="3"/>
    <cellStyle name="Comma 12" xfId="4"/>
    <cellStyle name="Comma 13" xfId="5"/>
    <cellStyle name="Comma 14" xfId="6"/>
    <cellStyle name="Comma 14 2" xfId="7"/>
    <cellStyle name="Comma 15" xfId="8"/>
    <cellStyle name="Comma 16" xfId="9"/>
    <cellStyle name="Comma 17" xfId="10"/>
    <cellStyle name="Comma 18" xfId="11"/>
    <cellStyle name="Comma 19" xfId="12"/>
    <cellStyle name="Comma 2" xfId="13"/>
    <cellStyle name="Comma 2 2" xfId="14"/>
    <cellStyle name="Comma 2 3" xfId="15"/>
    <cellStyle name="Comma 2 4" xfId="16"/>
    <cellStyle name="Comma 20" xfId="17"/>
    <cellStyle name="Comma 21" xfId="18"/>
    <cellStyle name="Comma 22" xfId="19"/>
    <cellStyle name="Comma 23" xfId="20"/>
    <cellStyle name="Comma 24" xfId="21"/>
    <cellStyle name="Comma 25" xfId="22"/>
    <cellStyle name="Comma 26" xfId="23"/>
    <cellStyle name="Comma 27" xfId="24"/>
    <cellStyle name="Comma 28" xfId="25"/>
    <cellStyle name="Comma 29" xfId="26"/>
    <cellStyle name="Comma 3" xfId="27"/>
    <cellStyle name="Comma 3 2" xfId="28"/>
    <cellStyle name="Comma 3 3" xfId="29"/>
    <cellStyle name="Comma 3 4" xfId="30"/>
    <cellStyle name="Comma 4" xfId="31"/>
    <cellStyle name="Comma 4 2" xfId="32"/>
    <cellStyle name="Comma 4 2 2" xfId="33"/>
    <cellStyle name="Comma 4 3" xfId="34"/>
    <cellStyle name="Comma 5" xfId="35"/>
    <cellStyle name="Comma 5 2" xfId="36"/>
    <cellStyle name="Comma 5 2 2" xfId="37"/>
    <cellStyle name="Comma 5 2 3" xfId="38"/>
    <cellStyle name="Comma 5 3" xfId="39"/>
    <cellStyle name="Comma 5 3 2" xfId="40"/>
    <cellStyle name="Comma 5 4" xfId="41"/>
    <cellStyle name="Comma 5 4 2" xfId="42"/>
    <cellStyle name="Comma 5 5" xfId="43"/>
    <cellStyle name="Comma 5 5 2" xfId="44"/>
    <cellStyle name="Comma 5 6" xfId="45"/>
    <cellStyle name="Comma 5 6 2" xfId="46"/>
    <cellStyle name="Comma 5 7" xfId="47"/>
    <cellStyle name="Comma 5 8" xfId="48"/>
    <cellStyle name="Comma 5 9" xfId="49"/>
    <cellStyle name="Comma 6" xfId="50"/>
    <cellStyle name="Comma 6 2" xfId="51"/>
    <cellStyle name="Comma 7" xfId="52"/>
    <cellStyle name="Comma 8" xfId="53"/>
    <cellStyle name="Comma 9" xfId="54"/>
    <cellStyle name="Euro" xfId="55"/>
    <cellStyle name="Header1" xfId="56"/>
    <cellStyle name="Header2" xfId="57"/>
    <cellStyle name="Hyperlink 2" xfId="58"/>
    <cellStyle name="Hyperlink 3" xfId="59"/>
    <cellStyle name="Komma 2" xfId="60"/>
    <cellStyle name="n" xfId="61"/>
    <cellStyle name="Normal" xfId="0" builtinId="0"/>
    <cellStyle name="Normal 11" xfId="62"/>
    <cellStyle name="Normal 14" xfId="63"/>
    <cellStyle name="Normal 15" xfId="64"/>
    <cellStyle name="Normal 2" xfId="65"/>
    <cellStyle name="Normal 2 2" xfId="66"/>
    <cellStyle name="Normal 2 3" xfId="67"/>
    <cellStyle name="Normal 2 4" xfId="68"/>
    <cellStyle name="Normal 2_SAPPORO SET 01-10-09" xfId="69"/>
    <cellStyle name="Normal 3" xfId="70"/>
    <cellStyle name="Normal 3 2" xfId="71"/>
    <cellStyle name="Normal 4" xfId="72"/>
    <cellStyle name="Normal 4 2" xfId="73"/>
    <cellStyle name="Normal 4 3" xfId="74"/>
    <cellStyle name="Normal 5" xfId="75"/>
    <cellStyle name="Normal 6" xfId="76"/>
    <cellStyle name="Normal 7" xfId="77"/>
    <cellStyle name="Normal 7 2" xfId="78"/>
    <cellStyle name="Normal 8" xfId="79"/>
    <cellStyle name="Normal 9" xfId="80"/>
    <cellStyle name="Normal_PI LAYOUT SAMPLE 2009_ 25-08-08 ngoc" xfId="81"/>
    <cellStyle name="Normal_PISICO FURNITURE OFFER 2005 - 2006 - 3" xfId="82"/>
    <cellStyle name="Standaard 2" xfId="83"/>
    <cellStyle name="Standaard 2 2" xfId="84"/>
    <cellStyle name="Standaard 3" xfId="85"/>
    <cellStyle name="Stijl 1" xfId="86"/>
    <cellStyle name="Style 1" xfId="87"/>
    <cellStyle name=" [0.00]_ Att. 1- Cover" xfId="88"/>
    <cellStyle name="_ Att. 1- Cover" xfId="89"/>
    <cellStyle name="?_ Att. 1- Cover" xfId="90"/>
    <cellStyle name="똿뗦먛귟 [0.00]_PRODUCT DETAIL Q1" xfId="91"/>
    <cellStyle name="똿뗦먛귟_PRODUCT DETAIL Q1" xfId="92"/>
    <cellStyle name="믅됞 [0.00]_PRODUCT DETAIL Q1" xfId="93"/>
    <cellStyle name="믅됞_PRODUCT DETAIL Q1" xfId="94"/>
    <cellStyle name="백분율_95" xfId="95"/>
    <cellStyle name="뷭?_BOOKSHIP" xfId="96"/>
    <cellStyle name="콤마 [0]_1202" xfId="97"/>
    <cellStyle name="콤마_1202" xfId="98"/>
    <cellStyle name="통화 [0]_1202" xfId="99"/>
    <cellStyle name="통화_1202" xfId="100"/>
    <cellStyle name="표준_(정보부문)월별인원계획" xfId="101"/>
    <cellStyle name="一般_99Q3647-ALL-CAS2" xfId="102"/>
    <cellStyle name="千分位[0]_Book1" xfId="103"/>
    <cellStyle name="千分位_99Q3647-ALL-CAS2" xfId="104"/>
    <cellStyle name="常规_Sheet1" xfId="105"/>
    <cellStyle name="貨幣 [0]_Book1" xfId="106"/>
    <cellStyle name="貨幣[0]_BRE" xfId="107"/>
    <cellStyle name="貨幣_Book1" xfId="108"/>
  </cellStyles>
  <dxfs count="32"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987135</xdr:colOff>
      <xdr:row>1</xdr:row>
      <xdr:rowOff>17320</xdr:rowOff>
    </xdr:from>
    <xdr:to>
      <xdr:col>5</xdr:col>
      <xdr:colOff>311727</xdr:colOff>
      <xdr:row>4</xdr:row>
      <xdr:rowOff>288854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0590" y="346365"/>
          <a:ext cx="4606637" cy="12586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F79"/>
  <sheetViews>
    <sheetView tabSelected="1" view="pageBreakPreview" zoomScale="55" zoomScaleNormal="55" zoomScaleSheetLayoutView="55" workbookViewId="0">
      <selection activeCell="AA10" sqref="AA10"/>
    </sheetView>
  </sheetViews>
  <sheetFormatPr defaultRowHeight="15"/>
  <cols>
    <col min="1" max="1" width="9.28515625" style="13" customWidth="1"/>
    <col min="2" max="4" width="20.7109375" style="13" customWidth="1"/>
    <col min="5" max="5" width="17" style="13" customWidth="1"/>
    <col min="6" max="9" width="8.85546875" style="13" customWidth="1"/>
    <col min="10" max="10" width="5.42578125" style="13" customWidth="1"/>
    <col min="11" max="13" width="9.5703125" style="13" customWidth="1"/>
    <col min="14" max="16" width="14.7109375" style="13" customWidth="1"/>
    <col min="17" max="17" width="7.28515625" style="13" customWidth="1"/>
    <col min="18" max="21" width="8.85546875" style="13" customWidth="1"/>
    <col min="22" max="24" width="9.140625" style="13" customWidth="1"/>
    <col min="25" max="25" width="52" style="13" customWidth="1"/>
    <col min="26" max="26" width="9.140625" style="13" customWidth="1"/>
    <col min="27" max="16384" width="9.140625" style="13"/>
  </cols>
  <sheetData>
    <row r="1" spans="1:32" ht="26.25">
      <c r="A1" s="23"/>
      <c r="B1" s="24"/>
      <c r="C1" s="24"/>
      <c r="D1" s="24"/>
      <c r="E1" s="25"/>
      <c r="F1" s="25"/>
      <c r="G1" s="26"/>
      <c r="H1" s="27" t="s">
        <v>79</v>
      </c>
      <c r="I1" s="25"/>
      <c r="J1" s="25"/>
      <c r="K1" s="28"/>
      <c r="L1" s="29"/>
      <c r="M1" s="30"/>
      <c r="N1" s="31"/>
      <c r="O1" s="31"/>
      <c r="P1" s="178"/>
      <c r="Q1" s="178"/>
      <c r="R1" s="178"/>
      <c r="S1" s="178"/>
      <c r="T1" s="178"/>
      <c r="U1" s="179"/>
      <c r="W1" s="68"/>
      <c r="X1" s="70"/>
      <c r="Y1" s="70"/>
      <c r="Z1" s="70"/>
      <c r="AA1" s="70"/>
      <c r="AB1" s="70"/>
      <c r="AC1" s="70"/>
      <c r="AD1" s="68"/>
      <c r="AE1" s="68"/>
      <c r="AF1" s="68"/>
    </row>
    <row r="2" spans="1:32" ht="26.25">
      <c r="A2" s="23"/>
      <c r="B2" s="24"/>
      <c r="C2" s="24"/>
      <c r="D2" s="24"/>
      <c r="E2" s="25"/>
      <c r="F2" s="25"/>
      <c r="G2" s="25"/>
      <c r="H2" s="32"/>
      <c r="I2" s="26"/>
      <c r="J2" s="49"/>
      <c r="K2" s="28"/>
      <c r="L2" s="33"/>
      <c r="M2" s="34"/>
      <c r="N2" s="35"/>
      <c r="O2" s="35"/>
      <c r="P2" s="36"/>
      <c r="Q2" s="36"/>
      <c r="R2" s="36"/>
      <c r="S2" s="36"/>
      <c r="T2" s="36"/>
      <c r="U2" s="50"/>
      <c r="W2" s="68"/>
      <c r="X2" s="70"/>
      <c r="Y2" s="70"/>
      <c r="Z2" s="70"/>
      <c r="AA2" s="70"/>
      <c r="AB2" s="70"/>
      <c r="AC2" s="70"/>
      <c r="AD2" s="68"/>
      <c r="AE2" s="68"/>
      <c r="AF2" s="68"/>
    </row>
    <row r="3" spans="1:32" ht="26.25">
      <c r="A3" s="39"/>
      <c r="B3" s="40"/>
      <c r="C3" s="40"/>
      <c r="D3" s="40"/>
      <c r="E3" s="41"/>
      <c r="F3" s="41"/>
      <c r="G3" s="41"/>
      <c r="H3" s="42"/>
      <c r="I3" s="43"/>
      <c r="J3" s="51"/>
      <c r="K3" s="1"/>
      <c r="L3" s="44"/>
      <c r="M3" s="45"/>
      <c r="N3" s="46"/>
      <c r="O3" s="46"/>
      <c r="P3" s="37"/>
      <c r="Q3" s="37"/>
      <c r="R3" s="37"/>
      <c r="S3" s="37"/>
      <c r="T3" s="37"/>
      <c r="U3" s="38"/>
      <c r="W3" s="68"/>
      <c r="X3" s="70"/>
      <c r="Y3" s="70"/>
      <c r="Z3" s="70"/>
      <c r="AA3" s="70"/>
      <c r="AB3" s="70"/>
      <c r="AC3" s="70"/>
      <c r="AD3" s="68"/>
      <c r="AE3" s="68"/>
      <c r="AF3" s="68"/>
    </row>
    <row r="4" spans="1:32" ht="26.25">
      <c r="A4" s="39"/>
      <c r="B4" s="40"/>
      <c r="C4" s="40"/>
      <c r="D4" s="40"/>
      <c r="E4" s="41"/>
      <c r="F4" s="41"/>
      <c r="G4" s="41"/>
      <c r="H4" s="42"/>
      <c r="I4" s="43"/>
      <c r="J4" s="51"/>
      <c r="K4" s="1"/>
      <c r="L4" s="44"/>
      <c r="M4" s="45"/>
      <c r="N4" s="46"/>
      <c r="O4" s="46"/>
      <c r="P4" s="37"/>
      <c r="Q4" s="37"/>
      <c r="R4" s="37"/>
      <c r="S4" s="37"/>
      <c r="T4" s="37"/>
      <c r="U4" s="38"/>
      <c r="W4" s="68"/>
      <c r="X4" s="70"/>
      <c r="Y4" s="70"/>
      <c r="Z4" s="70"/>
      <c r="AA4" s="70"/>
      <c r="AB4" s="70"/>
      <c r="AC4" s="70"/>
      <c r="AD4" s="68"/>
      <c r="AE4" s="68"/>
      <c r="AF4" s="68"/>
    </row>
    <row r="5" spans="1:32" ht="26.25">
      <c r="A5" s="59"/>
      <c r="B5" s="60"/>
      <c r="C5" s="60"/>
      <c r="D5" s="60"/>
      <c r="E5" s="61"/>
      <c r="F5" s="61"/>
      <c r="G5" s="61"/>
      <c r="H5" s="62"/>
      <c r="I5" s="63"/>
      <c r="J5" s="52"/>
      <c r="K5" s="53"/>
      <c r="L5" s="54"/>
      <c r="M5" s="55"/>
      <c r="N5" s="56"/>
      <c r="O5" s="56"/>
      <c r="P5" s="57"/>
      <c r="Q5" s="57"/>
      <c r="R5" s="57"/>
      <c r="S5" s="57"/>
      <c r="T5" s="57"/>
      <c r="U5" s="58"/>
      <c r="W5" s="68"/>
      <c r="X5" s="70"/>
      <c r="Y5" s="70"/>
      <c r="Z5" s="70"/>
      <c r="AA5" s="70"/>
      <c r="AB5" s="70"/>
      <c r="AC5" s="70"/>
      <c r="AD5" s="68"/>
      <c r="AE5" s="68"/>
      <c r="AF5" s="68"/>
    </row>
    <row r="6" spans="1:32">
      <c r="A6" s="180" t="s">
        <v>80</v>
      </c>
      <c r="B6" s="181"/>
      <c r="C6" s="182" t="str">
        <f>Data1!B2&amp;""</f>
        <v>000654</v>
      </c>
      <c r="D6" s="182"/>
      <c r="E6" s="182"/>
      <c r="F6" s="182"/>
      <c r="G6" s="182"/>
      <c r="H6" s="182"/>
      <c r="I6" s="183"/>
      <c r="J6" s="184" t="s">
        <v>81</v>
      </c>
      <c r="K6" s="185"/>
      <c r="L6" s="185"/>
      <c r="M6" s="186">
        <f ca="1">NOW()</f>
        <v>43244.388081597222</v>
      </c>
      <c r="N6" s="186"/>
      <c r="O6" s="186"/>
      <c r="P6" s="186"/>
      <c r="Q6" s="186"/>
      <c r="R6" s="186"/>
      <c r="S6" s="186"/>
      <c r="T6" s="186"/>
      <c r="U6" s="187"/>
      <c r="W6" s="68"/>
      <c r="X6" s="70"/>
      <c r="Y6" s="71"/>
      <c r="Z6" s="71"/>
      <c r="AA6" s="71"/>
      <c r="AB6" s="71"/>
      <c r="AC6" s="71"/>
      <c r="AD6" s="68"/>
      <c r="AE6" s="68"/>
      <c r="AF6" s="68"/>
    </row>
    <row r="7" spans="1:32">
      <c r="A7" s="127" t="s">
        <v>82</v>
      </c>
      <c r="B7" s="128"/>
      <c r="C7" s="124" t="str">
        <f>Data1!C2&amp;""</f>
        <v>F9LJ0103010434303000000A00</v>
      </c>
      <c r="D7" s="124"/>
      <c r="E7" s="124"/>
      <c r="F7" s="124"/>
      <c r="G7" s="124"/>
      <c r="H7" s="124"/>
      <c r="I7" s="129"/>
      <c r="J7" s="122" t="s">
        <v>83</v>
      </c>
      <c r="K7" s="123"/>
      <c r="L7" s="123"/>
      <c r="M7" s="124"/>
      <c r="N7" s="124"/>
      <c r="O7" s="124"/>
      <c r="P7" s="124"/>
      <c r="Q7" s="124"/>
      <c r="R7" s="124"/>
      <c r="S7" s="124"/>
      <c r="T7" s="124"/>
      <c r="U7" s="129"/>
      <c r="W7" s="68"/>
      <c r="X7" s="70"/>
      <c r="Y7" s="70"/>
      <c r="Z7" s="70"/>
      <c r="AA7" s="70"/>
      <c r="AB7" s="70"/>
      <c r="AC7" s="70"/>
      <c r="AD7" s="68"/>
      <c r="AE7" s="68"/>
      <c r="AF7" s="68"/>
    </row>
    <row r="8" spans="1:32">
      <c r="A8" s="172" t="s">
        <v>84</v>
      </c>
      <c r="B8" s="173"/>
      <c r="C8" s="155" t="str">
        <f>Data1!D2&amp;""</f>
        <v>MALLORCA ALCUDIA TABLE 110X110X63 CM / ALU BROWN / WICKER HALFROUND 7 MM RATTAN MIXED BROWN / GLASS TOP TRANSPARANT</v>
      </c>
      <c r="D8" s="155"/>
      <c r="E8" s="155"/>
      <c r="F8" s="155"/>
      <c r="G8" s="155"/>
      <c r="H8" s="155"/>
      <c r="I8" s="156"/>
      <c r="J8" s="122" t="s">
        <v>85</v>
      </c>
      <c r="K8" s="123"/>
      <c r="L8" s="123"/>
      <c r="M8" s="124" t="str">
        <f>Data1!E2&amp;""</f>
        <v>BIG-07-VHU</v>
      </c>
      <c r="N8" s="124"/>
      <c r="O8" s="124"/>
      <c r="P8" s="124"/>
      <c r="Q8" s="124"/>
      <c r="R8" s="124"/>
      <c r="S8" s="124"/>
      <c r="T8" s="124"/>
      <c r="U8" s="129"/>
      <c r="W8" s="68"/>
      <c r="X8" s="70"/>
      <c r="Y8" s="70"/>
      <c r="Z8" s="70"/>
      <c r="AA8" s="70"/>
      <c r="AB8" s="70"/>
      <c r="AC8" s="70"/>
      <c r="AD8" s="68"/>
      <c r="AE8" s="68"/>
      <c r="AF8" s="68"/>
    </row>
    <row r="9" spans="1:32">
      <c r="A9" s="174"/>
      <c r="B9" s="175"/>
      <c r="C9" s="157"/>
      <c r="D9" s="157"/>
      <c r="E9" s="157"/>
      <c r="F9" s="157"/>
      <c r="G9" s="157"/>
      <c r="H9" s="157"/>
      <c r="I9" s="157"/>
      <c r="J9" s="166" t="s">
        <v>86</v>
      </c>
      <c r="K9" s="167"/>
      <c r="L9" s="168"/>
      <c r="M9" s="169" t="str">
        <f>Data1!F2&amp;""</f>
        <v/>
      </c>
      <c r="N9" s="170"/>
      <c r="O9" s="170"/>
      <c r="P9" s="170"/>
      <c r="Q9" s="170"/>
      <c r="R9" s="170"/>
      <c r="S9" s="170"/>
      <c r="T9" s="170"/>
      <c r="U9" s="171"/>
      <c r="W9" s="68"/>
      <c r="X9" s="70"/>
      <c r="Y9" s="70"/>
      <c r="Z9" s="70"/>
      <c r="AA9" s="70"/>
      <c r="AB9" s="70"/>
      <c r="AC9" s="70"/>
      <c r="AD9" s="68"/>
      <c r="AE9" s="68"/>
      <c r="AF9" s="68"/>
    </row>
    <row r="10" spans="1:32" ht="50.1" customHeight="1">
      <c r="A10" s="176"/>
      <c r="B10" s="177"/>
      <c r="C10" s="158"/>
      <c r="D10" s="159"/>
      <c r="E10" s="159"/>
      <c r="F10" s="159"/>
      <c r="G10" s="159"/>
      <c r="H10" s="159"/>
      <c r="I10" s="159"/>
      <c r="J10" s="160" t="s">
        <v>87</v>
      </c>
      <c r="K10" s="161"/>
      <c r="L10" s="162"/>
      <c r="M10" s="163">
        <f>Data1!G2</f>
        <v>42613.730583414399</v>
      </c>
      <c r="N10" s="164"/>
      <c r="O10" s="164"/>
      <c r="P10" s="164"/>
      <c r="Q10" s="164"/>
      <c r="R10" s="164"/>
      <c r="S10" s="164"/>
      <c r="T10" s="164"/>
      <c r="U10" s="165"/>
      <c r="W10" s="68"/>
      <c r="X10" s="70"/>
      <c r="Y10" s="71"/>
      <c r="Z10" s="70"/>
      <c r="AA10" s="70"/>
      <c r="AB10" s="70"/>
      <c r="AC10" s="70"/>
      <c r="AD10" s="68"/>
      <c r="AE10" s="68"/>
      <c r="AF10" s="68"/>
    </row>
    <row r="11" spans="1:32">
      <c r="A11" s="199" t="s">
        <v>88</v>
      </c>
      <c r="B11" s="200"/>
      <c r="C11" s="205"/>
      <c r="D11" s="206"/>
      <c r="E11" s="206"/>
      <c r="F11" s="206"/>
      <c r="G11" s="206"/>
      <c r="H11" s="206"/>
      <c r="I11" s="206"/>
      <c r="J11" s="206"/>
      <c r="K11" s="206"/>
      <c r="L11" s="206"/>
      <c r="M11" s="206"/>
      <c r="N11" s="206"/>
      <c r="O11" s="206"/>
      <c r="P11" s="206"/>
      <c r="Q11" s="207"/>
      <c r="R11" s="201" t="s">
        <v>89</v>
      </c>
      <c r="S11" s="202"/>
      <c r="T11" s="203"/>
      <c r="U11" s="204"/>
      <c r="W11" s="68"/>
      <c r="X11" s="70"/>
      <c r="Y11" s="71"/>
      <c r="Z11" s="70"/>
      <c r="AA11" s="70"/>
      <c r="AB11" s="70"/>
      <c r="AC11" s="70"/>
      <c r="AD11" s="68"/>
      <c r="AE11" s="68"/>
      <c r="AF11" s="68"/>
    </row>
    <row r="12" spans="1:32">
      <c r="A12" s="20"/>
      <c r="B12" s="21"/>
      <c r="C12" s="21"/>
      <c r="D12" s="21"/>
      <c r="E12" s="2"/>
      <c r="F12" s="2"/>
      <c r="G12" s="2"/>
      <c r="H12" s="2"/>
      <c r="I12" s="3"/>
      <c r="J12" s="130" t="str">
        <f>"http://service.tilsoft.bg/media/thumbnail/"&amp;Data1!I2</f>
        <v>http://service.tilsoft.bg/media/thumbnail/9/18042016/a7bcfcdf0cd74ff7b95450d758928d0f.jpg</v>
      </c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2"/>
      <c r="W12" s="68"/>
      <c r="X12" s="70"/>
      <c r="Y12" s="70"/>
      <c r="Z12" s="70"/>
      <c r="AA12" s="70"/>
      <c r="AB12" s="70"/>
      <c r="AC12" s="70"/>
      <c r="AD12" s="68"/>
      <c r="AE12" s="68"/>
      <c r="AF12" s="68"/>
    </row>
    <row r="13" spans="1:32">
      <c r="A13" s="66" t="s">
        <v>90</v>
      </c>
      <c r="B13" s="2"/>
      <c r="C13" s="2"/>
      <c r="D13" s="2"/>
      <c r="E13" s="2"/>
      <c r="F13" s="2"/>
      <c r="G13" s="2"/>
      <c r="H13" s="2"/>
      <c r="I13" s="3"/>
      <c r="J13" s="130"/>
      <c r="K13" s="131"/>
      <c r="L13" s="131"/>
      <c r="M13" s="131"/>
      <c r="N13" s="131"/>
      <c r="O13" s="131"/>
      <c r="P13" s="131"/>
      <c r="Q13" s="131"/>
      <c r="R13" s="131"/>
      <c r="S13" s="131"/>
      <c r="T13" s="131"/>
      <c r="U13" s="132"/>
      <c r="W13" s="68"/>
      <c r="X13" s="70"/>
      <c r="Y13" s="70"/>
      <c r="Z13" s="70"/>
      <c r="AA13" s="70"/>
      <c r="AB13" s="70"/>
      <c r="AC13" s="70"/>
      <c r="AD13" s="68"/>
      <c r="AE13" s="68"/>
      <c r="AF13" s="68"/>
    </row>
    <row r="14" spans="1:32">
      <c r="A14" s="4" t="s">
        <v>91</v>
      </c>
      <c r="B14" s="2"/>
      <c r="C14" s="2"/>
      <c r="D14" s="2"/>
      <c r="E14" s="2"/>
      <c r="F14" s="2"/>
      <c r="G14" s="2"/>
      <c r="H14" s="2"/>
      <c r="I14" s="3"/>
      <c r="J14" s="130"/>
      <c r="K14" s="131"/>
      <c r="L14" s="131"/>
      <c r="M14" s="131"/>
      <c r="N14" s="131"/>
      <c r="O14" s="131"/>
      <c r="P14" s="131"/>
      <c r="Q14" s="131"/>
      <c r="R14" s="131"/>
      <c r="S14" s="131"/>
      <c r="T14" s="131"/>
      <c r="U14" s="132"/>
      <c r="W14" s="68"/>
      <c r="X14" s="70"/>
      <c r="Y14" s="70"/>
      <c r="Z14" s="70"/>
      <c r="AA14" s="70"/>
      <c r="AB14" s="70"/>
      <c r="AC14" s="70"/>
      <c r="AD14" s="68"/>
      <c r="AE14" s="68"/>
      <c r="AF14" s="68"/>
    </row>
    <row r="15" spans="1:32">
      <c r="A15" s="208" t="str">
        <f>"http://service.tilsoft.bg/media/thumbnail/"&amp;Data1!H2</f>
        <v>http://service.tilsoft.bg/media/thumbnail/5/21092016/a64c474125f14b2cb798fd354ba000a0.jpg</v>
      </c>
      <c r="B15" s="209"/>
      <c r="C15" s="209"/>
      <c r="D15" s="209"/>
      <c r="E15" s="209"/>
      <c r="F15" s="209"/>
      <c r="G15" s="209"/>
      <c r="H15" s="209"/>
      <c r="I15" s="210"/>
      <c r="J15" s="130"/>
      <c r="K15" s="131"/>
      <c r="L15" s="131"/>
      <c r="M15" s="131"/>
      <c r="N15" s="131"/>
      <c r="O15" s="131"/>
      <c r="P15" s="131"/>
      <c r="Q15" s="131"/>
      <c r="R15" s="131"/>
      <c r="S15" s="131"/>
      <c r="T15" s="131"/>
      <c r="U15" s="132"/>
      <c r="W15" s="68"/>
      <c r="X15" s="70"/>
      <c r="Y15" s="70"/>
      <c r="Z15" s="70"/>
      <c r="AA15" s="70"/>
      <c r="AB15" s="70"/>
      <c r="AC15" s="70"/>
      <c r="AD15" s="68"/>
      <c r="AE15" s="68"/>
      <c r="AF15" s="68"/>
    </row>
    <row r="16" spans="1:32">
      <c r="A16" s="208"/>
      <c r="B16" s="209"/>
      <c r="C16" s="209"/>
      <c r="D16" s="209"/>
      <c r="E16" s="209"/>
      <c r="F16" s="209"/>
      <c r="G16" s="209"/>
      <c r="H16" s="209"/>
      <c r="I16" s="210"/>
      <c r="J16" s="130"/>
      <c r="K16" s="131"/>
      <c r="L16" s="131"/>
      <c r="M16" s="131"/>
      <c r="N16" s="131"/>
      <c r="O16" s="131"/>
      <c r="P16" s="131"/>
      <c r="Q16" s="131"/>
      <c r="R16" s="131"/>
      <c r="S16" s="131"/>
      <c r="T16" s="131"/>
      <c r="U16" s="132"/>
      <c r="W16" s="68"/>
      <c r="X16" s="70"/>
      <c r="Y16" s="70"/>
      <c r="Z16" s="70"/>
      <c r="AA16" s="70"/>
      <c r="AB16" s="70"/>
      <c r="AC16" s="70"/>
      <c r="AD16" s="68"/>
      <c r="AE16" s="68"/>
      <c r="AF16" s="68"/>
    </row>
    <row r="17" spans="1:32">
      <c r="A17" s="208"/>
      <c r="B17" s="209"/>
      <c r="C17" s="209"/>
      <c r="D17" s="209"/>
      <c r="E17" s="209"/>
      <c r="F17" s="209"/>
      <c r="G17" s="209"/>
      <c r="H17" s="209"/>
      <c r="I17" s="210"/>
      <c r="J17" s="130"/>
      <c r="K17" s="131"/>
      <c r="L17" s="131"/>
      <c r="M17" s="131"/>
      <c r="N17" s="131"/>
      <c r="O17" s="131"/>
      <c r="P17" s="131"/>
      <c r="Q17" s="131"/>
      <c r="R17" s="131"/>
      <c r="S17" s="131"/>
      <c r="T17" s="131"/>
      <c r="U17" s="132"/>
      <c r="W17" s="68"/>
      <c r="X17" s="70"/>
      <c r="Y17" s="70"/>
      <c r="Z17" s="70"/>
      <c r="AA17" s="70"/>
      <c r="AB17" s="70"/>
      <c r="AC17" s="70"/>
      <c r="AD17" s="68"/>
      <c r="AE17" s="68"/>
      <c r="AF17" s="68"/>
    </row>
    <row r="18" spans="1:32">
      <c r="A18" s="208"/>
      <c r="B18" s="209"/>
      <c r="C18" s="209"/>
      <c r="D18" s="209"/>
      <c r="E18" s="209"/>
      <c r="F18" s="209"/>
      <c r="G18" s="209"/>
      <c r="H18" s="209"/>
      <c r="I18" s="210"/>
      <c r="J18" s="130"/>
      <c r="K18" s="131"/>
      <c r="L18" s="131"/>
      <c r="M18" s="131"/>
      <c r="N18" s="131"/>
      <c r="O18" s="131"/>
      <c r="P18" s="131"/>
      <c r="Q18" s="131"/>
      <c r="R18" s="131"/>
      <c r="S18" s="131"/>
      <c r="T18" s="131"/>
      <c r="U18" s="132"/>
      <c r="W18" s="68"/>
      <c r="X18" s="70"/>
      <c r="Y18" s="70"/>
      <c r="Z18" s="70"/>
      <c r="AA18" s="70"/>
      <c r="AB18" s="70"/>
      <c r="AC18" s="70"/>
      <c r="AD18" s="68"/>
      <c r="AE18" s="68"/>
      <c r="AF18" s="68"/>
    </row>
    <row r="19" spans="1:32">
      <c r="A19" s="208"/>
      <c r="B19" s="209"/>
      <c r="C19" s="209"/>
      <c r="D19" s="209"/>
      <c r="E19" s="209"/>
      <c r="F19" s="209"/>
      <c r="G19" s="209"/>
      <c r="H19" s="209"/>
      <c r="I19" s="210"/>
      <c r="J19" s="130"/>
      <c r="K19" s="131"/>
      <c r="L19" s="131"/>
      <c r="M19" s="131"/>
      <c r="N19" s="131"/>
      <c r="O19" s="131"/>
      <c r="P19" s="131"/>
      <c r="Q19" s="131"/>
      <c r="R19" s="131"/>
      <c r="S19" s="131"/>
      <c r="T19" s="131"/>
      <c r="U19" s="132"/>
      <c r="W19" s="69"/>
      <c r="X19" s="71"/>
      <c r="Y19" s="71"/>
      <c r="Z19" s="71"/>
      <c r="AA19" s="70"/>
      <c r="AB19" s="70"/>
      <c r="AC19" s="70"/>
      <c r="AD19" s="68"/>
      <c r="AE19" s="68"/>
      <c r="AF19" s="68"/>
    </row>
    <row r="20" spans="1:32">
      <c r="A20" s="208"/>
      <c r="B20" s="209"/>
      <c r="C20" s="209"/>
      <c r="D20" s="209"/>
      <c r="E20" s="209"/>
      <c r="F20" s="209"/>
      <c r="G20" s="209"/>
      <c r="H20" s="209"/>
      <c r="I20" s="210"/>
      <c r="J20" s="130"/>
      <c r="K20" s="131"/>
      <c r="L20" s="131"/>
      <c r="M20" s="131"/>
      <c r="N20" s="131"/>
      <c r="O20" s="131"/>
      <c r="P20" s="131"/>
      <c r="Q20" s="131"/>
      <c r="R20" s="131"/>
      <c r="S20" s="131"/>
      <c r="T20" s="131"/>
      <c r="U20" s="132"/>
      <c r="W20" s="68"/>
      <c r="X20" s="68"/>
      <c r="Y20" s="68"/>
      <c r="Z20" s="68"/>
      <c r="AA20" s="68"/>
      <c r="AB20" s="68"/>
      <c r="AC20" s="68"/>
      <c r="AD20" s="68"/>
      <c r="AE20" s="68"/>
      <c r="AF20" s="68"/>
    </row>
    <row r="21" spans="1:32">
      <c r="A21" s="208"/>
      <c r="B21" s="209"/>
      <c r="C21" s="209"/>
      <c r="D21" s="209"/>
      <c r="E21" s="209"/>
      <c r="F21" s="209"/>
      <c r="G21" s="209"/>
      <c r="H21" s="209"/>
      <c r="I21" s="210"/>
      <c r="J21" s="130"/>
      <c r="K21" s="131"/>
      <c r="L21" s="131"/>
      <c r="M21" s="131"/>
      <c r="N21" s="131"/>
      <c r="O21" s="131"/>
      <c r="P21" s="131"/>
      <c r="Q21" s="131"/>
      <c r="R21" s="131"/>
      <c r="S21" s="131"/>
      <c r="T21" s="131"/>
      <c r="U21" s="132"/>
      <c r="W21" s="68"/>
      <c r="X21" s="68"/>
      <c r="Y21" s="68"/>
      <c r="Z21" s="68"/>
      <c r="AA21" s="68"/>
      <c r="AB21" s="68"/>
      <c r="AC21" s="68"/>
      <c r="AD21" s="68"/>
      <c r="AE21" s="68"/>
      <c r="AF21" s="68"/>
    </row>
    <row r="22" spans="1:32">
      <c r="A22" s="208"/>
      <c r="B22" s="209"/>
      <c r="C22" s="209"/>
      <c r="D22" s="209"/>
      <c r="E22" s="209"/>
      <c r="F22" s="209"/>
      <c r="G22" s="209"/>
      <c r="H22" s="209"/>
      <c r="I22" s="210"/>
      <c r="J22" s="130"/>
      <c r="K22" s="131"/>
      <c r="L22" s="131"/>
      <c r="M22" s="131"/>
      <c r="N22" s="131"/>
      <c r="O22" s="131"/>
      <c r="P22" s="131"/>
      <c r="Q22" s="131"/>
      <c r="R22" s="131"/>
      <c r="S22" s="131"/>
      <c r="T22" s="131"/>
      <c r="U22" s="132"/>
      <c r="W22" s="68"/>
      <c r="X22" s="68"/>
      <c r="Y22" s="68"/>
      <c r="Z22" s="68"/>
      <c r="AA22" s="68"/>
      <c r="AB22" s="68"/>
      <c r="AC22" s="68"/>
      <c r="AD22" s="68"/>
      <c r="AE22" s="68"/>
      <c r="AF22" s="68"/>
    </row>
    <row r="23" spans="1:32">
      <c r="A23" s="208"/>
      <c r="B23" s="209"/>
      <c r="C23" s="209"/>
      <c r="D23" s="209"/>
      <c r="E23" s="209"/>
      <c r="F23" s="209"/>
      <c r="G23" s="209"/>
      <c r="H23" s="209"/>
      <c r="I23" s="210"/>
      <c r="J23" s="130"/>
      <c r="K23" s="131"/>
      <c r="L23" s="131"/>
      <c r="M23" s="131"/>
      <c r="N23" s="131"/>
      <c r="O23" s="131"/>
      <c r="P23" s="131"/>
      <c r="Q23" s="131"/>
      <c r="R23" s="131"/>
      <c r="S23" s="131"/>
      <c r="T23" s="131"/>
      <c r="U23" s="132"/>
      <c r="W23" s="68"/>
      <c r="X23" s="68"/>
      <c r="Y23" s="68"/>
      <c r="Z23" s="68"/>
      <c r="AA23" s="68"/>
      <c r="AB23" s="68"/>
      <c r="AC23" s="68"/>
      <c r="AD23" s="68"/>
      <c r="AE23" s="68"/>
      <c r="AF23" s="68"/>
    </row>
    <row r="24" spans="1:32">
      <c r="A24" s="208"/>
      <c r="B24" s="209"/>
      <c r="C24" s="209"/>
      <c r="D24" s="209"/>
      <c r="E24" s="209"/>
      <c r="F24" s="209"/>
      <c r="G24" s="209"/>
      <c r="H24" s="209"/>
      <c r="I24" s="210"/>
      <c r="J24" s="133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5"/>
      <c r="W24" s="68"/>
      <c r="X24" s="68"/>
      <c r="Y24" s="68"/>
      <c r="Z24" s="68"/>
      <c r="AA24" s="68"/>
      <c r="AB24" s="68"/>
      <c r="AC24" s="68"/>
      <c r="AD24" s="68"/>
      <c r="AE24" s="68"/>
      <c r="AF24" s="68"/>
    </row>
    <row r="25" spans="1:32">
      <c r="A25" s="208"/>
      <c r="B25" s="209"/>
      <c r="C25" s="209"/>
      <c r="D25" s="209"/>
      <c r="E25" s="209"/>
      <c r="F25" s="209"/>
      <c r="G25" s="209"/>
      <c r="H25" s="209"/>
      <c r="I25" s="210"/>
      <c r="J25" s="113" t="s">
        <v>92</v>
      </c>
      <c r="K25" s="114"/>
      <c r="L25" s="114"/>
      <c r="M25" s="115"/>
      <c r="N25" s="144" t="str">
        <f>Data1!K2&amp;""</f>
        <v>GLASS TOP NONE</v>
      </c>
      <c r="O25" s="108"/>
      <c r="P25" s="108"/>
      <c r="Q25" s="108"/>
      <c r="R25" s="108"/>
      <c r="S25" s="108"/>
      <c r="T25" s="153" t="s">
        <v>93</v>
      </c>
      <c r="U25" s="99" t="str">
        <f>Data1!L2&amp;""</f>
        <v>0300</v>
      </c>
    </row>
    <row r="26" spans="1:32" ht="17.25" customHeight="1">
      <c r="A26" s="208"/>
      <c r="B26" s="209"/>
      <c r="C26" s="209"/>
      <c r="D26" s="209"/>
      <c r="E26" s="209"/>
      <c r="F26" s="209"/>
      <c r="G26" s="209"/>
      <c r="H26" s="209"/>
      <c r="I26" s="210"/>
      <c r="J26" s="116" t="s">
        <v>94</v>
      </c>
      <c r="K26" s="117"/>
      <c r="L26" s="117"/>
      <c r="M26" s="118"/>
      <c r="N26" s="145" t="str">
        <f>Data1!M2&amp;""</f>
        <v>RATTAN MIXED BROWN</v>
      </c>
      <c r="O26" s="111"/>
      <c r="P26" s="111"/>
      <c r="Q26" s="111"/>
      <c r="R26" s="111"/>
      <c r="S26" s="111"/>
      <c r="T26" s="154"/>
      <c r="U26" s="100" t="str">
        <f>Data1!N2&amp;""</f>
        <v>343</v>
      </c>
      <c r="Y26" s="14"/>
    </row>
    <row r="27" spans="1:32">
      <c r="A27" s="208"/>
      <c r="B27" s="209"/>
      <c r="C27" s="209"/>
      <c r="D27" s="209"/>
      <c r="E27" s="209"/>
      <c r="F27" s="209"/>
      <c r="G27" s="209"/>
      <c r="H27" s="209"/>
      <c r="I27" s="210"/>
      <c r="J27" s="130" t="str">
        <f>"http://service.tilsoft.bg/media/thumbnail/"&amp;Data1!J2</f>
        <v>http://service.tilsoft.bg/media/thumbnail/</v>
      </c>
      <c r="K27" s="131"/>
      <c r="L27" s="131"/>
      <c r="M27" s="131"/>
      <c r="N27" s="131"/>
      <c r="O27" s="131"/>
      <c r="P27" s="131"/>
      <c r="Q27" s="131"/>
      <c r="R27" s="131"/>
      <c r="S27" s="131"/>
      <c r="T27" s="131"/>
      <c r="U27" s="132"/>
    </row>
    <row r="28" spans="1:32">
      <c r="A28" s="208"/>
      <c r="B28" s="209"/>
      <c r="C28" s="209"/>
      <c r="D28" s="209"/>
      <c r="E28" s="209"/>
      <c r="F28" s="209"/>
      <c r="G28" s="209"/>
      <c r="H28" s="209"/>
      <c r="I28" s="210"/>
      <c r="J28" s="130"/>
      <c r="K28" s="131"/>
      <c r="L28" s="131"/>
      <c r="M28" s="131"/>
      <c r="N28" s="131"/>
      <c r="O28" s="131"/>
      <c r="P28" s="131"/>
      <c r="Q28" s="131"/>
      <c r="R28" s="131"/>
      <c r="S28" s="131"/>
      <c r="T28" s="131"/>
      <c r="U28" s="132"/>
      <c r="Z28" s="14"/>
      <c r="AA28" s="14"/>
      <c r="AB28" s="14"/>
      <c r="AC28" s="14"/>
    </row>
    <row r="29" spans="1:32">
      <c r="A29" s="208"/>
      <c r="B29" s="209"/>
      <c r="C29" s="209"/>
      <c r="D29" s="209"/>
      <c r="E29" s="209"/>
      <c r="F29" s="209"/>
      <c r="G29" s="209"/>
      <c r="H29" s="209"/>
      <c r="I29" s="210"/>
      <c r="J29" s="130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2"/>
    </row>
    <row r="30" spans="1:32">
      <c r="A30" s="208"/>
      <c r="B30" s="209"/>
      <c r="C30" s="209"/>
      <c r="D30" s="209"/>
      <c r="E30" s="209"/>
      <c r="F30" s="209"/>
      <c r="G30" s="209"/>
      <c r="H30" s="209"/>
      <c r="I30" s="210"/>
      <c r="J30" s="130"/>
      <c r="K30" s="131"/>
      <c r="L30" s="131"/>
      <c r="M30" s="131"/>
      <c r="N30" s="131"/>
      <c r="O30" s="131"/>
      <c r="P30" s="131"/>
      <c r="Q30" s="131"/>
      <c r="R30" s="131"/>
      <c r="S30" s="131"/>
      <c r="T30" s="131"/>
      <c r="U30" s="132"/>
    </row>
    <row r="31" spans="1:32">
      <c r="A31" s="208"/>
      <c r="B31" s="209"/>
      <c r="C31" s="209"/>
      <c r="D31" s="209"/>
      <c r="E31" s="209"/>
      <c r="F31" s="209"/>
      <c r="G31" s="209"/>
      <c r="H31" s="209"/>
      <c r="I31" s="210"/>
      <c r="J31" s="130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2"/>
    </row>
    <row r="32" spans="1:32">
      <c r="A32" s="208"/>
      <c r="B32" s="209"/>
      <c r="C32" s="209"/>
      <c r="D32" s="209"/>
      <c r="E32" s="209"/>
      <c r="F32" s="209"/>
      <c r="G32" s="209"/>
      <c r="H32" s="209"/>
      <c r="I32" s="210"/>
      <c r="J32" s="130"/>
      <c r="K32" s="131"/>
      <c r="L32" s="131"/>
      <c r="M32" s="131"/>
      <c r="N32" s="131"/>
      <c r="O32" s="131"/>
      <c r="P32" s="131"/>
      <c r="Q32" s="131"/>
      <c r="R32" s="131"/>
      <c r="S32" s="131"/>
      <c r="T32" s="131"/>
      <c r="U32" s="132"/>
    </row>
    <row r="33" spans="1:30">
      <c r="A33" s="208"/>
      <c r="B33" s="209"/>
      <c r="C33" s="209"/>
      <c r="D33" s="209"/>
      <c r="E33" s="209"/>
      <c r="F33" s="209"/>
      <c r="G33" s="209"/>
      <c r="H33" s="209"/>
      <c r="I33" s="210"/>
      <c r="J33" s="130"/>
      <c r="K33" s="131"/>
      <c r="L33" s="131"/>
      <c r="M33" s="131"/>
      <c r="N33" s="131"/>
      <c r="O33" s="131"/>
      <c r="P33" s="131"/>
      <c r="Q33" s="131"/>
      <c r="R33" s="131"/>
      <c r="S33" s="131"/>
      <c r="T33" s="131"/>
      <c r="U33" s="132"/>
      <c r="W33" s="67"/>
    </row>
    <row r="34" spans="1:30">
      <c r="A34" s="208"/>
      <c r="B34" s="209"/>
      <c r="C34" s="209"/>
      <c r="D34" s="209"/>
      <c r="E34" s="209"/>
      <c r="F34" s="209"/>
      <c r="G34" s="209"/>
      <c r="H34" s="209"/>
      <c r="I34" s="210"/>
      <c r="J34" s="130"/>
      <c r="K34" s="131"/>
      <c r="L34" s="131"/>
      <c r="M34" s="131"/>
      <c r="N34" s="131"/>
      <c r="O34" s="131"/>
      <c r="P34" s="131"/>
      <c r="Q34" s="131"/>
      <c r="R34" s="131"/>
      <c r="S34" s="131"/>
      <c r="T34" s="131"/>
      <c r="U34" s="132"/>
    </row>
    <row r="35" spans="1:30">
      <c r="A35" s="208"/>
      <c r="B35" s="209"/>
      <c r="C35" s="209"/>
      <c r="D35" s="209"/>
      <c r="E35" s="209"/>
      <c r="F35" s="209"/>
      <c r="G35" s="209"/>
      <c r="H35" s="209"/>
      <c r="I35" s="210"/>
      <c r="J35" s="130"/>
      <c r="K35" s="131"/>
      <c r="L35" s="131"/>
      <c r="M35" s="131"/>
      <c r="N35" s="131"/>
      <c r="O35" s="131"/>
      <c r="P35" s="131"/>
      <c r="Q35" s="131"/>
      <c r="R35" s="131"/>
      <c r="S35" s="131"/>
      <c r="T35" s="131"/>
      <c r="U35" s="132"/>
    </row>
    <row r="36" spans="1:30">
      <c r="A36" s="208"/>
      <c r="B36" s="209"/>
      <c r="C36" s="209"/>
      <c r="D36" s="209"/>
      <c r="E36" s="209"/>
      <c r="F36" s="209"/>
      <c r="G36" s="209"/>
      <c r="H36" s="209"/>
      <c r="I36" s="210"/>
      <c r="J36" s="130"/>
      <c r="K36" s="131"/>
      <c r="L36" s="131"/>
      <c r="M36" s="131"/>
      <c r="N36" s="131"/>
      <c r="O36" s="131"/>
      <c r="P36" s="131"/>
      <c r="Q36" s="131"/>
      <c r="R36" s="131"/>
      <c r="S36" s="131"/>
      <c r="T36" s="131"/>
      <c r="U36" s="132"/>
    </row>
    <row r="37" spans="1:30">
      <c r="A37" s="208"/>
      <c r="B37" s="209"/>
      <c r="C37" s="209"/>
      <c r="D37" s="209"/>
      <c r="E37" s="209"/>
      <c r="F37" s="209"/>
      <c r="G37" s="209"/>
      <c r="H37" s="209"/>
      <c r="I37" s="210"/>
      <c r="J37" s="130"/>
      <c r="K37" s="131"/>
      <c r="L37" s="131"/>
      <c r="M37" s="131"/>
      <c r="N37" s="131"/>
      <c r="O37" s="131"/>
      <c r="P37" s="131"/>
      <c r="Q37" s="131"/>
      <c r="R37" s="131"/>
      <c r="S37" s="131"/>
      <c r="T37" s="131"/>
      <c r="U37" s="132"/>
    </row>
    <row r="38" spans="1:30">
      <c r="A38" s="208"/>
      <c r="B38" s="209"/>
      <c r="C38" s="209"/>
      <c r="D38" s="209"/>
      <c r="E38" s="209"/>
      <c r="F38" s="209"/>
      <c r="G38" s="209"/>
      <c r="H38" s="209"/>
      <c r="I38" s="210"/>
      <c r="J38" s="130"/>
      <c r="K38" s="131"/>
      <c r="L38" s="131"/>
      <c r="M38" s="131"/>
      <c r="N38" s="131"/>
      <c r="O38" s="131"/>
      <c r="P38" s="131"/>
      <c r="Q38" s="131"/>
      <c r="R38" s="131"/>
      <c r="S38" s="131"/>
      <c r="T38" s="131"/>
      <c r="U38" s="132"/>
    </row>
    <row r="39" spans="1:30" ht="17.25" customHeight="1">
      <c r="A39" s="208"/>
      <c r="B39" s="209"/>
      <c r="C39" s="209"/>
      <c r="D39" s="209"/>
      <c r="E39" s="209"/>
      <c r="F39" s="209"/>
      <c r="G39" s="209"/>
      <c r="H39" s="209"/>
      <c r="I39" s="210"/>
      <c r="J39" s="133"/>
      <c r="K39" s="134"/>
      <c r="L39" s="134"/>
      <c r="M39" s="134"/>
      <c r="N39" s="134"/>
      <c r="O39" s="134"/>
      <c r="P39" s="134"/>
      <c r="Q39" s="134"/>
      <c r="R39" s="134"/>
      <c r="S39" s="134"/>
      <c r="T39" s="134"/>
      <c r="U39" s="135"/>
    </row>
    <row r="40" spans="1:30" ht="17.25" customHeight="1">
      <c r="A40" s="208"/>
      <c r="B40" s="209"/>
      <c r="C40" s="209"/>
      <c r="D40" s="209"/>
      <c r="E40" s="209"/>
      <c r="F40" s="209"/>
      <c r="G40" s="209"/>
      <c r="H40" s="209"/>
      <c r="I40" s="210"/>
      <c r="J40" s="72" t="s">
        <v>95</v>
      </c>
      <c r="K40" s="75"/>
      <c r="L40" s="79"/>
      <c r="M40" s="82"/>
      <c r="N40" s="107" t="str">
        <f>Data1!O2&amp;""</f>
        <v>NONE</v>
      </c>
      <c r="O40" s="108"/>
      <c r="P40" s="108"/>
      <c r="Q40" s="108"/>
      <c r="R40" s="108"/>
      <c r="S40" s="109"/>
      <c r="T40" s="101" t="s">
        <v>93</v>
      </c>
      <c r="U40" s="93" t="str">
        <f>Data1!P2&amp;""</f>
        <v>00</v>
      </c>
    </row>
    <row r="41" spans="1:30" ht="17.25" customHeight="1">
      <c r="A41" s="211"/>
      <c r="B41" s="212"/>
      <c r="C41" s="212"/>
      <c r="D41" s="212"/>
      <c r="E41" s="212"/>
      <c r="F41" s="212"/>
      <c r="G41" s="212"/>
      <c r="H41" s="212"/>
      <c r="I41" s="213"/>
      <c r="J41" s="73" t="s">
        <v>96</v>
      </c>
      <c r="K41" s="74"/>
      <c r="L41" s="74"/>
      <c r="M41" s="83"/>
      <c r="N41" s="110" t="str">
        <f>Data1!Q2&amp;""</f>
        <v/>
      </c>
      <c r="O41" s="111"/>
      <c r="P41" s="111"/>
      <c r="Q41" s="111"/>
      <c r="R41" s="111"/>
      <c r="S41" s="112"/>
      <c r="T41" s="92"/>
      <c r="U41" s="102"/>
    </row>
    <row r="42" spans="1:30" ht="17.25" customHeight="1">
      <c r="A42" s="136" t="s">
        <v>97</v>
      </c>
      <c r="B42" s="137"/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  <c r="N42" s="76"/>
      <c r="O42" s="76"/>
      <c r="P42" s="76"/>
      <c r="Q42" s="76"/>
      <c r="R42" s="76"/>
      <c r="S42" s="76"/>
      <c r="T42" s="76"/>
      <c r="U42" s="48"/>
    </row>
    <row r="43" spans="1:30" ht="17.25" customHeight="1">
      <c r="A43" s="138"/>
      <c r="B43" s="139"/>
      <c r="C43" s="77"/>
      <c r="D43" s="77"/>
      <c r="E43" s="77"/>
      <c r="F43" s="77"/>
      <c r="G43" s="77"/>
      <c r="H43" s="77"/>
      <c r="I43" s="77"/>
      <c r="J43" s="47"/>
      <c r="K43" s="47"/>
      <c r="L43" s="47"/>
      <c r="M43" s="47"/>
      <c r="N43" s="47"/>
      <c r="O43" s="47"/>
      <c r="P43" s="140" t="s">
        <v>98</v>
      </c>
      <c r="Q43" s="143"/>
      <c r="R43" s="140" t="s">
        <v>99</v>
      </c>
      <c r="S43" s="142"/>
      <c r="T43" s="140" t="s">
        <v>100</v>
      </c>
      <c r="U43" s="141"/>
    </row>
    <row r="44" spans="1:30" ht="17.25" customHeight="1">
      <c r="A44" s="16"/>
      <c r="B44" s="15"/>
      <c r="C44" s="17"/>
      <c r="D44" s="17"/>
      <c r="E44" s="97" t="s">
        <v>98</v>
      </c>
      <c r="F44" s="148" t="s">
        <v>99</v>
      </c>
      <c r="G44" s="147"/>
      <c r="H44" s="146" t="s">
        <v>100</v>
      </c>
      <c r="I44" s="147"/>
      <c r="J44" s="89" t="s">
        <v>101</v>
      </c>
      <c r="K44" s="90"/>
      <c r="L44" s="90"/>
      <c r="M44" s="90"/>
      <c r="N44" s="85"/>
      <c r="O44" s="91"/>
      <c r="P44" s="119" t="str">
        <f>Data1!AD2&amp;""</f>
        <v/>
      </c>
      <c r="Q44" s="121"/>
      <c r="R44" s="119" t="str">
        <f>Data1!AE2&amp;""</f>
        <v/>
      </c>
      <c r="S44" s="120"/>
      <c r="T44" s="119" t="str">
        <f>Data1!AF2&amp;""</f>
        <v/>
      </c>
      <c r="U44" s="198"/>
    </row>
    <row r="45" spans="1:30" ht="17.25" customHeight="1">
      <c r="A45" s="94" t="s">
        <v>102</v>
      </c>
      <c r="B45" s="95"/>
      <c r="C45" s="86"/>
      <c r="D45" s="96"/>
      <c r="E45" s="98" t="str">
        <f>Data1!R2&amp;""</f>
        <v>110</v>
      </c>
      <c r="F45" s="125" t="str">
        <f>Data1!S2&amp;""</f>
        <v>110</v>
      </c>
      <c r="G45" s="196"/>
      <c r="H45" s="194" t="str">
        <f>Data1!T2&amp;""</f>
        <v>63</v>
      </c>
      <c r="I45" s="195"/>
      <c r="J45" s="89" t="s">
        <v>103</v>
      </c>
      <c r="K45" s="90"/>
      <c r="L45" s="90"/>
      <c r="M45" s="90"/>
      <c r="N45" s="85"/>
      <c r="O45" s="91"/>
      <c r="P45" s="119" t="str">
        <f>Data1!AG2&amp;""</f>
        <v/>
      </c>
      <c r="Q45" s="121"/>
      <c r="R45" s="119" t="str">
        <f>Data1!AH2&amp;""</f>
        <v/>
      </c>
      <c r="S45" s="120"/>
      <c r="T45" s="119" t="str">
        <f>Data1!AI2&amp;""</f>
        <v/>
      </c>
      <c r="U45" s="198"/>
    </row>
    <row r="46" spans="1:30" ht="17.25" customHeight="1">
      <c r="A46" s="94" t="s">
        <v>104</v>
      </c>
      <c r="B46" s="95"/>
      <c r="C46" s="86"/>
      <c r="D46" s="96"/>
      <c r="E46" s="98" t="str">
        <f>Data1!U2&amp;""</f>
        <v/>
      </c>
      <c r="F46" s="197" t="str">
        <f>Data1!V2&amp;""</f>
        <v/>
      </c>
      <c r="G46" s="196"/>
      <c r="H46" s="194" t="str">
        <f>Data1!W2&amp;""</f>
        <v/>
      </c>
      <c r="I46" s="195"/>
      <c r="J46" s="104"/>
      <c r="K46" s="105"/>
      <c r="L46" s="105"/>
      <c r="M46" s="105"/>
      <c r="N46" s="105"/>
      <c r="O46" s="105"/>
      <c r="P46" s="105"/>
      <c r="Q46" s="105"/>
      <c r="R46" s="105"/>
      <c r="S46" s="105"/>
      <c r="T46" s="105"/>
      <c r="U46" s="106"/>
    </row>
    <row r="47" spans="1:30" ht="17.25" customHeight="1">
      <c r="A47" s="87" t="s">
        <v>105</v>
      </c>
      <c r="B47" s="88"/>
      <c r="C47" s="88"/>
      <c r="D47" s="88"/>
      <c r="E47" s="98" t="str">
        <f>Data1!X2&amp;""</f>
        <v/>
      </c>
      <c r="F47" s="125" t="str">
        <f>Data1!Y2&amp;""</f>
        <v/>
      </c>
      <c r="G47" s="126"/>
      <c r="H47" s="125" t="str">
        <f>Data1!Z2&amp;""</f>
        <v/>
      </c>
      <c r="I47" s="126"/>
      <c r="J47" s="149" t="s">
        <v>106</v>
      </c>
      <c r="K47" s="149"/>
      <c r="L47" s="149"/>
      <c r="M47" s="149"/>
      <c r="N47" s="150"/>
      <c r="O47" s="104" t="str">
        <f>Data1!AJ2&amp;""</f>
        <v/>
      </c>
      <c r="P47" s="105"/>
      <c r="Q47" s="105"/>
      <c r="R47" s="105"/>
      <c r="S47" s="105"/>
      <c r="T47" s="105"/>
      <c r="U47" s="106"/>
    </row>
    <row r="48" spans="1:30" ht="17.25" customHeight="1">
      <c r="A48" s="87" t="s">
        <v>107</v>
      </c>
      <c r="B48" s="88"/>
      <c r="C48" s="88"/>
      <c r="D48" s="88"/>
      <c r="E48" s="98" t="str">
        <f>Data1!AA2&amp;""</f>
        <v/>
      </c>
      <c r="F48" s="125" t="str">
        <f>Data1!AB2&amp;""</f>
        <v/>
      </c>
      <c r="G48" s="126"/>
      <c r="H48" s="125" t="str">
        <f>Data1!AC2&amp;""</f>
        <v/>
      </c>
      <c r="I48" s="126"/>
      <c r="J48" s="151" t="s">
        <v>108</v>
      </c>
      <c r="K48" s="105"/>
      <c r="L48" s="105"/>
      <c r="M48" s="105"/>
      <c r="N48" s="152"/>
      <c r="O48" s="104" t="str">
        <f>Data1!AK2&amp;""</f>
        <v/>
      </c>
      <c r="P48" s="105"/>
      <c r="Q48" s="105"/>
      <c r="R48" s="105"/>
      <c r="S48" s="105"/>
      <c r="T48" s="105"/>
      <c r="U48" s="106"/>
      <c r="AA48" s="14"/>
      <c r="AB48" s="14"/>
      <c r="AC48" s="14"/>
      <c r="AD48" s="14"/>
    </row>
    <row r="49" spans="1:21" ht="17.25" customHeight="1">
      <c r="A49" s="22"/>
      <c r="B49" s="19"/>
      <c r="C49" s="19"/>
      <c r="D49" s="19"/>
      <c r="E49" s="19"/>
      <c r="F49" s="19"/>
      <c r="G49" s="19"/>
      <c r="H49" s="19"/>
      <c r="I49" s="19"/>
      <c r="J49" s="151" t="s">
        <v>109</v>
      </c>
      <c r="K49" s="105"/>
      <c r="L49" s="105"/>
      <c r="M49" s="105"/>
      <c r="N49" s="152"/>
      <c r="O49" s="104" t="str">
        <f>Data1!AL2&amp;""</f>
        <v/>
      </c>
      <c r="P49" s="105"/>
      <c r="Q49" s="105"/>
      <c r="R49" s="105"/>
      <c r="S49" s="105"/>
      <c r="T49" s="105"/>
      <c r="U49" s="106"/>
    </row>
    <row r="50" spans="1:21" ht="17.25" customHeight="1">
      <c r="A50" s="22"/>
      <c r="B50" s="19"/>
      <c r="C50" s="19"/>
      <c r="D50" s="19"/>
      <c r="E50" s="19"/>
      <c r="F50" s="19"/>
      <c r="G50" s="19"/>
      <c r="H50" s="19"/>
      <c r="I50" s="19"/>
      <c r="J50" s="104"/>
      <c r="K50" s="105"/>
      <c r="L50" s="105"/>
      <c r="M50" s="105"/>
      <c r="N50" s="105"/>
      <c r="O50" s="105"/>
      <c r="P50" s="105"/>
      <c r="Q50" s="105"/>
      <c r="R50" s="105"/>
      <c r="S50" s="105"/>
      <c r="T50" s="105"/>
      <c r="U50" s="106"/>
    </row>
    <row r="51" spans="1:21" ht="17.25" customHeight="1">
      <c r="A51" s="122" t="s">
        <v>110</v>
      </c>
      <c r="B51" s="123"/>
      <c r="C51" s="124" t="str">
        <f>Data1!AM2&amp;""</f>
        <v>WICKERHALFROUND 7 MM</v>
      </c>
      <c r="D51" s="124"/>
      <c r="E51" s="124"/>
      <c r="F51" s="124"/>
      <c r="G51" s="124"/>
      <c r="H51" s="124"/>
      <c r="I51" s="124"/>
      <c r="J51" s="149" t="s">
        <v>111</v>
      </c>
      <c r="K51" s="149"/>
      <c r="L51" s="149"/>
      <c r="M51" s="149"/>
      <c r="N51" s="150"/>
      <c r="O51" s="104" t="str">
        <f>Data1!AP2&amp;""</f>
        <v/>
      </c>
      <c r="P51" s="105"/>
      <c r="Q51" s="105"/>
      <c r="R51" s="105"/>
      <c r="S51" s="105"/>
      <c r="T51" s="105"/>
      <c r="U51" s="106"/>
    </row>
    <row r="52" spans="1:21" ht="17.25" customHeight="1">
      <c r="A52" s="166" t="s">
        <v>112</v>
      </c>
      <c r="B52" s="115"/>
      <c r="C52" s="169" t="str">
        <f>Data1!AN2&amp;""</f>
        <v/>
      </c>
      <c r="D52" s="170"/>
      <c r="E52" s="170"/>
      <c r="F52" s="170"/>
      <c r="G52" s="170"/>
      <c r="H52" s="170"/>
      <c r="I52" s="193"/>
      <c r="J52" s="151" t="s">
        <v>113</v>
      </c>
      <c r="K52" s="105"/>
      <c r="L52" s="105"/>
      <c r="M52" s="105"/>
      <c r="N52" s="152"/>
      <c r="O52" s="104" t="str">
        <f>Data1!AQ2&amp;""</f>
        <v/>
      </c>
      <c r="P52" s="105"/>
      <c r="Q52" s="105"/>
      <c r="R52" s="105"/>
      <c r="S52" s="105"/>
      <c r="T52" s="105"/>
      <c r="U52" s="106"/>
    </row>
    <row r="53" spans="1:21" ht="17.25" customHeight="1">
      <c r="A53" s="113" t="s">
        <v>114</v>
      </c>
      <c r="B53" s="115"/>
      <c r="C53" s="169" t="str">
        <f>Data1!AO2&amp;""</f>
        <v/>
      </c>
      <c r="D53" s="170"/>
      <c r="E53" s="170"/>
      <c r="F53" s="170"/>
      <c r="G53" s="170"/>
      <c r="H53" s="170"/>
      <c r="I53" s="193"/>
      <c r="J53" s="151" t="s">
        <v>115</v>
      </c>
      <c r="K53" s="105"/>
      <c r="L53" s="105"/>
      <c r="M53" s="105"/>
      <c r="N53" s="152"/>
      <c r="O53" s="104" t="str">
        <f>Data1!AR2&amp;""</f>
        <v/>
      </c>
      <c r="P53" s="105"/>
      <c r="Q53" s="105"/>
      <c r="R53" s="105"/>
      <c r="S53" s="105"/>
      <c r="T53" s="105"/>
      <c r="U53" s="106"/>
    </row>
    <row r="54" spans="1:21" ht="17.25" customHeight="1">
      <c r="A54" s="286"/>
      <c r="B54" s="268"/>
      <c r="C54" s="268"/>
      <c r="D54" s="268"/>
      <c r="E54" s="268"/>
      <c r="F54" s="268"/>
      <c r="G54" s="268"/>
      <c r="H54" s="268"/>
      <c r="I54" s="271"/>
      <c r="J54" s="151" t="s">
        <v>116</v>
      </c>
      <c r="K54" s="105"/>
      <c r="L54" s="105"/>
      <c r="M54" s="105"/>
      <c r="N54" s="152"/>
      <c r="O54" s="104" t="str">
        <f>Data1!AS2&amp;""</f>
        <v/>
      </c>
      <c r="P54" s="105"/>
      <c r="Q54" s="105"/>
      <c r="R54" s="105"/>
      <c r="S54" s="105"/>
      <c r="T54" s="105"/>
      <c r="U54" s="106"/>
    </row>
    <row r="55" spans="1:21" ht="17.25" customHeight="1">
      <c r="A55" s="287"/>
      <c r="B55" s="288"/>
      <c r="C55" s="288"/>
      <c r="D55" s="288"/>
      <c r="E55" s="288"/>
      <c r="F55" s="288"/>
      <c r="G55" s="288"/>
      <c r="H55" s="288"/>
      <c r="I55" s="289"/>
      <c r="J55" s="270" t="s">
        <v>117</v>
      </c>
      <c r="K55" s="268"/>
      <c r="L55" s="268"/>
      <c r="M55" s="268"/>
      <c r="N55" s="271"/>
      <c r="O55" s="267" t="str">
        <f>Data1!AT2&amp;""</f>
        <v/>
      </c>
      <c r="P55" s="268"/>
      <c r="Q55" s="268"/>
      <c r="R55" s="268"/>
      <c r="S55" s="268"/>
      <c r="T55" s="268"/>
      <c r="U55" s="269"/>
    </row>
    <row r="56" spans="1:21" ht="17.25" customHeight="1">
      <c r="A56" s="272" t="s">
        <v>118</v>
      </c>
      <c r="B56" s="273"/>
      <c r="C56" s="273"/>
      <c r="D56" s="273"/>
      <c r="E56" s="273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273"/>
      <c r="R56" s="273"/>
      <c r="S56" s="273"/>
      <c r="T56" s="273"/>
      <c r="U56" s="274"/>
    </row>
    <row r="57" spans="1:21">
      <c r="A57" s="275"/>
      <c r="B57" s="276"/>
      <c r="C57" s="276"/>
      <c r="D57" s="276"/>
      <c r="E57" s="276"/>
      <c r="F57" s="276"/>
      <c r="G57" s="276"/>
      <c r="H57" s="276"/>
      <c r="I57" s="276"/>
      <c r="J57" s="276"/>
      <c r="K57" s="276"/>
      <c r="L57" s="276"/>
      <c r="M57" s="276"/>
      <c r="N57" s="276"/>
      <c r="O57" s="276"/>
      <c r="P57" s="276"/>
      <c r="Q57" s="276"/>
      <c r="R57" s="276"/>
      <c r="S57" s="276"/>
      <c r="T57" s="276"/>
      <c r="U57" s="277"/>
    </row>
    <row r="58" spans="1:21">
      <c r="A58" s="7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6"/>
    </row>
    <row r="59" spans="1:21" ht="36.75" customHeight="1">
      <c r="A59" s="8"/>
      <c r="B59" s="192" t="s">
        <v>119</v>
      </c>
      <c r="C59" s="192"/>
      <c r="D59" s="192"/>
      <c r="E59" s="192" t="s">
        <v>120</v>
      </c>
      <c r="F59" s="192"/>
      <c r="G59" s="192" t="s">
        <v>121</v>
      </c>
      <c r="H59" s="192"/>
      <c r="I59" s="192" t="s">
        <v>122</v>
      </c>
      <c r="J59" s="192"/>
      <c r="K59" s="192" t="s">
        <v>123</v>
      </c>
      <c r="L59" s="192"/>
      <c r="M59" s="192"/>
      <c r="N59" s="192" t="s">
        <v>124</v>
      </c>
      <c r="O59" s="192"/>
      <c r="P59" s="192"/>
      <c r="Q59" s="192" t="s">
        <v>125</v>
      </c>
      <c r="R59" s="192"/>
      <c r="S59" s="192"/>
      <c r="T59" s="9"/>
      <c r="U59" s="10"/>
    </row>
    <row r="60" spans="1:21">
      <c r="A60" s="11"/>
      <c r="B60" s="78" t="s">
        <v>98</v>
      </c>
      <c r="C60" s="78" t="s">
        <v>99</v>
      </c>
      <c r="D60" s="78" t="s">
        <v>100</v>
      </c>
      <c r="E60" s="192"/>
      <c r="F60" s="192"/>
      <c r="G60" s="192"/>
      <c r="H60" s="192"/>
      <c r="I60" s="192"/>
      <c r="J60" s="192"/>
      <c r="K60" s="78" t="s">
        <v>126</v>
      </c>
      <c r="L60" s="78" t="s">
        <v>127</v>
      </c>
      <c r="M60" s="78" t="s">
        <v>128</v>
      </c>
      <c r="N60" s="78" t="s">
        <v>98</v>
      </c>
      <c r="O60" s="78" t="s">
        <v>99</v>
      </c>
      <c r="P60" s="78" t="s">
        <v>100</v>
      </c>
      <c r="Q60" s="78" t="s">
        <v>126</v>
      </c>
      <c r="R60" s="78" t="s">
        <v>127</v>
      </c>
      <c r="S60" s="78" t="s">
        <v>128</v>
      </c>
      <c r="T60" s="12"/>
      <c r="U60" s="10"/>
    </row>
    <row r="61" spans="1:21" ht="27.75" customHeight="1">
      <c r="A61" s="84" t="s">
        <v>129</v>
      </c>
      <c r="B61" s="103" t="str">
        <f>Data1!AU2&amp;""</f>
        <v/>
      </c>
      <c r="C61" s="103" t="str">
        <f>Data1!AV2&amp;""</f>
        <v/>
      </c>
      <c r="D61" s="103" t="str">
        <f>Data1!AW2&amp;""</f>
        <v/>
      </c>
      <c r="E61" s="248" t="str">
        <f>Data1!BG2&amp;""</f>
        <v/>
      </c>
      <c r="F61" s="279"/>
      <c r="G61" s="282" t="str">
        <f>Data1!BH2&amp;""</f>
        <v/>
      </c>
      <c r="H61" s="283"/>
      <c r="I61" s="248" t="str">
        <f>Data1!BI2&amp;""</f>
        <v/>
      </c>
      <c r="J61" s="279"/>
      <c r="K61" s="18" t="str">
        <f>Data1!AX2&amp;""</f>
        <v>0</v>
      </c>
      <c r="L61" s="18" t="str">
        <f>Data1!AY2&amp;""</f>
        <v>0</v>
      </c>
      <c r="M61" s="18" t="str">
        <f>Data1!AZ2&amp;""</f>
        <v>184</v>
      </c>
      <c r="N61" s="18"/>
      <c r="O61" s="18"/>
      <c r="P61" s="18"/>
      <c r="Q61" s="18"/>
      <c r="R61" s="18"/>
      <c r="S61" s="18"/>
      <c r="T61" s="5"/>
      <c r="U61" s="6"/>
    </row>
    <row r="62" spans="1:21" ht="27.75" customHeight="1">
      <c r="A62" s="84" t="s">
        <v>130</v>
      </c>
      <c r="B62" s="18" t="str">
        <f>Data1!BA2&amp;""</f>
        <v/>
      </c>
      <c r="C62" s="18" t="str">
        <f>Data1!BB2&amp;""</f>
        <v/>
      </c>
      <c r="D62" s="18" t="str">
        <f>Data1!BC2&amp;""</f>
        <v/>
      </c>
      <c r="E62" s="280"/>
      <c r="F62" s="281"/>
      <c r="G62" s="284"/>
      <c r="H62" s="285"/>
      <c r="I62" s="280"/>
      <c r="J62" s="281"/>
      <c r="K62" s="18" t="str">
        <f>Data1!BD2&amp;""</f>
        <v/>
      </c>
      <c r="L62" s="18" t="str">
        <f>Data1!BE2&amp;""</f>
        <v/>
      </c>
      <c r="M62" s="18" t="str">
        <f>Data1!BF2&amp;""</f>
        <v/>
      </c>
      <c r="N62" s="18"/>
      <c r="O62" s="18"/>
      <c r="P62" s="18"/>
      <c r="Q62" s="18"/>
      <c r="R62" s="18"/>
      <c r="S62" s="18"/>
      <c r="T62" s="5"/>
      <c r="U62" s="6"/>
    </row>
    <row r="63" spans="1:21">
      <c r="A63" s="64"/>
      <c r="B63" s="65"/>
      <c r="C63" s="65"/>
      <c r="D63" s="65"/>
      <c r="E63" s="65"/>
      <c r="F63" s="65"/>
      <c r="G63" s="65"/>
      <c r="H63" s="65"/>
      <c r="I63" s="6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6"/>
    </row>
    <row r="64" spans="1:21">
      <c r="A64" s="272" t="s">
        <v>131</v>
      </c>
      <c r="B64" s="273"/>
      <c r="C64" s="273"/>
      <c r="D64" s="273"/>
      <c r="E64" s="273"/>
      <c r="F64" s="273"/>
      <c r="G64" s="273"/>
      <c r="H64" s="273"/>
      <c r="I64" s="273"/>
      <c r="J64" s="278" t="s">
        <v>132</v>
      </c>
      <c r="K64" s="273"/>
      <c r="L64" s="273"/>
      <c r="M64" s="273"/>
      <c r="N64" s="273"/>
      <c r="O64" s="273"/>
      <c r="P64" s="273"/>
      <c r="Q64" s="273"/>
      <c r="R64" s="273"/>
      <c r="S64" s="273"/>
      <c r="T64" s="273"/>
      <c r="U64" s="274"/>
    </row>
    <row r="65" spans="1:24">
      <c r="A65" s="275"/>
      <c r="B65" s="276"/>
      <c r="C65" s="276"/>
      <c r="D65" s="276"/>
      <c r="E65" s="276"/>
      <c r="F65" s="276"/>
      <c r="G65" s="276"/>
      <c r="H65" s="276"/>
      <c r="I65" s="276"/>
      <c r="J65" s="276"/>
      <c r="K65" s="276"/>
      <c r="L65" s="276"/>
      <c r="M65" s="276"/>
      <c r="N65" s="276"/>
      <c r="O65" s="276"/>
      <c r="P65" s="276"/>
      <c r="Q65" s="276"/>
      <c r="R65" s="276"/>
      <c r="S65" s="276"/>
      <c r="T65" s="276"/>
      <c r="U65" s="277"/>
    </row>
    <row r="66" spans="1:24">
      <c r="A66" s="250" t="str">
        <f>Data1!BJ2&amp;""</f>
        <v/>
      </c>
      <c r="B66" s="155"/>
      <c r="C66" s="155"/>
      <c r="D66" s="155"/>
      <c r="E66" s="155"/>
      <c r="F66" s="155"/>
      <c r="G66" s="155"/>
      <c r="H66" s="155"/>
      <c r="I66" s="251"/>
      <c r="J66" s="216"/>
      <c r="K66" s="216"/>
      <c r="L66" s="216"/>
      <c r="M66" s="217"/>
      <c r="N66" s="217"/>
      <c r="O66" s="217"/>
      <c r="P66" s="217"/>
      <c r="Q66" s="217"/>
      <c r="R66" s="217"/>
      <c r="S66" s="217"/>
      <c r="T66" s="217"/>
      <c r="U66" s="218"/>
      <c r="X66" s="14"/>
    </row>
    <row r="67" spans="1:24">
      <c r="A67" s="252"/>
      <c r="B67" s="253"/>
      <c r="C67" s="253"/>
      <c r="D67" s="253"/>
      <c r="E67" s="253"/>
      <c r="F67" s="253"/>
      <c r="G67" s="253"/>
      <c r="H67" s="253"/>
      <c r="I67" s="254"/>
      <c r="J67" s="216"/>
      <c r="K67" s="216"/>
      <c r="L67" s="216"/>
      <c r="M67" s="217"/>
      <c r="N67" s="217"/>
      <c r="O67" s="217"/>
      <c r="P67" s="217"/>
      <c r="Q67" s="217"/>
      <c r="R67" s="217"/>
      <c r="S67" s="217"/>
      <c r="T67" s="217"/>
      <c r="U67" s="218"/>
      <c r="X67" s="14"/>
    </row>
    <row r="68" spans="1:24">
      <c r="A68" s="252"/>
      <c r="B68" s="253"/>
      <c r="C68" s="253"/>
      <c r="D68" s="253"/>
      <c r="E68" s="253"/>
      <c r="F68" s="253"/>
      <c r="G68" s="253"/>
      <c r="H68" s="253"/>
      <c r="I68" s="254"/>
      <c r="J68" s="219" t="s">
        <v>133</v>
      </c>
      <c r="K68" s="220"/>
      <c r="L68" s="221"/>
      <c r="M68" s="225" t="str">
        <f>Data1!BK2&amp;""</f>
        <v/>
      </c>
      <c r="N68" s="225"/>
      <c r="O68" s="225"/>
      <c r="P68" s="225"/>
      <c r="Q68" s="225"/>
      <c r="R68" s="225"/>
      <c r="S68" s="225"/>
      <c r="T68" s="225"/>
      <c r="U68" s="226"/>
    </row>
    <row r="69" spans="1:24">
      <c r="A69" s="252"/>
      <c r="B69" s="253"/>
      <c r="C69" s="253"/>
      <c r="D69" s="253"/>
      <c r="E69" s="253"/>
      <c r="F69" s="253"/>
      <c r="G69" s="253"/>
      <c r="H69" s="253"/>
      <c r="I69" s="254"/>
      <c r="J69" s="222"/>
      <c r="K69" s="223"/>
      <c r="L69" s="224"/>
      <c r="M69" s="225"/>
      <c r="N69" s="225"/>
      <c r="O69" s="225"/>
      <c r="P69" s="225"/>
      <c r="Q69" s="225"/>
      <c r="R69" s="225"/>
      <c r="S69" s="225"/>
      <c r="T69" s="225"/>
      <c r="U69" s="226"/>
    </row>
    <row r="70" spans="1:24">
      <c r="A70" s="255"/>
      <c r="B70" s="256"/>
      <c r="C70" s="256"/>
      <c r="D70" s="256"/>
      <c r="E70" s="256"/>
      <c r="F70" s="256"/>
      <c r="G70" s="256"/>
      <c r="H70" s="256"/>
      <c r="I70" s="257"/>
      <c r="J70" s="227"/>
      <c r="K70" s="227"/>
      <c r="L70" s="227"/>
      <c r="M70" s="265"/>
      <c r="N70" s="265"/>
      <c r="O70" s="265"/>
      <c r="P70" s="265"/>
      <c r="Q70" s="265"/>
      <c r="R70" s="265"/>
      <c r="S70" s="265"/>
      <c r="T70" s="265"/>
      <c r="U70" s="266"/>
    </row>
    <row r="71" spans="1:24" ht="24" customHeight="1">
      <c r="A71" s="188" t="s">
        <v>134</v>
      </c>
      <c r="B71" s="189"/>
      <c r="C71" s="189"/>
      <c r="D71" s="189"/>
      <c r="E71" s="189"/>
      <c r="F71" s="189"/>
      <c r="G71" s="189"/>
      <c r="H71" s="189"/>
      <c r="I71" s="189"/>
      <c r="J71" s="190" t="s">
        <v>135</v>
      </c>
      <c r="K71" s="189"/>
      <c r="L71" s="189"/>
      <c r="M71" s="189"/>
      <c r="N71" s="189"/>
      <c r="O71" s="189"/>
      <c r="P71" s="189"/>
      <c r="Q71" s="189"/>
      <c r="R71" s="189"/>
      <c r="S71" s="189"/>
      <c r="T71" s="189"/>
      <c r="U71" s="191"/>
    </row>
    <row r="72" spans="1:24">
      <c r="A72" s="229" t="str">
        <f>"http://service.tilsoft.bg/media/thumbnail/"&amp;Data1!BL2</f>
        <v>http://service.tilsoft.bg/media/thumbnail/</v>
      </c>
      <c r="B72" s="230"/>
      <c r="C72" s="230"/>
      <c r="D72" s="230"/>
      <c r="E72" s="230"/>
      <c r="F72" s="230"/>
      <c r="G72" s="230"/>
      <c r="H72" s="230"/>
      <c r="I72" s="231"/>
      <c r="J72" s="242"/>
      <c r="K72" s="230"/>
      <c r="L72" s="230"/>
      <c r="M72" s="230"/>
      <c r="N72" s="230"/>
      <c r="O72" s="230"/>
      <c r="P72" s="230"/>
      <c r="Q72" s="230"/>
      <c r="R72" s="230"/>
      <c r="S72" s="230"/>
      <c r="T72" s="230"/>
      <c r="U72" s="243"/>
    </row>
    <row r="73" spans="1:24">
      <c r="A73" s="232"/>
      <c r="B73" s="233"/>
      <c r="C73" s="233"/>
      <c r="D73" s="233"/>
      <c r="E73" s="233"/>
      <c r="F73" s="233"/>
      <c r="G73" s="233"/>
      <c r="H73" s="233"/>
      <c r="I73" s="234"/>
      <c r="J73" s="244"/>
      <c r="K73" s="233"/>
      <c r="L73" s="233"/>
      <c r="M73" s="233"/>
      <c r="N73" s="233"/>
      <c r="O73" s="233"/>
      <c r="P73" s="233"/>
      <c r="Q73" s="233"/>
      <c r="R73" s="233"/>
      <c r="S73" s="233"/>
      <c r="T73" s="233"/>
      <c r="U73" s="245"/>
    </row>
    <row r="74" spans="1:24">
      <c r="A74" s="232"/>
      <c r="B74" s="233"/>
      <c r="C74" s="233"/>
      <c r="D74" s="233"/>
      <c r="E74" s="233"/>
      <c r="F74" s="233"/>
      <c r="G74" s="233"/>
      <c r="H74" s="233"/>
      <c r="I74" s="234"/>
      <c r="J74" s="244"/>
      <c r="K74" s="233"/>
      <c r="L74" s="233"/>
      <c r="M74" s="233"/>
      <c r="N74" s="233"/>
      <c r="O74" s="233"/>
      <c r="P74" s="233"/>
      <c r="Q74" s="233"/>
      <c r="R74" s="233"/>
      <c r="S74" s="233"/>
      <c r="T74" s="233"/>
      <c r="U74" s="245"/>
    </row>
    <row r="75" spans="1:24">
      <c r="A75" s="232"/>
      <c r="B75" s="233"/>
      <c r="C75" s="233"/>
      <c r="D75" s="233"/>
      <c r="E75" s="233"/>
      <c r="F75" s="233"/>
      <c r="G75" s="233"/>
      <c r="H75" s="233"/>
      <c r="I75" s="234"/>
      <c r="J75" s="244"/>
      <c r="K75" s="233"/>
      <c r="L75" s="233"/>
      <c r="M75" s="233"/>
      <c r="N75" s="233"/>
      <c r="O75" s="233"/>
      <c r="P75" s="233"/>
      <c r="Q75" s="233"/>
      <c r="R75" s="233"/>
      <c r="S75" s="233"/>
      <c r="T75" s="233"/>
      <c r="U75" s="245"/>
    </row>
    <row r="76" spans="1:24">
      <c r="A76" s="232"/>
      <c r="B76" s="233"/>
      <c r="C76" s="233"/>
      <c r="D76" s="233"/>
      <c r="E76" s="233"/>
      <c r="F76" s="233"/>
      <c r="G76" s="233"/>
      <c r="H76" s="233"/>
      <c r="I76" s="234"/>
      <c r="J76" s="244"/>
      <c r="K76" s="233"/>
      <c r="L76" s="233"/>
      <c r="M76" s="233"/>
      <c r="N76" s="233"/>
      <c r="O76" s="233"/>
      <c r="P76" s="233"/>
      <c r="Q76" s="233"/>
      <c r="R76" s="233"/>
      <c r="S76" s="233"/>
      <c r="T76" s="233"/>
      <c r="U76" s="245"/>
    </row>
    <row r="77" spans="1:24" ht="48.95" customHeight="1">
      <c r="A77" s="235"/>
      <c r="B77" s="236"/>
      <c r="C77" s="236"/>
      <c r="D77" s="236"/>
      <c r="E77" s="236"/>
      <c r="F77" s="236"/>
      <c r="G77" s="236"/>
      <c r="H77" s="236"/>
      <c r="I77" s="237"/>
      <c r="J77" s="246"/>
      <c r="K77" s="236"/>
      <c r="L77" s="236"/>
      <c r="M77" s="236"/>
      <c r="N77" s="236"/>
      <c r="O77" s="236"/>
      <c r="P77" s="236"/>
      <c r="Q77" s="236"/>
      <c r="R77" s="236"/>
      <c r="S77" s="236"/>
      <c r="T77" s="236"/>
      <c r="U77" s="247"/>
    </row>
    <row r="78" spans="1:24">
      <c r="A78" s="238"/>
      <c r="B78" s="230"/>
      <c r="C78" s="230"/>
      <c r="D78" s="230"/>
      <c r="E78" s="231"/>
      <c r="F78" s="228" t="s">
        <v>136</v>
      </c>
      <c r="G78" s="228"/>
      <c r="H78" s="258"/>
      <c r="I78" s="258"/>
      <c r="J78" s="248"/>
      <c r="K78" s="230"/>
      <c r="L78" s="230"/>
      <c r="M78" s="230"/>
      <c r="N78" s="230"/>
      <c r="O78" s="230"/>
      <c r="P78" s="230"/>
      <c r="Q78" s="231"/>
      <c r="R78" s="81" t="s">
        <v>136</v>
      </c>
      <c r="S78" s="259"/>
      <c r="T78" s="260"/>
      <c r="U78" s="261"/>
    </row>
    <row r="79" spans="1:24">
      <c r="A79" s="239"/>
      <c r="B79" s="240"/>
      <c r="C79" s="240"/>
      <c r="D79" s="240"/>
      <c r="E79" s="241"/>
      <c r="F79" s="214" t="s">
        <v>81</v>
      </c>
      <c r="G79" s="214"/>
      <c r="H79" s="215">
        <f ca="1">M6</f>
        <v>43244.388081597222</v>
      </c>
      <c r="I79" s="215"/>
      <c r="J79" s="249"/>
      <c r="K79" s="240"/>
      <c r="L79" s="240"/>
      <c r="M79" s="240"/>
      <c r="N79" s="240"/>
      <c r="O79" s="240"/>
      <c r="P79" s="240"/>
      <c r="Q79" s="241"/>
      <c r="R79" s="80" t="s">
        <v>81</v>
      </c>
      <c r="S79" s="262"/>
      <c r="T79" s="263"/>
      <c r="U79" s="264"/>
    </row>
  </sheetData>
  <mergeCells count="108">
    <mergeCell ref="O53:U53"/>
    <mergeCell ref="O54:U54"/>
    <mergeCell ref="A54:I55"/>
    <mergeCell ref="J52:N52"/>
    <mergeCell ref="A53:B53"/>
    <mergeCell ref="A52:B52"/>
    <mergeCell ref="O52:U52"/>
    <mergeCell ref="J53:N53"/>
    <mergeCell ref="J54:N54"/>
    <mergeCell ref="Q59:S59"/>
    <mergeCell ref="K59:M59"/>
    <mergeCell ref="N59:P59"/>
    <mergeCell ref="O55:U55"/>
    <mergeCell ref="J55:N55"/>
    <mergeCell ref="A56:U57"/>
    <mergeCell ref="J64:U65"/>
    <mergeCell ref="B59:D59"/>
    <mergeCell ref="A64:I65"/>
    <mergeCell ref="E61:F62"/>
    <mergeCell ref="G61:H62"/>
    <mergeCell ref="I61:J62"/>
    <mergeCell ref="E59:F60"/>
    <mergeCell ref="G59:H60"/>
    <mergeCell ref="F79:G79"/>
    <mergeCell ref="H79:I79"/>
    <mergeCell ref="J66:L67"/>
    <mergeCell ref="M66:U67"/>
    <mergeCell ref="J68:L69"/>
    <mergeCell ref="M68:U69"/>
    <mergeCell ref="J70:L70"/>
    <mergeCell ref="F78:G78"/>
    <mergeCell ref="A72:I77"/>
    <mergeCell ref="A78:E79"/>
    <mergeCell ref="J72:U77"/>
    <mergeCell ref="J78:Q79"/>
    <mergeCell ref="A66:I70"/>
    <mergeCell ref="H78:I78"/>
    <mergeCell ref="S78:U78"/>
    <mergeCell ref="S79:U79"/>
    <mergeCell ref="M70:U70"/>
    <mergeCell ref="P1:U1"/>
    <mergeCell ref="A6:B6"/>
    <mergeCell ref="C6:I6"/>
    <mergeCell ref="J6:L6"/>
    <mergeCell ref="M6:U6"/>
    <mergeCell ref="A71:I71"/>
    <mergeCell ref="J71:U71"/>
    <mergeCell ref="I59:J60"/>
    <mergeCell ref="C53:I53"/>
    <mergeCell ref="C52:I52"/>
    <mergeCell ref="H45:I45"/>
    <mergeCell ref="F45:G45"/>
    <mergeCell ref="H46:I46"/>
    <mergeCell ref="F46:G46"/>
    <mergeCell ref="T44:U44"/>
    <mergeCell ref="R44:S44"/>
    <mergeCell ref="P44:Q44"/>
    <mergeCell ref="T45:U45"/>
    <mergeCell ref="A11:B11"/>
    <mergeCell ref="R11:S11"/>
    <mergeCell ref="T11:U11"/>
    <mergeCell ref="C11:Q11"/>
    <mergeCell ref="O49:U49"/>
    <mergeCell ref="A15:I41"/>
    <mergeCell ref="M7:U7"/>
    <mergeCell ref="C8:I10"/>
    <mergeCell ref="J8:L8"/>
    <mergeCell ref="M8:U8"/>
    <mergeCell ref="J10:L10"/>
    <mergeCell ref="M10:U10"/>
    <mergeCell ref="J9:L9"/>
    <mergeCell ref="M9:U9"/>
    <mergeCell ref="A8:B10"/>
    <mergeCell ref="A51:B51"/>
    <mergeCell ref="C51:I51"/>
    <mergeCell ref="H47:I47"/>
    <mergeCell ref="H48:I48"/>
    <mergeCell ref="F47:G47"/>
    <mergeCell ref="F48:G48"/>
    <mergeCell ref="A7:B7"/>
    <mergeCell ref="C7:I7"/>
    <mergeCell ref="J7:L7"/>
    <mergeCell ref="J12:U24"/>
    <mergeCell ref="J27:U39"/>
    <mergeCell ref="A42:B43"/>
    <mergeCell ref="T43:U43"/>
    <mergeCell ref="R43:S43"/>
    <mergeCell ref="P43:Q43"/>
    <mergeCell ref="N25:S25"/>
    <mergeCell ref="N26:S26"/>
    <mergeCell ref="H44:I44"/>
    <mergeCell ref="F44:G44"/>
    <mergeCell ref="J47:N47"/>
    <mergeCell ref="J48:N48"/>
    <mergeCell ref="J49:N49"/>
    <mergeCell ref="J51:N51"/>
    <mergeCell ref="T25:T26"/>
    <mergeCell ref="O51:U51"/>
    <mergeCell ref="N40:S40"/>
    <mergeCell ref="N41:S41"/>
    <mergeCell ref="J25:M25"/>
    <mergeCell ref="J26:M26"/>
    <mergeCell ref="R45:S45"/>
    <mergeCell ref="P45:Q45"/>
    <mergeCell ref="J46:U46"/>
    <mergeCell ref="J50:U50"/>
    <mergeCell ref="O47:U47"/>
    <mergeCell ref="O48:U48"/>
  </mergeCells>
  <conditionalFormatting sqref="C52:I52">
    <cfRule type="expression" dxfId="31" priority="32">
      <formula>$Z$1</formula>
    </cfRule>
  </conditionalFormatting>
  <conditionalFormatting sqref="C53:I53">
    <cfRule type="expression" dxfId="30" priority="31">
      <formula>$Z$2</formula>
    </cfRule>
  </conditionalFormatting>
  <conditionalFormatting sqref="T44">
    <cfRule type="expression" dxfId="29" priority="30">
      <formula>$Z$3</formula>
    </cfRule>
  </conditionalFormatting>
  <conditionalFormatting sqref="T45">
    <cfRule type="expression" dxfId="28" priority="29">
      <formula>$Z$4</formula>
    </cfRule>
  </conditionalFormatting>
  <conditionalFormatting sqref="K61:M61">
    <cfRule type="expression" dxfId="27" priority="28">
      <formula>$Z$5</formula>
    </cfRule>
  </conditionalFormatting>
  <conditionalFormatting sqref="H44:H48">
    <cfRule type="expression" dxfId="26" priority="27">
      <formula>$Z$6</formula>
    </cfRule>
  </conditionalFormatting>
  <conditionalFormatting sqref="O47:U47">
    <cfRule type="expression" dxfId="25" priority="26">
      <formula>$Z$3</formula>
    </cfRule>
  </conditionalFormatting>
  <conditionalFormatting sqref="O48:U48">
    <cfRule type="expression" dxfId="24" priority="25">
      <formula>$Z$3</formula>
    </cfRule>
  </conditionalFormatting>
  <conditionalFormatting sqref="O49:U49">
    <cfRule type="expression" dxfId="23" priority="24">
      <formula>$Z$3</formula>
    </cfRule>
  </conditionalFormatting>
  <conditionalFormatting sqref="O51:U51">
    <cfRule type="expression" dxfId="22" priority="23">
      <formula>$Z$4</formula>
    </cfRule>
  </conditionalFormatting>
  <conditionalFormatting sqref="O52:U52">
    <cfRule type="expression" dxfId="21" priority="22">
      <formula>$Z$4</formula>
    </cfRule>
  </conditionalFormatting>
  <conditionalFormatting sqref="O53:U53">
    <cfRule type="expression" dxfId="20" priority="21">
      <formula>$Z$4</formula>
    </cfRule>
  </conditionalFormatting>
  <conditionalFormatting sqref="O54:U54">
    <cfRule type="expression" dxfId="19" priority="20">
      <formula>$Z$4</formula>
    </cfRule>
  </conditionalFormatting>
  <conditionalFormatting sqref="O55:U55">
    <cfRule type="expression" dxfId="18" priority="19">
      <formula>$Z$4</formula>
    </cfRule>
  </conditionalFormatting>
  <conditionalFormatting sqref="B61">
    <cfRule type="expression" dxfId="17" priority="18">
      <formula>$Z$5</formula>
    </cfRule>
  </conditionalFormatting>
  <conditionalFormatting sqref="C61">
    <cfRule type="expression" dxfId="16" priority="17">
      <formula>$Z$5</formula>
    </cfRule>
  </conditionalFormatting>
  <conditionalFormatting sqref="D61">
    <cfRule type="expression" dxfId="15" priority="16">
      <formula>$Z$5</formula>
    </cfRule>
  </conditionalFormatting>
  <conditionalFormatting sqref="E61:F62">
    <cfRule type="expression" dxfId="14" priority="15">
      <formula>$Z$5</formula>
    </cfRule>
  </conditionalFormatting>
  <conditionalFormatting sqref="G61:H62">
    <cfRule type="expression" dxfId="13" priority="14">
      <formula>$Z$5</formula>
    </cfRule>
  </conditionalFormatting>
  <conditionalFormatting sqref="I61:J62">
    <cfRule type="expression" dxfId="12" priority="13">
      <formula>$Z$5</formula>
    </cfRule>
  </conditionalFormatting>
  <conditionalFormatting sqref="N61">
    <cfRule type="expression" dxfId="11" priority="12">
      <formula>$Z$5</formula>
    </cfRule>
  </conditionalFormatting>
  <conditionalFormatting sqref="O61">
    <cfRule type="expression" dxfId="10" priority="11">
      <formula>$Z$5</formula>
    </cfRule>
  </conditionalFormatting>
  <conditionalFormatting sqref="P61">
    <cfRule type="expression" dxfId="9" priority="10">
      <formula>$Z$5</formula>
    </cfRule>
  </conditionalFormatting>
  <conditionalFormatting sqref="B62">
    <cfRule type="expression" dxfId="8" priority="9">
      <formula>$Z$5</formula>
    </cfRule>
  </conditionalFormatting>
  <conditionalFormatting sqref="C62">
    <cfRule type="expression" dxfId="7" priority="8">
      <formula>$Z$5</formula>
    </cfRule>
  </conditionalFormatting>
  <conditionalFormatting sqref="D62">
    <cfRule type="expression" dxfId="6" priority="7">
      <formula>$Z$5</formula>
    </cfRule>
  </conditionalFormatting>
  <conditionalFormatting sqref="K62">
    <cfRule type="expression" dxfId="5" priority="6">
      <formula>$Z$5</formula>
    </cfRule>
  </conditionalFormatting>
  <conditionalFormatting sqref="L62">
    <cfRule type="expression" dxfId="4" priority="5">
      <formula>$Z$5</formula>
    </cfRule>
  </conditionalFormatting>
  <conditionalFormatting sqref="M62">
    <cfRule type="expression" dxfId="3" priority="4">
      <formula>$Z$5</formula>
    </cfRule>
  </conditionalFormatting>
  <conditionalFormatting sqref="N62">
    <cfRule type="expression" dxfId="2" priority="3">
      <formula>$Z$5</formula>
    </cfRule>
  </conditionalFormatting>
  <conditionalFormatting sqref="O62">
    <cfRule type="expression" dxfId="1" priority="2">
      <formula>$Z$5</formula>
    </cfRule>
  </conditionalFormatting>
  <conditionalFormatting sqref="P62">
    <cfRule type="expression" dxfId="0" priority="1">
      <formula>$Z$5</formula>
    </cfRule>
  </conditionalFormatting>
  <printOptions horizontalCentered="1" verticalCentered="1"/>
  <pageMargins left="0.25" right="0.25" top="0" bottom="0" header="0" footer="0"/>
  <pageSetup paperSize="9" scale="4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L2"/>
  <sheetViews>
    <sheetView topLeftCell="F1" workbookViewId="0">
      <selection activeCell="J2" sqref="J2"/>
    </sheetView>
  </sheetViews>
  <sheetFormatPr defaultRowHeight="15"/>
  <cols>
    <col min="1" max="1" width="20" bestFit="1" customWidth="1"/>
    <col min="2" max="2" width="8.85546875" bestFit="1" customWidth="1"/>
    <col min="3" max="3" width="27.42578125" bestFit="1" customWidth="1"/>
    <col min="4" max="4" width="126.28515625" bestFit="1" customWidth="1"/>
    <col min="5" max="5" width="11.28515625" bestFit="1" customWidth="1"/>
    <col min="6" max="6" width="13.5703125" bestFit="1" customWidth="1"/>
    <col min="7" max="7" width="12.7109375" bestFit="1" customWidth="1"/>
    <col min="8" max="8" width="48" bestFit="1" customWidth="1"/>
    <col min="9" max="9" width="47.28515625" bestFit="1" customWidth="1"/>
    <col min="10" max="10" width="21.5703125" bestFit="1" customWidth="1"/>
    <col min="11" max="11" width="21.42578125" bestFit="1" customWidth="1"/>
    <col min="12" max="12" width="20.7109375" bestFit="1" customWidth="1"/>
    <col min="13" max="13" width="22.140625" bestFit="1" customWidth="1"/>
    <col min="14" max="14" width="15.85546875" bestFit="1" customWidth="1"/>
    <col min="15" max="15" width="16.140625" bestFit="1" customWidth="1"/>
    <col min="16" max="16" width="15.5703125" bestFit="1" customWidth="1"/>
    <col min="17" max="17" width="12.7109375" bestFit="1" customWidth="1"/>
    <col min="18" max="18" width="11.85546875" bestFit="1" customWidth="1"/>
    <col min="19" max="19" width="12.85546875" bestFit="1" customWidth="1"/>
    <col min="20" max="20" width="12.28515625" bestFit="1" customWidth="1"/>
    <col min="21" max="21" width="9.28515625" bestFit="1" customWidth="1"/>
    <col min="22" max="22" width="10.28515625" bestFit="1" customWidth="1"/>
    <col min="23" max="23" width="9.7109375" bestFit="1" customWidth="1"/>
    <col min="25" max="25" width="10.140625" bestFit="1" customWidth="1"/>
    <col min="26" max="26" width="9.5703125" bestFit="1" customWidth="1"/>
    <col min="27" max="27" width="10.5703125" bestFit="1" customWidth="1"/>
    <col min="28" max="28" width="11.5703125" bestFit="1" customWidth="1"/>
    <col min="29" max="29" width="11" bestFit="1" customWidth="1"/>
    <col min="30" max="30" width="16.5703125" bestFit="1" customWidth="1"/>
    <col min="31" max="31" width="17.7109375" bestFit="1" customWidth="1"/>
    <col min="32" max="32" width="17" bestFit="1" customWidth="1"/>
    <col min="33" max="33" width="16.7109375" bestFit="1" customWidth="1"/>
    <col min="34" max="34" width="17.85546875" bestFit="1" customWidth="1"/>
    <col min="35" max="35" width="17.28515625" bestFit="1" customWidth="1"/>
    <col min="36" max="36" width="19.28515625" bestFit="1" customWidth="1"/>
    <col min="37" max="37" width="18.7109375" bestFit="1" customWidth="1"/>
    <col min="38" max="38" width="16.5703125" bestFit="1" customWidth="1"/>
    <col min="39" max="39" width="24.5703125" bestFit="1" customWidth="1"/>
    <col min="40" max="40" width="15" bestFit="1" customWidth="1"/>
    <col min="41" max="41" width="10.7109375" bestFit="1" customWidth="1"/>
    <col min="42" max="42" width="16.5703125" bestFit="1" customWidth="1"/>
    <col min="43" max="43" width="19.42578125" bestFit="1" customWidth="1"/>
    <col min="44" max="44" width="18.85546875" bestFit="1" customWidth="1"/>
    <col min="45" max="45" width="16.7109375" bestFit="1" customWidth="1"/>
    <col min="46" max="46" width="20.42578125" bestFit="1" customWidth="1"/>
    <col min="47" max="47" width="19" bestFit="1" customWidth="1"/>
    <col min="48" max="48" width="20" bestFit="1" customWidth="1"/>
    <col min="49" max="49" width="19.42578125" bestFit="1" customWidth="1"/>
    <col min="50" max="52" width="12.85546875" bestFit="1" customWidth="1"/>
    <col min="53" max="53" width="17.7109375" bestFit="1" customWidth="1"/>
    <col min="54" max="54" width="18.7109375" bestFit="1" customWidth="1"/>
    <col min="55" max="55" width="18.140625" bestFit="1" customWidth="1"/>
    <col min="56" max="58" width="11.5703125" bestFit="1" customWidth="1"/>
    <col min="59" max="59" width="9.28515625" bestFit="1" customWidth="1"/>
    <col min="60" max="60" width="20.85546875" bestFit="1" customWidth="1"/>
    <col min="61" max="61" width="12.28515625" bestFit="1" customWidth="1"/>
    <col min="62" max="62" width="7.7109375" bestFit="1" customWidth="1"/>
    <col min="63" max="63" width="7.5703125" bestFit="1" customWidth="1"/>
    <col min="64" max="64" width="19.140625" bestFit="1" customWidth="1"/>
  </cols>
  <sheetData>
    <row r="1" spans="1:6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</row>
    <row r="2" spans="1:64">
      <c r="A2">
        <v>118640</v>
      </c>
      <c r="B2" t="s">
        <v>64</v>
      </c>
      <c r="C2" t="s">
        <v>65</v>
      </c>
      <c r="D2" t="s">
        <v>66</v>
      </c>
      <c r="E2" t="s">
        <v>67</v>
      </c>
      <c r="G2">
        <v>42613.730583414399</v>
      </c>
      <c r="H2" t="s">
        <v>68</v>
      </c>
      <c r="I2" t="s">
        <v>69</v>
      </c>
      <c r="K2" t="s">
        <v>70</v>
      </c>
      <c r="L2" t="s">
        <v>71</v>
      </c>
      <c r="M2" t="s">
        <v>72</v>
      </c>
      <c r="N2" t="s">
        <v>73</v>
      </c>
      <c r="O2" t="s">
        <v>74</v>
      </c>
      <c r="P2" t="s">
        <v>75</v>
      </c>
      <c r="R2" t="s">
        <v>76</v>
      </c>
      <c r="S2" t="s">
        <v>76</v>
      </c>
      <c r="T2" t="s">
        <v>77</v>
      </c>
      <c r="AM2" t="s">
        <v>78</v>
      </c>
      <c r="AX2">
        <v>0</v>
      </c>
      <c r="AY2">
        <v>0</v>
      </c>
      <c r="AZ2">
        <v>184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opLeftCell="A13" workbookViewId="0">
      <selection activeCell="E14" sqref="E14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PS</vt:lpstr>
      <vt:lpstr>Data1</vt:lpstr>
      <vt:lpstr>Data2</vt:lpstr>
      <vt:lpstr>PS!Print_Area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Chung</dc:creator>
  <cp:lastModifiedBy>Windows User</cp:lastModifiedBy>
  <cp:lastPrinted>2013-09-23T07:46:54Z</cp:lastPrinted>
  <dcterms:created xsi:type="dcterms:W3CDTF">2010-07-30T10:46:36Z</dcterms:created>
  <dcterms:modified xsi:type="dcterms:W3CDTF">2018-05-24T02:27:28Z</dcterms:modified>
</cp:coreProperties>
</file>