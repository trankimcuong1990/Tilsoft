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lientOverviewDelta" sheetId="1" r:id="rId1"/>
    <sheet name="Data1" sheetId="2" r:id="rId2"/>
    <sheet name="Data2" sheetId="3" r:id="rId3"/>
  </sheets>
  <definedNames>
    <definedName name="_xlnm._FilterDatabase" localSheetId="0" hidden="1">ClientOverviewDelta!$A$6:$BC$6</definedName>
  </definedNames>
  <calcPr calcId="152511"/>
</workbook>
</file>

<file path=xl/calcChain.xml><?xml version="1.0" encoding="utf-8"?>
<calcChain xmlns="http://schemas.openxmlformats.org/spreadsheetml/2006/main">
  <c r="D7" i="1" l="1"/>
  <c r="AC7" i="1" l="1"/>
  <c r="C7" i="1"/>
  <c r="BA5" i="1" l="1"/>
  <c r="AZ5" i="1"/>
  <c r="AS5" i="1"/>
  <c r="AQ5" i="1"/>
  <c r="AJ5" i="1"/>
  <c r="AI5" i="1"/>
  <c r="P5" i="1"/>
  <c r="O5" i="1"/>
  <c r="BB4" i="1"/>
  <c r="BA4" i="1"/>
  <c r="AT4" i="1"/>
  <c r="AS4" i="1"/>
  <c r="AK4" i="1"/>
  <c r="AJ4" i="1"/>
  <c r="Y4" i="1"/>
  <c r="P4" i="1"/>
  <c r="H4" i="1"/>
  <c r="BC7" i="1"/>
  <c r="AR7" i="1"/>
  <c r="BB7" i="1"/>
  <c r="BB5" i="1" s="1"/>
  <c r="BA7" i="1"/>
  <c r="AZ7" i="1"/>
  <c r="AZ4" i="1" s="1"/>
  <c r="AY7" i="1"/>
  <c r="AY4" i="1" s="1"/>
  <c r="AX7" i="1"/>
  <c r="AX5" i="1" s="1"/>
  <c r="AW7" i="1"/>
  <c r="AW5" i="1" s="1"/>
  <c r="AV7" i="1"/>
  <c r="AV5" i="1" s="1"/>
  <c r="AU7" i="1"/>
  <c r="AU5" i="1" s="1"/>
  <c r="AT7" i="1"/>
  <c r="AT5" i="1" s="1"/>
  <c r="AS7" i="1"/>
  <c r="AQ7" i="1"/>
  <c r="AQ4" i="1" s="1"/>
  <c r="AP7" i="1"/>
  <c r="AP4" i="1" s="1"/>
  <c r="AO7" i="1"/>
  <c r="AO5" i="1" s="1"/>
  <c r="AN7" i="1"/>
  <c r="AN5" i="1" s="1"/>
  <c r="AM7" i="1"/>
  <c r="AM5" i="1" s="1"/>
  <c r="AD7" i="1"/>
  <c r="AL7" i="1"/>
  <c r="AL5" i="1" s="1"/>
  <c r="AK7" i="1"/>
  <c r="AK5" i="1" s="1"/>
  <c r="AJ7" i="1"/>
  <c r="AI7" i="1"/>
  <c r="AI4" i="1" s="1"/>
  <c r="AH7" i="1"/>
  <c r="AH4" i="1" s="1"/>
  <c r="AG7" i="1"/>
  <c r="AG5" i="1" s="1"/>
  <c r="AF7" i="1"/>
  <c r="AF5" i="1" s="1"/>
  <c r="AE7" i="1"/>
  <c r="AB7" i="1"/>
  <c r="AA7" i="1"/>
  <c r="AA5" i="1" s="1"/>
  <c r="Z7" i="1"/>
  <c r="Z5" i="1" s="1"/>
  <c r="Y7" i="1"/>
  <c r="Y5" i="1" s="1"/>
  <c r="X7" i="1"/>
  <c r="W7" i="1"/>
  <c r="V7" i="1"/>
  <c r="U7" i="1"/>
  <c r="T7" i="1"/>
  <c r="S7" i="1"/>
  <c r="R7" i="1"/>
  <c r="Q7" i="1"/>
  <c r="P7" i="1"/>
  <c r="O7" i="1"/>
  <c r="O4" i="1" s="1"/>
  <c r="N7" i="1"/>
  <c r="N4" i="1" s="1"/>
  <c r="M7" i="1"/>
  <c r="M5" i="1" s="1"/>
  <c r="L7" i="1"/>
  <c r="L5" i="1" s="1"/>
  <c r="K7" i="1"/>
  <c r="K5" i="1" s="1"/>
  <c r="J7" i="1"/>
  <c r="I7" i="1"/>
  <c r="I5" i="1" s="1"/>
  <c r="H7" i="1"/>
  <c r="H5" i="1" s="1"/>
  <c r="G7" i="1"/>
  <c r="F7" i="1"/>
  <c r="E7" i="1"/>
  <c r="B7" i="1"/>
  <c r="A7" i="1"/>
  <c r="H1" i="1"/>
  <c r="E1" i="1"/>
  <c r="A2" i="1"/>
  <c r="BC5" i="1" l="1"/>
  <c r="AR5" i="1"/>
  <c r="AR4" i="1"/>
  <c r="BC4" i="1"/>
  <c r="N5" i="1"/>
  <c r="AH5" i="1"/>
  <c r="AP5" i="1"/>
  <c r="AY5" i="1"/>
  <c r="I4" i="1"/>
  <c r="Z4" i="1"/>
  <c r="AL4" i="1"/>
  <c r="AU4" i="1"/>
  <c r="K4" i="1"/>
  <c r="AA4" i="1"/>
  <c r="AM4" i="1"/>
  <c r="AV4" i="1"/>
  <c r="L4" i="1"/>
  <c r="AF4" i="1"/>
  <c r="AN4" i="1"/>
  <c r="AW4" i="1"/>
  <c r="M4" i="1"/>
  <c r="AG4" i="1"/>
  <c r="AO4" i="1"/>
  <c r="AX4" i="1"/>
</calcChain>
</file>

<file path=xl/sharedStrings.xml><?xml version="1.0" encoding="utf-8"?>
<sst xmlns="http://schemas.openxmlformats.org/spreadsheetml/2006/main" count="60" uniqueCount="60">
  <si>
    <t>Season</t>
  </si>
  <si>
    <t>Description</t>
  </si>
  <si>
    <t>LDS</t>
  </si>
  <si>
    <t>Remark</t>
  </si>
  <si>
    <t>Currency</t>
  </si>
  <si>
    <t>DELTA OVERVIEW</t>
  </si>
  <si>
    <t>Ex.Rate</t>
  </si>
  <si>
    <t>P/I</t>
  </si>
  <si>
    <t>#</t>
  </si>
  <si>
    <t>P/I Date</t>
  </si>
  <si>
    <t>Image</t>
  </si>
  <si>
    <t>Art.Code</t>
  </si>
  <si>
    <t>Qnt / 40HC</t>
  </si>
  <si>
    <t>Order Type</t>
  </si>
  <si>
    <t>Loaded Qnt</t>
  </si>
  <si>
    <t>Loaded Qnt 40HC</t>
  </si>
  <si>
    <t>Shipped Qnt</t>
  </si>
  <si>
    <t>Shipped Qnt 40HC</t>
  </si>
  <si>
    <t>To be Shipped Qnt</t>
  </si>
  <si>
    <t>To be Shipped Qnt 40HC</t>
  </si>
  <si>
    <t>Material</t>
  </si>
  <si>
    <t>Production Status</t>
  </si>
  <si>
    <t>Price Quote</t>
  </si>
  <si>
    <t>C/O</t>
  </si>
  <si>
    <t>Quality</t>
  </si>
  <si>
    <t>Place</t>
  </si>
  <si>
    <t>FOB in USD (company)</t>
  </si>
  <si>
    <t>Total in USD (Company)</t>
  </si>
  <si>
    <t>Target Price</t>
  </si>
  <si>
    <t>Price Status</t>
  </si>
  <si>
    <t>Price Confirmed Date</t>
  </si>
  <si>
    <t>Sale U.Price (USD)</t>
  </si>
  <si>
    <t>Sale U.Price (EUR)</t>
  </si>
  <si>
    <t>Sale Amount (EUR)</t>
  </si>
  <si>
    <t>Sale Amount (USD)</t>
  </si>
  <si>
    <t>Total Amount (Converted to EUR)</t>
  </si>
  <si>
    <t>Transport for EUR Sale</t>
  </si>
  <si>
    <t>Transport per Unit</t>
  </si>
  <si>
    <t>Total Transport (EUR)</t>
  </si>
  <si>
    <t>FOB Sale Price for EUR Order (Transport excluded)</t>
  </si>
  <si>
    <t>Sale FOB (USD)</t>
  </si>
  <si>
    <t>Total Sale Amount (USD)</t>
  </si>
  <si>
    <t>Commission (%)</t>
  </si>
  <si>
    <t>Commission U.Price (USD)</t>
  </si>
  <si>
    <t>Commission U.Price (EUR)</t>
  </si>
  <si>
    <t>Commission U.Price converted to USD</t>
  </si>
  <si>
    <t>Commission Amount (USD)</t>
  </si>
  <si>
    <t>Damage Cost (USD)</t>
  </si>
  <si>
    <t>LC Cost (USD)</t>
  </si>
  <si>
    <t>Interest (USD)</t>
  </si>
  <si>
    <t>Transport Cost (USD)</t>
  </si>
  <si>
    <t>Gross Margin After COMM, DAM, LC, INT</t>
  </si>
  <si>
    <t>% Gross Margin After COMM, DAM, LC, INT</t>
  </si>
  <si>
    <t>Gross Margin Before COMM, DAM, LC, INT</t>
  </si>
  <si>
    <t>% Gross Margin Before COMM, DAM, LC, INT</t>
  </si>
  <si>
    <t>Supplier</t>
  </si>
  <si>
    <t>Order ed Qnt</t>
  </si>
  <si>
    <t>Order ed Qnt 40HC</t>
  </si>
  <si>
    <t>TOTAL</t>
  </si>
  <si>
    <t>SUB-TOTAL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</si>
</sst>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_-[$$-409]* #,##0.00_ ;_-[$$-409]* \-#,##0.00\ ;_-[$$-409]* &quot;-&quot;??_ ;_-@_ "/>
    <numFmt numFmtId="166" formatCode="_-[$€-2]\ * #,##0.00_-;\-[$€-2]\ * #,##0.00_-;_-[$€-2]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 applyNumberFormat="1" applyFont="1" applyFill="1" applyBorder="1"/>
    <xf numFmtId="0" fontId="2" fillId="0" borderId="0" xfId="0" applyNumberFormat="1" applyFont="1" applyFill="1" applyBorder="1"/>
    <xf numFmtId="0" fontId="3" fillId="0" borderId="0" xfId="0" applyNumberFormat="1" applyFont="1" applyFill="1" applyBorder="1"/>
    <xf numFmtId="0" fontId="4" fillId="0" borderId="0" xfId="0" applyNumberFormat="1" applyFont="1" applyFill="1" applyBorder="1"/>
    <xf numFmtId="0" fontId="4" fillId="2" borderId="1" xfId="0" applyNumberFormat="1" applyFont="1" applyFill="1" applyBorder="1" applyAlignment="1">
      <alignment horizontal="center" vertical="center" wrapText="1"/>
    </xf>
    <xf numFmtId="0" fontId="0" fillId="3" borderId="1" xfId="0" applyNumberFormat="1" applyFont="1" applyFill="1" applyBorder="1"/>
    <xf numFmtId="0" fontId="0" fillId="0" borderId="1" xfId="0" applyNumberFormat="1" applyFont="1" applyFill="1" applyBorder="1"/>
    <xf numFmtId="0" fontId="4" fillId="3" borderId="1" xfId="0" applyNumberFormat="1" applyFont="1" applyFill="1" applyBorder="1" applyAlignment="1">
      <alignment horizontal="right"/>
    </xf>
    <xf numFmtId="0" fontId="3" fillId="3" borderId="1" xfId="0" applyNumberFormat="1" applyFont="1" applyFill="1" applyBorder="1"/>
    <xf numFmtId="3" fontId="3" fillId="3" borderId="1" xfId="0" applyNumberFormat="1" applyFont="1" applyFill="1" applyBorder="1"/>
    <xf numFmtId="164" fontId="3" fillId="3" borderId="1" xfId="0" applyNumberFormat="1" applyFont="1" applyFill="1" applyBorder="1"/>
    <xf numFmtId="165" fontId="3" fillId="3" borderId="1" xfId="0" applyNumberFormat="1" applyFont="1" applyFill="1" applyBorder="1"/>
    <xf numFmtId="166" fontId="3" fillId="3" borderId="1" xfId="0" applyNumberFormat="1" applyFont="1" applyFill="1" applyBorder="1"/>
    <xf numFmtId="166" fontId="3" fillId="3" borderId="1" xfId="1" applyNumberFormat="1" applyFont="1" applyFill="1" applyBorder="1"/>
    <xf numFmtId="10" fontId="3" fillId="3" borderId="1" xfId="1" applyNumberFormat="1" applyFont="1" applyFill="1" applyBorder="1"/>
    <xf numFmtId="0" fontId="3" fillId="0" borderId="1" xfId="0" applyNumberFormat="1" applyFont="1" applyFill="1" applyBorder="1" applyAlignment="1">
      <alignment vertical="top"/>
    </xf>
    <xf numFmtId="0" fontId="3" fillId="0" borderId="1" xfId="0" applyNumberFormat="1" applyFont="1" applyFill="1" applyBorder="1" applyAlignment="1">
      <alignment horizontal="center" vertical="top"/>
    </xf>
    <xf numFmtId="0" fontId="3" fillId="0" borderId="1" xfId="0" applyNumberFormat="1" applyFont="1" applyFill="1" applyBorder="1" applyAlignment="1">
      <alignment horizontal="left" vertical="top"/>
    </xf>
    <xf numFmtId="3" fontId="3" fillId="0" borderId="1" xfId="0" applyNumberFormat="1" applyFont="1" applyFill="1" applyBorder="1" applyAlignment="1">
      <alignment vertical="top"/>
    </xf>
    <xf numFmtId="164" fontId="3" fillId="0" borderId="1" xfId="0" applyNumberFormat="1" applyFont="1" applyFill="1" applyBorder="1" applyAlignment="1">
      <alignment vertical="top"/>
    </xf>
    <xf numFmtId="165" fontId="3" fillId="0" borderId="1" xfId="0" applyNumberFormat="1" applyFont="1" applyFill="1" applyBorder="1" applyAlignment="1">
      <alignment vertical="top"/>
    </xf>
    <xf numFmtId="166" fontId="3" fillId="0" borderId="1" xfId="0" applyNumberFormat="1" applyFont="1" applyFill="1" applyBorder="1" applyAlignment="1">
      <alignment vertical="top"/>
    </xf>
    <xf numFmtId="10" fontId="3" fillId="0" borderId="1" xfId="1" applyNumberFormat="1" applyFont="1" applyFill="1" applyBorder="1" applyAlignment="1">
      <alignment vertical="top"/>
    </xf>
    <xf numFmtId="9" fontId="3" fillId="0" borderId="1" xfId="1" applyFont="1" applyFill="1" applyBorder="1" applyAlignment="1">
      <alignment vertical="top"/>
    </xf>
    <xf numFmtId="14" fontId="3" fillId="0" borderId="1" xfId="0" applyNumberFormat="1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7"/>
  <sheetViews>
    <sheetView tabSelected="1" workbookViewId="0">
      <pane xSplit="6" ySplit="6" topLeftCell="G7" activePane="bottomRight" state="frozen"/>
      <selection pane="topRight" activeCell="G1" sqref="G1"/>
      <selection pane="bottomLeft" activeCell="A7" sqref="A7"/>
      <selection pane="bottomRight"/>
    </sheetView>
  </sheetViews>
  <sheetFormatPr defaultRowHeight="15" x14ac:dyDescent="0.25"/>
  <cols>
    <col min="1" max="1" width="6.42578125" customWidth="1"/>
    <col min="3" max="3" width="10.5703125" customWidth="1"/>
    <col min="4" max="4" width="15.28515625" customWidth="1"/>
    <col min="6" max="6" width="36" customWidth="1"/>
    <col min="7" max="9" width="7.28515625" customWidth="1"/>
    <col min="11" max="16" width="7.28515625" customWidth="1"/>
    <col min="18" max="18" width="6.85546875" customWidth="1"/>
    <col min="19" max="19" width="10.7109375" bestFit="1" customWidth="1"/>
    <col min="21" max="21" width="11.5703125" customWidth="1"/>
    <col min="24" max="24" width="5.5703125" customWidth="1"/>
    <col min="25" max="27" width="11.28515625" customWidth="1"/>
    <col min="28" max="29" width="10.42578125" bestFit="1" customWidth="1"/>
    <col min="30" max="30" width="5.140625" customWidth="1"/>
    <col min="31" max="31" width="6.5703125" customWidth="1"/>
    <col min="32" max="55" width="11.28515625" customWidth="1"/>
  </cols>
  <sheetData>
    <row r="1" spans="1:55" x14ac:dyDescent="0.25">
      <c r="A1" s="1" t="s">
        <v>5</v>
      </c>
      <c r="D1" s="3" t="s">
        <v>0</v>
      </c>
      <c r="E1" s="2">
        <f>Data2!C2</f>
        <v>0</v>
      </c>
      <c r="F1" s="2"/>
      <c r="G1" s="3" t="s">
        <v>6</v>
      </c>
      <c r="H1" s="2">
        <f>Data2!D2</f>
        <v>0</v>
      </c>
    </row>
    <row r="2" spans="1:55" x14ac:dyDescent="0.25">
      <c r="A2" s="2" t="str">
        <f>Data2!B2&amp;" ("&amp;Data2!A2&amp;")"</f>
        <v xml:space="preserve"> ()</v>
      </c>
    </row>
    <row r="3" spans="1:55" ht="63.75" x14ac:dyDescent="0.25">
      <c r="A3" s="4" t="s">
        <v>8</v>
      </c>
      <c r="B3" s="4" t="s">
        <v>7</v>
      </c>
      <c r="C3" s="4" t="s">
        <v>9</v>
      </c>
      <c r="D3" s="4" t="s">
        <v>10</v>
      </c>
      <c r="E3" s="4" t="s">
        <v>11</v>
      </c>
      <c r="F3" s="4" t="s">
        <v>1</v>
      </c>
      <c r="G3" s="4" t="s">
        <v>12</v>
      </c>
      <c r="H3" s="4" t="s">
        <v>56</v>
      </c>
      <c r="I3" s="4" t="s">
        <v>57</v>
      </c>
      <c r="J3" s="4" t="s">
        <v>13</v>
      </c>
      <c r="K3" s="4" t="s">
        <v>14</v>
      </c>
      <c r="L3" s="4" t="s">
        <v>15</v>
      </c>
      <c r="M3" s="4" t="s">
        <v>16</v>
      </c>
      <c r="N3" s="4" t="s">
        <v>17</v>
      </c>
      <c r="O3" s="4" t="s">
        <v>18</v>
      </c>
      <c r="P3" s="4" t="s">
        <v>19</v>
      </c>
      <c r="Q3" s="4" t="s">
        <v>20</v>
      </c>
      <c r="R3" s="4" t="s">
        <v>21</v>
      </c>
      <c r="S3" s="4" t="s">
        <v>55</v>
      </c>
      <c r="T3" s="4" t="s">
        <v>2</v>
      </c>
      <c r="U3" s="4" t="s">
        <v>22</v>
      </c>
      <c r="V3" s="4" t="s">
        <v>23</v>
      </c>
      <c r="W3" s="4" t="s">
        <v>25</v>
      </c>
      <c r="X3" s="4" t="s">
        <v>24</v>
      </c>
      <c r="Y3" s="4" t="s">
        <v>26</v>
      </c>
      <c r="Z3" s="4" t="s">
        <v>27</v>
      </c>
      <c r="AA3" s="4" t="s">
        <v>28</v>
      </c>
      <c r="AB3" s="4" t="s">
        <v>29</v>
      </c>
      <c r="AC3" s="4" t="s">
        <v>30</v>
      </c>
      <c r="AD3" s="4" t="s">
        <v>3</v>
      </c>
      <c r="AE3" s="4" t="s">
        <v>4</v>
      </c>
      <c r="AF3" s="4" t="s">
        <v>32</v>
      </c>
      <c r="AG3" s="4" t="s">
        <v>33</v>
      </c>
      <c r="AH3" s="4" t="s">
        <v>31</v>
      </c>
      <c r="AI3" s="4" t="s">
        <v>34</v>
      </c>
      <c r="AJ3" s="4" t="s">
        <v>35</v>
      </c>
      <c r="AK3" s="4" t="s">
        <v>36</v>
      </c>
      <c r="AL3" s="4" t="s">
        <v>37</v>
      </c>
      <c r="AM3" s="4" t="s">
        <v>38</v>
      </c>
      <c r="AN3" s="4" t="s">
        <v>39</v>
      </c>
      <c r="AO3" s="4" t="s">
        <v>40</v>
      </c>
      <c r="AP3" s="4" t="s">
        <v>41</v>
      </c>
      <c r="AQ3" s="4" t="s">
        <v>53</v>
      </c>
      <c r="AR3" s="4" t="s">
        <v>54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</row>
    <row r="4" spans="1:55" x14ac:dyDescent="0.25">
      <c r="A4" s="5"/>
      <c r="B4" s="5"/>
      <c r="C4" s="5"/>
      <c r="D4" s="5"/>
      <c r="E4" s="5"/>
      <c r="F4" s="7" t="s">
        <v>58</v>
      </c>
      <c r="G4" s="8"/>
      <c r="H4" s="9">
        <f>SUM(H7:H2000)</f>
        <v>0</v>
      </c>
      <c r="I4" s="10">
        <f t="shared" ref="I4:BB4" si="0">SUM(I7:I2000)</f>
        <v>0</v>
      </c>
      <c r="J4" s="9"/>
      <c r="K4" s="9">
        <f t="shared" si="0"/>
        <v>0</v>
      </c>
      <c r="L4" s="10">
        <f t="shared" si="0"/>
        <v>0</v>
      </c>
      <c r="M4" s="9">
        <f t="shared" si="0"/>
        <v>0</v>
      </c>
      <c r="N4" s="10">
        <f t="shared" si="0"/>
        <v>0</v>
      </c>
      <c r="O4" s="9">
        <f t="shared" si="0"/>
        <v>0</v>
      </c>
      <c r="P4" s="10">
        <f t="shared" si="0"/>
        <v>0</v>
      </c>
      <c r="Q4" s="9"/>
      <c r="R4" s="9"/>
      <c r="S4" s="9"/>
      <c r="T4" s="9"/>
      <c r="U4" s="9"/>
      <c r="V4" s="9"/>
      <c r="W4" s="9"/>
      <c r="X4" s="9"/>
      <c r="Y4" s="11">
        <f t="shared" si="0"/>
        <v>0</v>
      </c>
      <c r="Z4" s="11">
        <f t="shared" si="0"/>
        <v>0</v>
      </c>
      <c r="AA4" s="11">
        <f t="shared" si="0"/>
        <v>0</v>
      </c>
      <c r="AB4" s="9"/>
      <c r="AC4" s="9"/>
      <c r="AD4" s="9"/>
      <c r="AE4" s="9"/>
      <c r="AF4" s="13">
        <f t="shared" si="0"/>
        <v>0</v>
      </c>
      <c r="AG4" s="12">
        <f t="shared" si="0"/>
        <v>0</v>
      </c>
      <c r="AH4" s="11">
        <f t="shared" si="0"/>
        <v>0</v>
      </c>
      <c r="AI4" s="11">
        <f t="shared" si="0"/>
        <v>0</v>
      </c>
      <c r="AJ4" s="12">
        <f t="shared" si="0"/>
        <v>0</v>
      </c>
      <c r="AK4" s="12">
        <f t="shared" si="0"/>
        <v>0</v>
      </c>
      <c r="AL4" s="12">
        <f t="shared" si="0"/>
        <v>0</v>
      </c>
      <c r="AM4" s="12">
        <f t="shared" si="0"/>
        <v>0</v>
      </c>
      <c r="AN4" s="11">
        <f t="shared" si="0"/>
        <v>0</v>
      </c>
      <c r="AO4" s="11">
        <f t="shared" si="0"/>
        <v>0</v>
      </c>
      <c r="AP4" s="11">
        <f t="shared" si="0"/>
        <v>0</v>
      </c>
      <c r="AQ4" s="11">
        <f t="shared" si="0"/>
        <v>0</v>
      </c>
      <c r="AR4" s="14" t="e">
        <f>AQ4/Z4</f>
        <v>#DIV/0!</v>
      </c>
      <c r="AS4" s="14">
        <f t="shared" si="0"/>
        <v>0</v>
      </c>
      <c r="AT4" s="11">
        <f t="shared" si="0"/>
        <v>0</v>
      </c>
      <c r="AU4" s="12">
        <f t="shared" si="0"/>
        <v>0</v>
      </c>
      <c r="AV4" s="11">
        <f t="shared" si="0"/>
        <v>0</v>
      </c>
      <c r="AW4" s="11">
        <f t="shared" si="0"/>
        <v>0</v>
      </c>
      <c r="AX4" s="11">
        <f t="shared" si="0"/>
        <v>0</v>
      </c>
      <c r="AY4" s="11">
        <f t="shared" si="0"/>
        <v>0</v>
      </c>
      <c r="AZ4" s="11">
        <f t="shared" si="0"/>
        <v>0</v>
      </c>
      <c r="BA4" s="11">
        <f t="shared" si="0"/>
        <v>0</v>
      </c>
      <c r="BB4" s="11">
        <f t="shared" si="0"/>
        <v>0</v>
      </c>
      <c r="BC4" s="14" t="e">
        <f>BB4/Z4</f>
        <v>#DIV/0!</v>
      </c>
    </row>
    <row r="5" spans="1:55" x14ac:dyDescent="0.25">
      <c r="A5" s="5"/>
      <c r="B5" s="5"/>
      <c r="C5" s="5"/>
      <c r="D5" s="5"/>
      <c r="E5" s="5"/>
      <c r="F5" s="7" t="s">
        <v>59</v>
      </c>
      <c r="G5" s="8"/>
      <c r="H5" s="9">
        <f>SUBTOTAL(9,H7:H2000)</f>
        <v>0</v>
      </c>
      <c r="I5" s="10">
        <f t="shared" ref="I5:BB5" si="1">SUBTOTAL(9,I7:I2000)</f>
        <v>0</v>
      </c>
      <c r="J5" s="8"/>
      <c r="K5" s="9">
        <f t="shared" si="1"/>
        <v>0</v>
      </c>
      <c r="L5" s="10">
        <f t="shared" si="1"/>
        <v>0</v>
      </c>
      <c r="M5" s="9">
        <f t="shared" si="1"/>
        <v>0</v>
      </c>
      <c r="N5" s="10">
        <f t="shared" si="1"/>
        <v>0</v>
      </c>
      <c r="O5" s="9">
        <f t="shared" si="1"/>
        <v>0</v>
      </c>
      <c r="P5" s="10">
        <f t="shared" si="1"/>
        <v>0</v>
      </c>
      <c r="Q5" s="8"/>
      <c r="R5" s="8"/>
      <c r="S5" s="8"/>
      <c r="T5" s="8"/>
      <c r="U5" s="8"/>
      <c r="V5" s="8"/>
      <c r="W5" s="8"/>
      <c r="X5" s="8"/>
      <c r="Y5" s="11">
        <f t="shared" si="1"/>
        <v>0</v>
      </c>
      <c r="Z5" s="11">
        <f t="shared" si="1"/>
        <v>0</v>
      </c>
      <c r="AA5" s="11">
        <f t="shared" si="1"/>
        <v>0</v>
      </c>
      <c r="AB5" s="8"/>
      <c r="AC5" s="8"/>
      <c r="AD5" s="8"/>
      <c r="AE5" s="8"/>
      <c r="AF5" s="13">
        <f t="shared" si="1"/>
        <v>0</v>
      </c>
      <c r="AG5" s="12">
        <f t="shared" si="1"/>
        <v>0</v>
      </c>
      <c r="AH5" s="11">
        <f t="shared" si="1"/>
        <v>0</v>
      </c>
      <c r="AI5" s="11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1">
        <f t="shared" si="1"/>
        <v>0</v>
      </c>
      <c r="AO5" s="11">
        <f t="shared" si="1"/>
        <v>0</v>
      </c>
      <c r="AP5" s="11">
        <f t="shared" si="1"/>
        <v>0</v>
      </c>
      <c r="AQ5" s="11">
        <f t="shared" si="1"/>
        <v>0</v>
      </c>
      <c r="AR5" s="14" t="e">
        <f>AQ5/Z5</f>
        <v>#DIV/0!</v>
      </c>
      <c r="AS5" s="14">
        <f t="shared" si="1"/>
        <v>0</v>
      </c>
      <c r="AT5" s="11">
        <f t="shared" si="1"/>
        <v>0</v>
      </c>
      <c r="AU5" s="12">
        <f t="shared" si="1"/>
        <v>0</v>
      </c>
      <c r="AV5" s="11">
        <f t="shared" si="1"/>
        <v>0</v>
      </c>
      <c r="AW5" s="11">
        <f t="shared" si="1"/>
        <v>0</v>
      </c>
      <c r="AX5" s="11">
        <f t="shared" si="1"/>
        <v>0</v>
      </c>
      <c r="AY5" s="11">
        <f t="shared" si="1"/>
        <v>0</v>
      </c>
      <c r="AZ5" s="11">
        <f t="shared" si="1"/>
        <v>0</v>
      </c>
      <c r="BA5" s="11">
        <f t="shared" si="1"/>
        <v>0</v>
      </c>
      <c r="BB5" s="11">
        <f t="shared" si="1"/>
        <v>0</v>
      </c>
      <c r="BC5" s="14" t="e">
        <f>BB5/Z5</f>
        <v>#DIV/0!</v>
      </c>
    </row>
    <row r="6" spans="1:55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</row>
    <row r="7" spans="1:55" ht="60.95" customHeight="1" x14ac:dyDescent="0.25">
      <c r="A7" s="15">
        <f>ROW()-6</f>
        <v>1</v>
      </c>
      <c r="B7" s="16">
        <f>Data1!C2</f>
        <v>0</v>
      </c>
      <c r="C7" s="24" t="e">
        <f>DATEVALUE(Data1!D2)</f>
        <v>#VALUE!</v>
      </c>
      <c r="D7" s="15" t="str">
        <f>Data1!E2&amp;""</f>
        <v/>
      </c>
      <c r="E7" s="15">
        <f>Data1!F2</f>
        <v>0</v>
      </c>
      <c r="F7" s="17">
        <f>Data1!G2</f>
        <v>0</v>
      </c>
      <c r="G7" s="18">
        <f>Data1!H2</f>
        <v>0</v>
      </c>
      <c r="H7" s="18">
        <f>Data1!I2</f>
        <v>0</v>
      </c>
      <c r="I7" s="19">
        <f>Data1!J2</f>
        <v>0</v>
      </c>
      <c r="J7" s="16">
        <f>Data1!K2</f>
        <v>0</v>
      </c>
      <c r="K7" s="15">
        <f>Data1!L2</f>
        <v>0</v>
      </c>
      <c r="L7" s="15">
        <f>Data1!M2</f>
        <v>0</v>
      </c>
      <c r="M7" s="15">
        <f>Data1!N2</f>
        <v>0</v>
      </c>
      <c r="N7" s="15">
        <f>Data1!O2</f>
        <v>0</v>
      </c>
      <c r="O7" s="15">
        <f>Data1!P2</f>
        <v>0</v>
      </c>
      <c r="P7" s="15">
        <f>Data1!Q2</f>
        <v>0</v>
      </c>
      <c r="Q7" s="16">
        <f>Data1!R2</f>
        <v>0</v>
      </c>
      <c r="R7" s="16">
        <f>Data1!S2</f>
        <v>0</v>
      </c>
      <c r="S7" s="16">
        <f>Data1!T2</f>
        <v>0</v>
      </c>
      <c r="T7" s="16">
        <f>Data1!U2</f>
        <v>0</v>
      </c>
      <c r="U7" s="17">
        <f>Data1!V2</f>
        <v>0</v>
      </c>
      <c r="V7" s="16">
        <f>Data1!W2</f>
        <v>0</v>
      </c>
      <c r="W7" s="16">
        <f>Data1!X2</f>
        <v>0</v>
      </c>
      <c r="X7" s="16">
        <f>Data1!Y2</f>
        <v>0</v>
      </c>
      <c r="Y7" s="20">
        <f>Data1!Z2</f>
        <v>0</v>
      </c>
      <c r="Z7" s="20">
        <f>Data1!AA2</f>
        <v>0</v>
      </c>
      <c r="AA7" s="20">
        <f>Data1!AB2</f>
        <v>0</v>
      </c>
      <c r="AB7" s="16">
        <f>Data1!AC2</f>
        <v>0</v>
      </c>
      <c r="AC7" s="24" t="e">
        <f>DATEVALUE(Data1!AD2)</f>
        <v>#VALUE!</v>
      </c>
      <c r="AD7" s="15" t="str">
        <f>Data1!AE2&amp;""</f>
        <v/>
      </c>
      <c r="AE7" s="16">
        <f>Data1!AF2</f>
        <v>0</v>
      </c>
      <c r="AF7" s="21">
        <f>Data1!AG2</f>
        <v>0</v>
      </c>
      <c r="AG7" s="21">
        <f>Data1!AH2</f>
        <v>0</v>
      </c>
      <c r="AH7" s="20">
        <f>Data1!AI2</f>
        <v>0</v>
      </c>
      <c r="AI7" s="20">
        <f>Data1!AJ2</f>
        <v>0</v>
      </c>
      <c r="AJ7" s="21">
        <f>Data1!AK2</f>
        <v>0</v>
      </c>
      <c r="AK7" s="21">
        <f>Data1!AL2</f>
        <v>0</v>
      </c>
      <c r="AL7" s="21">
        <f>Data1!AM2</f>
        <v>0</v>
      </c>
      <c r="AM7" s="21">
        <f>Data1!AN2</f>
        <v>0</v>
      </c>
      <c r="AN7" s="21">
        <f>Data1!AO2</f>
        <v>0</v>
      </c>
      <c r="AO7" s="20">
        <f>Data1!AP2</f>
        <v>0</v>
      </c>
      <c r="AP7" s="20">
        <f>Data1!AQ2</f>
        <v>0</v>
      </c>
      <c r="AQ7" s="20">
        <f>Data1!AR2</f>
        <v>0</v>
      </c>
      <c r="AR7" s="22">
        <f>Data1!AS2/100</f>
        <v>0</v>
      </c>
      <c r="AS7" s="23">
        <f>Data1!AT2</f>
        <v>0</v>
      </c>
      <c r="AT7" s="20">
        <f>Data1!AU2</f>
        <v>0</v>
      </c>
      <c r="AU7" s="21">
        <f>Data1!AV2</f>
        <v>0</v>
      </c>
      <c r="AV7" s="20">
        <f>Data1!AW2</f>
        <v>0</v>
      </c>
      <c r="AW7" s="20">
        <f>Data1!AX2</f>
        <v>0</v>
      </c>
      <c r="AX7" s="20">
        <f>Data1!AY2</f>
        <v>0</v>
      </c>
      <c r="AY7" s="20">
        <f>Data1!AZ2</f>
        <v>0</v>
      </c>
      <c r="AZ7" s="20">
        <f>Data1!BA2</f>
        <v>0</v>
      </c>
      <c r="BA7" s="20">
        <f>Data1!BB2</f>
        <v>0</v>
      </c>
      <c r="BB7" s="20">
        <f>Data1!BC2</f>
        <v>0</v>
      </c>
      <c r="BC7" s="22">
        <f>Data1!BD2/100</f>
        <v>0</v>
      </c>
    </row>
  </sheetData>
  <autoFilter ref="A6:BC6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ClientOverviewDelta</vt:lpstr>
      <vt:lpstr>Data1</vt:lpstr>
      <vt:lpstr>Data2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2019-03-19T04:58:21Z</dcterms:modified>
</cp:coreProperties>
</file>