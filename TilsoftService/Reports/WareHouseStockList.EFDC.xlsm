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EUROFAR\TEST\SOLUTION\TilsoftService\Reports\"/>
    </mc:Choice>
  </mc:AlternateContent>
  <bookViews>
    <workbookView xWindow="0" yWindow="0" windowWidth="15090" windowHeight="53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N4" i="1"/>
  <c r="M4" i="1"/>
  <c r="L4" i="1"/>
  <c r="K4" i="1"/>
  <c r="J4" i="1"/>
  <c r="H4" i="1"/>
  <c r="D1" i="1" l="1"/>
</calcChain>
</file>

<file path=xl/sharedStrings.xml><?xml version="1.0" encoding="utf-8"?>
<sst xmlns="http://schemas.openxmlformats.org/spreadsheetml/2006/main" count="33" uniqueCount="33">
  <si>
    <t>STOCK MONITOR</t>
  </si>
  <si>
    <t>WARE HOUSE</t>
  </si>
  <si>
    <t>Barcode</t>
  </si>
  <si>
    <t>Picture</t>
  </si>
  <si>
    <t>Art.Code</t>
  </si>
  <si>
    <t>Description</t>
  </si>
  <si>
    <t>Load 40HC</t>
  </si>
  <si>
    <t>Price</t>
  </si>
  <si>
    <t>Remaining</t>
  </si>
  <si>
    <t>R IN 40HC</t>
  </si>
  <si>
    <t>R. AMOUNT</t>
  </si>
  <si>
    <t>FTS</t>
  </si>
  <si>
    <t>F IN 40HC</t>
  </si>
  <si>
    <t>F AMOUNT</t>
  </si>
  <si>
    <t>Report date</t>
  </si>
  <si>
    <t>WareHouse</t>
  </si>
  <si>
    <t>Pro Status</t>
  </si>
  <si>
    <t>Location (M-W)</t>
  </si>
  <si>
    <t>ns1:WareHouseUD</t>
  </si>
  <si>
    <t>ns1:ProductStatusNM</t>
  </si>
  <si>
    <t>ns1:AreaCode</t>
  </si>
  <si>
    <t>ns1:BarCode</t>
  </si>
  <si>
    <t>ns1:ImageFile</t>
  </si>
  <si>
    <t>ns1:ArticleCode</t>
  </si>
  <si>
    <t>ns1:Description</t>
  </si>
  <si>
    <t>ns1:LoadAbility40HC</t>
  </si>
  <si>
    <t>ns1:UnitPrice</t>
  </si>
  <si>
    <t>ns1:RemainingQnt</t>
  </si>
  <si>
    <t>ns1:RemainQnt40HC</t>
  </si>
  <si>
    <t>ns1:RemainAmount</t>
  </si>
  <si>
    <t>ns1:FreeToSaleQnt</t>
  </si>
  <si>
    <t>ns1:FreeToSaleQnt40HC</t>
  </si>
  <si>
    <t>ns1:FTSAmount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</si>
</sst>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€-413]\ * #,##0.00_ ;_ [$€-413]\ * \-#,##0.00_ ;_ [$€-413]\ * &quot;-&quot;??_ ;_ @_ "/>
  </numFmts>
  <fonts count="5" x14ac:knownFonts="1">
    <font>
      <sz val="11"/>
      <color theme="1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b/>
      <sz val="9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9"/>
      <color theme="0"/>
      <name val="Calibri"/>
      <family val="2"/>
      <charset val="163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1" fillId="4" borderId="1" xfId="0" applyFont="1" applyFill="1" applyBorder="1"/>
    <xf numFmtId="22" fontId="1" fillId="4" borderId="1" xfId="0" applyNumberFormat="1" applyFont="1" applyFill="1" applyBorder="1"/>
    <xf numFmtId="0" fontId="4" fillId="0" borderId="1" xfId="0" applyFont="1" applyFill="1" applyBorder="1"/>
    <xf numFmtId="0" fontId="4" fillId="0" borderId="0" xfId="0" applyFont="1" applyFill="1"/>
    <xf numFmtId="49" fontId="1" fillId="0" borderId="1" xfId="0" applyNumberFormat="1" applyFont="1" applyBorder="1"/>
    <xf numFmtId="49" fontId="1" fillId="4" borderId="1" xfId="0" applyNumberFormat="1" applyFont="1" applyFill="1" applyBorder="1"/>
    <xf numFmtId="0" fontId="2" fillId="5" borderId="1" xfId="0" applyFont="1" applyFill="1" applyBorder="1" applyAlignment="1">
      <alignment horizontal="center" vertical="center" wrapText="1"/>
    </xf>
    <xf numFmtId="3" fontId="2" fillId="5" borderId="1" xfId="0" applyNumberFormat="1" applyFont="1" applyFill="1" applyBorder="1" applyAlignment="1">
      <alignment horizontal="right" vertical="center" wrapText="1"/>
    </xf>
    <xf numFmtId="164" fontId="2" fillId="5" borderId="1" xfId="0" applyNumberFormat="1" applyFont="1" applyFill="1" applyBorder="1" applyAlignment="1">
      <alignment horizontal="right" vertical="center" wrapText="1"/>
    </xf>
    <xf numFmtId="0" fontId="4" fillId="0" borderId="1" xfId="0" applyFont="1" applyFill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4" fontId="2" fillId="5" borderId="1" xfId="0" applyNumberFormat="1" applyFont="1" applyFill="1" applyBorder="1" applyAlignment="1">
      <alignment horizontal="right" vertical="center" wrapText="1"/>
    </xf>
    <xf numFmtId="4" fontId="1" fillId="0" borderId="1" xfId="0" applyNumberFormat="1" applyFont="1" applyBorder="1" applyAlignment="1">
      <alignment horizontal="right"/>
    </xf>
    <xf numFmtId="0" fontId="3" fillId="3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4" formatCode="_ [$€-413]\ * #,##0.00_ ;_ [$€-413]\ * \-#,##0.00_ ;_ [$€-413]\ * &quot;-&quot;??_ ;_ @_ "/>
      <alignment horizontal="righ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4" formatCode="#,##0.00"/>
      <alignment horizontal="righ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3" formatCode="#,##0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4" formatCode="_ [$€-413]\ * #,##0.00_ ;_ [$€-413]\ * \-#,##0.00_ ;_ [$€-413]\ * &quot;-&quot;??_ ;_ @_ "/>
      <alignment horizontal="righ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4" formatCode="#,##0.00"/>
      <alignment horizontal="righ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3" formatCode="#,##0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4" formatCode="_ [$€-413]\ * #,##0.00_ ;_ [$€-413]\ * \-#,##0.00_ ;_ [$€-413]\ * &quot;-&quot;??_ ;_ @_ "/>
      <alignment horizontal="righ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3" formatCode="#,##0"/>
      <alignment horizontal="righ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StockList_View" minOccurs="0" maxOccurs="unbounded">
              <xs:complexType>
                <xs:sequence>
                  <xs:element name="WareHouseID" type="xs:int" minOccurs="0"/>
                  <xs:element name="WareHouse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ea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Bar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mageF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oadAbility40HC" msdata:ReadOnly="true" type="xs:int" minOccurs="0"/>
                  <xs:element name="UnitPrice" msdata:ReadOnly="true" type="xs:int" minOccurs="0"/>
                  <xs:element name="RemainingQnt" type="xs:int" minOccurs="0"/>
                  <xs:element name="RemainQnt40HC" msdata:ReadOnly="true" type="xs:decimal" minOccurs="0"/>
                  <xs:element name="RemainAmount" msdata:ReadOnly="true" type="xs:decimal" minOccurs="0"/>
                  <xs:element name="FreeToSaleQnt" type="xs:int" minOccurs="0"/>
                  <xs:element name="FreeToSaleQnt40HC" msdata:ReadOnly="true" type="xs:decimal" minOccurs="0"/>
                  <xs:element name="FTSAmount" msdata:ReadOnly="true" type="xs:decimal" minOccurs="0"/>
                </xs:sequence>
              </xs:complexType>
            </xs:element>
            <xs:element name="ReportHeader">
              <xs:complexType>
                <xs:sequence>
                  <xs:element name="WareHouseUD" type="xs:string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5:O6" tableType="xml" insertRow="1" totalsRowShown="0" headerRowDxfId="17" dataDxfId="16" tableBorderDxfId="15">
  <autoFilter ref="A5:O6"/>
  <tableColumns count="15">
    <tableColumn id="1" uniqueName="ns1:WareHouseUD" name="ns1:WareHouseUD" dataDxfId="14">
      <xmlColumnPr mapId="1" xpath="/ns1:ReportDataObject/ns1:Report_StockList_View/ns1:WareHouseUD" xmlDataType="string"/>
    </tableColumn>
    <tableColumn id="2" uniqueName="ns1:ProductStatusNM" name="ns1:ProductStatusNM" dataDxfId="13">
      <xmlColumnPr mapId="1" xpath="/ns1:ReportDataObject/ns1:Report_StockList_View/ns1:ProductStatusNM" xmlDataType="string"/>
    </tableColumn>
    <tableColumn id="3" uniqueName="ns1:AreaCode" name="ns1:AreaCode" dataDxfId="12">
      <xmlColumnPr mapId="1" xpath="/ns1:ReportDataObject/ns1:Report_StockList_View/ns1:AreaCode" xmlDataType="string"/>
    </tableColumn>
    <tableColumn id="4" uniqueName="ns1:BarCode" name="ns1:BarCode" dataDxfId="11">
      <xmlColumnPr mapId="1" xpath="/ns1:ReportDataObject/ns1:Report_StockList_View/ns1:BarCode" xmlDataType="string"/>
    </tableColumn>
    <tableColumn id="5" uniqueName="ns1:ImageFile" name="ns1:ImageFile" dataDxfId="10">
      <xmlColumnPr mapId="1" xpath="/ns1:ReportDataObject/ns1:Report_StockList_View/ns1:ImageFile" xmlDataType="string"/>
    </tableColumn>
    <tableColumn id="6" uniqueName="ns1:ArticleCode" name="ns1:ArticleCode" dataDxfId="9">
      <xmlColumnPr mapId="1" xpath="/ns1:ReportDataObject/ns1:Report_StockList_View/ns1:ArticleCode" xmlDataType="string"/>
    </tableColumn>
    <tableColumn id="7" uniqueName="ns1:Description" name="ns1:Description" dataDxfId="8">
      <xmlColumnPr mapId="1" xpath="/ns1:ReportDataObject/ns1:Report_StockList_View/ns1:Description" xmlDataType="string"/>
    </tableColumn>
    <tableColumn id="8" uniqueName="ns1:LoadAbility40HC" name="ns1:LoadAbility40HC" dataDxfId="7">
      <xmlColumnPr mapId="1" xpath="/ns1:ReportDataObject/ns1:Report_StockList_View/ns1:LoadAbility40HC" xmlDataType="int"/>
    </tableColumn>
    <tableColumn id="9" uniqueName="ns1:UnitPrice" name="ns1:UnitPrice" dataDxfId="6">
      <xmlColumnPr mapId="1" xpath="/ns1:ReportDataObject/ns1:Report_StockList_View/ns1:UnitPrice" xmlDataType="int"/>
    </tableColumn>
    <tableColumn id="10" uniqueName="ns1:RemainingQnt" name="ns1:RemainingQnt" dataDxfId="5">
      <xmlColumnPr mapId="1" xpath="/ns1:ReportDataObject/ns1:Report_StockList_View/ns1:RemainingQnt" xmlDataType="int"/>
    </tableColumn>
    <tableColumn id="11" uniqueName="ns1:RemainQnt40HC" name="ns1:RemainQnt40HC" dataDxfId="4">
      <xmlColumnPr mapId="1" xpath="/ns1:ReportDataObject/ns1:Report_StockList_View/ns1:RemainQnt40HC" xmlDataType="decimal"/>
    </tableColumn>
    <tableColumn id="12" uniqueName="ns1:RemainAmount" name="ns1:RemainAmount" dataDxfId="3">
      <xmlColumnPr mapId="1" xpath="/ns1:ReportDataObject/ns1:Report_StockList_View/ns1:RemainAmount" xmlDataType="decimal"/>
    </tableColumn>
    <tableColumn id="13" uniqueName="ns1:FreeToSaleQnt" name="ns1:FreeToSaleQnt" dataDxfId="2">
      <xmlColumnPr mapId="1" xpath="/ns1:ReportDataObject/ns1:Report_StockList_View/ns1:FreeToSaleQnt" xmlDataType="int"/>
    </tableColumn>
    <tableColumn id="14" uniqueName="ns1:FreeToSaleQnt40HC" name="ns1:FreeToSaleQnt40HC" dataDxfId="1">
      <xmlColumnPr mapId="1" xpath="/ns1:ReportDataObject/ns1:Report_StockList_View/ns1:FreeToSaleQnt40HC" xmlDataType="decimal"/>
    </tableColumn>
    <tableColumn id="15" uniqueName="ns1:FTSAmount" name="ns1:FTSAmount" dataDxfId="0">
      <xmlColumnPr mapId="1" xpath="/ns1:ReportDataObject/ns1:Report_StockList_View/ns1:FTS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D2" connectionId="0">
    <xmlCellPr id="1" uniqueName="ns1:WareHouseUD">
      <xmlPr mapId="1" xpath="/ns1:ReportDataObject/ns1:ReportHeader/ns1:WareHouseUD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"/>
  <sheetViews>
    <sheetView tabSelected="1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G11" sqref="G11"/>
    </sheetView>
  </sheetViews>
  <sheetFormatPr defaultRowHeight="15" x14ac:dyDescent="0.25"/>
  <cols>
    <col min="1" max="3" width="11" customWidth="1"/>
    <col min="4" max="4" width="14.28515625" bestFit="1" customWidth="1"/>
    <col min="5" max="5" width="19" customWidth="1"/>
    <col min="6" max="6" width="14.5703125" customWidth="1"/>
    <col min="7" max="7" width="47.28515625" customWidth="1"/>
    <col min="8" max="9" width="11" customWidth="1"/>
    <col min="10" max="15" width="12" customWidth="1"/>
  </cols>
  <sheetData>
    <row r="1" spans="1:15" x14ac:dyDescent="0.25">
      <c r="A1" s="17" t="s">
        <v>0</v>
      </c>
      <c r="B1" s="17"/>
      <c r="C1" s="3" t="s">
        <v>14</v>
      </c>
      <c r="D1" s="4">
        <f ca="1">NOW()</f>
        <v>42090.478999884261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17"/>
      <c r="B2" s="17"/>
      <c r="C2" s="3" t="s">
        <v>15</v>
      </c>
      <c r="D2" s="8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24" x14ac:dyDescent="0.25">
      <c r="A3" s="2" t="s">
        <v>1</v>
      </c>
      <c r="B3" s="2" t="s">
        <v>16</v>
      </c>
      <c r="C3" s="2" t="s">
        <v>17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</row>
    <row r="4" spans="1:15" x14ac:dyDescent="0.25">
      <c r="A4" s="9"/>
      <c r="B4" s="9"/>
      <c r="C4" s="9"/>
      <c r="D4" s="9"/>
      <c r="E4" s="9"/>
      <c r="F4" s="9"/>
      <c r="G4" s="9"/>
      <c r="H4" s="10">
        <f>SUM(Table1[ns1:LoadAbility40HC])</f>
        <v>0</v>
      </c>
      <c r="I4" s="11"/>
      <c r="J4" s="10">
        <f>SUM(Table1[ns1:RemainingQnt])</f>
        <v>0</v>
      </c>
      <c r="K4" s="15">
        <f>SUM(Table1[ns1:RemainQnt40HC])</f>
        <v>0</v>
      </c>
      <c r="L4" s="11">
        <f>SUM(Table1[ns1:RemainAmount])</f>
        <v>0</v>
      </c>
      <c r="M4" s="10">
        <f>SUM(Table1[ns1:FreeToSaleQnt])</f>
        <v>0</v>
      </c>
      <c r="N4" s="15">
        <f>SUM(Table1[ns1:FreeToSaleQnt40HC])</f>
        <v>0</v>
      </c>
      <c r="O4" s="11">
        <f>SUM(Table1[ns1:FTSAmount])</f>
        <v>0</v>
      </c>
    </row>
    <row r="5" spans="1:15" s="6" customFormat="1" ht="12" x14ac:dyDescent="0.2">
      <c r="A5" s="5" t="s">
        <v>18</v>
      </c>
      <c r="B5" s="5" t="s">
        <v>19</v>
      </c>
      <c r="C5" s="5" t="s">
        <v>20</v>
      </c>
      <c r="D5" s="5" t="s">
        <v>21</v>
      </c>
      <c r="E5" s="5" t="s">
        <v>22</v>
      </c>
      <c r="F5" s="5" t="s">
        <v>23</v>
      </c>
      <c r="G5" s="5" t="s">
        <v>24</v>
      </c>
      <c r="H5" s="12" t="s">
        <v>25</v>
      </c>
      <c r="I5" s="12" t="s">
        <v>26</v>
      </c>
      <c r="J5" s="12" t="s">
        <v>27</v>
      </c>
      <c r="K5" s="12" t="s">
        <v>28</v>
      </c>
      <c r="L5" s="12" t="s">
        <v>29</v>
      </c>
      <c r="M5" s="12" t="s">
        <v>30</v>
      </c>
      <c r="N5" s="12" t="s">
        <v>31</v>
      </c>
      <c r="O5" s="12" t="s">
        <v>32</v>
      </c>
    </row>
    <row r="6" spans="1:15" s="1" customFormat="1" ht="12" x14ac:dyDescent="0.2">
      <c r="A6" s="7"/>
      <c r="B6" s="7"/>
      <c r="C6" s="7"/>
      <c r="D6" s="7"/>
      <c r="E6" s="7"/>
      <c r="F6" s="7"/>
      <c r="G6" s="7"/>
      <c r="H6" s="13"/>
      <c r="I6" s="14"/>
      <c r="J6" s="13"/>
      <c r="K6" s="16"/>
      <c r="L6" s="14"/>
      <c r="M6" s="13"/>
      <c r="N6" s="16"/>
      <c r="O6" s="14"/>
    </row>
  </sheetData>
  <mergeCells count="1">
    <mergeCell ref="A1:B2"/>
  </mergeCells>
  <pageMargins left="0.7" right="0.7" top="0.75" bottom="0.75" header="0.3" footer="0.3"/>
  <pageSetup paperSize="9" orientation="portrait" horizontalDpi="0" verticalDpi="0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my.nguyen</dc:creator>
  <cp:lastModifiedBy>Windows User</cp:lastModifiedBy>
  <dcterms:created xsi:type="dcterms:W3CDTF">2015-03-27T06:16:18Z</dcterms:created>
  <dcterms:modified xsi:type="dcterms:W3CDTF">2015-03-27T10:30:24Z</dcterms:modified>
</cp:coreProperties>
</file>