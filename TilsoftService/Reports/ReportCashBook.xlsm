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Tilsoft_Git\Sources\SOLUTION\TilsoftService\Reports\"/>
    </mc:Choice>
  </mc:AlternateContent>
  <bookViews>
    <workbookView xWindow="0" yWindow="0" windowWidth="28800" windowHeight="12435"/>
  </bookViews>
  <sheets>
    <sheet name="CashBook" sheetId="1" r:id="rId1"/>
    <sheet name="Data1" sheetId="2" r:id="rId2"/>
    <sheet name="Data2" sheetId="3" r:id="rId3"/>
  </sheets>
  <definedNames>
    <definedName name="_xlnm._FilterDatabase" localSheetId="0" hidden="1">CashBook!$A$7:$AA$7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1" l="1"/>
  <c r="L8" i="1" l="1"/>
  <c r="B8" i="1" l="1"/>
  <c r="Y8" i="1"/>
  <c r="X8" i="1"/>
  <c r="W8" i="1"/>
  <c r="V8" i="1"/>
  <c r="U8" i="1"/>
  <c r="T8" i="1"/>
  <c r="S8" i="1"/>
  <c r="Q3" i="1" l="1"/>
  <c r="Q4" i="1" s="1"/>
  <c r="P3" i="1"/>
  <c r="P4" i="1" s="1"/>
  <c r="O3" i="1"/>
  <c r="O4" i="1" s="1"/>
  <c r="K3" i="1"/>
  <c r="K4" i="1" s="1"/>
  <c r="J3" i="1"/>
  <c r="J4" i="1" s="1"/>
  <c r="I3" i="1"/>
  <c r="I4" i="1" s="1"/>
  <c r="H3" i="1"/>
  <c r="H4" i="1" s="1"/>
  <c r="G3" i="1"/>
  <c r="G4" i="1" s="1"/>
  <c r="P8" i="1"/>
  <c r="O8" i="1"/>
  <c r="I8" i="1"/>
  <c r="G8" i="1"/>
  <c r="Q8" i="1"/>
  <c r="K8" i="1"/>
  <c r="J8" i="1"/>
  <c r="H8" i="1"/>
  <c r="F8" i="1"/>
  <c r="E8" i="1"/>
  <c r="D8" i="1"/>
  <c r="C8" i="1"/>
  <c r="A8" i="1"/>
  <c r="M8" i="1" l="1"/>
  <c r="R8" i="1"/>
</calcChain>
</file>

<file path=xl/sharedStrings.xml><?xml version="1.0" encoding="utf-8"?>
<sst xmlns="http://schemas.openxmlformats.org/spreadsheetml/2006/main" count="30" uniqueCount="26">
  <si>
    <t>Index</t>
  </si>
  <si>
    <t>Day of Week</t>
  </si>
  <si>
    <t>Date</t>
  </si>
  <si>
    <t>Month</t>
  </si>
  <si>
    <t>Year</t>
  </si>
  <si>
    <t>Dollar</t>
  </si>
  <si>
    <t>VND Money in</t>
  </si>
  <si>
    <t>USD Money in</t>
  </si>
  <si>
    <t>Fee VND</t>
  </si>
  <si>
    <t>Fee USD</t>
  </si>
  <si>
    <t>Fee EURO</t>
  </si>
  <si>
    <t>Balance in VND</t>
  </si>
  <si>
    <t>Balance</t>
  </si>
  <si>
    <t>Type</t>
  </si>
  <si>
    <t>Flow</t>
  </si>
  <si>
    <t>Paid by</t>
  </si>
  <si>
    <t>Location</t>
  </si>
  <si>
    <t>Post Cost</t>
  </si>
  <si>
    <t>Cost Items</t>
  </si>
  <si>
    <t>Detail</t>
  </si>
  <si>
    <t>Note</t>
  </si>
  <si>
    <t>V.A.T No</t>
  </si>
  <si>
    <t>BANK DETAILS</t>
  </si>
  <si>
    <t>CASH DETAILS</t>
  </si>
  <si>
    <t>Total</t>
  </si>
  <si>
    <t>Sub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</si>
</sst>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_([$$-409]* #,##0.00_);_([$$-409]* \(#,##0.00\);_([$$-409]* &quot;-&quot;??_);_(@_)"/>
    <numFmt numFmtId="165" formatCode="_([$€-2]\ * #,##0_);_([$€-2]\ * \(#,##0\);_([$€-2]\ * &quot;-&quot;_);_(@_)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Calibri"/>
      <family val="2"/>
      <scheme val="minor"/>
    </font>
    <font>
      <i/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33CC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/>
    </xf>
    <xf numFmtId="0" fontId="1" fillId="0" borderId="1" xfId="0" applyFont="1" applyBorder="1"/>
    <xf numFmtId="3" fontId="1" fillId="0" borderId="1" xfId="0" applyNumberFormat="1" applyFont="1" applyBorder="1"/>
    <xf numFmtId="164" fontId="1" fillId="0" borderId="1" xfId="0" applyNumberFormat="1" applyFont="1" applyBorder="1" applyAlignment="1">
      <alignment horizontal="left"/>
    </xf>
    <xf numFmtId="3" fontId="1" fillId="0" borderId="1" xfId="0" applyNumberFormat="1" applyFont="1" applyBorder="1" applyAlignment="1"/>
    <xf numFmtId="0" fontId="4" fillId="0" borderId="0" xfId="0" applyFont="1"/>
    <xf numFmtId="0" fontId="2" fillId="3" borderId="3" xfId="0" applyFont="1" applyFill="1" applyBorder="1" applyAlignment="1">
      <alignment horizontal="left"/>
    </xf>
    <xf numFmtId="165" fontId="1" fillId="0" borderId="1" xfId="0" applyNumberFormat="1" applyFont="1" applyBorder="1" applyAlignment="1">
      <alignment horizontal="left"/>
    </xf>
    <xf numFmtId="3" fontId="1" fillId="3" borderId="1" xfId="0" applyNumberFormat="1" applyFont="1" applyFill="1" applyBorder="1"/>
    <xf numFmtId="3" fontId="1" fillId="4" borderId="1" xfId="0" applyNumberFormat="1" applyFont="1" applyFill="1" applyBorder="1"/>
    <xf numFmtId="164" fontId="1" fillId="3" borderId="1" xfId="0" applyNumberFormat="1" applyFont="1" applyFill="1" applyBorder="1"/>
    <xf numFmtId="44" fontId="1" fillId="3" borderId="1" xfId="1" applyFont="1" applyFill="1" applyBorder="1"/>
    <xf numFmtId="165" fontId="1" fillId="3" borderId="1" xfId="0" applyNumberFormat="1" applyFont="1" applyFill="1" applyBorder="1"/>
    <xf numFmtId="164" fontId="1" fillId="4" borderId="1" xfId="0" applyNumberFormat="1" applyFont="1" applyFill="1" applyBorder="1"/>
    <xf numFmtId="4" fontId="1" fillId="3" borderId="1" xfId="0" applyNumberFormat="1" applyFont="1" applyFill="1" applyBorder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0" fontId="2" fillId="3" borderId="2" xfId="0" applyFont="1" applyFill="1" applyBorder="1" applyAlignment="1"/>
    <xf numFmtId="0" fontId="2" fillId="3" borderId="3" xfId="0" applyFont="1" applyFill="1" applyBorder="1" applyAlignment="1"/>
    <xf numFmtId="0" fontId="2" fillId="3" borderId="4" xfId="0" applyFont="1" applyFill="1" applyBorder="1" applyAlignme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A8"/>
  <sheetViews>
    <sheetView tabSelected="1"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L3" sqref="L3"/>
    </sheetView>
  </sheetViews>
  <sheetFormatPr defaultRowHeight="12.75" x14ac:dyDescent="0.2"/>
  <cols>
    <col min="1" max="1" width="5.140625" style="1" bestFit="1" customWidth="1"/>
    <col min="2" max="2" width="11" style="1" bestFit="1" customWidth="1"/>
    <col min="3" max="3" width="4.5703125" style="1" bestFit="1" customWidth="1"/>
    <col min="4" max="4" width="6" style="1" bestFit="1" customWidth="1"/>
    <col min="5" max="5" width="4.7109375" style="1" bestFit="1" customWidth="1"/>
    <col min="6" max="13" width="13.7109375" style="1" customWidth="1"/>
    <col min="14" max="14" width="1" style="1" customWidth="1"/>
    <col min="15" max="18" width="13.7109375" style="1" customWidth="1"/>
    <col min="19" max="22" width="15.7109375" style="1" customWidth="1"/>
    <col min="23" max="23" width="16.7109375" style="1" customWidth="1"/>
    <col min="24" max="24" width="20.7109375" style="1" customWidth="1"/>
    <col min="25" max="25" width="25.7109375" style="1" customWidth="1"/>
    <col min="26" max="26" width="4.5703125" style="1" bestFit="1" customWidth="1"/>
    <col min="27" max="27" width="8.140625" style="1" bestFit="1" customWidth="1"/>
    <col min="28" max="16384" width="9.140625" style="1"/>
  </cols>
  <sheetData>
    <row r="2" spans="1:27" x14ac:dyDescent="0.2">
      <c r="G2" s="20" t="s">
        <v>22</v>
      </c>
      <c r="H2" s="21"/>
      <c r="I2" s="21"/>
      <c r="J2" s="21"/>
      <c r="K2" s="21"/>
      <c r="L2" s="21"/>
      <c r="M2" s="22"/>
      <c r="N2" s="8"/>
      <c r="O2" s="17" t="s">
        <v>23</v>
      </c>
      <c r="P2" s="18"/>
      <c r="Q2" s="18"/>
      <c r="R2" s="19"/>
    </row>
    <row r="3" spans="1:27" x14ac:dyDescent="0.2">
      <c r="F3" s="7" t="s">
        <v>24</v>
      </c>
      <c r="G3" s="10">
        <f>Data2!A2</f>
        <v>0</v>
      </c>
      <c r="H3" s="12">
        <f>Data2!B2</f>
        <v>0</v>
      </c>
      <c r="I3" s="10">
        <f>Data2!C2</f>
        <v>0</v>
      </c>
      <c r="J3" s="13">
        <f>Data2!D2</f>
        <v>0</v>
      </c>
      <c r="K3" s="14">
        <f>Data2!E2</f>
        <v>0</v>
      </c>
      <c r="L3" s="10">
        <f>SUMIF(S8:S1048576, "COST", I8:P1048576)</f>
        <v>0</v>
      </c>
      <c r="M3" s="16"/>
      <c r="N3" s="16"/>
      <c r="O3" s="11">
        <f>Data2!F2</f>
        <v>0</v>
      </c>
      <c r="P3" s="11">
        <f>Data2!G2</f>
        <v>0</v>
      </c>
      <c r="Q3" s="15">
        <f>Data2!H2</f>
        <v>0</v>
      </c>
      <c r="R3" s="11"/>
    </row>
    <row r="4" spans="1:27" x14ac:dyDescent="0.2">
      <c r="F4" s="7" t="s">
        <v>25</v>
      </c>
      <c r="G4" s="10">
        <f>SUBTOTAL(9,G3)</f>
        <v>0</v>
      </c>
      <c r="H4" s="12">
        <f>SUBTOTAL(9,H3)</f>
        <v>0</v>
      </c>
      <c r="I4" s="10">
        <f>SUBTOTAL(9,I3)</f>
        <v>0</v>
      </c>
      <c r="J4" s="13">
        <f>SUBTOTAL(9,J3)</f>
        <v>0</v>
      </c>
      <c r="K4" s="14">
        <f>SUBTOTAL(9,K3)</f>
        <v>0</v>
      </c>
      <c r="L4" s="10"/>
      <c r="M4" s="16"/>
      <c r="N4" s="16"/>
      <c r="O4" s="11">
        <f>O3</f>
        <v>0</v>
      </c>
      <c r="P4" s="11">
        <f>P3</f>
        <v>0</v>
      </c>
      <c r="Q4" s="15">
        <f>Q3</f>
        <v>0</v>
      </c>
      <c r="R4" s="11"/>
    </row>
    <row r="6" spans="1:27" x14ac:dyDescent="0.2">
      <c r="A6" s="2" t="s">
        <v>0</v>
      </c>
      <c r="B6" s="2" t="s">
        <v>1</v>
      </c>
      <c r="C6" s="2" t="s">
        <v>2</v>
      </c>
      <c r="D6" s="2" t="s">
        <v>3</v>
      </c>
      <c r="E6" s="2" t="s">
        <v>4</v>
      </c>
      <c r="F6" s="2" t="s">
        <v>5</v>
      </c>
      <c r="G6" s="2" t="s">
        <v>6</v>
      </c>
      <c r="H6" s="2" t="s">
        <v>7</v>
      </c>
      <c r="I6" s="2" t="s">
        <v>8</v>
      </c>
      <c r="J6" s="2" t="s">
        <v>9</v>
      </c>
      <c r="K6" s="2" t="s">
        <v>10</v>
      </c>
      <c r="L6" s="2" t="s">
        <v>11</v>
      </c>
      <c r="M6" s="2" t="s">
        <v>12</v>
      </c>
      <c r="N6" s="2"/>
      <c r="O6" s="2" t="s">
        <v>6</v>
      </c>
      <c r="P6" s="2" t="s">
        <v>8</v>
      </c>
      <c r="Q6" s="2" t="s">
        <v>9</v>
      </c>
      <c r="R6" s="2" t="s">
        <v>11</v>
      </c>
      <c r="S6" s="2" t="s">
        <v>13</v>
      </c>
      <c r="T6" s="2" t="s">
        <v>14</v>
      </c>
      <c r="U6" s="2" t="s">
        <v>15</v>
      </c>
      <c r="V6" s="2" t="s">
        <v>16</v>
      </c>
      <c r="W6" s="2" t="s">
        <v>17</v>
      </c>
      <c r="X6" s="2" t="s">
        <v>18</v>
      </c>
      <c r="Y6" s="2" t="s">
        <v>19</v>
      </c>
      <c r="Z6" s="2" t="s">
        <v>20</v>
      </c>
      <c r="AA6" s="2" t="s">
        <v>21</v>
      </c>
    </row>
    <row r="7" spans="1:27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</row>
    <row r="8" spans="1:27" x14ac:dyDescent="0.2">
      <c r="A8" s="3">
        <f>ROW()-7</f>
        <v>1</v>
      </c>
      <c r="B8" s="3" t="str">
        <f>Data1!B2&amp;""</f>
        <v/>
      </c>
      <c r="C8" s="3">
        <f>Data1!C2</f>
        <v>0</v>
      </c>
      <c r="D8" s="3">
        <f>Data1!D2</f>
        <v>0</v>
      </c>
      <c r="E8" s="3">
        <f>Data1!E2</f>
        <v>0</v>
      </c>
      <c r="F8" s="4">
        <f>Data1!F2</f>
        <v>0</v>
      </c>
      <c r="G8" s="4" t="str">
        <f>IF(Data1!G2,Data1!G2,"")</f>
        <v/>
      </c>
      <c r="H8" s="5">
        <f>Data1!H2</f>
        <v>0</v>
      </c>
      <c r="I8" s="4" t="str">
        <f>IF(Data1!I2, Data1!I2, "")</f>
        <v/>
      </c>
      <c r="J8" s="5">
        <f>Data1!J2</f>
        <v>0</v>
      </c>
      <c r="K8" s="9">
        <f>Data1!K2</f>
        <v>0</v>
      </c>
      <c r="L8" s="4" t="str">
        <f>IF((+IF(ISBLANK(L7), 0, IF(L7 = "", 0, L7)) + IF(G8 = "", 0, G8) - IF(I8 = "", 0, I8))=0, "", (+IF(ISBLANK(L7), 0, IF(L7 = "", 0,L7)) + IF(G8 = "", 0, G8) - IF(I8 = "", 0, I8)))</f>
        <v/>
      </c>
      <c r="M8" s="6">
        <f>IF(L8="",0,L8/F8)</f>
        <v>0</v>
      </c>
      <c r="N8" s="6"/>
      <c r="O8" s="4" t="str">
        <f>IF(Data1!L2, Data1!L2, "")</f>
        <v/>
      </c>
      <c r="P8" s="4" t="str">
        <f>IF(Data1!M2, Data1!M2, "")</f>
        <v/>
      </c>
      <c r="Q8" s="5">
        <f>Data1!N2</f>
        <v>0</v>
      </c>
      <c r="R8" s="4" t="str">
        <f>IF((+IF(ISBLANK(R7), 0, IF(R7 = "", 0, R7)) + IF(O8 = "", 0, O8) - IF(P8 = "", 0, P8))=0, "", (+IF(ISBLANK(R7), 0, IF(R7 = "", 0, R7)) + IF(O8 = "", 0, O8) - IF(P8 = "", 0, P8)))</f>
        <v/>
      </c>
      <c r="S8" s="3" t="str">
        <f>Data1!O2&amp;""</f>
        <v/>
      </c>
      <c r="T8" s="3" t="str">
        <f>Data1!P2&amp;""</f>
        <v/>
      </c>
      <c r="U8" s="3" t="str">
        <f>Data1!Q2&amp;""</f>
        <v/>
      </c>
      <c r="V8" s="3" t="str">
        <f>Data1!R2&amp;""</f>
        <v/>
      </c>
      <c r="W8" s="3" t="str">
        <f>Data1!S2&amp;""</f>
        <v/>
      </c>
      <c r="X8" s="3" t="str">
        <f>Data1!T2&amp;""</f>
        <v/>
      </c>
      <c r="Y8" s="3" t="str">
        <f>Data1!U2&amp;""</f>
        <v/>
      </c>
      <c r="Z8" s="3"/>
      <c r="AA8" s="3"/>
    </row>
  </sheetData>
  <autoFilter ref="A7:AA7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E5" sqref="E5"/>
    </sheetView>
  </sheetViews>
  <sheetFormatPr defaultRowHeight="12.75" x14ac:dyDescent="0.2"/>
  <cols>
    <col min="1" max="16384" width="9.140625" style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4" sqref="C4"/>
    </sheetView>
  </sheetViews>
  <sheetFormatPr defaultRowHeight="12.75" x14ac:dyDescent="0.2"/>
  <cols>
    <col min="1" max="16384" width="9.1406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CashBook</vt:lpstr>
      <vt:lpstr>Data1</vt:lpstr>
      <vt:lpstr>Data2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2017-11-17T06:23:26Z</dcterms:created>
  <dcterms:modified xsi:type="dcterms:W3CDTF">2017-11-23T02:42:19Z</dcterms:modified>
</cp:coreProperties>
</file>