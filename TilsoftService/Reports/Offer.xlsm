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240" yWindow="420" windowWidth="15600" windowHeight="9195"/>
  </bookViews>
  <sheets>
    <sheet name="Overview" sheetId="1" r:id="rId1"/>
  </sheets>
  <definedNames>
    <definedName name="_xlnm._FilterDatabase" localSheetId="0" hidden="1">Overview!$A$19:$AI$21</definedName>
    <definedName name="_xlnm.Print_Area" localSheetId="0">Overview!$A$1:$AI$23</definedName>
    <definedName name="_xlnm.Print_Titles" localSheetId="0">Overview!$19:$21</definedName>
  </definedNames>
  <calcPr calcId="152511"/>
</workbook>
</file>

<file path=xl/calcChain.xml><?xml version="1.0" encoding="utf-8"?>
<calcChain xmlns="http://schemas.openxmlformats.org/spreadsheetml/2006/main">
  <c r="AF17" i="1" l="1"/>
  <c r="AE17" i="1" l="1"/>
  <c r="AE16" i="1"/>
  <c r="AF16" i="1"/>
  <c r="AH17" i="1" l="1"/>
  <c r="AH16" i="1"/>
  <c r="AG21" i="1" l="1"/>
  <c r="AG20" i="1"/>
</calcChain>
</file>

<file path=xl/connections.xml><?xml version="1.0" encoding="utf-8"?>
<connections xmlns="http://schemas.openxmlformats.org/spreadsheetml/2006/main">
  <connection id="1" name="tmpFF3C" type="4" refreshedVersion="0" background="1">
    <webPr xml="1" sourceData="1" url="C:\Users\mynt\AppData\Local\Temp\tmpFF3C.xml" htmlTables="1" htmlFormat="all"/>
  </connection>
</connections>
</file>

<file path=xl/sharedStrings.xml><?xml version="1.0" encoding="utf-8"?>
<sst xmlns="http://schemas.openxmlformats.org/spreadsheetml/2006/main" count="91" uniqueCount="81">
  <si>
    <t>Customer details:</t>
  </si>
  <si>
    <t>Name:</t>
  </si>
  <si>
    <t>Delivery address:</t>
  </si>
  <si>
    <t>Order details:</t>
  </si>
  <si>
    <t>Payment terms:</t>
  </si>
  <si>
    <t>Date:</t>
  </si>
  <si>
    <t>Contactperson:</t>
  </si>
  <si>
    <t>Delivery terms:</t>
  </si>
  <si>
    <t>Currency:</t>
  </si>
  <si>
    <t>Phone:</t>
  </si>
  <si>
    <t>Delivery time:</t>
  </si>
  <si>
    <t>Sales person:</t>
  </si>
  <si>
    <t>Email:</t>
  </si>
  <si>
    <t>Version:</t>
  </si>
  <si>
    <t>Contractperson:</t>
  </si>
  <si>
    <t>Port of discharge:</t>
  </si>
  <si>
    <t>Prices valid until:</t>
  </si>
  <si>
    <t>In case of FOB shipment:</t>
  </si>
  <si>
    <t>Packaging:</t>
  </si>
  <si>
    <t>Labelling:</t>
  </si>
  <si>
    <t>In production:</t>
  </si>
  <si>
    <t>Cont:</t>
  </si>
  <si>
    <t># of containers</t>
  </si>
  <si>
    <t>Forwarder details:</t>
  </si>
  <si>
    <t>Standard</t>
  </si>
  <si>
    <t>Directly</t>
  </si>
  <si>
    <t>20'DC</t>
  </si>
  <si>
    <t>Special:</t>
  </si>
  <si>
    <t>After signature customer</t>
  </si>
  <si>
    <t>40'DC</t>
  </si>
  <si>
    <t>After DP customer</t>
  </si>
  <si>
    <t>40'HC</t>
  </si>
  <si>
    <t>After LC customer</t>
  </si>
  <si>
    <t>Partial</t>
  </si>
  <si>
    <t>Contractnumber:</t>
  </si>
  <si>
    <t>Other:</t>
  </si>
  <si>
    <t>Remarks:</t>
  </si>
  <si>
    <t>Forwarder details will follow by sales</t>
  </si>
  <si>
    <t>Packaging details will follow by sales</t>
  </si>
  <si>
    <t>Labelling details will follow by sales</t>
  </si>
  <si>
    <t>Forwarder details need to be asked by logistics</t>
  </si>
  <si>
    <t>COLLECTION</t>
  </si>
  <si>
    <t>CATALOGUS</t>
  </si>
  <si>
    <t>PICTURE</t>
  </si>
  <si>
    <t>RANGE</t>
  </si>
  <si>
    <t>CODE</t>
  </si>
  <si>
    <t>DESCRIPTION</t>
  </si>
  <si>
    <t>COLOR MATERIAL</t>
  </si>
  <si>
    <t>THICKNESS CUSHION + FOAM IN CM</t>
  </si>
  <si>
    <t>FABRIC WEIGHT / M2</t>
  </si>
  <si>
    <t>COLOR CUSHION</t>
  </si>
  <si>
    <t>PRODUCT SIZE IN CM</t>
  </si>
  <si>
    <t>NETT W PROD</t>
  </si>
  <si>
    <t>CARTON BOX</t>
  </si>
  <si>
    <t>GROSS WEIGHT/BOX</t>
  </si>
  <si>
    <t>CARTON</t>
  </si>
  <si>
    <t>QNT/CONTAINER</t>
  </si>
  <si>
    <t>PRODUCTION LOCATION</t>
  </si>
  <si>
    <t>PORT OF LOADING</t>
  </si>
  <si>
    <t>ORDER QNT</t>
  </si>
  <si>
    <t>REMARKS</t>
  </si>
  <si>
    <t>BOX SIZE IN CM</t>
  </si>
  <si>
    <t>QNT/ BOX</t>
  </si>
  <si>
    <t>L</t>
  </si>
  <si>
    <t>W</t>
  </si>
  <si>
    <t>H</t>
  </si>
  <si>
    <t>20</t>
  </si>
  <si>
    <t>40</t>
  </si>
  <si>
    <t>40HC</t>
  </si>
  <si>
    <t>MAIN MATERIAL</t>
  </si>
  <si>
    <t>FRAME</t>
  </si>
  <si>
    <t>TYPE MATERIAL</t>
  </si>
  <si>
    <t>CUSHION</t>
  </si>
  <si>
    <t>TOTAL AMOUNT</t>
  </si>
  <si>
    <t>ORDER QNT / 40HC</t>
  </si>
  <si>
    <t>PRICE IN</t>
  </si>
  <si>
    <t>SETS 40'
HC</t>
  </si>
  <si>
    <t>Total</t>
  </si>
  <si>
    <t>Sub Total</t>
  </si>
  <si>
    <t>CATALOG NO</t>
  </si>
  <si>
    <t>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</si>
</sst>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(* #,##0.00_);_(* \(#,##0.00\);_(* &quot;-&quot;??_);_(@_)"/>
    <numFmt numFmtId="165" formatCode="_-* #,##0\ _B_F_-;\-* #,##0\ _B_F_-;_-* &quot;-&quot;\ _B_F_-;_-@_-"/>
    <numFmt numFmtId="166" formatCode="_-* #,##0.00_-;_-* #,##0.00\-;_-* &quot;-&quot;??_-;_-@_-"/>
    <numFmt numFmtId="167" formatCode="_(* #,##0_);_(* \(#,##0\);_(* &quot;-&quot;??_);_(@_)"/>
    <numFmt numFmtId="168" formatCode="0.0"/>
    <numFmt numFmtId="169" formatCode="[$$-409]#,##0.00_ ;\-[$$-409]#,##0.00\ "/>
    <numFmt numFmtId="170" formatCode="&quot;$&quot;#,##0.00"/>
    <numFmt numFmtId="171" formatCode="_-* #,##0\ _B_F_-;\-* #,##0\ _B_F_-;_-* &quot;- &quot;_B_F_-;_-@_-"/>
    <numFmt numFmtId="172" formatCode="[$$-1009]#,##0.00"/>
    <numFmt numFmtId="173" formatCode="[$€-413]\ #,##0.00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VNI-Times"/>
    </font>
    <font>
      <b/>
      <sz val="18"/>
      <name val="Verdana"/>
      <family val="2"/>
    </font>
    <font>
      <sz val="18"/>
      <name val="Verdana"/>
      <family val="2"/>
    </font>
    <font>
      <sz val="18"/>
      <color indexed="8"/>
      <name val="Calibri"/>
      <family val="2"/>
    </font>
    <font>
      <b/>
      <sz val="18"/>
      <color theme="0"/>
      <name val="Verdana"/>
      <family val="2"/>
    </font>
    <font>
      <b/>
      <sz val="18"/>
      <name val="VNI-Times"/>
    </font>
    <font>
      <sz val="18"/>
      <name val="VNI-Times"/>
    </font>
    <font>
      <sz val="18"/>
      <name val="Verdana"/>
      <family val="2"/>
      <charset val="16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2" fillId="0" borderId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1" fillId="0" borderId="0"/>
    <xf numFmtId="0" fontId="3" fillId="0" borderId="0"/>
  </cellStyleXfs>
  <cellXfs count="225">
    <xf numFmtId="0" fontId="0" fillId="0" borderId="0" xfId="0"/>
    <xf numFmtId="0" fontId="5" fillId="2" borderId="0" xfId="1" applyFont="1" applyFill="1" applyBorder="1" applyAlignment="1">
      <alignment horizontal="left" wrapText="1"/>
    </xf>
    <xf numFmtId="0" fontId="6" fillId="2" borderId="0" xfId="1" applyFont="1" applyFill="1" applyBorder="1" applyAlignment="1">
      <alignment horizontal="left" vertical="center" wrapText="1"/>
    </xf>
    <xf numFmtId="0" fontId="7" fillId="2" borderId="0" xfId="1" applyFont="1" applyFill="1" applyBorder="1" applyAlignment="1">
      <alignment horizontal="left" vertical="center" wrapText="1"/>
    </xf>
    <xf numFmtId="0" fontId="6" fillId="2" borderId="0" xfId="1" applyFont="1" applyFill="1" applyBorder="1" applyAlignment="1">
      <alignment horizontal="left" wrapText="1"/>
    </xf>
    <xf numFmtId="0" fontId="6" fillId="2" borderId="0" xfId="1" applyFont="1" applyFill="1" applyBorder="1" applyAlignment="1">
      <alignment horizontal="center" vertical="center" wrapText="1"/>
    </xf>
    <xf numFmtId="0" fontId="6" fillId="2" borderId="0" xfId="1" applyFont="1" applyFill="1" applyAlignment="1">
      <alignment wrapText="1"/>
    </xf>
    <xf numFmtId="0" fontId="6" fillId="2" borderId="0" xfId="1" applyFont="1" applyFill="1" applyBorder="1" applyAlignment="1">
      <alignment horizontal="center" wrapText="1"/>
    </xf>
    <xf numFmtId="0" fontId="6" fillId="2" borderId="0" xfId="1" applyFont="1" applyFill="1" applyBorder="1" applyAlignment="1">
      <alignment horizontal="right" vertical="center" wrapText="1"/>
    </xf>
    <xf numFmtId="0" fontId="5" fillId="0" borderId="31" xfId="1" applyFont="1" applyBorder="1" applyAlignment="1">
      <alignment horizontal="left" vertical="center" wrapText="1"/>
    </xf>
    <xf numFmtId="49" fontId="5" fillId="0" borderId="33" xfId="1" applyNumberFormat="1" applyFont="1" applyBorder="1" applyAlignment="1">
      <alignment horizontal="center" vertical="center" wrapText="1"/>
    </xf>
    <xf numFmtId="49" fontId="5" fillId="0" borderId="33" xfId="1" applyNumberFormat="1" applyFont="1" applyBorder="1" applyAlignment="1">
      <alignment vertical="center" wrapText="1"/>
    </xf>
    <xf numFmtId="0" fontId="6" fillId="0" borderId="35" xfId="1" applyFont="1" applyBorder="1" applyAlignment="1">
      <alignment horizontal="center" vertical="center" wrapText="1"/>
    </xf>
    <xf numFmtId="0" fontId="6" fillId="0" borderId="33" xfId="1" applyFont="1" applyBorder="1" applyAlignment="1">
      <alignment horizontal="center" vertical="center" wrapText="1"/>
    </xf>
    <xf numFmtId="49" fontId="5" fillId="0" borderId="45" xfId="1" applyNumberFormat="1" applyFont="1" applyBorder="1" applyAlignment="1">
      <alignment horizontal="center" vertical="center" wrapText="1"/>
    </xf>
    <xf numFmtId="165" fontId="5" fillId="4" borderId="43" xfId="2" applyFont="1" applyFill="1" applyBorder="1" applyAlignment="1">
      <alignment horizontal="center" vertical="center" wrapText="1"/>
    </xf>
    <xf numFmtId="0" fontId="7" fillId="0" borderId="0" xfId="1" applyFont="1"/>
    <xf numFmtId="173" fontId="7" fillId="0" borderId="0" xfId="1" applyNumberFormat="1" applyFont="1"/>
    <xf numFmtId="165" fontId="5" fillId="4" borderId="44" xfId="2" applyFont="1" applyFill="1" applyBorder="1" applyAlignment="1">
      <alignment horizontal="center" vertical="center"/>
    </xf>
    <xf numFmtId="167" fontId="5" fillId="4" borderId="43" xfId="3" applyNumberFormat="1" applyFont="1" applyFill="1" applyBorder="1" applyAlignment="1">
      <alignment horizontal="center" vertical="center" wrapText="1"/>
    </xf>
    <xf numFmtId="168" fontId="5" fillId="4" borderId="43" xfId="2" applyNumberFormat="1" applyFont="1" applyFill="1" applyBorder="1" applyAlignment="1">
      <alignment horizontal="center" vertical="center" wrapText="1"/>
    </xf>
    <xf numFmtId="0" fontId="5" fillId="4" borderId="43" xfId="2" quotePrefix="1" applyNumberFormat="1" applyFont="1" applyFill="1" applyBorder="1" applyAlignment="1">
      <alignment horizontal="center" vertical="center" wrapText="1"/>
    </xf>
    <xf numFmtId="49" fontId="6" fillId="0" borderId="37" xfId="4" applyNumberFormat="1" applyFont="1" applyFill="1" applyBorder="1" applyAlignment="1">
      <alignment horizontal="center" vertical="center" wrapText="1"/>
    </xf>
    <xf numFmtId="0" fontId="6" fillId="0" borderId="43" xfId="4" applyNumberFormat="1" applyFont="1" applyFill="1" applyBorder="1" applyAlignment="1">
      <alignment horizontal="center" vertical="center" wrapText="1"/>
    </xf>
    <xf numFmtId="49" fontId="6" fillId="0" borderId="43" xfId="4" applyNumberFormat="1" applyFont="1" applyFill="1" applyBorder="1" applyAlignment="1">
      <alignment horizontal="center" vertical="center" wrapText="1"/>
    </xf>
    <xf numFmtId="4" fontId="6" fillId="0" borderId="43" xfId="4" applyNumberFormat="1" applyFont="1" applyFill="1" applyBorder="1" applyAlignment="1">
      <alignment horizontal="center" vertical="center" wrapText="1"/>
    </xf>
    <xf numFmtId="0" fontId="6" fillId="0" borderId="43" xfId="4" applyNumberFormat="1" applyFont="1" applyFill="1" applyBorder="1" applyAlignment="1">
      <alignment horizontal="right" vertical="center" wrapText="1"/>
    </xf>
    <xf numFmtId="49" fontId="6" fillId="0" borderId="36" xfId="4" applyNumberFormat="1" applyFont="1" applyFill="1" applyBorder="1" applyAlignment="1">
      <alignment horizontal="center" vertical="center" wrapText="1"/>
    </xf>
    <xf numFmtId="0" fontId="6" fillId="0" borderId="37" xfId="0" applyNumberFormat="1" applyFont="1" applyFill="1" applyBorder="1" applyAlignment="1">
      <alignment horizontal="center" vertical="center" wrapText="1"/>
    </xf>
    <xf numFmtId="0" fontId="6" fillId="0" borderId="43" xfId="0" applyNumberFormat="1" applyFont="1" applyFill="1" applyBorder="1" applyAlignment="1">
      <alignment horizontal="center" vertical="center" wrapText="1"/>
    </xf>
    <xf numFmtId="0" fontId="6" fillId="0" borderId="43" xfId="0" applyNumberFormat="1" applyFont="1" applyFill="1" applyBorder="1" applyAlignment="1">
      <alignment horizontal="right" vertical="center" wrapText="1"/>
    </xf>
    <xf numFmtId="0" fontId="6" fillId="0" borderId="36" xfId="0" applyNumberFormat="1" applyFont="1" applyFill="1" applyBorder="1" applyAlignment="1">
      <alignment horizontal="center" vertical="center" wrapText="1"/>
    </xf>
    <xf numFmtId="0" fontId="6" fillId="0" borderId="10" xfId="1" applyFont="1" applyBorder="1" applyAlignment="1">
      <alignment horizontal="center"/>
    </xf>
    <xf numFmtId="0" fontId="6" fillId="0" borderId="0" xfId="1" applyFont="1" applyBorder="1" applyAlignment="1">
      <alignment horizontal="center"/>
    </xf>
    <xf numFmtId="0" fontId="6" fillId="0" borderId="0" xfId="1" applyFont="1" applyBorder="1"/>
    <xf numFmtId="0" fontId="6" fillId="0" borderId="0" xfId="1" applyFont="1"/>
    <xf numFmtId="0" fontId="6" fillId="0" borderId="0" xfId="1" applyFont="1" applyBorder="1" applyAlignment="1">
      <alignment horizontal="center" vertical="center"/>
    </xf>
    <xf numFmtId="49" fontId="5" fillId="0" borderId="0" xfId="1" applyNumberFormat="1" applyFont="1" applyBorder="1" applyAlignment="1">
      <alignment horizontal="center" vertical="center" wrapText="1"/>
    </xf>
    <xf numFmtId="0" fontId="6" fillId="0" borderId="0" xfId="1" applyFont="1" applyBorder="1" applyAlignment="1">
      <alignment horizontal="left" vertical="center" wrapText="1"/>
    </xf>
    <xf numFmtId="0" fontId="6" fillId="2" borderId="0" xfId="1" applyFont="1" applyFill="1" applyBorder="1" applyAlignment="1">
      <alignment wrapText="1"/>
    </xf>
    <xf numFmtId="0" fontId="6" fillId="0" borderId="6" xfId="1" applyFont="1" applyBorder="1" applyAlignment="1">
      <alignment horizontal="left" vertical="center" wrapText="1"/>
    </xf>
    <xf numFmtId="49" fontId="6" fillId="0" borderId="6" xfId="1" applyNumberFormat="1" applyFont="1" applyBorder="1" applyAlignment="1">
      <alignment horizontal="left" vertical="center" wrapText="1"/>
    </xf>
    <xf numFmtId="49" fontId="6" fillId="0" borderId="0" xfId="1" applyNumberFormat="1" applyFont="1" applyBorder="1" applyAlignment="1">
      <alignment horizontal="left" vertical="center" wrapText="1"/>
    </xf>
    <xf numFmtId="49" fontId="6" fillId="0" borderId="0" xfId="1" applyNumberFormat="1" applyFont="1" applyBorder="1" applyAlignment="1">
      <alignment horizontal="right" vertical="center" wrapText="1"/>
    </xf>
    <xf numFmtId="0" fontId="5" fillId="2" borderId="13" xfId="1" applyFont="1" applyFill="1" applyBorder="1" applyAlignment="1">
      <alignment horizontal="center" vertical="center" wrapText="1"/>
    </xf>
    <xf numFmtId="0" fontId="11" fillId="0" borderId="13" xfId="4" applyNumberFormat="1" applyFont="1" applyFill="1" applyBorder="1" applyAlignment="1">
      <alignment horizontal="right" vertical="center" wrapText="1"/>
    </xf>
    <xf numFmtId="4" fontId="11" fillId="0" borderId="13" xfId="4" applyNumberFormat="1" applyFont="1" applyFill="1" applyBorder="1" applyAlignment="1">
      <alignment horizontal="right" vertical="center" wrapText="1"/>
    </xf>
    <xf numFmtId="49" fontId="6" fillId="0" borderId="13" xfId="1" applyNumberFormat="1" applyFont="1" applyBorder="1" applyAlignment="1">
      <alignment horizontal="right" vertical="center" wrapText="1"/>
    </xf>
    <xf numFmtId="172" fontId="11" fillId="0" borderId="13" xfId="4" applyNumberFormat="1" applyFont="1" applyFill="1" applyBorder="1" applyAlignment="1">
      <alignment horizontal="right" vertical="center" wrapText="1"/>
    </xf>
    <xf numFmtId="49" fontId="6" fillId="0" borderId="13" xfId="1" applyNumberFormat="1" applyFont="1" applyBorder="1" applyAlignment="1">
      <alignment horizontal="left" vertical="center" wrapText="1"/>
    </xf>
    <xf numFmtId="0" fontId="5" fillId="2" borderId="0" xfId="1" applyFont="1" applyFill="1" applyBorder="1" applyAlignment="1">
      <alignment vertical="center" wrapText="1"/>
    </xf>
    <xf numFmtId="0" fontId="6" fillId="2" borderId="0" xfId="1" applyFont="1" applyFill="1" applyBorder="1" applyAlignment="1">
      <alignment vertical="center" wrapText="1"/>
    </xf>
    <xf numFmtId="0" fontId="6" fillId="2" borderId="0" xfId="1" applyFont="1" applyFill="1" applyAlignment="1">
      <alignment horizontal="right" vertical="center" wrapText="1"/>
    </xf>
    <xf numFmtId="0" fontId="6" fillId="0" borderId="0" xfId="1" applyNumberFormat="1" applyFont="1" applyFill="1" applyAlignment="1">
      <alignment horizontal="center" vertical="center"/>
    </xf>
    <xf numFmtId="173" fontId="6" fillId="0" borderId="0" xfId="1" applyNumberFormat="1" applyFont="1" applyFill="1" applyAlignment="1">
      <alignment horizontal="center" vertical="center"/>
    </xf>
    <xf numFmtId="0" fontId="7" fillId="0" borderId="0" xfId="1" applyFont="1" applyAlignment="1">
      <alignment horizontal="right" vertical="center"/>
    </xf>
    <xf numFmtId="170" fontId="7" fillId="0" borderId="0" xfId="1" applyNumberFormat="1" applyFont="1"/>
    <xf numFmtId="1" fontId="8" fillId="0" borderId="0" xfId="1" applyNumberFormat="1" applyFont="1" applyFill="1" applyBorder="1" applyAlignment="1">
      <alignment horizontal="center" vertical="center"/>
    </xf>
    <xf numFmtId="169" fontId="8" fillId="0" borderId="0" xfId="1" applyNumberFormat="1" applyFont="1" applyFill="1" applyBorder="1" applyAlignment="1">
      <alignment horizontal="right" vertical="center"/>
    </xf>
    <xf numFmtId="10" fontId="8" fillId="0" borderId="0" xfId="1" applyNumberFormat="1" applyFont="1" applyFill="1" applyBorder="1" applyAlignment="1">
      <alignment horizontal="center" vertical="center" wrapText="1"/>
    </xf>
    <xf numFmtId="0" fontId="7" fillId="0" borderId="0" xfId="1" applyNumberFormat="1" applyFont="1"/>
    <xf numFmtId="49" fontId="6" fillId="0" borderId="11" xfId="1" applyNumberFormat="1" applyFont="1" applyBorder="1" applyAlignment="1">
      <alignment horizontal="center" vertical="top" wrapText="1"/>
    </xf>
    <xf numFmtId="49" fontId="6" fillId="0" borderId="0" xfId="1" applyNumberFormat="1" applyFont="1" applyBorder="1" applyAlignment="1">
      <alignment horizontal="center" vertical="top" wrapText="1"/>
    </xf>
    <xf numFmtId="49" fontId="6" fillId="0" borderId="12" xfId="1" applyNumberFormat="1" applyFont="1" applyBorder="1" applyAlignment="1">
      <alignment horizontal="center" vertical="top" wrapText="1"/>
    </xf>
    <xf numFmtId="49" fontId="6" fillId="0" borderId="21" xfId="1" applyNumberFormat="1" applyFont="1" applyBorder="1" applyAlignment="1">
      <alignment horizontal="center" vertical="top" wrapText="1"/>
    </xf>
    <xf numFmtId="49" fontId="6" fillId="0" borderId="22" xfId="1" applyNumberFormat="1" applyFont="1" applyBorder="1" applyAlignment="1">
      <alignment horizontal="center" vertical="top" wrapText="1"/>
    </xf>
    <xf numFmtId="49" fontId="6" fillId="0" borderId="23" xfId="1" applyNumberFormat="1" applyFont="1" applyBorder="1" applyAlignment="1">
      <alignment horizontal="center" vertical="top" wrapText="1"/>
    </xf>
    <xf numFmtId="0" fontId="5" fillId="0" borderId="1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left" vertical="center" wrapText="1"/>
    </xf>
    <xf numFmtId="0" fontId="5" fillId="0" borderId="3" xfId="1" applyFont="1" applyBorder="1" applyAlignment="1">
      <alignment horizontal="left" vertical="center" wrapText="1"/>
    </xf>
    <xf numFmtId="0" fontId="6" fillId="2" borderId="1" xfId="1" applyFont="1" applyFill="1" applyBorder="1" applyAlignment="1">
      <alignment horizontal="center" wrapText="1"/>
    </xf>
    <xf numFmtId="0" fontId="6" fillId="2" borderId="2" xfId="1" applyFont="1" applyFill="1" applyBorder="1" applyAlignment="1">
      <alignment horizontal="center" wrapText="1"/>
    </xf>
    <xf numFmtId="0" fontId="6" fillId="2" borderId="9" xfId="1" applyFont="1" applyFill="1" applyBorder="1" applyAlignment="1">
      <alignment horizontal="center" wrapText="1"/>
    </xf>
    <xf numFmtId="0" fontId="6" fillId="2" borderId="11" xfId="1" applyFont="1" applyFill="1" applyBorder="1" applyAlignment="1">
      <alignment horizontal="center" wrapText="1"/>
    </xf>
    <xf numFmtId="0" fontId="6" fillId="2" borderId="0" xfId="1" applyFont="1" applyFill="1" applyBorder="1" applyAlignment="1">
      <alignment horizontal="center" wrapText="1"/>
    </xf>
    <xf numFmtId="0" fontId="6" fillId="2" borderId="20" xfId="1" applyFont="1" applyFill="1" applyBorder="1" applyAlignment="1">
      <alignment horizontal="center" wrapText="1"/>
    </xf>
    <xf numFmtId="0" fontId="6" fillId="2" borderId="22" xfId="1" applyFont="1" applyFill="1" applyBorder="1" applyAlignment="1">
      <alignment horizontal="center" wrapText="1"/>
    </xf>
    <xf numFmtId="0" fontId="6" fillId="2" borderId="29" xfId="1" applyFont="1" applyFill="1" applyBorder="1" applyAlignment="1">
      <alignment horizontal="center" wrapText="1"/>
    </xf>
    <xf numFmtId="0" fontId="6" fillId="0" borderId="13" xfId="1" applyFont="1" applyBorder="1" applyAlignment="1">
      <alignment horizontal="left" vertical="center" wrapText="1"/>
    </xf>
    <xf numFmtId="0" fontId="7" fillId="0" borderId="13" xfId="1" applyFont="1" applyBorder="1" applyAlignment="1">
      <alignment horizontal="left" vertical="center" wrapText="1"/>
    </xf>
    <xf numFmtId="49" fontId="5" fillId="0" borderId="14" xfId="1" applyNumberFormat="1" applyFont="1" applyBorder="1" applyAlignment="1" applyProtection="1">
      <alignment horizontal="left" vertical="center" wrapText="1"/>
      <protection locked="0"/>
    </xf>
    <xf numFmtId="49" fontId="5" fillId="0" borderId="15" xfId="1" applyNumberFormat="1" applyFont="1" applyBorder="1" applyAlignment="1" applyProtection="1">
      <alignment horizontal="left" vertical="center" wrapText="1"/>
      <protection locked="0"/>
    </xf>
    <xf numFmtId="0" fontId="6" fillId="0" borderId="16" xfId="1" applyFont="1" applyBorder="1" applyAlignment="1">
      <alignment horizontal="left" vertical="center" wrapText="1"/>
    </xf>
    <xf numFmtId="0" fontId="6" fillId="0" borderId="17" xfId="1" applyFont="1" applyBorder="1" applyAlignment="1">
      <alignment horizontal="left" vertical="center" wrapText="1"/>
    </xf>
    <xf numFmtId="0" fontId="6" fillId="0" borderId="19" xfId="1" applyFont="1" applyBorder="1" applyAlignment="1">
      <alignment horizontal="left" vertical="center" wrapText="1"/>
    </xf>
    <xf numFmtId="49" fontId="5" fillId="0" borderId="16" xfId="1" applyNumberFormat="1" applyFont="1" applyBorder="1" applyAlignment="1">
      <alignment horizontal="left" vertical="center" wrapText="1"/>
    </xf>
    <xf numFmtId="49" fontId="5" fillId="0" borderId="17" xfId="1" applyNumberFormat="1" applyFont="1" applyBorder="1" applyAlignment="1">
      <alignment horizontal="left" vertical="center" wrapText="1"/>
    </xf>
    <xf numFmtId="49" fontId="5" fillId="0" borderId="19" xfId="1" applyNumberFormat="1" applyFont="1" applyBorder="1" applyAlignment="1">
      <alignment horizontal="left" vertical="center" wrapText="1"/>
    </xf>
    <xf numFmtId="0" fontId="6" fillId="0" borderId="4" xfId="1" applyFont="1" applyBorder="1" applyAlignment="1">
      <alignment horizontal="left" vertical="center" wrapText="1"/>
    </xf>
    <xf numFmtId="49" fontId="5" fillId="0" borderId="4" xfId="1" applyNumberFormat="1" applyFont="1" applyBorder="1" applyAlignment="1" applyProtection="1">
      <alignment horizontal="left" vertical="center" wrapText="1"/>
      <protection locked="0"/>
    </xf>
    <xf numFmtId="0" fontId="6" fillId="0" borderId="5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6" fillId="0" borderId="7" xfId="1" applyFont="1" applyBorder="1" applyAlignment="1">
      <alignment horizontal="left" vertical="center" wrapText="1"/>
    </xf>
    <xf numFmtId="0" fontId="5" fillId="0" borderId="11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5" fillId="0" borderId="12" xfId="1" applyFont="1" applyBorder="1" applyAlignment="1">
      <alignment horizontal="left" vertical="center" wrapText="1"/>
    </xf>
    <xf numFmtId="0" fontId="5" fillId="0" borderId="21" xfId="1" applyFont="1" applyBorder="1" applyAlignment="1">
      <alignment horizontal="left" vertical="center" wrapText="1"/>
    </xf>
    <xf numFmtId="0" fontId="5" fillId="0" borderId="22" xfId="1" applyFont="1" applyBorder="1" applyAlignment="1">
      <alignment horizontal="left" vertical="center" wrapText="1"/>
    </xf>
    <xf numFmtId="0" fontId="5" fillId="0" borderId="23" xfId="1" applyFont="1" applyBorder="1" applyAlignment="1">
      <alignment horizontal="left" vertical="center" wrapText="1"/>
    </xf>
    <xf numFmtId="0" fontId="6" fillId="0" borderId="8" xfId="1" applyFont="1" applyBorder="1" applyAlignment="1">
      <alignment horizontal="left" vertical="center" wrapText="1"/>
    </xf>
    <xf numFmtId="49" fontId="5" fillId="0" borderId="18" xfId="1" applyNumberFormat="1" applyFont="1" applyBorder="1" applyAlignment="1">
      <alignment horizontal="left" vertical="center" wrapText="1"/>
    </xf>
    <xf numFmtId="49" fontId="5" fillId="0" borderId="5" xfId="1" applyNumberFormat="1" applyFont="1" applyBorder="1" applyAlignment="1">
      <alignment horizontal="left" vertical="center" wrapText="1"/>
    </xf>
    <xf numFmtId="49" fontId="5" fillId="0" borderId="6" xfId="1" applyNumberFormat="1" applyFont="1" applyBorder="1" applyAlignment="1">
      <alignment horizontal="left" vertical="center" wrapText="1"/>
    </xf>
    <xf numFmtId="49" fontId="5" fillId="0" borderId="8" xfId="1" applyNumberFormat="1" applyFont="1" applyBorder="1" applyAlignment="1">
      <alignment horizontal="left" vertical="center" wrapText="1"/>
    </xf>
    <xf numFmtId="49" fontId="5" fillId="0" borderId="7" xfId="1" applyNumberFormat="1" applyFont="1" applyBorder="1" applyAlignment="1">
      <alignment horizontal="left" vertical="center" wrapText="1"/>
    </xf>
    <xf numFmtId="0" fontId="6" fillId="2" borderId="13" xfId="1" applyFont="1" applyFill="1" applyBorder="1" applyAlignment="1">
      <alignment horizontal="left" vertical="center" wrapText="1"/>
    </xf>
    <xf numFmtId="0" fontId="5" fillId="0" borderId="16" xfId="1" applyNumberFormat="1" applyFont="1" applyBorder="1" applyAlignment="1">
      <alignment horizontal="left" vertical="center" wrapText="1"/>
    </xf>
    <xf numFmtId="0" fontId="5" fillId="0" borderId="17" xfId="1" applyNumberFormat="1" applyFont="1" applyBorder="1" applyAlignment="1">
      <alignment horizontal="left" vertical="center" wrapText="1"/>
    </xf>
    <xf numFmtId="0" fontId="5" fillId="0" borderId="18" xfId="1" applyNumberFormat="1" applyFont="1" applyBorder="1" applyAlignment="1">
      <alignment horizontal="left" vertical="center" wrapText="1"/>
    </xf>
    <xf numFmtId="0" fontId="6" fillId="0" borderId="24" xfId="1" applyFont="1" applyBorder="1" applyAlignment="1">
      <alignment horizontal="left" vertical="center" wrapText="1"/>
    </xf>
    <xf numFmtId="49" fontId="5" fillId="0" borderId="25" xfId="1" applyNumberFormat="1" applyFont="1" applyBorder="1" applyAlignment="1" applyProtection="1">
      <alignment horizontal="left" vertical="center" wrapText="1"/>
      <protection locked="0"/>
    </xf>
    <xf numFmtId="49" fontId="5" fillId="0" borderId="23" xfId="1" applyNumberFormat="1" applyFont="1" applyBorder="1" applyAlignment="1" applyProtection="1">
      <alignment horizontal="left" vertical="center" wrapText="1"/>
      <protection locked="0"/>
    </xf>
    <xf numFmtId="0" fontId="6" fillId="0" borderId="26" xfId="1" applyFont="1" applyBorder="1" applyAlignment="1">
      <alignment horizontal="left" vertical="center" wrapText="1"/>
    </xf>
    <xf numFmtId="0" fontId="6" fillId="0" borderId="27" xfId="1" applyFont="1" applyBorder="1" applyAlignment="1">
      <alignment horizontal="left" vertical="center" wrapText="1"/>
    </xf>
    <xf numFmtId="0" fontId="6" fillId="0" borderId="28" xfId="1" applyFont="1" applyBorder="1" applyAlignment="1">
      <alignment horizontal="left" vertical="center" wrapText="1"/>
    </xf>
    <xf numFmtId="49" fontId="5" fillId="0" borderId="26" xfId="1" applyNumberFormat="1" applyFont="1" applyBorder="1" applyAlignment="1">
      <alignment horizontal="left" vertical="center" wrapText="1"/>
    </xf>
    <xf numFmtId="49" fontId="5" fillId="0" borderId="27" xfId="1" applyNumberFormat="1" applyFont="1" applyBorder="1" applyAlignment="1">
      <alignment horizontal="left" vertical="center" wrapText="1"/>
    </xf>
    <xf numFmtId="0" fontId="8" fillId="3" borderId="24" xfId="1" applyFont="1" applyFill="1" applyBorder="1" applyAlignment="1">
      <alignment horizontal="left" vertical="center" wrapText="1"/>
    </xf>
    <xf numFmtId="49" fontId="8" fillId="3" borderId="25" xfId="1" applyNumberFormat="1" applyFont="1" applyFill="1" applyBorder="1" applyAlignment="1">
      <alignment horizontal="left" vertical="center" wrapText="1"/>
    </xf>
    <xf numFmtId="49" fontId="8" fillId="3" borderId="22" xfId="1" applyNumberFormat="1" applyFont="1" applyFill="1" applyBorder="1" applyAlignment="1">
      <alignment horizontal="left" vertical="center" wrapText="1"/>
    </xf>
    <xf numFmtId="49" fontId="8" fillId="3" borderId="29" xfId="1" applyNumberFormat="1" applyFont="1" applyFill="1" applyBorder="1" applyAlignment="1">
      <alignment horizontal="left" vertical="center" wrapText="1"/>
    </xf>
    <xf numFmtId="49" fontId="6" fillId="0" borderId="36" xfId="1" applyNumberFormat="1" applyFont="1" applyBorder="1" applyAlignment="1">
      <alignment horizontal="center" vertical="center" wrapText="1"/>
    </xf>
    <xf numFmtId="49" fontId="6" fillId="0" borderId="10" xfId="1" applyNumberFormat="1" applyFont="1" applyBorder="1" applyAlignment="1">
      <alignment horizontal="center" vertical="center" wrapText="1"/>
    </xf>
    <xf numFmtId="49" fontId="6" fillId="0" borderId="38" xfId="1" applyNumberFormat="1" applyFont="1" applyBorder="1" applyAlignment="1">
      <alignment horizontal="center" vertical="center" wrapText="1"/>
    </xf>
    <xf numFmtId="49" fontId="6" fillId="0" borderId="39" xfId="1" applyNumberFormat="1" applyFont="1" applyBorder="1" applyAlignment="1">
      <alignment horizontal="center" vertical="center" wrapText="1"/>
    </xf>
    <xf numFmtId="49" fontId="6" fillId="0" borderId="0" xfId="1" applyNumberFormat="1" applyFont="1" applyBorder="1" applyAlignment="1">
      <alignment horizontal="center" vertical="center" wrapText="1"/>
    </xf>
    <xf numFmtId="49" fontId="6" fillId="0" borderId="20" xfId="1" applyNumberFormat="1" applyFont="1" applyBorder="1" applyAlignment="1">
      <alignment horizontal="center" vertical="center" wrapText="1"/>
    </xf>
    <xf numFmtId="49" fontId="6" fillId="0" borderId="25" xfId="1" applyNumberFormat="1" applyFont="1" applyBorder="1" applyAlignment="1">
      <alignment horizontal="center" vertical="center" wrapText="1"/>
    </xf>
    <xf numFmtId="49" fontId="6" fillId="0" borderId="22" xfId="1" applyNumberFormat="1" applyFont="1" applyBorder="1" applyAlignment="1">
      <alignment horizontal="center" vertical="center" wrapText="1"/>
    </xf>
    <xf numFmtId="49" fontId="6" fillId="0" borderId="29" xfId="1" applyNumberFormat="1" applyFont="1" applyBorder="1" applyAlignment="1">
      <alignment horizontal="center" vertical="center" wrapText="1"/>
    </xf>
    <xf numFmtId="0" fontId="5" fillId="0" borderId="30" xfId="1" applyFont="1" applyBorder="1" applyAlignment="1">
      <alignment horizontal="left" vertical="center" wrapText="1"/>
    </xf>
    <xf numFmtId="0" fontId="5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31" xfId="1" applyFont="1" applyBorder="1" applyAlignment="1">
      <alignment horizontal="left" vertical="center" wrapText="1"/>
    </xf>
    <xf numFmtId="0" fontId="5" fillId="0" borderId="4" xfId="1" applyFont="1" applyBorder="1" applyAlignment="1">
      <alignment horizontal="left" vertical="center" wrapText="1"/>
    </xf>
    <xf numFmtId="0" fontId="5" fillId="0" borderId="32" xfId="1" applyFont="1" applyBorder="1" applyAlignment="1">
      <alignment horizontal="left" vertical="center" wrapText="1"/>
    </xf>
    <xf numFmtId="0" fontId="5" fillId="0" borderId="33" xfId="1" applyFont="1" applyBorder="1" applyAlignment="1">
      <alignment horizontal="center" vertical="center" wrapText="1"/>
    </xf>
    <xf numFmtId="0" fontId="6" fillId="0" borderId="13" xfId="1" applyFont="1" applyBorder="1" applyAlignment="1">
      <alignment horizontal="left" vertical="top" wrapText="1"/>
    </xf>
    <xf numFmtId="49" fontId="6" fillId="0" borderId="16" xfId="1" applyNumberFormat="1" applyFont="1" applyBorder="1" applyAlignment="1">
      <alignment horizontal="left" vertical="center" wrapText="1"/>
    </xf>
    <xf numFmtId="49" fontId="7" fillId="0" borderId="18" xfId="1" applyNumberFormat="1" applyFont="1" applyBorder="1" applyAlignment="1">
      <alignment wrapText="1"/>
    </xf>
    <xf numFmtId="0" fontId="6" fillId="0" borderId="18" xfId="1" applyFont="1" applyBorder="1" applyAlignment="1">
      <alignment horizontal="left" vertical="center" wrapText="1"/>
    </xf>
    <xf numFmtId="0" fontId="6" fillId="0" borderId="34" xfId="1" applyFont="1" applyBorder="1" applyAlignment="1">
      <alignment horizontal="left" vertical="center" wrapText="1"/>
    </xf>
    <xf numFmtId="0" fontId="7" fillId="0" borderId="19" xfId="1" applyFont="1" applyBorder="1" applyAlignment="1">
      <alignment horizontal="left" vertical="center" wrapText="1"/>
    </xf>
    <xf numFmtId="49" fontId="6" fillId="0" borderId="13" xfId="1" applyNumberFormat="1" applyFont="1" applyBorder="1" applyAlignment="1">
      <alignment horizontal="left" vertical="center" wrapText="1"/>
    </xf>
    <xf numFmtId="49" fontId="6" fillId="0" borderId="34" xfId="1" applyNumberFormat="1" applyFont="1" applyBorder="1" applyAlignment="1">
      <alignment horizontal="left" vertical="center" wrapText="1"/>
    </xf>
    <xf numFmtId="49" fontId="5" fillId="0" borderId="33" xfId="1" applyNumberFormat="1" applyFont="1" applyBorder="1" applyAlignment="1">
      <alignment horizontal="center" vertical="center" wrapText="1"/>
    </xf>
    <xf numFmtId="0" fontId="6" fillId="0" borderId="36" xfId="1" applyFont="1" applyBorder="1" applyAlignment="1">
      <alignment horizontal="left" vertical="top" wrapText="1"/>
    </xf>
    <xf numFmtId="0" fontId="6" fillId="0" borderId="37" xfId="1" applyFont="1" applyBorder="1" applyAlignment="1">
      <alignment horizontal="left" vertical="top" wrapText="1"/>
    </xf>
    <xf numFmtId="0" fontId="6" fillId="0" borderId="39" xfId="1" applyFont="1" applyBorder="1" applyAlignment="1">
      <alignment horizontal="left" vertical="top" wrapText="1"/>
    </xf>
    <xf numFmtId="0" fontId="6" fillId="0" borderId="12" xfId="1" applyFont="1" applyBorder="1" applyAlignment="1">
      <alignment horizontal="left" vertical="top" wrapText="1"/>
    </xf>
    <xf numFmtId="0" fontId="6" fillId="0" borderId="14" xfId="1" applyFont="1" applyBorder="1" applyAlignment="1">
      <alignment horizontal="left" vertical="top" wrapText="1"/>
    </xf>
    <xf numFmtId="0" fontId="6" fillId="0" borderId="15" xfId="1" applyFont="1" applyBorder="1" applyAlignment="1">
      <alignment horizontal="left" vertical="top" wrapText="1"/>
    </xf>
    <xf numFmtId="49" fontId="5" fillId="0" borderId="45" xfId="1" applyNumberFormat="1" applyFont="1" applyBorder="1" applyAlignment="1">
      <alignment horizontal="center" vertical="center" wrapText="1"/>
    </xf>
    <xf numFmtId="0" fontId="6" fillId="0" borderId="36" xfId="1" applyFont="1" applyBorder="1" applyAlignment="1">
      <alignment horizontal="left" vertical="center" wrapText="1"/>
    </xf>
    <xf numFmtId="0" fontId="6" fillId="0" borderId="10" xfId="1" applyFont="1" applyBorder="1" applyAlignment="1">
      <alignment horizontal="left" vertical="center" wrapText="1"/>
    </xf>
    <xf numFmtId="0" fontId="6" fillId="0" borderId="38" xfId="1" applyFont="1" applyBorder="1" applyAlignment="1">
      <alignment horizontal="left" vertical="center" wrapText="1"/>
    </xf>
    <xf numFmtId="0" fontId="6" fillId="0" borderId="25" xfId="1" applyFont="1" applyBorder="1" applyAlignment="1">
      <alignment horizontal="left" vertical="center" wrapText="1"/>
    </xf>
    <xf numFmtId="0" fontId="6" fillId="0" borderId="22" xfId="1" applyFont="1" applyBorder="1" applyAlignment="1">
      <alignment horizontal="left" vertical="center" wrapText="1"/>
    </xf>
    <xf numFmtId="0" fontId="6" fillId="0" borderId="29" xfId="1" applyFont="1" applyBorder="1" applyAlignment="1">
      <alignment horizontal="left" vertical="center" wrapText="1"/>
    </xf>
    <xf numFmtId="49" fontId="6" fillId="0" borderId="36" xfId="1" applyNumberFormat="1" applyFont="1" applyBorder="1" applyAlignment="1">
      <alignment horizontal="left" vertical="center" wrapText="1"/>
    </xf>
    <xf numFmtId="49" fontId="6" fillId="0" borderId="10" xfId="1" applyNumberFormat="1" applyFont="1" applyBorder="1" applyAlignment="1">
      <alignment horizontal="left" vertical="center" wrapText="1"/>
    </xf>
    <xf numFmtId="49" fontId="6" fillId="0" borderId="38" xfId="1" applyNumberFormat="1" applyFont="1" applyBorder="1" applyAlignment="1">
      <alignment horizontal="left" vertical="center" wrapText="1"/>
    </xf>
    <xf numFmtId="49" fontId="6" fillId="0" borderId="25" xfId="1" applyNumberFormat="1" applyFont="1" applyBorder="1" applyAlignment="1">
      <alignment horizontal="left" vertical="center" wrapText="1"/>
    </xf>
    <xf numFmtId="49" fontId="6" fillId="0" borderId="22" xfId="1" applyNumberFormat="1" applyFont="1" applyBorder="1" applyAlignment="1">
      <alignment horizontal="left" vertical="center" wrapText="1"/>
    </xf>
    <xf numFmtId="49" fontId="6" fillId="0" borderId="29" xfId="1" applyNumberFormat="1" applyFont="1" applyBorder="1" applyAlignment="1">
      <alignment horizontal="left" vertical="center" wrapText="1"/>
    </xf>
    <xf numFmtId="0" fontId="6" fillId="0" borderId="46" xfId="1" applyFont="1" applyBorder="1" applyAlignment="1">
      <alignment horizontal="left" vertical="center" wrapText="1"/>
    </xf>
    <xf numFmtId="49" fontId="6" fillId="0" borderId="36" xfId="1" applyNumberFormat="1" applyFont="1" applyBorder="1" applyAlignment="1">
      <alignment horizontal="left" vertical="top" wrapText="1"/>
    </xf>
    <xf numFmtId="49" fontId="6" fillId="0" borderId="10" xfId="1" applyNumberFormat="1" applyFont="1" applyBorder="1" applyAlignment="1">
      <alignment horizontal="left" vertical="top" wrapText="1"/>
    </xf>
    <xf numFmtId="49" fontId="6" fillId="0" borderId="38" xfId="1" applyNumberFormat="1" applyFont="1" applyBorder="1" applyAlignment="1">
      <alignment horizontal="left" vertical="top" wrapText="1"/>
    </xf>
    <xf numFmtId="49" fontId="6" fillId="0" borderId="39" xfId="1" applyNumberFormat="1" applyFont="1" applyBorder="1" applyAlignment="1">
      <alignment horizontal="left" vertical="top" wrapText="1"/>
    </xf>
    <xf numFmtId="49" fontId="6" fillId="0" borderId="0" xfId="1" applyNumberFormat="1" applyFont="1" applyBorder="1" applyAlignment="1">
      <alignment horizontal="left" vertical="top" wrapText="1"/>
    </xf>
    <xf numFmtId="49" fontId="6" fillId="0" borderId="20" xfId="1" applyNumberFormat="1" applyFont="1" applyBorder="1" applyAlignment="1">
      <alignment horizontal="left" vertical="top" wrapText="1"/>
    </xf>
    <xf numFmtId="49" fontId="6" fillId="0" borderId="14" xfId="1" applyNumberFormat="1" applyFont="1" applyBorder="1" applyAlignment="1">
      <alignment horizontal="left" vertical="top" wrapText="1"/>
    </xf>
    <xf numFmtId="49" fontId="6" fillId="0" borderId="40" xfId="1" applyNumberFormat="1" applyFont="1" applyBorder="1" applyAlignment="1">
      <alignment horizontal="left" vertical="top" wrapText="1"/>
    </xf>
    <xf numFmtId="49" fontId="6" fillId="0" borderId="41" xfId="1" applyNumberFormat="1" applyFont="1" applyBorder="1" applyAlignment="1">
      <alignment horizontal="left" vertical="top" wrapText="1"/>
    </xf>
    <xf numFmtId="165" fontId="5" fillId="4" borderId="13" xfId="2" applyFont="1" applyFill="1" applyBorder="1" applyAlignment="1">
      <alignment horizontal="center" vertical="center" wrapText="1"/>
    </xf>
    <xf numFmtId="165" fontId="5" fillId="4" borderId="43" xfId="2" applyFont="1" applyFill="1" applyBorder="1" applyAlignment="1">
      <alignment horizontal="center" vertical="center" wrapText="1"/>
    </xf>
    <xf numFmtId="165" fontId="5" fillId="4" borderId="13" xfId="2" applyFont="1" applyFill="1" applyBorder="1" applyAlignment="1">
      <alignment horizontal="center" vertical="center" textRotation="90" wrapText="1"/>
    </xf>
    <xf numFmtId="165" fontId="5" fillId="4" borderId="43" xfId="2" applyFont="1" applyFill="1" applyBorder="1" applyAlignment="1">
      <alignment horizontal="center" vertical="center" textRotation="90" wrapText="1"/>
    </xf>
    <xf numFmtId="49" fontId="8" fillId="0" borderId="0" xfId="4" applyNumberFormat="1" applyFont="1" applyFill="1" applyBorder="1" applyAlignment="1">
      <alignment horizontal="center" vertical="center" wrapText="1"/>
    </xf>
    <xf numFmtId="0" fontId="8" fillId="0" borderId="0" xfId="1" applyNumberFormat="1" applyFont="1" applyFill="1" applyBorder="1" applyAlignment="1">
      <alignment horizontal="center" vertical="center"/>
    </xf>
    <xf numFmtId="0" fontId="5" fillId="4" borderId="13" xfId="2" applyNumberFormat="1" applyFont="1" applyFill="1" applyBorder="1" applyAlignment="1">
      <alignment horizontal="center" vertical="center" wrapText="1"/>
    </xf>
    <xf numFmtId="0" fontId="5" fillId="4" borderId="43" xfId="2" applyNumberFormat="1" applyFont="1" applyFill="1" applyBorder="1" applyAlignment="1">
      <alignment horizontal="center" vertical="center" wrapText="1"/>
    </xf>
    <xf numFmtId="165" fontId="9" fillId="4" borderId="13" xfId="2" applyFont="1" applyFill="1" applyBorder="1" applyAlignment="1">
      <alignment horizontal="center" vertical="center" wrapText="1"/>
    </xf>
    <xf numFmtId="165" fontId="9" fillId="4" borderId="43" xfId="2" applyFont="1" applyFill="1" applyBorder="1" applyAlignment="1">
      <alignment horizontal="center" vertical="center" wrapText="1"/>
    </xf>
    <xf numFmtId="0" fontId="6" fillId="0" borderId="16" xfId="1" applyNumberFormat="1" applyFont="1" applyBorder="1" applyAlignment="1">
      <alignment horizontal="center" vertical="center" wrapText="1"/>
    </xf>
    <xf numFmtId="0" fontId="6" fillId="0" borderId="17" xfId="1" applyNumberFormat="1" applyFont="1" applyBorder="1" applyAlignment="1">
      <alignment horizontal="center" vertical="center" wrapText="1"/>
    </xf>
    <xf numFmtId="0" fontId="6" fillId="0" borderId="18" xfId="1" applyNumberFormat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7" xfId="1" applyFont="1" applyBorder="1" applyAlignment="1">
      <alignment horizontal="center" vertical="center" wrapText="1"/>
    </xf>
    <xf numFmtId="165" fontId="5" fillId="5" borderId="13" xfId="2" applyFont="1" applyFill="1" applyBorder="1" applyAlignment="1">
      <alignment horizontal="center" vertical="center" wrapText="1"/>
    </xf>
    <xf numFmtId="165" fontId="10" fillId="5" borderId="13" xfId="2" applyFont="1" applyFill="1" applyBorder="1" applyAlignment="1">
      <alignment horizontal="center" vertical="center"/>
    </xf>
    <xf numFmtId="165" fontId="10" fillId="5" borderId="43" xfId="2" applyFont="1" applyFill="1" applyBorder="1" applyAlignment="1">
      <alignment horizontal="center" vertical="center"/>
    </xf>
    <xf numFmtId="165" fontId="10" fillId="4" borderId="13" xfId="2" applyFont="1" applyFill="1" applyBorder="1" applyAlignment="1">
      <alignment horizontal="center" vertical="center"/>
    </xf>
    <xf numFmtId="165" fontId="10" fillId="4" borderId="43" xfId="2" applyFont="1" applyFill="1" applyBorder="1" applyAlignment="1">
      <alignment horizontal="center" vertical="center"/>
    </xf>
    <xf numFmtId="167" fontId="5" fillId="4" borderId="13" xfId="3" applyNumberFormat="1" applyFont="1" applyFill="1" applyBorder="1" applyAlignment="1">
      <alignment horizontal="center" vertical="center" wrapText="1"/>
    </xf>
    <xf numFmtId="167" fontId="9" fillId="4" borderId="13" xfId="3" applyNumberFormat="1" applyFont="1" applyFill="1" applyBorder="1" applyAlignment="1">
      <alignment horizontal="center" wrapText="1"/>
    </xf>
    <xf numFmtId="2" fontId="5" fillId="4" borderId="13" xfId="2" applyNumberFormat="1" applyFont="1" applyFill="1" applyBorder="1" applyAlignment="1">
      <alignment horizontal="center" vertical="center" wrapText="1"/>
    </xf>
    <xf numFmtId="2" fontId="9" fillId="4" borderId="13" xfId="2" applyNumberFormat="1" applyFont="1" applyFill="1" applyBorder="1" applyAlignment="1">
      <alignment horizontal="center" vertical="center" wrapText="1"/>
    </xf>
    <xf numFmtId="2" fontId="9" fillId="4" borderId="43" xfId="2" applyNumberFormat="1" applyFont="1" applyFill="1" applyBorder="1" applyAlignment="1">
      <alignment horizontal="center" vertical="center" wrapText="1"/>
    </xf>
    <xf numFmtId="2" fontId="5" fillId="4" borderId="43" xfId="2" applyNumberFormat="1" applyFont="1" applyFill="1" applyBorder="1" applyAlignment="1">
      <alignment horizontal="center" vertical="center" wrapText="1"/>
    </xf>
    <xf numFmtId="0" fontId="9" fillId="4" borderId="13" xfId="2" applyNumberFormat="1" applyFont="1" applyFill="1" applyBorder="1" applyAlignment="1">
      <alignment horizontal="center" vertical="center" wrapText="1"/>
    </xf>
    <xf numFmtId="168" fontId="5" fillId="4" borderId="13" xfId="2" applyNumberFormat="1" applyFont="1" applyFill="1" applyBorder="1" applyAlignment="1">
      <alignment horizontal="center" vertical="center" wrapText="1"/>
    </xf>
    <xf numFmtId="165" fontId="5" fillId="4" borderId="44" xfId="2" applyFont="1" applyFill="1" applyBorder="1" applyAlignment="1">
      <alignment horizontal="center" vertical="center" wrapText="1"/>
    </xf>
    <xf numFmtId="165" fontId="5" fillId="4" borderId="47" xfId="2" applyFont="1" applyFill="1" applyBorder="1" applyAlignment="1">
      <alignment horizontal="center" vertical="center" wrapText="1"/>
    </xf>
    <xf numFmtId="0" fontId="5" fillId="0" borderId="33" xfId="1" applyFont="1" applyBorder="1" applyAlignment="1">
      <alignment horizontal="left" vertical="center" wrapText="1"/>
    </xf>
    <xf numFmtId="0" fontId="5" fillId="0" borderId="19" xfId="1" applyFont="1" applyBorder="1" applyAlignment="1">
      <alignment horizontal="left" vertical="center" wrapText="1"/>
    </xf>
    <xf numFmtId="0" fontId="5" fillId="0" borderId="13" xfId="1" applyFont="1" applyBorder="1" applyAlignment="1">
      <alignment horizontal="left" vertical="center" wrapText="1"/>
    </xf>
    <xf numFmtId="0" fontId="5" fillId="0" borderId="16" xfId="1" applyFont="1" applyBorder="1" applyAlignment="1">
      <alignment horizontal="left" vertical="center" wrapText="1"/>
    </xf>
    <xf numFmtId="0" fontId="5" fillId="0" borderId="34" xfId="1" applyFont="1" applyBorder="1" applyAlignment="1">
      <alignment horizontal="left" vertical="center" wrapText="1"/>
    </xf>
    <xf numFmtId="49" fontId="6" fillId="0" borderId="42" xfId="1" applyNumberFormat="1" applyFont="1" applyBorder="1" applyAlignment="1">
      <alignment horizontal="left" vertical="center" wrapText="1"/>
    </xf>
    <xf numFmtId="49" fontId="6" fillId="0" borderId="21" xfId="1" applyNumberFormat="1" applyFont="1" applyBorder="1" applyAlignment="1">
      <alignment horizontal="left" vertical="center" wrapText="1"/>
    </xf>
    <xf numFmtId="49" fontId="5" fillId="0" borderId="36" xfId="1" applyNumberFormat="1" applyFont="1" applyBorder="1" applyAlignment="1">
      <alignment horizontal="left" vertical="top" wrapText="1"/>
    </xf>
    <xf numFmtId="49" fontId="5" fillId="0" borderId="10" xfId="1" applyNumberFormat="1" applyFont="1" applyBorder="1" applyAlignment="1">
      <alignment horizontal="left" vertical="top" wrapText="1"/>
    </xf>
    <xf numFmtId="49" fontId="5" fillId="0" borderId="38" xfId="1" applyNumberFormat="1" applyFont="1" applyBorder="1" applyAlignment="1">
      <alignment horizontal="left" vertical="top" wrapText="1"/>
    </xf>
    <xf numFmtId="49" fontId="5" fillId="0" borderId="39" xfId="1" applyNumberFormat="1" applyFont="1" applyBorder="1" applyAlignment="1">
      <alignment horizontal="left" vertical="top" wrapText="1"/>
    </xf>
    <xf numFmtId="49" fontId="5" fillId="0" borderId="0" xfId="1" applyNumberFormat="1" applyFont="1" applyBorder="1" applyAlignment="1">
      <alignment horizontal="left" vertical="top" wrapText="1"/>
    </xf>
    <xf numFmtId="49" fontId="5" fillId="0" borderId="20" xfId="1" applyNumberFormat="1" applyFont="1" applyBorder="1" applyAlignment="1">
      <alignment horizontal="left" vertical="top" wrapText="1"/>
    </xf>
    <xf numFmtId="49" fontId="5" fillId="0" borderId="14" xfId="1" applyNumberFormat="1" applyFont="1" applyBorder="1" applyAlignment="1">
      <alignment horizontal="left" vertical="top" wrapText="1"/>
    </xf>
    <xf numFmtId="49" fontId="5" fillId="0" borderId="40" xfId="1" applyNumberFormat="1" applyFont="1" applyBorder="1" applyAlignment="1">
      <alignment horizontal="left" vertical="top" wrapText="1"/>
    </xf>
    <xf numFmtId="49" fontId="5" fillId="0" borderId="41" xfId="1" applyNumberFormat="1" applyFont="1" applyBorder="1" applyAlignment="1">
      <alignment horizontal="left" vertical="top" wrapText="1"/>
    </xf>
    <xf numFmtId="49" fontId="5" fillId="0" borderId="16" xfId="1" applyNumberFormat="1" applyFont="1" applyBorder="1" applyAlignment="1">
      <alignment horizontal="center" vertical="center" wrapText="1"/>
    </xf>
    <xf numFmtId="49" fontId="5" fillId="0" borderId="17" xfId="1" applyNumberFormat="1" applyFont="1" applyBorder="1" applyAlignment="1">
      <alignment horizontal="center" vertical="center" wrapText="1"/>
    </xf>
    <xf numFmtId="49" fontId="5" fillId="0" borderId="19" xfId="1" applyNumberFormat="1" applyFont="1" applyBorder="1" applyAlignment="1">
      <alignment horizontal="center" vertical="center" wrapText="1"/>
    </xf>
  </cellXfs>
  <cellStyles count="10">
    <cellStyle name="Comma 2" xfId="3"/>
    <cellStyle name="Comma 2 4" xfId="6"/>
    <cellStyle name="Excel Built-in Normal" xfId="7"/>
    <cellStyle name="Komma 2" xfId="5"/>
    <cellStyle name="Normal" xfId="0" builtinId="0"/>
    <cellStyle name="Normal 2 3" xfId="8"/>
    <cellStyle name="Standaard 2" xfId="1"/>
    <cellStyle name="Standaard 2 2" xfId="4"/>
    <cellStyle name="Standaard_STANDAARD LAY-OUT SAMPLES 2009" xfId="2"/>
    <cellStyle name="Style 1" xfId="9"/>
  </cellStyles>
  <dxfs count="1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indexed="8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font>
        <strike val="0"/>
        <outline val="0"/>
        <shadow val="0"/>
        <u val="none"/>
        <vertAlign val="baseline"/>
        <sz val="18"/>
        <color auto="1"/>
        <name val="Verdana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top/>
        <bottom/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PrintDataObject.xsd'">
  <Schema ID="Schema2" Namespace="http://tempuri.org/PrintDataObject.xsd">
    <xs:schema xmlns:mstns="http://tempuri.org/PrintDataObject.xsd" xmlns="http://tempuri.org/PrintDataObject.xsd" xmlns:xs="http://www.w3.org/2001/XMLSchema" xmlns:msdata="urn:schemas-microsoft-com:xml-msdata" id="PrintDataObject" targetNamespace="http://tempuri.org/PrintDataObject.xsd" attributeFormDefault="qualified" elementFormDefault="qualified">
      <xs:element name="PrintDataObject" msdata:IsDataSet="true" msdata:UseCurrentLocale="true">
        <xs:complexType>
          <xs:sequence>
            <xs:element name="OfferMng_PrintHeader_View">
              <xs:complexType>
                <xs:sequence>
                  <xs:element name="OfferID" type="xs:int"/>
                  <xs:element name="Logo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obil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r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ddres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LogoImagePath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imeNM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LDS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OD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ffer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Currenc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fferVersion" type="xs:int" minOccurs="0"/>
                  <xs:element name="ValidUntil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Forward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orwarderContactPers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actPersonPhon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orwarderContactPerson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ract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ForwarderFollowupByLogistics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Packag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abel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Directly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Sign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DP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LC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In20DC" type="xs:decimal" minOccurs="0"/>
                  <xs:element name="QntIn40DC" type="xs:decimal" minOccurs="0"/>
                  <xs:element name="QntIn40HC" type="xs:decimal" minOccurs="0"/>
                  <xs:element name="PartialQnt" type="xs:decimal" minOccurs="0"/>
                  <xs:element name="Qnt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</xs:sequence>
              </xs:complexType>
            </xs:element>
            <xs:element name="OfferMng_PrintDetail_View" minOccurs="0" maxOccurs="unbounded">
              <xs:complexType>
                <xs:sequence>
                  <xs:element name="OfferID" type="xs:int" minOccurs="0"/>
                  <xs:element name="FileLocation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llecti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taloguePageNumber" type="xs:int" minOccurs="0"/>
                  <xs:element name="Range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Thickness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bricWeight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verall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NetWeight" type="xs:decimal" minOccurs="0"/>
                  <xs:element name="CartonBox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QntInBox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GrossWeight" msdata:ReadOnly="true" type="xs:decimal" minOccurs="0"/>
                  <xs:element name="PackagingMeth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nt20DC" type="xs:int" minOccurs="0"/>
                  <xs:element name="Qnt40DC" type="xs:int" minOccurs="0"/>
                  <xs:element name="Qnt40HC" type="xs:int" minOccurs="0"/>
                  <xs:element name="Set40HC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oductionLocation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OL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uantity" type="xs:int" minOccurs="0"/>
                  <xs:element name="OrderedQntIn40HC" msdata:ReadOnly="true" type="xs:decimal" minOccurs="0"/>
                  <xs:element name="FinalPrice" type="xs:decimal" minOccurs="0"/>
                  <xs:element name="TotalAmount" msdata:ReadOnly="true" type="xs:decimal" minOccurs="0"/>
                  <xs:element name="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RowIndex" type="xs:int" minOccurs="0"/>
                </xs:sequence>
              </xs:complexType>
            </xs:element>
          </xs:sequence>
        </xs:complexType>
      </xs:element>
    </xs:schema>
  </Schema>
  <Map ID="12" Name="PrintDataObject_Map" RootElement="PrintDataObject" SchemaID="Schema2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48" name="Table48" displayName="Table48" ref="A22:AI23" tableType="xml" headerRowCount="0" insertRow="1" totalsRowCount="1" headerRowDxfId="110" dataDxfId="108" totalsRowDxfId="106" headerRowBorderDxfId="109" tableBorderDxfId="107" totalsRowBorderDxfId="105" headerRowCellStyle="Standaard 2 2" dataCellStyle="Standaard 2 2">
  <tableColumns count="35">
    <tableColumn id="1" uniqueName="ns2:Collection" name="ns1:CollectionName" headerRowDxfId="104" dataDxfId="103" totalsRowDxfId="102" dataCellStyle="Standaard 2 2">
      <xmlColumnPr mapId="12" xpath="/ns2:PrintDataObject/ns2:OfferMng_PrintDetail_View/ns2:Collection" xmlDataType="string"/>
    </tableColumn>
    <tableColumn id="2" uniqueName="ns2:CataloguePageNumber" name="ns1:CataloguePageNo" headerRowDxfId="101" dataDxfId="100" totalsRowDxfId="99" dataCellStyle="Standaard 2 2">
      <xmlColumnPr mapId="12" xpath="/ns2:PrintDataObject/ns2:OfferMng_PrintDetail_View/ns2:CataloguePageNumber" xmlDataType="int"/>
    </tableColumn>
    <tableColumn id="3" uniqueName="ns2:FileLocation" name="ns1:PicturePath" headerRowDxfId="98" dataDxfId="97" totalsRowDxfId="96" dataCellStyle="Standaard 2 2">
      <xmlColumnPr mapId="12" xpath="/ns2:PrintDataObject/ns2:OfferMng_PrintDetail_View/ns2:FileLocation" xmlDataType="string"/>
    </tableColumn>
    <tableColumn id="4" uniqueName="ns2:RangeName" name="ns1:RangeName" headerRowDxfId="95" dataDxfId="94" totalsRowDxfId="93" dataCellStyle="Standaard 2 2">
      <xmlColumnPr mapId="12" xpath="/ns2:PrintDataObject/ns2:OfferMng_PrintDetail_View/ns2:RangeName" xmlDataType="string"/>
    </tableColumn>
    <tableColumn id="5" uniqueName="ns2:ArticleCode" name="ns1:ModelUD" headerRowDxfId="92" dataDxfId="91" totalsRowDxfId="90" dataCellStyle="Standaard 2 2">
      <xmlColumnPr mapId="12" xpath="/ns2:PrintDataObject/ns2:OfferMng_PrintDetail_View/ns2:ArticleCode" xmlDataType="string"/>
    </tableColumn>
    <tableColumn id="6" uniqueName="ns2:Description" name="ns1:Description" headerRowDxfId="89" dataDxfId="88" totalsRowDxfId="87" dataCellStyle="Standaard 2 2">
      <xmlColumnPr mapId="12" xpath="/ns2:PrintDataObject/ns2:OfferMng_PrintDetail_View/ns2:Description" xmlDataType="string"/>
    </tableColumn>
    <tableColumn id="11" uniqueName="ns2:MaterialNM" name="ns1:MaterialNM" headerRowDxfId="86" dataDxfId="85" totalsRowDxfId="84" dataCellStyle="Standaard 2 2">
      <xmlColumnPr mapId="12" xpath="/ns2:PrintDataObject/ns2:OfferMng_PrintDetail_View/ns2:MaterialNM" xmlDataType="string"/>
    </tableColumn>
    <tableColumn id="12" uniqueName="ns2:FrameMaterialNM" name="ns1:FrameMaterialNM" headerRowDxfId="83" dataDxfId="82" totalsRowDxfId="81" dataCellStyle="Standaard 2 2">
      <xmlColumnPr mapId="12" xpath="/ns2:PrintDataObject/ns2:OfferMng_PrintDetail_View/ns2:FrameMaterialNM" xmlDataType="string"/>
    </tableColumn>
    <tableColumn id="13" uniqueName="ns2:MaterialTypeNM" name="ns1:MaterialTypeNM" headerRowDxfId="80" dataDxfId="79" totalsRowDxfId="78" dataCellStyle="Standaard 2 2">
      <xmlColumnPr mapId="12" xpath="/ns2:PrintDataObject/ns2:OfferMng_PrintDetail_View/ns2:MaterialTypeNM" xmlDataType="string"/>
    </tableColumn>
    <tableColumn id="14" uniqueName="ns2:MaterialColorNM" name="ns1:MaterialColorNM" headerRowDxfId="77" dataDxfId="76" totalsRowDxfId="75" dataCellStyle="Standaard 2 2">
      <xmlColumnPr mapId="12" xpath="/ns2:PrintDataObject/ns2:OfferMng_PrintDetail_View/ns2:MaterialColorNM" xmlDataType="string"/>
    </tableColumn>
    <tableColumn id="15" uniqueName="ns2:CushionThickness" name="ns1:CushionThickness" headerRowDxfId="74" dataDxfId="73" totalsRowDxfId="72" dataCellStyle="Standaard 2 2">
      <xmlColumnPr mapId="12" xpath="/ns2:PrintDataObject/ns2:OfferMng_PrintDetail_View/ns2:CushionThickness" xmlDataType="string"/>
    </tableColumn>
    <tableColumn id="16" uniqueName="ns2:FabricWeight" name="ns1:FabricWeight" headerRowDxfId="71" dataDxfId="70" totalsRowDxfId="69" dataCellStyle="Standaard 2 2">
      <xmlColumnPr mapId="12" xpath="/ns2:PrintDataObject/ns2:OfferMng_PrintDetail_View/ns2:FabricWeight" xmlDataType="string"/>
    </tableColumn>
    <tableColumn id="17" uniqueName="ns2:CushionNM" name="ns1:CushionNM" headerRowDxfId="68" dataDxfId="67" totalsRowDxfId="66" dataCellStyle="Standaard 2 2">
      <xmlColumnPr mapId="12" xpath="/ns2:PrintDataObject/ns2:OfferMng_PrintDetail_View/ns2:CushionNM" xmlDataType="string"/>
    </tableColumn>
    <tableColumn id="18" uniqueName="ns2:CushionColorNM" name="ns1:CushionColorNM" headerRowDxfId="65" dataDxfId="64" totalsRowDxfId="63" dataCellStyle="Standaard 2 2">
      <xmlColumnPr mapId="12" xpath="/ns2:PrintDataObject/ns2:OfferMng_PrintDetail_View/ns2:CushionColorNM" xmlDataType="string"/>
    </tableColumn>
    <tableColumn id="19" uniqueName="ns2:OverallDimL" name="ns1:OverallDimL" headerRowDxfId="62" dataDxfId="61" totalsRowDxfId="60" dataCellStyle="Standaard 2 2">
      <xmlColumnPr mapId="12" xpath="/ns2:PrintDataObject/ns2:OfferMng_PrintDetail_View/ns2:OverallDimL" xmlDataType="string"/>
    </tableColumn>
    <tableColumn id="20" uniqueName="ns2:OverallDimW" name="ns1:OverallDimW" headerRowDxfId="59" dataDxfId="58" totalsRowDxfId="57" dataCellStyle="Standaard 2 2">
      <xmlColumnPr mapId="12" xpath="/ns2:PrintDataObject/ns2:OfferMng_PrintDetail_View/ns2:OverallDimW" xmlDataType="string"/>
    </tableColumn>
    <tableColumn id="21" uniqueName="ns2:OverallDimH" name="ns1:OverallDimH" headerRowDxfId="56" dataDxfId="55" totalsRowDxfId="54" dataCellStyle="Standaard 2 2">
      <xmlColumnPr mapId="12" xpath="/ns2:PrintDataObject/ns2:OfferMng_PrintDetail_View/ns2:OverallDimH" xmlDataType="string"/>
    </tableColumn>
    <tableColumn id="22" uniqueName="ns2:NetWeight" name="ns1:NetWeight" headerRowDxfId="53" dataDxfId="52" totalsRowDxfId="51" dataCellStyle="Standaard 2 2">
      <xmlColumnPr mapId="12" xpath="/ns2:PrintDataObject/ns2:OfferMng_PrintDetail_View/ns2:NetWeight" xmlDataType="decimal"/>
    </tableColumn>
    <tableColumn id="23" uniqueName="ns2:CartonBoxDimL" name="ns1:CartonBoxDimL" headerRowDxfId="50" dataDxfId="49" totalsRowDxfId="48" dataCellStyle="Standaard 2 2">
      <xmlColumnPr mapId="12" xpath="/ns2:PrintDataObject/ns2:OfferMng_PrintDetail_View/ns2:CartonBoxDimL" xmlDataType="string"/>
    </tableColumn>
    <tableColumn id="24" uniqueName="ns2:CartonBoxDimW" name="ns1:CartonBoxDimW" headerRowDxfId="47" dataDxfId="46" totalsRowDxfId="45" dataCellStyle="Standaard 2 2">
      <xmlColumnPr mapId="12" xpath="/ns2:PrintDataObject/ns2:OfferMng_PrintDetail_View/ns2:CartonBoxDimW" xmlDataType="string"/>
    </tableColumn>
    <tableColumn id="25" uniqueName="ns2:CartonBoxDimH" name="ns1:CartonBoxDimH" headerRowDxfId="44" dataDxfId="43" totalsRowDxfId="42" dataCellStyle="Standaard 2 2">
      <xmlColumnPr mapId="12" xpath="/ns2:PrintDataObject/ns2:OfferMng_PrintDetail_View/ns2:CartonBoxDimH" xmlDataType="string"/>
    </tableColumn>
    <tableColumn id="26" uniqueName="ns2:QntInBox" name="ns1:QntInBox" headerRowDxfId="41" dataDxfId="40" totalsRowDxfId="39" dataCellStyle="Standaard 2 2">
      <xmlColumnPr mapId="12" xpath="/ns2:PrintDataObject/ns2:OfferMng_PrintDetail_View/ns2:QntInBox" xmlDataType="string"/>
    </tableColumn>
    <tableColumn id="27" uniqueName="ns2:GrossWeight" name="ns1:GrossWeight" headerRowDxfId="38" dataDxfId="37" totalsRowDxfId="36" dataCellStyle="Standaard 2 2">
      <xmlColumnPr mapId="12" xpath="/ns2:PrintDataObject/ns2:OfferMng_PrintDetail_View/ns2:GrossWeight" xmlDataType="decimal"/>
    </tableColumn>
    <tableColumn id="28" uniqueName="ns2:PackagingMethodNM" name="ns1:PackagingTypeText" headerRowDxfId="35" dataDxfId="34" totalsRowDxfId="33" dataCellStyle="Standaard 2 2">
      <xmlColumnPr mapId="12" xpath="/ns2:PrintDataObject/ns2:OfferMng_PrintDetail_View/ns2:PackagingMethodNM" xmlDataType="string"/>
    </tableColumn>
    <tableColumn id="29" uniqueName="ns2:Qnt20DC" name="ns1:QntIn20DC" headerRowDxfId="32" dataDxfId="31" totalsRowDxfId="30" dataCellStyle="Standaard 2 2">
      <xmlColumnPr mapId="12" xpath="/ns2:PrintDataObject/ns2:OfferMng_PrintDetail_View/ns2:Qnt20DC" xmlDataType="int"/>
    </tableColumn>
    <tableColumn id="30" uniqueName="ns2:Qnt40DC" name="ns1:QntIn40DC" headerRowDxfId="29" dataDxfId="28" totalsRowDxfId="27" dataCellStyle="Standaard 2 2">
      <xmlColumnPr mapId="12" xpath="/ns2:PrintDataObject/ns2:OfferMng_PrintDetail_View/ns2:Qnt40DC" xmlDataType="int"/>
    </tableColumn>
    <tableColumn id="31" uniqueName="ns2:Qnt40HC" name="ns1:QntIn40HC" headerRowDxfId="26" dataDxfId="25" totalsRowDxfId="24" dataCellStyle="Standaard 2 2">
      <xmlColumnPr mapId="12" xpath="/ns2:PrintDataObject/ns2:OfferMng_PrintDetail_View/ns2:Qnt40HC" xmlDataType="int"/>
    </tableColumn>
    <tableColumn id="32" uniqueName="ns2:Set40HC" name="ns1:SetQntIn40HC" headerRowDxfId="23" dataDxfId="22" totalsRowDxfId="21" dataCellStyle="Standaard 2 2">
      <xmlColumnPr mapId="12" xpath="/ns2:PrintDataObject/ns2:OfferMng_PrintDetail_View/ns2:Set40HC" xmlDataType="string"/>
    </tableColumn>
    <tableColumn id="33" uniqueName="ns2:ProductionLocation" name="ns1:LocationUD" headerRowDxfId="20" dataDxfId="19" totalsRowDxfId="18" dataCellStyle="Standaard 2 2">
      <xmlColumnPr mapId="12" xpath="/ns2:PrintDataObject/ns2:OfferMng_PrintDetail_View/ns2:ProductionLocation" xmlDataType="string"/>
    </tableColumn>
    <tableColumn id="34" uniqueName="ns2:POLName" name="ns1:POLUD" headerRowDxfId="17" dataDxfId="16" totalsRowDxfId="15" dataCellStyle="Standaard 2 2">
      <xmlColumnPr mapId="12" xpath="/ns2:PrintDataObject/ns2:OfferMng_PrintDetail_View/ns2:POLName" xmlDataType="string"/>
    </tableColumn>
    <tableColumn id="35" uniqueName="ns2:Quantity" name="ns1:OrderQuantity" headerRowDxfId="14" dataDxfId="13" totalsRowDxfId="12" dataCellStyle="Standaard 2 2">
      <xmlColumnPr mapId="12" xpath="/ns2:PrintDataObject/ns2:OfferMng_PrintDetail_View/ns2:Quantity" xmlDataType="int"/>
    </tableColumn>
    <tableColumn id="36" uniqueName="ns2:OrderedQntIn40HC" name="ns1:OrderQuantityIn40HC" headerRowDxfId="11" dataDxfId="10" totalsRowDxfId="9" dataCellStyle="Standaard 2 2">
      <xmlColumnPr mapId="12" xpath="/ns2:PrintDataObject/ns2:OfferMng_PrintDetail_View/ns2:OrderedQntIn40HC" xmlDataType="decimal"/>
    </tableColumn>
    <tableColumn id="37" uniqueName="ns2:FinalPrice" name="ns1:UnitPrice" headerRowDxfId="8" dataDxfId="7" totalsRowDxfId="6" dataCellStyle="Standaard 2 2">
      <xmlColumnPr mapId="12" xpath="/ns2:PrintDataObject/ns2:OfferMng_PrintDetail_View/ns2:FinalPrice" xmlDataType="decimal"/>
    </tableColumn>
    <tableColumn id="38" uniqueName="ns2:TotalAmount" name="ns1:TotalAmount" headerRowDxfId="5" dataDxfId="4" totalsRowDxfId="3" dataCellStyle="Standaard 2 2">
      <xmlColumnPr mapId="12" xpath="/ns2:PrintDataObject/ns2:OfferMng_PrintDetail_View/ns2:TotalAmount" xmlDataType="decimal"/>
    </tableColumn>
    <tableColumn id="39" uniqueName="ns2:Remark" name="ns1:Remark" headerRowDxfId="2" dataDxfId="1" totalsRowDxfId="0" dataCellStyle="Standaard 2 2">
      <xmlColumnPr mapId="12" xpath="/ns2:PrintDataObject/ns2:OfferMng_PrintDetail_View/ns2:Remark" xmlDataType="string"/>
    </tableColumn>
  </tableColumns>
  <tableStyleInfo showFirstColumn="0" showLastColumn="0" showRowStripes="0" showColumnStripes="0"/>
</table>
</file>

<file path=xl/tables/tableSingleCells1.xml><?xml version="1.0" encoding="utf-8"?>
<singleXmlCells xmlns="http://schemas.openxmlformats.org/spreadsheetml/2006/main">
  <singleXmlCell id="2" r="F1" connectionId="0">
    <xmlCellPr id="1" uniqueName="ns2:ClientNM">
      <xmlPr mapId="12" xpath="/ns2:PrintDataObject/ns2:OfferMng_PrintHeader_View/ns2:ClientNM" xmlDataType="string"/>
    </xmlCellPr>
  </singleXmlCell>
  <singleXmlCell id="3" r="F2" connectionId="0">
    <xmlCellPr id="1" uniqueName="ns2:ContactPersonName">
      <xmlPr mapId="12" xpath="/ns2:PrintDataObject/ns2:OfferMng_PrintHeader_View/ns2:ContactPersonName" xmlDataType="string"/>
    </xmlCellPr>
  </singleXmlCell>
  <singleXmlCell id="4" r="F3" connectionId="0">
    <xmlCellPr id="1" uniqueName="ns2:Mobile">
      <xmlPr mapId="12" xpath="/ns2:PrintDataObject/ns2:OfferMng_PrintHeader_View/ns2:Mobile" xmlDataType="string"/>
    </xmlCellPr>
  </singleXmlCell>
  <singleXmlCell id="5" r="F4" connectionId="0">
    <xmlCellPr id="1" uniqueName="ns2:Email">
      <xmlPr mapId="12" xpath="/ns2:PrintDataObject/ns2:OfferMng_PrintHeader_View/ns2:Email" xmlDataType="string"/>
    </xmlCellPr>
  </singleXmlCell>
  <singleXmlCell id="6" r="F5" connectionId="0">
    <xmlCellPr id="1" uniqueName="ns2:ContractPersonName">
      <xmlPr mapId="12" xpath="/ns2:PrintDataObject/ns2:OfferMng_PrintHeader_View/ns2:ContractPersonName" xmlDataType="string"/>
    </xmlCellPr>
  </singleXmlCell>
  <singleXmlCell id="7" r="A13" connectionId="0">
    <xmlCellPr id="1" uniqueName="ns2:ForwarderFollowupBySale">
      <xmlPr mapId="12" xpath="/ns2:PrintDataObject/ns2:OfferMng_PrintHeader_View/ns2:ForwarderFollowupBySale" xmlDataType="string"/>
    </xmlCellPr>
  </singleXmlCell>
  <singleXmlCell id="8" r="A14" connectionId="0">
    <xmlCellPr id="1" uniqueName="ns2:ForwarderFollowupByLogistics">
      <xmlPr mapId="12" xpath="/ns2:PrintDataObject/ns2:OfferMng_PrintHeader_View/ns2:ForwarderFollowupByLogistics" xmlDataType="string"/>
    </xmlCellPr>
  </singleXmlCell>
  <singleXmlCell id="9" r="F8" connectionId="0">
    <xmlCellPr id="1" uniqueName="ns2:ForwarderNM">
      <xmlPr mapId="12" xpath="/ns2:PrintDataObject/ns2:OfferMng_PrintHeader_View/ns2:ForwarderNM" xmlDataType="string"/>
    </xmlCellPr>
  </singleXmlCell>
  <singleXmlCell id="10" r="F9" connectionId="0">
    <xmlCellPr id="1" uniqueName="ns2:ForwarderContactPerson">
      <xmlPr mapId="12" xpath="/ns2:PrintDataObject/ns2:OfferMng_PrintHeader_View/ns2:ForwarderContactPerson" xmlDataType="string"/>
    </xmlCellPr>
  </singleXmlCell>
  <singleXmlCell id="11" r="F10" connectionId="0">
    <xmlCellPr id="1" uniqueName="ns2:ForwarderContactPersonPhone">
      <xmlPr mapId="12" xpath="/ns2:PrintDataObject/ns2:OfferMng_PrintHeader_View/ns2:ForwarderContactPersonPhone" xmlDataType="string"/>
    </xmlCellPr>
  </singleXmlCell>
  <singleXmlCell id="12" r="F11" connectionId="0">
    <xmlCellPr id="1" uniqueName="ns2:ForwarderContactPersonEmail">
      <xmlPr mapId="12" xpath="/ns2:PrintDataObject/ns2:OfferMng_PrintHeader_View/ns2:ForwarderContactPersonEmail" xmlDataType="string"/>
    </xmlCellPr>
  </singleXmlCell>
  <singleXmlCell id="13" r="F12" connectionId="0">
    <xmlCellPr id="1" uniqueName="ns2:ForwarderContractNo">
      <xmlPr mapId="12" xpath="/ns2:PrintDataObject/ns2:OfferMng_PrintHeader_View/ns2:ForwarderContractNo" xmlDataType="string"/>
    </xmlCellPr>
  </singleXmlCell>
  <singleXmlCell id="14" r="H2" connectionId="0">
    <xmlCellPr id="1" uniqueName="ns2:Address">
      <xmlPr mapId="12" xpath="/ns2:PrintDataObject/ns2:OfferMng_PrintHeader_View/ns2:Address" xmlDataType="string"/>
    </xmlCellPr>
  </singleXmlCell>
  <singleXmlCell id="15" r="J8" connectionId="0">
    <xmlCellPr id="1" uniqueName="ns2:PackagingStandard">
      <xmlPr mapId="12" xpath="/ns2:PrintDataObject/ns2:OfferMng_PrintHeader_View/ns2:PackagingStandard" xmlDataType="string"/>
    </xmlCellPr>
  </singleXmlCell>
  <singleXmlCell id="16" r="J9" connectionId="0">
    <xmlCellPr id="1" uniqueName="ns2:PackagingSpecial">
      <xmlPr mapId="12" xpath="/ns2:PrintDataObject/ns2:OfferMng_PrintHeader_View/ns2:PackagingSpecial" xmlDataType="string"/>
    </xmlCellPr>
  </singleXmlCell>
  <singleXmlCell id="18" r="J13" connectionId="0">
    <xmlCellPr id="1" uniqueName="ns2:PackagingFollowupBySale">
      <xmlPr mapId="12" xpath="/ns2:PrintDataObject/ns2:OfferMng_PrintHeader_View/ns2:PackagingFollowupBySale" xmlDataType="string"/>
    </xmlCellPr>
  </singleXmlCell>
  <singleXmlCell id="19" r="M9" connectionId="0">
    <xmlCellPr id="1" uniqueName="ns2:PackagingNote">
      <xmlPr mapId="12" xpath="/ns2:PrintDataObject/ns2:OfferMng_PrintHeader_View/ns2:PackagingNote" xmlDataType="string"/>
    </xmlCellPr>
  </singleXmlCell>
  <singleXmlCell id="20" r="R8" connectionId="0">
    <xmlCellPr id="1" uniqueName="ns2:LabelingStandard">
      <xmlPr mapId="12" xpath="/ns2:PrintDataObject/ns2:OfferMng_PrintHeader_View/ns2:LabelingStandard" xmlDataType="string"/>
    </xmlCellPr>
  </singleXmlCell>
  <singleXmlCell id="21" r="R9" connectionId="0">
    <xmlCellPr id="1" uniqueName="ns2:LabelingSpecial">
      <xmlPr mapId="12" xpath="/ns2:PrintDataObject/ns2:OfferMng_PrintHeader_View/ns2:LabelingSpecial" xmlDataType="string"/>
    </xmlCellPr>
  </singleXmlCell>
  <singleXmlCell id="22" r="U9" connectionId="0">
    <xmlCellPr id="1" uniqueName="ns2:LabelingNote">
      <xmlPr mapId="12" xpath="/ns2:PrintDataObject/ns2:OfferMng_PrintHeader_View/ns2:LabelingNote" xmlDataType="string"/>
    </xmlCellPr>
  </singleXmlCell>
  <singleXmlCell id="23" r="R13" connectionId="0">
    <xmlCellPr id="1" uniqueName="ns2:LabelingFollowupBySale">
      <xmlPr mapId="12" xpath="/ns2:PrintDataObject/ns2:OfferMng_PrintHeader_View/ns2:LabelingFollowupBySale" xmlDataType="string"/>
    </xmlCellPr>
  </singleXmlCell>
  <singleXmlCell id="24" r="V1" connectionId="0">
    <xmlCellPr id="1" uniqueName="ns2:PaymentTermNM">
      <xmlPr mapId="12" xpath="/ns2:PrintDataObject/ns2:OfferMng_PrintHeader_View/ns2:PaymentTermNM" xmlDataType="string"/>
    </xmlCellPr>
  </singleXmlCell>
  <singleXmlCell id="25" r="V2" connectionId="0">
    <xmlCellPr id="1" uniqueName="ns2:DeliveryTermNM">
      <xmlPr mapId="12" xpath="/ns2:PrintDataObject/ns2:OfferMng_PrintHeader_View/ns2:DeliveryTermNM" xmlDataType="string"/>
    </xmlCellPr>
  </singleXmlCell>
  <singleXmlCell id="26" r="V3" connectionId="0">
    <xmlCellPr id="1" uniqueName="ns2:DeliveryTimeNM">
      <xmlPr mapId="12" xpath="/ns2:PrintDataObject/ns2:OfferMng_PrintHeader_View/ns2:DeliveryTimeNM" xmlDataType="string"/>
    </xmlCellPr>
  </singleXmlCell>
  <singleXmlCell id="27" r="V4" connectionId="0">
    <xmlCellPr id="1" uniqueName="ns2:LDS">
      <xmlPr mapId="12" xpath="/ns2:PrintDataObject/ns2:OfferMng_PrintHeader_View/ns2:LDS" xmlDataType="string"/>
    </xmlCellPr>
  </singleXmlCell>
  <singleXmlCell id="28" r="V5" connectionId="0">
    <xmlCellPr id="1" uniqueName="ns2:PODName">
      <xmlPr mapId="12" xpath="/ns2:PrintDataObject/ns2:OfferMng_PrintHeader_View/ns2:PODName" xmlDataType="string"/>
    </xmlCellPr>
  </singleXmlCell>
  <singleXmlCell id="29" r="AB1" connectionId="0">
    <xmlCellPr id="1" uniqueName="ns2:OfferDate">
      <xmlPr mapId="12" xpath="/ns2:PrintDataObject/ns2:OfferMng_PrintHeader_View/ns2:OfferDate" xmlDataType="string"/>
    </xmlCellPr>
  </singleXmlCell>
  <singleXmlCell id="30" r="AB2" connectionId="0">
    <xmlCellPr id="1" uniqueName="ns2:Currency">
      <xmlPr mapId="12" xpath="/ns2:PrintDataObject/ns2:OfferMng_PrintHeader_View/ns2:Currency" xmlDataType="string"/>
    </xmlCellPr>
  </singleXmlCell>
  <singleXmlCell id="31" r="AB3" connectionId="0">
    <xmlCellPr id="1" uniqueName="ns2:SaleNM">
      <xmlPr mapId="12" xpath="/ns2:PrintDataObject/ns2:OfferMng_PrintHeader_View/ns2:SaleNM" xmlDataType="string"/>
    </xmlCellPr>
  </singleXmlCell>
  <singleXmlCell id="32" r="AB4" connectionId="0">
    <xmlCellPr id="1" uniqueName="ns2:OfferVersion">
      <xmlPr mapId="12" xpath="/ns2:PrintDataObject/ns2:OfferMng_PrintHeader_View/ns2:OfferVersion" xmlDataType="int"/>
    </xmlCellPr>
  </singleXmlCell>
  <singleXmlCell id="33" r="AB5" connectionId="0">
    <xmlCellPr id="1" uniqueName="ns2:ValidUntil">
      <xmlPr mapId="12" xpath="/ns2:PrintDataObject/ns2:OfferMng_PrintHeader_View/ns2:ValidUntil" xmlDataType="string"/>
    </xmlCellPr>
  </singleXmlCell>
  <singleXmlCell id="34" r="AF8" connectionId="0">
    <xmlCellPr id="1" uniqueName="ns2:QntIn20DC">
      <xmlPr mapId="12" xpath="/ns2:PrintDataObject/ns2:OfferMng_PrintHeader_View/ns2:QntIn20DC" xmlDataType="decimal"/>
    </xmlCellPr>
  </singleXmlCell>
  <singleXmlCell id="35" r="AF9" connectionId="0">
    <xmlCellPr id="1" uniqueName="ns2:QntIn40DC">
      <xmlPr mapId="12" xpath="/ns2:PrintDataObject/ns2:OfferMng_PrintHeader_View/ns2:QntIn40DC" xmlDataType="decimal"/>
    </xmlCellPr>
  </singleXmlCell>
  <singleXmlCell id="36" r="AF10" connectionId="0">
    <xmlCellPr id="1" uniqueName="ns2:QntIn40HC">
      <xmlPr mapId="12" xpath="/ns2:PrintDataObject/ns2:OfferMng_PrintHeader_View/ns2:QntIn40HC" xmlDataType="decimal"/>
    </xmlCellPr>
  </singleXmlCell>
  <singleXmlCell id="37" r="AF11" connectionId="0">
    <xmlCellPr id="1" uniqueName="ns2:PartialQnt">
      <xmlPr mapId="12" xpath="/ns2:PrintDataObject/ns2:OfferMng_PrintHeader_View/ns2:PartialQnt" xmlDataType="decimal"/>
    </xmlCellPr>
  </singleXmlCell>
  <singleXmlCell id="38" r="AE13" connectionId="0">
    <xmlCellPr id="1" uniqueName="ns2:QntRemark">
      <xmlPr mapId="12" xpath="/ns2:PrintDataObject/ns2:OfferMng_PrintHeader_View/ns2:QntRemark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X4997"/>
  <sheetViews>
    <sheetView tabSelected="1" view="pageBreakPreview" zoomScale="40" zoomScaleNormal="40" zoomScaleSheetLayoutView="40" workbookViewId="0">
      <pane xSplit="7" ySplit="21" topLeftCell="H22" activePane="bottomRight" state="frozen"/>
      <selection pane="topRight" activeCell="H1" sqref="H1"/>
      <selection pane="bottomLeft" activeCell="A22" sqref="A22"/>
      <selection pane="bottomRight" activeCell="D26" sqref="D26"/>
    </sheetView>
  </sheetViews>
  <sheetFormatPr defaultColWidth="9.140625" defaultRowHeight="23.25"/>
  <cols>
    <col min="1" max="1" width="24.28515625" style="16" customWidth="1"/>
    <col min="2" max="2" width="12.28515625" style="16" customWidth="1"/>
    <col min="3" max="3" width="26.5703125" style="16" customWidth="1"/>
    <col min="4" max="4" width="24.28515625" style="16" customWidth="1"/>
    <col min="5" max="5" width="12.42578125" style="16" customWidth="1"/>
    <col min="6" max="6" width="63.140625" style="16" customWidth="1"/>
    <col min="7" max="7" width="26" style="16" customWidth="1"/>
    <col min="8" max="8" width="16.5703125" style="16" customWidth="1"/>
    <col min="9" max="10" width="27.5703125" style="16" customWidth="1"/>
    <col min="11" max="11" width="16.85546875" style="16" customWidth="1"/>
    <col min="12" max="12" width="19.140625" style="16" customWidth="1"/>
    <col min="13" max="13" width="25.42578125" style="16" customWidth="1"/>
    <col min="14" max="14" width="27.5703125" style="16" customWidth="1"/>
    <col min="15" max="17" width="11.7109375" style="16" customWidth="1"/>
    <col min="18" max="18" width="18.7109375" style="16" customWidth="1"/>
    <col min="19" max="21" width="11.7109375" style="16" customWidth="1"/>
    <col min="22" max="22" width="13.140625" style="16" customWidth="1"/>
    <col min="23" max="23" width="15.5703125" style="16" customWidth="1"/>
    <col min="24" max="24" width="29" style="16" customWidth="1"/>
    <col min="25" max="27" width="11.7109375" style="60" customWidth="1"/>
    <col min="28" max="28" width="14.7109375" style="60" customWidth="1"/>
    <col min="29" max="29" width="18.7109375" style="16" customWidth="1"/>
    <col min="30" max="30" width="22.7109375" style="16" customWidth="1"/>
    <col min="31" max="31" width="21.5703125" style="16" customWidth="1"/>
    <col min="32" max="32" width="20.140625" style="16" customWidth="1"/>
    <col min="33" max="33" width="21.42578125" style="55" customWidth="1"/>
    <col min="34" max="34" width="26" style="55" customWidth="1"/>
    <col min="35" max="35" width="49.42578125" style="16" customWidth="1"/>
    <col min="36" max="39" width="27.5703125" style="16" customWidth="1"/>
    <col min="40" max="40" width="27.5703125" style="56" customWidth="1"/>
    <col min="41" max="41" width="21.42578125" style="16" customWidth="1"/>
    <col min="42" max="42" width="9.140625" style="16"/>
    <col min="43" max="43" width="10" style="16" bestFit="1" customWidth="1"/>
    <col min="44" max="16384" width="9.140625" style="16"/>
  </cols>
  <sheetData>
    <row r="1" spans="1:45" s="35" customFormat="1" ht="50.1" customHeight="1">
      <c r="A1" s="67" t="s">
        <v>0</v>
      </c>
      <c r="B1" s="68"/>
      <c r="C1" s="69"/>
      <c r="D1" s="88" t="s">
        <v>1</v>
      </c>
      <c r="E1" s="88"/>
      <c r="F1" s="89"/>
      <c r="G1" s="89"/>
      <c r="H1" s="90" t="s">
        <v>2</v>
      </c>
      <c r="I1" s="91"/>
      <c r="J1" s="91"/>
      <c r="K1" s="91"/>
      <c r="L1" s="91"/>
      <c r="M1" s="91"/>
      <c r="N1" s="92"/>
      <c r="O1" s="1"/>
      <c r="P1" s="67" t="s">
        <v>3</v>
      </c>
      <c r="Q1" s="68"/>
      <c r="R1" s="69"/>
      <c r="S1" s="90" t="s">
        <v>4</v>
      </c>
      <c r="T1" s="91"/>
      <c r="U1" s="99"/>
      <c r="V1" s="101"/>
      <c r="W1" s="102"/>
      <c r="X1" s="103"/>
      <c r="Y1" s="90" t="s">
        <v>5</v>
      </c>
      <c r="Z1" s="91"/>
      <c r="AA1" s="99"/>
      <c r="AB1" s="101"/>
      <c r="AC1" s="102"/>
      <c r="AD1" s="104"/>
      <c r="AE1" s="70"/>
      <c r="AF1" s="71"/>
      <c r="AG1" s="71"/>
      <c r="AH1" s="71"/>
      <c r="AI1" s="72"/>
      <c r="AJ1" s="32"/>
      <c r="AK1" s="32"/>
      <c r="AL1" s="33"/>
      <c r="AM1" s="33"/>
      <c r="AN1" s="34"/>
    </row>
    <row r="2" spans="1:45" s="35" customFormat="1" ht="30" customHeight="1">
      <c r="A2" s="61"/>
      <c r="B2" s="62"/>
      <c r="C2" s="63"/>
      <c r="D2" s="78" t="s">
        <v>6</v>
      </c>
      <c r="E2" s="79"/>
      <c r="F2" s="80"/>
      <c r="G2" s="81"/>
      <c r="H2" s="121"/>
      <c r="I2" s="122"/>
      <c r="J2" s="122"/>
      <c r="K2" s="122"/>
      <c r="L2" s="122"/>
      <c r="M2" s="122"/>
      <c r="N2" s="123"/>
      <c r="O2" s="1"/>
      <c r="P2" s="93"/>
      <c r="Q2" s="94"/>
      <c r="R2" s="95"/>
      <c r="S2" s="82" t="s">
        <v>7</v>
      </c>
      <c r="T2" s="83"/>
      <c r="U2" s="84"/>
      <c r="V2" s="85"/>
      <c r="W2" s="86"/>
      <c r="X2" s="87"/>
      <c r="Y2" s="82" t="s">
        <v>8</v>
      </c>
      <c r="Z2" s="83"/>
      <c r="AA2" s="84"/>
      <c r="AB2" s="85"/>
      <c r="AC2" s="86"/>
      <c r="AD2" s="100"/>
      <c r="AE2" s="73"/>
      <c r="AF2" s="74"/>
      <c r="AG2" s="74"/>
      <c r="AH2" s="74"/>
      <c r="AI2" s="75"/>
      <c r="AJ2" s="33"/>
      <c r="AK2" s="33"/>
      <c r="AL2" s="33"/>
      <c r="AM2" s="33"/>
      <c r="AN2" s="34"/>
    </row>
    <row r="3" spans="1:45" s="35" customFormat="1" ht="30" customHeight="1">
      <c r="A3" s="61"/>
      <c r="B3" s="62"/>
      <c r="C3" s="63"/>
      <c r="D3" s="78" t="s">
        <v>9</v>
      </c>
      <c r="E3" s="78"/>
      <c r="F3" s="80"/>
      <c r="G3" s="81"/>
      <c r="H3" s="124"/>
      <c r="I3" s="125"/>
      <c r="J3" s="125"/>
      <c r="K3" s="125"/>
      <c r="L3" s="125"/>
      <c r="M3" s="125"/>
      <c r="N3" s="126"/>
      <c r="O3" s="1"/>
      <c r="P3" s="93"/>
      <c r="Q3" s="94"/>
      <c r="R3" s="95"/>
      <c r="S3" s="82" t="s">
        <v>10</v>
      </c>
      <c r="T3" s="83"/>
      <c r="U3" s="84"/>
      <c r="V3" s="85"/>
      <c r="W3" s="86"/>
      <c r="X3" s="87"/>
      <c r="Y3" s="82" t="s">
        <v>11</v>
      </c>
      <c r="Z3" s="83"/>
      <c r="AA3" s="84"/>
      <c r="AB3" s="85"/>
      <c r="AC3" s="86"/>
      <c r="AD3" s="100"/>
      <c r="AE3" s="73"/>
      <c r="AF3" s="74"/>
      <c r="AG3" s="74"/>
      <c r="AH3" s="74"/>
      <c r="AI3" s="75"/>
      <c r="AJ3" s="33"/>
      <c r="AK3" s="33"/>
      <c r="AL3" s="33"/>
      <c r="AM3" s="33"/>
      <c r="AN3" s="34"/>
    </row>
    <row r="4" spans="1:45" s="35" customFormat="1" ht="30" customHeight="1">
      <c r="A4" s="61"/>
      <c r="B4" s="62"/>
      <c r="C4" s="63"/>
      <c r="D4" s="78" t="s">
        <v>12</v>
      </c>
      <c r="E4" s="78"/>
      <c r="F4" s="80"/>
      <c r="G4" s="81"/>
      <c r="H4" s="124"/>
      <c r="I4" s="125"/>
      <c r="J4" s="125"/>
      <c r="K4" s="125"/>
      <c r="L4" s="125"/>
      <c r="M4" s="125"/>
      <c r="N4" s="126"/>
      <c r="O4" s="1"/>
      <c r="P4" s="93"/>
      <c r="Q4" s="94"/>
      <c r="R4" s="95"/>
      <c r="S4" s="82" t="s">
        <v>80</v>
      </c>
      <c r="T4" s="83"/>
      <c r="U4" s="84"/>
      <c r="V4" s="85"/>
      <c r="W4" s="86"/>
      <c r="X4" s="86"/>
      <c r="Y4" s="105" t="s">
        <v>13</v>
      </c>
      <c r="Z4" s="105"/>
      <c r="AA4" s="105"/>
      <c r="AB4" s="106"/>
      <c r="AC4" s="107"/>
      <c r="AD4" s="108"/>
      <c r="AE4" s="74"/>
      <c r="AF4" s="74"/>
      <c r="AG4" s="74"/>
      <c r="AH4" s="74"/>
      <c r="AI4" s="75"/>
      <c r="AJ4" s="33"/>
      <c r="AK4" s="33"/>
      <c r="AL4" s="33"/>
      <c r="AM4" s="33"/>
      <c r="AN4" s="34"/>
    </row>
    <row r="5" spans="1:45" s="35" customFormat="1" ht="30" customHeight="1" thickBot="1">
      <c r="A5" s="64"/>
      <c r="B5" s="65"/>
      <c r="C5" s="66"/>
      <c r="D5" s="109" t="s">
        <v>14</v>
      </c>
      <c r="E5" s="109"/>
      <c r="F5" s="110"/>
      <c r="G5" s="111"/>
      <c r="H5" s="127"/>
      <c r="I5" s="128"/>
      <c r="J5" s="128"/>
      <c r="K5" s="128"/>
      <c r="L5" s="128"/>
      <c r="M5" s="128"/>
      <c r="N5" s="129"/>
      <c r="O5" s="1"/>
      <c r="P5" s="96"/>
      <c r="Q5" s="97"/>
      <c r="R5" s="98"/>
      <c r="S5" s="112" t="s">
        <v>15</v>
      </c>
      <c r="T5" s="113"/>
      <c r="U5" s="114"/>
      <c r="V5" s="115"/>
      <c r="W5" s="116"/>
      <c r="X5" s="116"/>
      <c r="Y5" s="117" t="s">
        <v>16</v>
      </c>
      <c r="Z5" s="117"/>
      <c r="AA5" s="117"/>
      <c r="AB5" s="118"/>
      <c r="AC5" s="119"/>
      <c r="AD5" s="120"/>
      <c r="AE5" s="76"/>
      <c r="AF5" s="76"/>
      <c r="AG5" s="76"/>
      <c r="AH5" s="76"/>
      <c r="AI5" s="77"/>
      <c r="AJ5" s="33"/>
      <c r="AK5" s="33"/>
      <c r="AL5" s="33"/>
      <c r="AM5" s="33"/>
      <c r="AN5" s="34"/>
      <c r="AO5" s="34"/>
      <c r="AP5" s="34"/>
      <c r="AQ5" s="34"/>
      <c r="AR5" s="34"/>
      <c r="AS5" s="34"/>
    </row>
    <row r="6" spans="1:45" s="35" customFormat="1" ht="16.5" customHeight="1" thickBot="1">
      <c r="A6" s="2"/>
      <c r="B6" s="2"/>
      <c r="C6" s="2"/>
      <c r="D6" s="2"/>
      <c r="E6" s="2"/>
      <c r="F6" s="2"/>
      <c r="G6" s="2"/>
      <c r="H6" s="3"/>
      <c r="I6" s="3"/>
      <c r="J6" s="4"/>
      <c r="K6" s="4"/>
      <c r="L6" s="4"/>
      <c r="M6" s="4"/>
      <c r="N6" s="2"/>
      <c r="O6" s="2"/>
      <c r="P6" s="2"/>
      <c r="Q6" s="2"/>
      <c r="R6" s="2"/>
      <c r="S6" s="2"/>
      <c r="T6" s="5"/>
      <c r="U6" s="5"/>
      <c r="V6" s="5"/>
      <c r="W6" s="5"/>
      <c r="X6" s="6"/>
      <c r="Y6" s="6"/>
      <c r="Z6" s="7"/>
      <c r="AA6" s="7"/>
      <c r="AB6" s="7"/>
      <c r="AC6" s="7"/>
      <c r="AD6" s="7"/>
      <c r="AE6" s="7"/>
      <c r="AF6" s="7"/>
      <c r="AG6" s="8"/>
      <c r="AH6" s="8"/>
      <c r="AI6" s="7"/>
      <c r="AJ6" s="34"/>
      <c r="AK6" s="34"/>
      <c r="AL6" s="34"/>
      <c r="AM6" s="34"/>
      <c r="AN6" s="34"/>
    </row>
    <row r="7" spans="1:45" s="35" customFormat="1" ht="39.950000000000003" customHeight="1">
      <c r="A7" s="130" t="s">
        <v>17</v>
      </c>
      <c r="B7" s="131"/>
      <c r="C7" s="131"/>
      <c r="D7" s="131"/>
      <c r="E7" s="131"/>
      <c r="F7" s="131"/>
      <c r="G7" s="132"/>
      <c r="H7" s="6"/>
      <c r="I7" s="6"/>
      <c r="J7" s="133" t="s">
        <v>18</v>
      </c>
      <c r="K7" s="134"/>
      <c r="L7" s="134"/>
      <c r="M7" s="134"/>
      <c r="N7" s="134"/>
      <c r="O7" s="134"/>
      <c r="P7" s="135"/>
      <c r="Q7" s="6"/>
      <c r="R7" s="133" t="s">
        <v>19</v>
      </c>
      <c r="S7" s="134"/>
      <c r="T7" s="134"/>
      <c r="U7" s="134"/>
      <c r="V7" s="134"/>
      <c r="W7" s="135"/>
      <c r="X7" s="6"/>
      <c r="Y7" s="133" t="s">
        <v>20</v>
      </c>
      <c r="Z7" s="134"/>
      <c r="AA7" s="134"/>
      <c r="AB7" s="134"/>
      <c r="AC7" s="135"/>
      <c r="AD7" s="6"/>
      <c r="AE7" s="9" t="s">
        <v>21</v>
      </c>
      <c r="AF7" s="188" t="s">
        <v>22</v>
      </c>
      <c r="AG7" s="189"/>
      <c r="AH7" s="189"/>
      <c r="AI7" s="190"/>
      <c r="AL7" s="34"/>
      <c r="AM7" s="34"/>
      <c r="AN7" s="34"/>
    </row>
    <row r="8" spans="1:45" s="35" customFormat="1" ht="30" customHeight="1">
      <c r="A8" s="136"/>
      <c r="B8" s="137" t="s">
        <v>23</v>
      </c>
      <c r="C8" s="137"/>
      <c r="D8" s="82" t="s">
        <v>1</v>
      </c>
      <c r="E8" s="83"/>
      <c r="F8" s="138"/>
      <c r="G8" s="139"/>
      <c r="H8" s="6"/>
      <c r="I8" s="6"/>
      <c r="J8" s="10"/>
      <c r="K8" s="82" t="s">
        <v>24</v>
      </c>
      <c r="L8" s="83"/>
      <c r="M8" s="83"/>
      <c r="N8" s="83"/>
      <c r="O8" s="83"/>
      <c r="P8" s="140"/>
      <c r="Q8" s="6"/>
      <c r="R8" s="10"/>
      <c r="S8" s="82" t="s">
        <v>24</v>
      </c>
      <c r="T8" s="83"/>
      <c r="U8" s="83"/>
      <c r="V8" s="83"/>
      <c r="W8" s="140"/>
      <c r="X8" s="6"/>
      <c r="Y8" s="11"/>
      <c r="Z8" s="78" t="s">
        <v>25</v>
      </c>
      <c r="AA8" s="78"/>
      <c r="AB8" s="78"/>
      <c r="AC8" s="141"/>
      <c r="AD8" s="6"/>
      <c r="AE8" s="12" t="s">
        <v>26</v>
      </c>
      <c r="AF8" s="185"/>
      <c r="AG8" s="186"/>
      <c r="AH8" s="186"/>
      <c r="AI8" s="187"/>
      <c r="AL8" s="34"/>
      <c r="AM8" s="34"/>
      <c r="AN8" s="34"/>
    </row>
    <row r="9" spans="1:45" s="35" customFormat="1" ht="30" customHeight="1">
      <c r="A9" s="136"/>
      <c r="B9" s="137"/>
      <c r="C9" s="137"/>
      <c r="D9" s="82" t="s">
        <v>6</v>
      </c>
      <c r="E9" s="142"/>
      <c r="F9" s="143"/>
      <c r="G9" s="144"/>
      <c r="H9" s="6"/>
      <c r="I9" s="6"/>
      <c r="J9" s="145"/>
      <c r="K9" s="146" t="s">
        <v>27</v>
      </c>
      <c r="L9" s="147"/>
      <c r="M9" s="166"/>
      <c r="N9" s="167"/>
      <c r="O9" s="167"/>
      <c r="P9" s="168"/>
      <c r="Q9" s="6"/>
      <c r="R9" s="145"/>
      <c r="S9" s="146" t="s">
        <v>27</v>
      </c>
      <c r="T9" s="147"/>
      <c r="U9" s="213"/>
      <c r="V9" s="214"/>
      <c r="W9" s="215"/>
      <c r="X9" s="6"/>
      <c r="Y9" s="11"/>
      <c r="Z9" s="78" t="s">
        <v>28</v>
      </c>
      <c r="AA9" s="78"/>
      <c r="AB9" s="78"/>
      <c r="AC9" s="141"/>
      <c r="AD9" s="6"/>
      <c r="AE9" s="13" t="s">
        <v>29</v>
      </c>
      <c r="AF9" s="185"/>
      <c r="AG9" s="186"/>
      <c r="AH9" s="186"/>
      <c r="AI9" s="187"/>
      <c r="AL9" s="34"/>
      <c r="AM9" s="34"/>
      <c r="AN9" s="34"/>
    </row>
    <row r="10" spans="1:45" s="35" customFormat="1" ht="30" customHeight="1">
      <c r="A10" s="136"/>
      <c r="B10" s="137"/>
      <c r="C10" s="137"/>
      <c r="D10" s="82" t="s">
        <v>9</v>
      </c>
      <c r="E10" s="83"/>
      <c r="F10" s="143"/>
      <c r="G10" s="144"/>
      <c r="H10" s="6"/>
      <c r="I10" s="6"/>
      <c r="J10" s="145"/>
      <c r="K10" s="148"/>
      <c r="L10" s="149"/>
      <c r="M10" s="169"/>
      <c r="N10" s="170"/>
      <c r="O10" s="170"/>
      <c r="P10" s="171"/>
      <c r="Q10" s="6"/>
      <c r="R10" s="145"/>
      <c r="S10" s="148"/>
      <c r="T10" s="149"/>
      <c r="U10" s="216"/>
      <c r="V10" s="217"/>
      <c r="W10" s="218"/>
      <c r="X10" s="6"/>
      <c r="Y10" s="11"/>
      <c r="Z10" s="78" t="s">
        <v>30</v>
      </c>
      <c r="AA10" s="78"/>
      <c r="AB10" s="78"/>
      <c r="AC10" s="141"/>
      <c r="AD10" s="6"/>
      <c r="AE10" s="13" t="s">
        <v>31</v>
      </c>
      <c r="AF10" s="185"/>
      <c r="AG10" s="186"/>
      <c r="AH10" s="186"/>
      <c r="AI10" s="187"/>
      <c r="AL10" s="34"/>
      <c r="AM10" s="34"/>
      <c r="AN10" s="34"/>
    </row>
    <row r="11" spans="1:45" s="35" customFormat="1" ht="30" customHeight="1">
      <c r="A11" s="136"/>
      <c r="B11" s="137"/>
      <c r="C11" s="137"/>
      <c r="D11" s="82" t="s">
        <v>12</v>
      </c>
      <c r="E11" s="83"/>
      <c r="F11" s="143"/>
      <c r="G11" s="144"/>
      <c r="H11" s="6"/>
      <c r="I11" s="6"/>
      <c r="J11" s="145"/>
      <c r="K11" s="148"/>
      <c r="L11" s="149"/>
      <c r="M11" s="169"/>
      <c r="N11" s="170"/>
      <c r="O11" s="170"/>
      <c r="P11" s="171"/>
      <c r="Q11" s="6"/>
      <c r="R11" s="145"/>
      <c r="S11" s="148"/>
      <c r="T11" s="149"/>
      <c r="U11" s="216"/>
      <c r="V11" s="217"/>
      <c r="W11" s="218"/>
      <c r="X11" s="6"/>
      <c r="Y11" s="11"/>
      <c r="Z11" s="78" t="s">
        <v>32</v>
      </c>
      <c r="AA11" s="78"/>
      <c r="AB11" s="78"/>
      <c r="AC11" s="141"/>
      <c r="AD11" s="6"/>
      <c r="AE11" s="13" t="s">
        <v>33</v>
      </c>
      <c r="AF11" s="185"/>
      <c r="AG11" s="186"/>
      <c r="AH11" s="186"/>
      <c r="AI11" s="187"/>
      <c r="AK11" s="34"/>
      <c r="AL11" s="34"/>
      <c r="AM11" s="34"/>
      <c r="AN11" s="34"/>
    </row>
    <row r="12" spans="1:45" s="35" customFormat="1" ht="30" customHeight="1">
      <c r="A12" s="136"/>
      <c r="B12" s="137"/>
      <c r="C12" s="137"/>
      <c r="D12" s="82" t="s">
        <v>34</v>
      </c>
      <c r="E12" s="83"/>
      <c r="F12" s="143"/>
      <c r="G12" s="144"/>
      <c r="H12" s="6"/>
      <c r="I12" s="6"/>
      <c r="J12" s="145"/>
      <c r="K12" s="150"/>
      <c r="L12" s="151"/>
      <c r="M12" s="172"/>
      <c r="N12" s="173"/>
      <c r="O12" s="173"/>
      <c r="P12" s="174"/>
      <c r="Q12" s="6"/>
      <c r="R12" s="145"/>
      <c r="S12" s="150"/>
      <c r="T12" s="151"/>
      <c r="U12" s="219"/>
      <c r="V12" s="220"/>
      <c r="W12" s="221"/>
      <c r="X12" s="6"/>
      <c r="Y12" s="145"/>
      <c r="Z12" s="78" t="s">
        <v>35</v>
      </c>
      <c r="AA12" s="78"/>
      <c r="AB12" s="78"/>
      <c r="AC12" s="141"/>
      <c r="AD12" s="6"/>
      <c r="AE12" s="206" t="s">
        <v>36</v>
      </c>
      <c r="AF12" s="207"/>
      <c r="AG12" s="208"/>
      <c r="AH12" s="209"/>
      <c r="AI12" s="210"/>
      <c r="AJ12" s="36"/>
      <c r="AK12" s="36"/>
      <c r="AL12" s="36"/>
      <c r="AM12" s="36"/>
      <c r="AN12" s="36"/>
    </row>
    <row r="13" spans="1:45" s="35" customFormat="1" ht="30" customHeight="1">
      <c r="A13" s="10"/>
      <c r="B13" s="78" t="s">
        <v>37</v>
      </c>
      <c r="C13" s="78"/>
      <c r="D13" s="78"/>
      <c r="E13" s="78"/>
      <c r="F13" s="78"/>
      <c r="G13" s="141"/>
      <c r="H13" s="6"/>
      <c r="I13" s="6"/>
      <c r="J13" s="145"/>
      <c r="K13" s="153" t="s">
        <v>38</v>
      </c>
      <c r="L13" s="154"/>
      <c r="M13" s="154"/>
      <c r="N13" s="154"/>
      <c r="O13" s="154"/>
      <c r="P13" s="155"/>
      <c r="Q13" s="6"/>
      <c r="R13" s="145"/>
      <c r="S13" s="154" t="s">
        <v>39</v>
      </c>
      <c r="T13" s="154"/>
      <c r="U13" s="154"/>
      <c r="V13" s="154"/>
      <c r="W13" s="155"/>
      <c r="X13" s="6"/>
      <c r="Y13" s="145"/>
      <c r="Z13" s="159"/>
      <c r="AA13" s="160"/>
      <c r="AB13" s="160"/>
      <c r="AC13" s="161"/>
      <c r="AD13" s="6"/>
      <c r="AE13" s="211"/>
      <c r="AF13" s="160"/>
      <c r="AG13" s="160"/>
      <c r="AH13" s="160"/>
      <c r="AI13" s="161"/>
      <c r="AJ13" s="34"/>
      <c r="AK13" s="34"/>
      <c r="AL13" s="34"/>
      <c r="AM13" s="34"/>
      <c r="AN13" s="34"/>
    </row>
    <row r="14" spans="1:45" s="35" customFormat="1" ht="30" customHeight="1" thickBot="1">
      <c r="A14" s="14"/>
      <c r="B14" s="109" t="s">
        <v>40</v>
      </c>
      <c r="C14" s="109"/>
      <c r="D14" s="109"/>
      <c r="E14" s="109"/>
      <c r="F14" s="109"/>
      <c r="G14" s="165"/>
      <c r="H14" s="6"/>
      <c r="I14" s="6"/>
      <c r="J14" s="152"/>
      <c r="K14" s="156"/>
      <c r="L14" s="157"/>
      <c r="M14" s="157"/>
      <c r="N14" s="157"/>
      <c r="O14" s="157"/>
      <c r="P14" s="158"/>
      <c r="Q14" s="2"/>
      <c r="R14" s="152"/>
      <c r="S14" s="157"/>
      <c r="T14" s="157"/>
      <c r="U14" s="157"/>
      <c r="V14" s="157"/>
      <c r="W14" s="158"/>
      <c r="X14" s="6"/>
      <c r="Y14" s="152"/>
      <c r="Z14" s="162"/>
      <c r="AA14" s="163"/>
      <c r="AB14" s="163"/>
      <c r="AC14" s="164"/>
      <c r="AD14" s="6"/>
      <c r="AE14" s="212"/>
      <c r="AF14" s="163"/>
      <c r="AG14" s="163"/>
      <c r="AH14" s="163"/>
      <c r="AI14" s="164"/>
      <c r="AJ14" s="34"/>
      <c r="AK14" s="34"/>
      <c r="AL14" s="34"/>
      <c r="AM14" s="34"/>
      <c r="AN14" s="34"/>
    </row>
    <row r="15" spans="1:45" s="35" customFormat="1" ht="20.25" customHeight="1">
      <c r="A15" s="37"/>
      <c r="B15" s="38"/>
      <c r="C15" s="38"/>
      <c r="D15" s="38"/>
      <c r="E15" s="38"/>
      <c r="F15" s="38"/>
      <c r="G15" s="38"/>
      <c r="H15" s="39"/>
      <c r="I15" s="39"/>
      <c r="J15" s="37"/>
      <c r="K15" s="40"/>
      <c r="L15" s="38"/>
      <c r="M15" s="38"/>
      <c r="N15" s="38"/>
      <c r="O15" s="38"/>
      <c r="P15" s="38"/>
      <c r="Q15" s="2"/>
      <c r="R15" s="37"/>
      <c r="S15" s="40"/>
      <c r="T15" s="38"/>
      <c r="U15" s="38"/>
      <c r="V15" s="38"/>
      <c r="W15" s="38"/>
      <c r="X15" s="39"/>
      <c r="Y15" s="37"/>
      <c r="Z15" s="41"/>
      <c r="AA15" s="42"/>
      <c r="AB15" s="42"/>
      <c r="AC15" s="42"/>
      <c r="AD15" s="6"/>
      <c r="AE15" s="42"/>
      <c r="AF15" s="42"/>
      <c r="AG15" s="43"/>
      <c r="AH15" s="43"/>
      <c r="AI15" s="42"/>
      <c r="AJ15" s="34"/>
      <c r="AK15" s="34"/>
      <c r="AL15" s="34"/>
      <c r="AM15" s="34"/>
      <c r="AN15" s="34"/>
    </row>
    <row r="16" spans="1:45" s="35" customFormat="1" ht="30" customHeight="1">
      <c r="A16" s="222"/>
      <c r="B16" s="223"/>
      <c r="C16" s="223"/>
      <c r="D16" s="223"/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4"/>
      <c r="AD16" s="44" t="s">
        <v>77</v>
      </c>
      <c r="AE16" s="45">
        <f>SUM(Table48[ns1:OrderQuantity])</f>
        <v>0</v>
      </c>
      <c r="AF16" s="46">
        <f>SUM(Table48[ns1:OrderQuantityIn40HC])</f>
        <v>0</v>
      </c>
      <c r="AG16" s="47"/>
      <c r="AH16" s="48">
        <f>SUM(Table48[ns1:TotalAmount])</f>
        <v>0</v>
      </c>
      <c r="AI16" s="49"/>
      <c r="AJ16" s="34"/>
      <c r="AK16" s="34"/>
      <c r="AL16" s="34"/>
      <c r="AM16" s="34"/>
      <c r="AN16" s="34"/>
    </row>
    <row r="17" spans="1:206" s="35" customFormat="1" ht="30" customHeight="1">
      <c r="A17" s="222"/>
      <c r="B17" s="223"/>
      <c r="C17" s="223"/>
      <c r="D17" s="223"/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4"/>
      <c r="AD17" s="44" t="s">
        <v>78</v>
      </c>
      <c r="AE17" s="45">
        <f>SUBTOTAL(9,Table48[ns1:OrderQuantity])</f>
        <v>0</v>
      </c>
      <c r="AF17" s="46">
        <f>SUBTOTAL(9,Table48[ns1:OrderQuantityIn40HC])</f>
        <v>0</v>
      </c>
      <c r="AG17" s="47"/>
      <c r="AH17" s="48">
        <f>SUBTOTAL(9,Table48[ns1:TotalAmount])</f>
        <v>0</v>
      </c>
      <c r="AI17" s="49"/>
      <c r="AJ17" s="34"/>
      <c r="AK17" s="34"/>
      <c r="AL17" s="34"/>
      <c r="AM17" s="34"/>
      <c r="AN17" s="34"/>
    </row>
    <row r="18" spans="1:206" s="35" customFormat="1" ht="20.25" customHeight="1">
      <c r="A18" s="50"/>
      <c r="B18" s="2"/>
      <c r="C18" s="2"/>
      <c r="D18" s="2"/>
      <c r="E18" s="2"/>
      <c r="F18" s="2"/>
      <c r="G18" s="2"/>
      <c r="H18" s="6"/>
      <c r="I18" s="6"/>
      <c r="J18" s="51"/>
      <c r="K18" s="39"/>
      <c r="L18" s="2"/>
      <c r="M18" s="2"/>
      <c r="N18" s="39"/>
      <c r="O18" s="39"/>
      <c r="P18" s="6"/>
      <c r="Q18" s="2"/>
      <c r="R18" s="2"/>
      <c r="S18" s="2"/>
      <c r="T18" s="39"/>
      <c r="U18" s="39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52"/>
      <c r="AH18" s="52"/>
      <c r="AI18" s="6"/>
      <c r="AJ18" s="34"/>
      <c r="AK18" s="34"/>
      <c r="AL18" s="34"/>
      <c r="AM18" s="34"/>
      <c r="AN18" s="34"/>
    </row>
    <row r="19" spans="1:206" ht="30" customHeight="1">
      <c r="A19" s="175" t="s">
        <v>41</v>
      </c>
      <c r="B19" s="177" t="s">
        <v>79</v>
      </c>
      <c r="C19" s="175" t="s">
        <v>43</v>
      </c>
      <c r="D19" s="175" t="s">
        <v>44</v>
      </c>
      <c r="E19" s="175" t="s">
        <v>45</v>
      </c>
      <c r="F19" s="175" t="s">
        <v>46</v>
      </c>
      <c r="G19" s="175" t="s">
        <v>69</v>
      </c>
      <c r="H19" s="177" t="s">
        <v>70</v>
      </c>
      <c r="I19" s="175" t="s">
        <v>71</v>
      </c>
      <c r="J19" s="175" t="s">
        <v>47</v>
      </c>
      <c r="K19" s="175" t="s">
        <v>48</v>
      </c>
      <c r="L19" s="175" t="s">
        <v>49</v>
      </c>
      <c r="M19" s="175" t="s">
        <v>72</v>
      </c>
      <c r="N19" s="175" t="s">
        <v>50</v>
      </c>
      <c r="O19" s="196" t="s">
        <v>51</v>
      </c>
      <c r="P19" s="197"/>
      <c r="Q19" s="197"/>
      <c r="R19" s="198" t="s">
        <v>52</v>
      </c>
      <c r="S19" s="175" t="s">
        <v>53</v>
      </c>
      <c r="T19" s="183"/>
      <c r="U19" s="183"/>
      <c r="V19" s="183"/>
      <c r="W19" s="198" t="s">
        <v>54</v>
      </c>
      <c r="X19" s="198" t="s">
        <v>55</v>
      </c>
      <c r="Y19" s="181" t="s">
        <v>56</v>
      </c>
      <c r="Z19" s="181"/>
      <c r="AA19" s="202"/>
      <c r="AB19" s="181" t="s">
        <v>76</v>
      </c>
      <c r="AC19" s="175" t="s">
        <v>57</v>
      </c>
      <c r="AD19" s="175" t="s">
        <v>58</v>
      </c>
      <c r="AE19" s="191" t="s">
        <v>59</v>
      </c>
      <c r="AF19" s="176" t="s">
        <v>74</v>
      </c>
      <c r="AG19" s="15" t="s">
        <v>75</v>
      </c>
      <c r="AH19" s="175" t="s">
        <v>73</v>
      </c>
      <c r="AI19" s="175" t="s">
        <v>60</v>
      </c>
      <c r="AK19" s="17"/>
      <c r="AL19" s="17"/>
      <c r="AN19" s="16"/>
    </row>
    <row r="20" spans="1:206" ht="30" customHeight="1">
      <c r="A20" s="175"/>
      <c r="B20" s="177" t="s">
        <v>42</v>
      </c>
      <c r="C20" s="175"/>
      <c r="D20" s="175"/>
      <c r="E20" s="175"/>
      <c r="F20" s="175"/>
      <c r="G20" s="175"/>
      <c r="H20" s="177"/>
      <c r="I20" s="175"/>
      <c r="J20" s="175" t="s">
        <v>47</v>
      </c>
      <c r="K20" s="175"/>
      <c r="L20" s="175"/>
      <c r="M20" s="175"/>
      <c r="N20" s="175"/>
      <c r="O20" s="197"/>
      <c r="P20" s="197"/>
      <c r="Q20" s="197"/>
      <c r="R20" s="199"/>
      <c r="S20" s="203" t="s">
        <v>61</v>
      </c>
      <c r="T20" s="183"/>
      <c r="U20" s="183"/>
      <c r="V20" s="175" t="s">
        <v>62</v>
      </c>
      <c r="W20" s="199"/>
      <c r="X20" s="198"/>
      <c r="Y20" s="202"/>
      <c r="Z20" s="202"/>
      <c r="AA20" s="202"/>
      <c r="AB20" s="181"/>
      <c r="AC20" s="183"/>
      <c r="AD20" s="183"/>
      <c r="AE20" s="192"/>
      <c r="AF20" s="204"/>
      <c r="AG20" s="18">
        <f>AB2</f>
        <v>0</v>
      </c>
      <c r="AH20" s="194"/>
      <c r="AI20" s="194"/>
      <c r="AK20" s="17"/>
      <c r="AL20" s="17"/>
      <c r="AN20" s="16"/>
    </row>
    <row r="21" spans="1:206" ht="30" customHeight="1">
      <c r="A21" s="176"/>
      <c r="B21" s="178"/>
      <c r="C21" s="176"/>
      <c r="D21" s="176"/>
      <c r="E21" s="176"/>
      <c r="F21" s="176"/>
      <c r="G21" s="176"/>
      <c r="H21" s="178"/>
      <c r="I21" s="176"/>
      <c r="J21" s="176"/>
      <c r="K21" s="176"/>
      <c r="L21" s="176"/>
      <c r="M21" s="176"/>
      <c r="N21" s="176"/>
      <c r="O21" s="19" t="s">
        <v>63</v>
      </c>
      <c r="P21" s="19" t="s">
        <v>64</v>
      </c>
      <c r="Q21" s="19" t="s">
        <v>65</v>
      </c>
      <c r="R21" s="200"/>
      <c r="S21" s="20" t="s">
        <v>63</v>
      </c>
      <c r="T21" s="20" t="s">
        <v>64</v>
      </c>
      <c r="U21" s="20" t="s">
        <v>65</v>
      </c>
      <c r="V21" s="184"/>
      <c r="W21" s="200"/>
      <c r="X21" s="201"/>
      <c r="Y21" s="21" t="s">
        <v>66</v>
      </c>
      <c r="Z21" s="21" t="s">
        <v>67</v>
      </c>
      <c r="AA21" s="21" t="s">
        <v>68</v>
      </c>
      <c r="AB21" s="182"/>
      <c r="AC21" s="184"/>
      <c r="AD21" s="184"/>
      <c r="AE21" s="193"/>
      <c r="AF21" s="205"/>
      <c r="AG21" s="18">
        <f>V2</f>
        <v>0</v>
      </c>
      <c r="AH21" s="195"/>
      <c r="AI21" s="195"/>
      <c r="AK21" s="17"/>
      <c r="AL21" s="17"/>
      <c r="AN21" s="16"/>
    </row>
    <row r="22" spans="1:206">
      <c r="A22" s="22"/>
      <c r="B22" s="23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3"/>
      <c r="S22" s="24"/>
      <c r="T22" s="24"/>
      <c r="U22" s="24"/>
      <c r="V22" s="24"/>
      <c r="W22" s="23"/>
      <c r="X22" s="24"/>
      <c r="Y22" s="23"/>
      <c r="Z22" s="23"/>
      <c r="AA22" s="23"/>
      <c r="AB22" s="24"/>
      <c r="AC22" s="24"/>
      <c r="AD22" s="24"/>
      <c r="AE22" s="23"/>
      <c r="AF22" s="25"/>
      <c r="AG22" s="26"/>
      <c r="AH22" s="26"/>
      <c r="AI22" s="27"/>
      <c r="AJ22" s="53"/>
      <c r="AK22" s="54"/>
      <c r="AL22" s="54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3"/>
      <c r="CJ22" s="53"/>
      <c r="CK22" s="53"/>
      <c r="CL22" s="53"/>
      <c r="CM22" s="53"/>
      <c r="CN22" s="53"/>
      <c r="CO22" s="53"/>
      <c r="CP22" s="53"/>
      <c r="CQ22" s="53"/>
      <c r="CR22" s="53"/>
      <c r="CS22" s="53"/>
      <c r="CT22" s="53"/>
      <c r="CU22" s="53"/>
      <c r="CV22" s="53"/>
      <c r="CW22" s="53"/>
      <c r="CX22" s="53"/>
      <c r="CY22" s="53"/>
      <c r="CZ22" s="53"/>
      <c r="DA22" s="53"/>
      <c r="DB22" s="53"/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  <c r="DR22" s="53"/>
      <c r="DS22" s="53"/>
      <c r="DT22" s="53"/>
      <c r="DU22" s="53"/>
      <c r="DV22" s="53"/>
      <c r="DW22" s="53"/>
      <c r="DX22" s="53"/>
      <c r="DY22" s="53"/>
      <c r="DZ22" s="53"/>
      <c r="EA22" s="53"/>
      <c r="EB22" s="53"/>
      <c r="EC22" s="53"/>
      <c r="ED22" s="53"/>
      <c r="EE22" s="53"/>
      <c r="EF22" s="53"/>
      <c r="EG22" s="53"/>
      <c r="EH22" s="53"/>
      <c r="EI22" s="53"/>
      <c r="EJ22" s="53"/>
      <c r="EK22" s="53"/>
      <c r="EL22" s="53"/>
      <c r="EM22" s="53"/>
      <c r="EN22" s="53"/>
      <c r="EO22" s="53"/>
      <c r="EP22" s="53"/>
      <c r="EQ22" s="53"/>
      <c r="ER22" s="53"/>
      <c r="ES22" s="53"/>
      <c r="ET22" s="53"/>
      <c r="EU22" s="53"/>
      <c r="EV22" s="53"/>
      <c r="EW22" s="53"/>
      <c r="EX22" s="53"/>
      <c r="EY22" s="53"/>
      <c r="EZ22" s="53"/>
      <c r="FA22" s="53"/>
      <c r="FB22" s="53"/>
      <c r="FC22" s="53"/>
      <c r="FD22" s="53"/>
      <c r="FE22" s="53"/>
      <c r="FF22" s="53"/>
      <c r="FG22" s="53"/>
      <c r="FH22" s="53"/>
      <c r="FI22" s="53"/>
      <c r="FJ22" s="53"/>
      <c r="FK22" s="53"/>
      <c r="FL22" s="53"/>
      <c r="FM22" s="53"/>
      <c r="FN22" s="53"/>
      <c r="FO22" s="53"/>
      <c r="FP22" s="53"/>
      <c r="FQ22" s="53"/>
      <c r="FR22" s="53"/>
      <c r="FS22" s="53"/>
      <c r="FT22" s="53"/>
      <c r="FU22" s="53"/>
      <c r="FV22" s="53"/>
      <c r="FW22" s="53"/>
      <c r="FX22" s="53"/>
      <c r="FY22" s="53"/>
      <c r="FZ22" s="53"/>
      <c r="GA22" s="53"/>
      <c r="GB22" s="53"/>
      <c r="GC22" s="53"/>
      <c r="GD22" s="53"/>
      <c r="GE22" s="53"/>
      <c r="GF22" s="53"/>
      <c r="GG22" s="53"/>
      <c r="GH22" s="53"/>
      <c r="GI22" s="53"/>
      <c r="GJ22" s="53"/>
      <c r="GK22" s="53"/>
      <c r="GL22" s="53"/>
      <c r="GM22" s="53"/>
      <c r="GN22" s="53"/>
      <c r="GO22" s="53"/>
      <c r="GP22" s="53"/>
      <c r="GQ22" s="53"/>
      <c r="GR22" s="53"/>
      <c r="GS22" s="53"/>
      <c r="GT22" s="53"/>
      <c r="GU22" s="53"/>
      <c r="GV22" s="53"/>
      <c r="GW22" s="53"/>
      <c r="GX22" s="53"/>
    </row>
    <row r="23" spans="1:206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30"/>
      <c r="AH23" s="30"/>
      <c r="AI23" s="31"/>
      <c r="AJ23" s="53"/>
      <c r="AK23" s="54"/>
      <c r="AL23" s="54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3"/>
      <c r="CJ23" s="53"/>
      <c r="CK23" s="53"/>
      <c r="CL23" s="53"/>
      <c r="CM23" s="53"/>
      <c r="CN23" s="53"/>
      <c r="CO23" s="53"/>
      <c r="CP23" s="53"/>
      <c r="CQ23" s="53"/>
      <c r="CR23" s="53"/>
      <c r="CS23" s="53"/>
      <c r="CT23" s="53"/>
      <c r="CU23" s="53"/>
      <c r="CV23" s="53"/>
      <c r="CW23" s="53"/>
      <c r="CX23" s="53"/>
      <c r="CY23" s="53"/>
      <c r="CZ23" s="53"/>
      <c r="DA23" s="53"/>
      <c r="DB23" s="53"/>
      <c r="DC23" s="53"/>
      <c r="DD23" s="53"/>
      <c r="DE23" s="53"/>
      <c r="DF23" s="53"/>
      <c r="DG23" s="53"/>
      <c r="DH23" s="53"/>
      <c r="DI23" s="53"/>
      <c r="DJ23" s="53"/>
      <c r="DK23" s="53"/>
      <c r="DL23" s="53"/>
      <c r="DM23" s="53"/>
      <c r="DN23" s="53"/>
      <c r="DO23" s="53"/>
      <c r="DP23" s="53"/>
      <c r="DQ23" s="53"/>
      <c r="DR23" s="53"/>
      <c r="DS23" s="53"/>
      <c r="DT23" s="53"/>
      <c r="DU23" s="53"/>
      <c r="DV23" s="53"/>
      <c r="DW23" s="53"/>
      <c r="DX23" s="53"/>
      <c r="DY23" s="53"/>
      <c r="DZ23" s="53"/>
      <c r="EA23" s="53"/>
      <c r="EB23" s="53"/>
      <c r="EC23" s="53"/>
      <c r="ED23" s="53"/>
      <c r="EE23" s="53"/>
      <c r="EF23" s="53"/>
      <c r="EG23" s="53"/>
      <c r="EH23" s="53"/>
      <c r="EI23" s="53"/>
      <c r="EJ23" s="53"/>
      <c r="EK23" s="53"/>
      <c r="EL23" s="53"/>
      <c r="EM23" s="53"/>
      <c r="EN23" s="53"/>
      <c r="EO23" s="53"/>
      <c r="EP23" s="53"/>
      <c r="EQ23" s="53"/>
      <c r="ER23" s="53"/>
      <c r="ES23" s="53"/>
      <c r="ET23" s="53"/>
      <c r="EU23" s="53"/>
      <c r="EV23" s="53"/>
      <c r="EW23" s="53"/>
      <c r="EX23" s="53"/>
      <c r="EY23" s="53"/>
      <c r="EZ23" s="53"/>
      <c r="FA23" s="53"/>
      <c r="FB23" s="53"/>
      <c r="FC23" s="53"/>
      <c r="FD23" s="53"/>
      <c r="FE23" s="53"/>
      <c r="FF23" s="53"/>
      <c r="FG23" s="53"/>
      <c r="FH23" s="53"/>
      <c r="FI23" s="53"/>
      <c r="FJ23" s="53"/>
      <c r="FK23" s="53"/>
      <c r="FL23" s="53"/>
      <c r="FM23" s="53"/>
      <c r="FN23" s="53"/>
      <c r="FO23" s="53"/>
      <c r="FP23" s="53"/>
      <c r="FQ23" s="53"/>
      <c r="FR23" s="53"/>
      <c r="FS23" s="53"/>
      <c r="FT23" s="53"/>
      <c r="FU23" s="53"/>
      <c r="FV23" s="53"/>
      <c r="FW23" s="53"/>
      <c r="FX23" s="53"/>
      <c r="FY23" s="53"/>
      <c r="FZ23" s="53"/>
      <c r="GA23" s="53"/>
      <c r="GB23" s="53"/>
      <c r="GC23" s="53"/>
      <c r="GD23" s="53"/>
      <c r="GE23" s="53"/>
      <c r="GF23" s="53"/>
      <c r="GG23" s="53"/>
      <c r="GH23" s="53"/>
      <c r="GI23" s="53"/>
      <c r="GJ23" s="53"/>
      <c r="GK23" s="53"/>
      <c r="GL23" s="53"/>
      <c r="GM23" s="53"/>
      <c r="GN23" s="53"/>
      <c r="GO23" s="53"/>
      <c r="GP23" s="53"/>
      <c r="GQ23" s="53"/>
      <c r="GR23" s="53"/>
      <c r="GS23" s="53"/>
      <c r="GT23" s="53"/>
      <c r="GU23" s="53"/>
      <c r="GV23" s="53"/>
      <c r="GW23" s="53"/>
      <c r="GX23" s="53"/>
    </row>
    <row r="24" spans="1:206">
      <c r="Y24" s="16"/>
      <c r="Z24" s="16"/>
      <c r="AA24" s="16"/>
      <c r="AB24" s="16"/>
      <c r="AK24" s="17"/>
      <c r="AL24" s="17"/>
    </row>
    <row r="25" spans="1:206">
      <c r="A25" s="179"/>
      <c r="B25" s="179"/>
      <c r="C25" s="179"/>
      <c r="D25" s="179"/>
      <c r="E25" s="179"/>
      <c r="F25" s="179"/>
      <c r="G25" s="179"/>
      <c r="H25" s="179"/>
      <c r="I25" s="179"/>
      <c r="J25" s="179"/>
      <c r="K25" s="179"/>
      <c r="L25" s="179"/>
      <c r="M25" s="179"/>
      <c r="N25" s="179"/>
      <c r="O25" s="179"/>
      <c r="P25" s="179"/>
      <c r="Q25" s="179"/>
      <c r="R25" s="179"/>
      <c r="S25" s="179"/>
      <c r="T25" s="179"/>
      <c r="U25" s="179"/>
      <c r="V25" s="179"/>
      <c r="W25" s="179"/>
      <c r="X25" s="179"/>
      <c r="Y25" s="179"/>
      <c r="Z25" s="179"/>
      <c r="AA25" s="179"/>
      <c r="AB25" s="179"/>
      <c r="AC25" s="180"/>
      <c r="AD25" s="180"/>
      <c r="AE25" s="57"/>
      <c r="AF25" s="57"/>
      <c r="AG25" s="58"/>
      <c r="AH25" s="58"/>
      <c r="AI25" s="59"/>
      <c r="AK25" s="17"/>
      <c r="AL25" s="17"/>
    </row>
    <row r="26" spans="1:206">
      <c r="AK26" s="17"/>
      <c r="AL26" s="17"/>
    </row>
    <row r="27" spans="1:206">
      <c r="AK27" s="17"/>
      <c r="AL27" s="17"/>
    </row>
    <row r="28" spans="1:206">
      <c r="AK28" s="17"/>
      <c r="AL28" s="17"/>
    </row>
    <row r="29" spans="1:206">
      <c r="AK29" s="17"/>
      <c r="AL29" s="17"/>
    </row>
    <row r="30" spans="1:206">
      <c r="AK30" s="17"/>
      <c r="AL30" s="17"/>
    </row>
    <row r="31" spans="1:206">
      <c r="AK31" s="17"/>
      <c r="AL31" s="17"/>
    </row>
    <row r="32" spans="1:206">
      <c r="AK32" s="17"/>
      <c r="AL32" s="17"/>
    </row>
    <row r="33" spans="37:38">
      <c r="AK33" s="17"/>
      <c r="AL33" s="17"/>
    </row>
    <row r="34" spans="37:38">
      <c r="AK34" s="17"/>
      <c r="AL34" s="17"/>
    </row>
    <row r="35" spans="37:38">
      <c r="AK35" s="17"/>
      <c r="AL35" s="17"/>
    </row>
    <row r="36" spans="37:38">
      <c r="AK36" s="17"/>
      <c r="AL36" s="17"/>
    </row>
    <row r="37" spans="37:38">
      <c r="AK37" s="17"/>
      <c r="AL37" s="17"/>
    </row>
    <row r="38" spans="37:38">
      <c r="AK38" s="17"/>
      <c r="AL38" s="17"/>
    </row>
    <row r="39" spans="37:38">
      <c r="AK39" s="17"/>
      <c r="AL39" s="17"/>
    </row>
    <row r="40" spans="37:38">
      <c r="AK40" s="17"/>
      <c r="AL40" s="17"/>
    </row>
    <row r="41" spans="37:38">
      <c r="AK41" s="17"/>
      <c r="AL41" s="17"/>
    </row>
    <row r="42" spans="37:38">
      <c r="AK42" s="17"/>
      <c r="AL42" s="17"/>
    </row>
    <row r="43" spans="37:38">
      <c r="AK43" s="17"/>
      <c r="AL43" s="17"/>
    </row>
    <row r="44" spans="37:38">
      <c r="AK44" s="17"/>
      <c r="AL44" s="17"/>
    </row>
    <row r="45" spans="37:38">
      <c r="AK45" s="17"/>
      <c r="AL45" s="17"/>
    </row>
    <row r="46" spans="37:38">
      <c r="AK46" s="17"/>
      <c r="AL46" s="17"/>
    </row>
    <row r="47" spans="37:38">
      <c r="AK47" s="17"/>
      <c r="AL47" s="17"/>
    </row>
    <row r="48" spans="37:38">
      <c r="AK48" s="17"/>
      <c r="AL48" s="17"/>
    </row>
    <row r="49" spans="37:38">
      <c r="AK49" s="17"/>
      <c r="AL49" s="17"/>
    </row>
    <row r="50" spans="37:38">
      <c r="AK50" s="17"/>
      <c r="AL50" s="17"/>
    </row>
    <row r="51" spans="37:38">
      <c r="AK51" s="17"/>
      <c r="AL51" s="17"/>
    </row>
    <row r="52" spans="37:38">
      <c r="AK52" s="17"/>
      <c r="AL52" s="17"/>
    </row>
    <row r="53" spans="37:38">
      <c r="AK53" s="17"/>
      <c r="AL53" s="17"/>
    </row>
    <row r="54" spans="37:38">
      <c r="AK54" s="17"/>
      <c r="AL54" s="17"/>
    </row>
    <row r="55" spans="37:38">
      <c r="AK55" s="17"/>
      <c r="AL55" s="17"/>
    </row>
    <row r="56" spans="37:38">
      <c r="AK56" s="17"/>
      <c r="AL56" s="17"/>
    </row>
    <row r="57" spans="37:38">
      <c r="AK57" s="17"/>
      <c r="AL57" s="17"/>
    </row>
    <row r="58" spans="37:38">
      <c r="AK58" s="17"/>
      <c r="AL58" s="17"/>
    </row>
    <row r="59" spans="37:38">
      <c r="AK59" s="17"/>
      <c r="AL59" s="17"/>
    </row>
    <row r="60" spans="37:38">
      <c r="AK60" s="17"/>
      <c r="AL60" s="17"/>
    </row>
    <row r="61" spans="37:38">
      <c r="AK61" s="17"/>
      <c r="AL61" s="17"/>
    </row>
    <row r="62" spans="37:38">
      <c r="AK62" s="17"/>
      <c r="AL62" s="17"/>
    </row>
    <row r="63" spans="37:38">
      <c r="AK63" s="17"/>
      <c r="AL63" s="17"/>
    </row>
    <row r="64" spans="37:38">
      <c r="AK64" s="17"/>
      <c r="AL64" s="17"/>
    </row>
    <row r="65" spans="37:38">
      <c r="AK65" s="17"/>
      <c r="AL65" s="17"/>
    </row>
    <row r="66" spans="37:38">
      <c r="AK66" s="17"/>
      <c r="AL66" s="17"/>
    </row>
    <row r="67" spans="37:38">
      <c r="AK67" s="17"/>
      <c r="AL67" s="17"/>
    </row>
    <row r="68" spans="37:38">
      <c r="AK68" s="17"/>
      <c r="AL68" s="17"/>
    </row>
    <row r="69" spans="37:38">
      <c r="AK69" s="17"/>
      <c r="AL69" s="17"/>
    </row>
    <row r="70" spans="37:38">
      <c r="AK70" s="17"/>
      <c r="AL70" s="17"/>
    </row>
    <row r="71" spans="37:38">
      <c r="AK71" s="17"/>
      <c r="AL71" s="17"/>
    </row>
    <row r="72" spans="37:38">
      <c r="AK72" s="17"/>
      <c r="AL72" s="17"/>
    </row>
    <row r="73" spans="37:38">
      <c r="AK73" s="17"/>
      <c r="AL73" s="17"/>
    </row>
    <row r="74" spans="37:38">
      <c r="AK74" s="17"/>
      <c r="AL74" s="17"/>
    </row>
    <row r="75" spans="37:38">
      <c r="AK75" s="17"/>
      <c r="AL75" s="17"/>
    </row>
    <row r="76" spans="37:38">
      <c r="AK76" s="17"/>
      <c r="AL76" s="17"/>
    </row>
    <row r="77" spans="37:38">
      <c r="AK77" s="17"/>
      <c r="AL77" s="17"/>
    </row>
    <row r="78" spans="37:38">
      <c r="AK78" s="17"/>
      <c r="AL78" s="17"/>
    </row>
    <row r="79" spans="37:38">
      <c r="AK79" s="17"/>
      <c r="AL79" s="17"/>
    </row>
    <row r="80" spans="37:38">
      <c r="AK80" s="17"/>
      <c r="AL80" s="17"/>
    </row>
    <row r="81" spans="37:38">
      <c r="AK81" s="17"/>
      <c r="AL81" s="17"/>
    </row>
    <row r="82" spans="37:38">
      <c r="AK82" s="17"/>
      <c r="AL82" s="17"/>
    </row>
    <row r="83" spans="37:38">
      <c r="AK83" s="17"/>
      <c r="AL83" s="17"/>
    </row>
    <row r="84" spans="37:38">
      <c r="AK84" s="17"/>
      <c r="AL84" s="17"/>
    </row>
    <row r="85" spans="37:38">
      <c r="AK85" s="17"/>
      <c r="AL85" s="17"/>
    </row>
    <row r="86" spans="37:38">
      <c r="AK86" s="17"/>
      <c r="AL86" s="17"/>
    </row>
    <row r="87" spans="37:38">
      <c r="AK87" s="17"/>
      <c r="AL87" s="17"/>
    </row>
    <row r="88" spans="37:38">
      <c r="AK88" s="17"/>
      <c r="AL88" s="17"/>
    </row>
    <row r="89" spans="37:38">
      <c r="AK89" s="17"/>
      <c r="AL89" s="17"/>
    </row>
    <row r="90" spans="37:38">
      <c r="AK90" s="17"/>
      <c r="AL90" s="17"/>
    </row>
    <row r="91" spans="37:38">
      <c r="AK91" s="17"/>
      <c r="AL91" s="17"/>
    </row>
    <row r="92" spans="37:38">
      <c r="AK92" s="17"/>
      <c r="AL92" s="17"/>
    </row>
    <row r="93" spans="37:38">
      <c r="AK93" s="17"/>
      <c r="AL93" s="17"/>
    </row>
    <row r="94" spans="37:38">
      <c r="AK94" s="17"/>
      <c r="AL94" s="17"/>
    </row>
    <row r="95" spans="37:38">
      <c r="AK95" s="17"/>
      <c r="AL95" s="17"/>
    </row>
    <row r="96" spans="37:38">
      <c r="AK96" s="17"/>
      <c r="AL96" s="17"/>
    </row>
    <row r="97" spans="37:38">
      <c r="AK97" s="17"/>
      <c r="AL97" s="17"/>
    </row>
    <row r="98" spans="37:38">
      <c r="AK98" s="17"/>
      <c r="AL98" s="17"/>
    </row>
    <row r="99" spans="37:38">
      <c r="AK99" s="17"/>
      <c r="AL99" s="17"/>
    </row>
    <row r="100" spans="37:38">
      <c r="AK100" s="17"/>
      <c r="AL100" s="17"/>
    </row>
    <row r="101" spans="37:38">
      <c r="AK101" s="17"/>
      <c r="AL101" s="17"/>
    </row>
    <row r="102" spans="37:38">
      <c r="AK102" s="17"/>
      <c r="AL102" s="17"/>
    </row>
    <row r="103" spans="37:38">
      <c r="AK103" s="17"/>
      <c r="AL103" s="17"/>
    </row>
    <row r="104" spans="37:38">
      <c r="AK104" s="17"/>
      <c r="AL104" s="17"/>
    </row>
    <row r="105" spans="37:38">
      <c r="AK105" s="17"/>
      <c r="AL105" s="17"/>
    </row>
    <row r="106" spans="37:38">
      <c r="AK106" s="17"/>
      <c r="AL106" s="17"/>
    </row>
    <row r="107" spans="37:38">
      <c r="AK107" s="17"/>
      <c r="AL107" s="17"/>
    </row>
    <row r="108" spans="37:38">
      <c r="AK108" s="17"/>
      <c r="AL108" s="17"/>
    </row>
    <row r="109" spans="37:38">
      <c r="AK109" s="17"/>
      <c r="AL109" s="17"/>
    </row>
    <row r="110" spans="37:38">
      <c r="AK110" s="17"/>
      <c r="AL110" s="17"/>
    </row>
    <row r="111" spans="37:38">
      <c r="AK111" s="17"/>
      <c r="AL111" s="17"/>
    </row>
    <row r="112" spans="37:38">
      <c r="AK112" s="17"/>
      <c r="AL112" s="17"/>
    </row>
    <row r="113" spans="37:38">
      <c r="AK113" s="17"/>
      <c r="AL113" s="17"/>
    </row>
    <row r="114" spans="37:38">
      <c r="AK114" s="17"/>
      <c r="AL114" s="17"/>
    </row>
    <row r="115" spans="37:38">
      <c r="AK115" s="17"/>
      <c r="AL115" s="17"/>
    </row>
    <row r="116" spans="37:38">
      <c r="AK116" s="17"/>
      <c r="AL116" s="17"/>
    </row>
    <row r="117" spans="37:38">
      <c r="AK117" s="17"/>
      <c r="AL117" s="17"/>
    </row>
    <row r="118" spans="37:38">
      <c r="AK118" s="17"/>
      <c r="AL118" s="17"/>
    </row>
    <row r="119" spans="37:38">
      <c r="AK119" s="17"/>
      <c r="AL119" s="17"/>
    </row>
    <row r="120" spans="37:38">
      <c r="AK120" s="17"/>
      <c r="AL120" s="17"/>
    </row>
    <row r="121" spans="37:38">
      <c r="AK121" s="17"/>
      <c r="AL121" s="17"/>
    </row>
    <row r="122" spans="37:38">
      <c r="AK122" s="17"/>
      <c r="AL122" s="17"/>
    </row>
    <row r="123" spans="37:38">
      <c r="AK123" s="17"/>
      <c r="AL123" s="17"/>
    </row>
    <row r="124" spans="37:38">
      <c r="AK124" s="17"/>
      <c r="AL124" s="17"/>
    </row>
    <row r="125" spans="37:38">
      <c r="AK125" s="17"/>
      <c r="AL125" s="17"/>
    </row>
    <row r="126" spans="37:38">
      <c r="AK126" s="17"/>
      <c r="AL126" s="17"/>
    </row>
    <row r="127" spans="37:38">
      <c r="AK127" s="17"/>
      <c r="AL127" s="17"/>
    </row>
    <row r="128" spans="37:38">
      <c r="AK128" s="17"/>
      <c r="AL128" s="17"/>
    </row>
    <row r="129" spans="37:38">
      <c r="AK129" s="17"/>
      <c r="AL129" s="17"/>
    </row>
    <row r="130" spans="37:38">
      <c r="AK130" s="17"/>
      <c r="AL130" s="17"/>
    </row>
    <row r="131" spans="37:38">
      <c r="AK131" s="17"/>
      <c r="AL131" s="17"/>
    </row>
    <row r="132" spans="37:38">
      <c r="AK132" s="17"/>
      <c r="AL132" s="17"/>
    </row>
    <row r="133" spans="37:38">
      <c r="AK133" s="17"/>
      <c r="AL133" s="17"/>
    </row>
    <row r="134" spans="37:38">
      <c r="AK134" s="17"/>
      <c r="AL134" s="17"/>
    </row>
    <row r="135" spans="37:38">
      <c r="AK135" s="17"/>
      <c r="AL135" s="17"/>
    </row>
    <row r="136" spans="37:38">
      <c r="AK136" s="17"/>
      <c r="AL136" s="17"/>
    </row>
    <row r="137" spans="37:38">
      <c r="AK137" s="17"/>
      <c r="AL137" s="17"/>
    </row>
    <row r="138" spans="37:38">
      <c r="AK138" s="17"/>
      <c r="AL138" s="17"/>
    </row>
    <row r="139" spans="37:38">
      <c r="AK139" s="17"/>
      <c r="AL139" s="17"/>
    </row>
    <row r="140" spans="37:38">
      <c r="AK140" s="17"/>
      <c r="AL140" s="17"/>
    </row>
    <row r="141" spans="37:38">
      <c r="AK141" s="17"/>
      <c r="AL141" s="17"/>
    </row>
    <row r="142" spans="37:38">
      <c r="AK142" s="17"/>
      <c r="AL142" s="17"/>
    </row>
    <row r="143" spans="37:38">
      <c r="AK143" s="17"/>
      <c r="AL143" s="17"/>
    </row>
    <row r="144" spans="37:38">
      <c r="AK144" s="17"/>
      <c r="AL144" s="17"/>
    </row>
    <row r="145" spans="37:38">
      <c r="AK145" s="17"/>
      <c r="AL145" s="17"/>
    </row>
    <row r="146" spans="37:38">
      <c r="AK146" s="17"/>
      <c r="AL146" s="17"/>
    </row>
    <row r="147" spans="37:38">
      <c r="AK147" s="17"/>
      <c r="AL147" s="17"/>
    </row>
    <row r="148" spans="37:38">
      <c r="AK148" s="17"/>
      <c r="AL148" s="17"/>
    </row>
    <row r="149" spans="37:38">
      <c r="AK149" s="17"/>
      <c r="AL149" s="17"/>
    </row>
    <row r="150" spans="37:38">
      <c r="AK150" s="17"/>
      <c r="AL150" s="17"/>
    </row>
    <row r="151" spans="37:38">
      <c r="AK151" s="17"/>
      <c r="AL151" s="17"/>
    </row>
    <row r="152" spans="37:38">
      <c r="AK152" s="17"/>
      <c r="AL152" s="17"/>
    </row>
    <row r="153" spans="37:38">
      <c r="AK153" s="17"/>
      <c r="AL153" s="17"/>
    </row>
    <row r="154" spans="37:38">
      <c r="AK154" s="17"/>
      <c r="AL154" s="17"/>
    </row>
    <row r="155" spans="37:38">
      <c r="AK155" s="17"/>
      <c r="AL155" s="17"/>
    </row>
    <row r="156" spans="37:38">
      <c r="AK156" s="17"/>
      <c r="AL156" s="17"/>
    </row>
    <row r="157" spans="37:38">
      <c r="AK157" s="17"/>
      <c r="AL157" s="17"/>
    </row>
    <row r="158" spans="37:38">
      <c r="AK158" s="17"/>
      <c r="AL158" s="17"/>
    </row>
    <row r="159" spans="37:38">
      <c r="AK159" s="17"/>
      <c r="AL159" s="17"/>
    </row>
    <row r="160" spans="37:38">
      <c r="AK160" s="17"/>
      <c r="AL160" s="17"/>
    </row>
    <row r="161" spans="37:38">
      <c r="AK161" s="17"/>
      <c r="AL161" s="17"/>
    </row>
    <row r="162" spans="37:38">
      <c r="AK162" s="17"/>
      <c r="AL162" s="17"/>
    </row>
    <row r="163" spans="37:38">
      <c r="AK163" s="17"/>
      <c r="AL163" s="17"/>
    </row>
    <row r="164" spans="37:38">
      <c r="AK164" s="17"/>
      <c r="AL164" s="17"/>
    </row>
    <row r="165" spans="37:38">
      <c r="AK165" s="17"/>
      <c r="AL165" s="17"/>
    </row>
    <row r="166" spans="37:38">
      <c r="AK166" s="17"/>
      <c r="AL166" s="17"/>
    </row>
    <row r="167" spans="37:38">
      <c r="AK167" s="17"/>
      <c r="AL167" s="17"/>
    </row>
    <row r="168" spans="37:38">
      <c r="AK168" s="17"/>
      <c r="AL168" s="17"/>
    </row>
    <row r="169" spans="37:38">
      <c r="AK169" s="17"/>
      <c r="AL169" s="17"/>
    </row>
    <row r="170" spans="37:38">
      <c r="AK170" s="17"/>
      <c r="AL170" s="17"/>
    </row>
    <row r="171" spans="37:38">
      <c r="AK171" s="17"/>
      <c r="AL171" s="17"/>
    </row>
    <row r="172" spans="37:38">
      <c r="AK172" s="17"/>
      <c r="AL172" s="17"/>
    </row>
    <row r="173" spans="37:38">
      <c r="AK173" s="17"/>
      <c r="AL173" s="17"/>
    </row>
    <row r="174" spans="37:38">
      <c r="AK174" s="17"/>
      <c r="AL174" s="17"/>
    </row>
    <row r="175" spans="37:38">
      <c r="AK175" s="17"/>
      <c r="AL175" s="17"/>
    </row>
    <row r="176" spans="37:38">
      <c r="AK176" s="17"/>
      <c r="AL176" s="17"/>
    </row>
    <row r="177" spans="37:38">
      <c r="AK177" s="17"/>
      <c r="AL177" s="17"/>
    </row>
    <row r="178" spans="37:38">
      <c r="AK178" s="17"/>
      <c r="AL178" s="17"/>
    </row>
    <row r="179" spans="37:38">
      <c r="AK179" s="17"/>
      <c r="AL179" s="17"/>
    </row>
    <row r="180" spans="37:38">
      <c r="AK180" s="17"/>
      <c r="AL180" s="17"/>
    </row>
    <row r="181" spans="37:38">
      <c r="AK181" s="17"/>
      <c r="AL181" s="17"/>
    </row>
    <row r="182" spans="37:38">
      <c r="AK182" s="17"/>
      <c r="AL182" s="17"/>
    </row>
    <row r="183" spans="37:38">
      <c r="AK183" s="17"/>
      <c r="AL183" s="17"/>
    </row>
    <row r="184" spans="37:38">
      <c r="AK184" s="17"/>
      <c r="AL184" s="17"/>
    </row>
    <row r="185" spans="37:38">
      <c r="AK185" s="17"/>
      <c r="AL185" s="17"/>
    </row>
    <row r="186" spans="37:38">
      <c r="AK186" s="17"/>
      <c r="AL186" s="17"/>
    </row>
    <row r="187" spans="37:38">
      <c r="AK187" s="17"/>
      <c r="AL187" s="17"/>
    </row>
    <row r="188" spans="37:38">
      <c r="AK188" s="17"/>
      <c r="AL188" s="17"/>
    </row>
    <row r="189" spans="37:38">
      <c r="AK189" s="17"/>
      <c r="AL189" s="17"/>
    </row>
    <row r="190" spans="37:38">
      <c r="AK190" s="17"/>
      <c r="AL190" s="17"/>
    </row>
    <row r="191" spans="37:38">
      <c r="AK191" s="17"/>
      <c r="AL191" s="17"/>
    </row>
    <row r="192" spans="37:38">
      <c r="AK192" s="17"/>
      <c r="AL192" s="17"/>
    </row>
    <row r="193" spans="37:38">
      <c r="AK193" s="17"/>
      <c r="AL193" s="17"/>
    </row>
    <row r="194" spans="37:38">
      <c r="AK194" s="17"/>
      <c r="AL194" s="17"/>
    </row>
    <row r="195" spans="37:38">
      <c r="AK195" s="17"/>
      <c r="AL195" s="17"/>
    </row>
    <row r="196" spans="37:38">
      <c r="AK196" s="17"/>
      <c r="AL196" s="17"/>
    </row>
    <row r="197" spans="37:38">
      <c r="AK197" s="17"/>
      <c r="AL197" s="17"/>
    </row>
    <row r="198" spans="37:38">
      <c r="AK198" s="17"/>
      <c r="AL198" s="17"/>
    </row>
    <row r="199" spans="37:38">
      <c r="AK199" s="17"/>
      <c r="AL199" s="17"/>
    </row>
    <row r="200" spans="37:38">
      <c r="AK200" s="17"/>
      <c r="AL200" s="17"/>
    </row>
    <row r="201" spans="37:38">
      <c r="AK201" s="17"/>
      <c r="AL201" s="17"/>
    </row>
    <row r="202" spans="37:38">
      <c r="AK202" s="17"/>
      <c r="AL202" s="17"/>
    </row>
    <row r="203" spans="37:38">
      <c r="AK203" s="17"/>
      <c r="AL203" s="17"/>
    </row>
    <row r="204" spans="37:38">
      <c r="AK204" s="17"/>
      <c r="AL204" s="17"/>
    </row>
    <row r="205" spans="37:38">
      <c r="AK205" s="17"/>
      <c r="AL205" s="17"/>
    </row>
    <row r="206" spans="37:38">
      <c r="AK206" s="17"/>
      <c r="AL206" s="17"/>
    </row>
    <row r="207" spans="37:38">
      <c r="AK207" s="17"/>
      <c r="AL207" s="17"/>
    </row>
    <row r="208" spans="37:38">
      <c r="AK208" s="17"/>
      <c r="AL208" s="17"/>
    </row>
    <row r="209" spans="37:38">
      <c r="AK209" s="17"/>
      <c r="AL209" s="17"/>
    </row>
    <row r="210" spans="37:38">
      <c r="AK210" s="17"/>
      <c r="AL210" s="17"/>
    </row>
    <row r="211" spans="37:38">
      <c r="AK211" s="17"/>
      <c r="AL211" s="17"/>
    </row>
    <row r="212" spans="37:38">
      <c r="AK212" s="17"/>
      <c r="AL212" s="17"/>
    </row>
    <row r="213" spans="37:38">
      <c r="AK213" s="17"/>
      <c r="AL213" s="17"/>
    </row>
    <row r="214" spans="37:38">
      <c r="AK214" s="17"/>
      <c r="AL214" s="17"/>
    </row>
    <row r="215" spans="37:38">
      <c r="AK215" s="17"/>
      <c r="AL215" s="17"/>
    </row>
    <row r="216" spans="37:38">
      <c r="AK216" s="17"/>
      <c r="AL216" s="17"/>
    </row>
    <row r="217" spans="37:38">
      <c r="AK217" s="17"/>
      <c r="AL217" s="17"/>
    </row>
    <row r="218" spans="37:38">
      <c r="AK218" s="17"/>
      <c r="AL218" s="17"/>
    </row>
    <row r="219" spans="37:38">
      <c r="AK219" s="17"/>
      <c r="AL219" s="17"/>
    </row>
    <row r="220" spans="37:38">
      <c r="AK220" s="17"/>
      <c r="AL220" s="17"/>
    </row>
    <row r="221" spans="37:38">
      <c r="AK221" s="17"/>
      <c r="AL221" s="17"/>
    </row>
    <row r="222" spans="37:38">
      <c r="AK222" s="17"/>
      <c r="AL222" s="17"/>
    </row>
    <row r="223" spans="37:38">
      <c r="AK223" s="17"/>
      <c r="AL223" s="17"/>
    </row>
    <row r="224" spans="37:38">
      <c r="AK224" s="17"/>
      <c r="AL224" s="17"/>
    </row>
    <row r="225" spans="37:38">
      <c r="AK225" s="17"/>
      <c r="AL225" s="17"/>
    </row>
    <row r="226" spans="37:38">
      <c r="AK226" s="17"/>
      <c r="AL226" s="17"/>
    </row>
    <row r="227" spans="37:38">
      <c r="AK227" s="17"/>
      <c r="AL227" s="17"/>
    </row>
    <row r="228" spans="37:38">
      <c r="AK228" s="17"/>
      <c r="AL228" s="17"/>
    </row>
    <row r="229" spans="37:38">
      <c r="AK229" s="17"/>
      <c r="AL229" s="17"/>
    </row>
    <row r="230" spans="37:38">
      <c r="AK230" s="17"/>
      <c r="AL230" s="17"/>
    </row>
    <row r="231" spans="37:38">
      <c r="AK231" s="17"/>
      <c r="AL231" s="17"/>
    </row>
    <row r="232" spans="37:38">
      <c r="AK232" s="17"/>
      <c r="AL232" s="17"/>
    </row>
    <row r="233" spans="37:38">
      <c r="AK233" s="17"/>
      <c r="AL233" s="17"/>
    </row>
    <row r="234" spans="37:38">
      <c r="AK234" s="17"/>
      <c r="AL234" s="17"/>
    </row>
    <row r="235" spans="37:38">
      <c r="AK235" s="17"/>
      <c r="AL235" s="17"/>
    </row>
    <row r="236" spans="37:38">
      <c r="AK236" s="17"/>
      <c r="AL236" s="17"/>
    </row>
    <row r="237" spans="37:38">
      <c r="AK237" s="17"/>
      <c r="AL237" s="17"/>
    </row>
    <row r="238" spans="37:38">
      <c r="AK238" s="17"/>
      <c r="AL238" s="17"/>
    </row>
    <row r="239" spans="37:38">
      <c r="AK239" s="17"/>
      <c r="AL239" s="17"/>
    </row>
    <row r="240" spans="37:38">
      <c r="AK240" s="17"/>
      <c r="AL240" s="17"/>
    </row>
    <row r="241" spans="37:38">
      <c r="AK241" s="17"/>
      <c r="AL241" s="17"/>
    </row>
    <row r="242" spans="37:38">
      <c r="AK242" s="17"/>
      <c r="AL242" s="17"/>
    </row>
    <row r="243" spans="37:38">
      <c r="AK243" s="17"/>
      <c r="AL243" s="17"/>
    </row>
    <row r="244" spans="37:38">
      <c r="AK244" s="17"/>
      <c r="AL244" s="17"/>
    </row>
    <row r="245" spans="37:38">
      <c r="AK245" s="17"/>
      <c r="AL245" s="17"/>
    </row>
    <row r="246" spans="37:38">
      <c r="AK246" s="17"/>
      <c r="AL246" s="17"/>
    </row>
    <row r="247" spans="37:38">
      <c r="AK247" s="17"/>
      <c r="AL247" s="17"/>
    </row>
    <row r="248" spans="37:38">
      <c r="AK248" s="17"/>
      <c r="AL248" s="17"/>
    </row>
    <row r="249" spans="37:38">
      <c r="AK249" s="17"/>
      <c r="AL249" s="17"/>
    </row>
    <row r="250" spans="37:38">
      <c r="AK250" s="17"/>
      <c r="AL250" s="17"/>
    </row>
    <row r="251" spans="37:38">
      <c r="AK251" s="17"/>
      <c r="AL251" s="17"/>
    </row>
    <row r="252" spans="37:38">
      <c r="AK252" s="17"/>
      <c r="AL252" s="17"/>
    </row>
    <row r="253" spans="37:38">
      <c r="AK253" s="17"/>
      <c r="AL253" s="17"/>
    </row>
    <row r="254" spans="37:38">
      <c r="AK254" s="17"/>
      <c r="AL254" s="17"/>
    </row>
    <row r="255" spans="37:38">
      <c r="AK255" s="17"/>
      <c r="AL255" s="17"/>
    </row>
    <row r="256" spans="37:38">
      <c r="AK256" s="17"/>
      <c r="AL256" s="17"/>
    </row>
    <row r="257" spans="37:38">
      <c r="AK257" s="17"/>
      <c r="AL257" s="17"/>
    </row>
    <row r="258" spans="37:38">
      <c r="AK258" s="17"/>
      <c r="AL258" s="17"/>
    </row>
    <row r="259" spans="37:38">
      <c r="AK259" s="17"/>
      <c r="AL259" s="17"/>
    </row>
    <row r="260" spans="37:38">
      <c r="AK260" s="17"/>
      <c r="AL260" s="17"/>
    </row>
    <row r="261" spans="37:38">
      <c r="AK261" s="17"/>
      <c r="AL261" s="17"/>
    </row>
    <row r="262" spans="37:38">
      <c r="AK262" s="17"/>
      <c r="AL262" s="17"/>
    </row>
    <row r="263" spans="37:38">
      <c r="AK263" s="17"/>
      <c r="AL263" s="17"/>
    </row>
    <row r="264" spans="37:38">
      <c r="AK264" s="17"/>
      <c r="AL264" s="17"/>
    </row>
    <row r="265" spans="37:38">
      <c r="AK265" s="17"/>
      <c r="AL265" s="17"/>
    </row>
    <row r="266" spans="37:38">
      <c r="AK266" s="17"/>
      <c r="AL266" s="17"/>
    </row>
    <row r="267" spans="37:38">
      <c r="AK267" s="17"/>
      <c r="AL267" s="17"/>
    </row>
    <row r="268" spans="37:38">
      <c r="AK268" s="17"/>
      <c r="AL268" s="17"/>
    </row>
    <row r="269" spans="37:38">
      <c r="AK269" s="17"/>
      <c r="AL269" s="17"/>
    </row>
    <row r="270" spans="37:38">
      <c r="AK270" s="17"/>
      <c r="AL270" s="17"/>
    </row>
    <row r="271" spans="37:38">
      <c r="AK271" s="17"/>
      <c r="AL271" s="17"/>
    </row>
    <row r="272" spans="37:38">
      <c r="AK272" s="17"/>
      <c r="AL272" s="17"/>
    </row>
    <row r="273" spans="37:38">
      <c r="AK273" s="17"/>
      <c r="AL273" s="17"/>
    </row>
    <row r="274" spans="37:38">
      <c r="AK274" s="17"/>
      <c r="AL274" s="17"/>
    </row>
    <row r="275" spans="37:38">
      <c r="AK275" s="17"/>
      <c r="AL275" s="17"/>
    </row>
    <row r="276" spans="37:38">
      <c r="AK276" s="17"/>
      <c r="AL276" s="17"/>
    </row>
    <row r="277" spans="37:38">
      <c r="AK277" s="17"/>
      <c r="AL277" s="17"/>
    </row>
    <row r="278" spans="37:38">
      <c r="AK278" s="17"/>
      <c r="AL278" s="17"/>
    </row>
    <row r="279" spans="37:38">
      <c r="AK279" s="17"/>
      <c r="AL279" s="17"/>
    </row>
    <row r="280" spans="37:38">
      <c r="AK280" s="17"/>
      <c r="AL280" s="17"/>
    </row>
    <row r="281" spans="37:38">
      <c r="AK281" s="17"/>
      <c r="AL281" s="17"/>
    </row>
    <row r="282" spans="37:38">
      <c r="AK282" s="17"/>
      <c r="AL282" s="17"/>
    </row>
    <row r="283" spans="37:38">
      <c r="AK283" s="17"/>
      <c r="AL283" s="17"/>
    </row>
    <row r="284" spans="37:38">
      <c r="AK284" s="17"/>
      <c r="AL284" s="17"/>
    </row>
    <row r="285" spans="37:38">
      <c r="AK285" s="17"/>
      <c r="AL285" s="17"/>
    </row>
    <row r="286" spans="37:38">
      <c r="AK286" s="17"/>
      <c r="AL286" s="17"/>
    </row>
    <row r="287" spans="37:38">
      <c r="AK287" s="17"/>
      <c r="AL287" s="17"/>
    </row>
    <row r="288" spans="37:38">
      <c r="AK288" s="17"/>
      <c r="AL288" s="17"/>
    </row>
    <row r="289" spans="37:38">
      <c r="AK289" s="17"/>
      <c r="AL289" s="17"/>
    </row>
    <row r="290" spans="37:38">
      <c r="AK290" s="17"/>
      <c r="AL290" s="17"/>
    </row>
    <row r="291" spans="37:38">
      <c r="AK291" s="17"/>
      <c r="AL291" s="17"/>
    </row>
    <row r="292" spans="37:38">
      <c r="AK292" s="17"/>
      <c r="AL292" s="17"/>
    </row>
    <row r="293" spans="37:38">
      <c r="AK293" s="17"/>
      <c r="AL293" s="17"/>
    </row>
    <row r="294" spans="37:38">
      <c r="AK294" s="17"/>
      <c r="AL294" s="17"/>
    </row>
    <row r="295" spans="37:38">
      <c r="AK295" s="17"/>
      <c r="AL295" s="17"/>
    </row>
    <row r="296" spans="37:38">
      <c r="AK296" s="17"/>
      <c r="AL296" s="17"/>
    </row>
    <row r="297" spans="37:38">
      <c r="AK297" s="17"/>
      <c r="AL297" s="17"/>
    </row>
    <row r="298" spans="37:38">
      <c r="AK298" s="17"/>
      <c r="AL298" s="17"/>
    </row>
    <row r="299" spans="37:38">
      <c r="AK299" s="17"/>
      <c r="AL299" s="17"/>
    </row>
    <row r="300" spans="37:38">
      <c r="AK300" s="17"/>
      <c r="AL300" s="17"/>
    </row>
    <row r="301" spans="37:38">
      <c r="AK301" s="17"/>
      <c r="AL301" s="17"/>
    </row>
    <row r="302" spans="37:38">
      <c r="AK302" s="17"/>
      <c r="AL302" s="17"/>
    </row>
    <row r="303" spans="37:38">
      <c r="AK303" s="17"/>
      <c r="AL303" s="17"/>
    </row>
    <row r="304" spans="37:38">
      <c r="AK304" s="17"/>
      <c r="AL304" s="17"/>
    </row>
    <row r="305" spans="37:38">
      <c r="AK305" s="17"/>
      <c r="AL305" s="17"/>
    </row>
    <row r="306" spans="37:38">
      <c r="AK306" s="17"/>
      <c r="AL306" s="17"/>
    </row>
    <row r="307" spans="37:38">
      <c r="AK307" s="17"/>
      <c r="AL307" s="17"/>
    </row>
    <row r="308" spans="37:38">
      <c r="AK308" s="17"/>
      <c r="AL308" s="17"/>
    </row>
    <row r="309" spans="37:38">
      <c r="AK309" s="17"/>
      <c r="AL309" s="17"/>
    </row>
    <row r="310" spans="37:38">
      <c r="AK310" s="17"/>
      <c r="AL310" s="17"/>
    </row>
    <row r="311" spans="37:38">
      <c r="AK311" s="17"/>
      <c r="AL311" s="17"/>
    </row>
    <row r="312" spans="37:38">
      <c r="AK312" s="17"/>
      <c r="AL312" s="17"/>
    </row>
    <row r="313" spans="37:38">
      <c r="AK313" s="17"/>
      <c r="AL313" s="17"/>
    </row>
    <row r="314" spans="37:38">
      <c r="AK314" s="17"/>
      <c r="AL314" s="17"/>
    </row>
    <row r="315" spans="37:38">
      <c r="AK315" s="17"/>
      <c r="AL315" s="17"/>
    </row>
    <row r="316" spans="37:38">
      <c r="AK316" s="17"/>
      <c r="AL316" s="17"/>
    </row>
    <row r="317" spans="37:38">
      <c r="AK317" s="17"/>
      <c r="AL317" s="17"/>
    </row>
    <row r="318" spans="37:38">
      <c r="AK318" s="17"/>
      <c r="AL318" s="17"/>
    </row>
    <row r="319" spans="37:38">
      <c r="AK319" s="17"/>
      <c r="AL319" s="17"/>
    </row>
    <row r="320" spans="37:38">
      <c r="AK320" s="17"/>
      <c r="AL320" s="17"/>
    </row>
    <row r="321" spans="37:38">
      <c r="AK321" s="17"/>
      <c r="AL321" s="17"/>
    </row>
    <row r="322" spans="37:38">
      <c r="AK322" s="17"/>
      <c r="AL322" s="17"/>
    </row>
    <row r="323" spans="37:38">
      <c r="AK323" s="17"/>
      <c r="AL323" s="17"/>
    </row>
    <row r="324" spans="37:38">
      <c r="AK324" s="17"/>
      <c r="AL324" s="17"/>
    </row>
    <row r="325" spans="37:38">
      <c r="AK325" s="17"/>
      <c r="AL325" s="17"/>
    </row>
    <row r="326" spans="37:38">
      <c r="AK326" s="17"/>
      <c r="AL326" s="17"/>
    </row>
    <row r="327" spans="37:38">
      <c r="AK327" s="17"/>
      <c r="AL327" s="17"/>
    </row>
    <row r="328" spans="37:38">
      <c r="AK328" s="17"/>
      <c r="AL328" s="17"/>
    </row>
    <row r="329" spans="37:38">
      <c r="AK329" s="17"/>
      <c r="AL329" s="17"/>
    </row>
    <row r="330" spans="37:38">
      <c r="AK330" s="17"/>
      <c r="AL330" s="17"/>
    </row>
    <row r="331" spans="37:38">
      <c r="AK331" s="17"/>
      <c r="AL331" s="17"/>
    </row>
    <row r="332" spans="37:38">
      <c r="AK332" s="17"/>
      <c r="AL332" s="17"/>
    </row>
    <row r="333" spans="37:38">
      <c r="AK333" s="17"/>
      <c r="AL333" s="17"/>
    </row>
    <row r="334" spans="37:38">
      <c r="AK334" s="17"/>
      <c r="AL334" s="17"/>
    </row>
    <row r="335" spans="37:38">
      <c r="AK335" s="17"/>
      <c r="AL335" s="17"/>
    </row>
    <row r="336" spans="37:38">
      <c r="AK336" s="17"/>
      <c r="AL336" s="17"/>
    </row>
    <row r="337" spans="37:38">
      <c r="AK337" s="17"/>
      <c r="AL337" s="17"/>
    </row>
    <row r="338" spans="37:38">
      <c r="AK338" s="17"/>
      <c r="AL338" s="17"/>
    </row>
    <row r="339" spans="37:38">
      <c r="AK339" s="17"/>
      <c r="AL339" s="17"/>
    </row>
    <row r="340" spans="37:38">
      <c r="AK340" s="17"/>
      <c r="AL340" s="17"/>
    </row>
    <row r="341" spans="37:38">
      <c r="AK341" s="17"/>
      <c r="AL341" s="17"/>
    </row>
    <row r="342" spans="37:38">
      <c r="AK342" s="17"/>
      <c r="AL342" s="17"/>
    </row>
    <row r="343" spans="37:38">
      <c r="AK343" s="17"/>
      <c r="AL343" s="17"/>
    </row>
    <row r="344" spans="37:38">
      <c r="AK344" s="17"/>
      <c r="AL344" s="17"/>
    </row>
    <row r="345" spans="37:38">
      <c r="AK345" s="17"/>
      <c r="AL345" s="17"/>
    </row>
    <row r="346" spans="37:38">
      <c r="AK346" s="17"/>
      <c r="AL346" s="17"/>
    </row>
    <row r="347" spans="37:38">
      <c r="AK347" s="17"/>
      <c r="AL347" s="17"/>
    </row>
    <row r="348" spans="37:38">
      <c r="AK348" s="17"/>
      <c r="AL348" s="17"/>
    </row>
    <row r="349" spans="37:38">
      <c r="AK349" s="17"/>
      <c r="AL349" s="17"/>
    </row>
    <row r="350" spans="37:38">
      <c r="AK350" s="17"/>
      <c r="AL350" s="17"/>
    </row>
    <row r="351" spans="37:38">
      <c r="AK351" s="17"/>
      <c r="AL351" s="17"/>
    </row>
    <row r="352" spans="37:38">
      <c r="AK352" s="17"/>
      <c r="AL352" s="17"/>
    </row>
    <row r="353" spans="37:38">
      <c r="AK353" s="17"/>
      <c r="AL353" s="17"/>
    </row>
    <row r="354" spans="37:38">
      <c r="AK354" s="17"/>
      <c r="AL354" s="17"/>
    </row>
    <row r="355" spans="37:38">
      <c r="AK355" s="17"/>
      <c r="AL355" s="17"/>
    </row>
    <row r="356" spans="37:38">
      <c r="AK356" s="17"/>
      <c r="AL356" s="17"/>
    </row>
    <row r="357" spans="37:38">
      <c r="AK357" s="17"/>
      <c r="AL357" s="17"/>
    </row>
    <row r="358" spans="37:38">
      <c r="AK358" s="17"/>
      <c r="AL358" s="17"/>
    </row>
    <row r="359" spans="37:38">
      <c r="AK359" s="17"/>
      <c r="AL359" s="17"/>
    </row>
    <row r="360" spans="37:38">
      <c r="AK360" s="17"/>
      <c r="AL360" s="17"/>
    </row>
    <row r="361" spans="37:38">
      <c r="AK361" s="17"/>
      <c r="AL361" s="17"/>
    </row>
    <row r="362" spans="37:38">
      <c r="AK362" s="17"/>
      <c r="AL362" s="17"/>
    </row>
    <row r="363" spans="37:38">
      <c r="AK363" s="17"/>
      <c r="AL363" s="17"/>
    </row>
    <row r="364" spans="37:38">
      <c r="AK364" s="17"/>
      <c r="AL364" s="17"/>
    </row>
    <row r="365" spans="37:38">
      <c r="AK365" s="17"/>
      <c r="AL365" s="17"/>
    </row>
    <row r="366" spans="37:38">
      <c r="AK366" s="17"/>
      <c r="AL366" s="17"/>
    </row>
    <row r="367" spans="37:38">
      <c r="AK367" s="17"/>
      <c r="AL367" s="17"/>
    </row>
    <row r="368" spans="37:38">
      <c r="AK368" s="17"/>
      <c r="AL368" s="17"/>
    </row>
    <row r="369" spans="37:38">
      <c r="AK369" s="17"/>
      <c r="AL369" s="17"/>
    </row>
    <row r="370" spans="37:38">
      <c r="AK370" s="17"/>
      <c r="AL370" s="17"/>
    </row>
    <row r="371" spans="37:38">
      <c r="AK371" s="17"/>
      <c r="AL371" s="17"/>
    </row>
    <row r="372" spans="37:38">
      <c r="AK372" s="17"/>
      <c r="AL372" s="17"/>
    </row>
    <row r="373" spans="37:38">
      <c r="AK373" s="17"/>
      <c r="AL373" s="17"/>
    </row>
    <row r="374" spans="37:38">
      <c r="AK374" s="17"/>
      <c r="AL374" s="17"/>
    </row>
    <row r="375" spans="37:38">
      <c r="AK375" s="17"/>
      <c r="AL375" s="17"/>
    </row>
    <row r="376" spans="37:38">
      <c r="AK376" s="17"/>
      <c r="AL376" s="17"/>
    </row>
    <row r="377" spans="37:38">
      <c r="AK377" s="17"/>
      <c r="AL377" s="17"/>
    </row>
    <row r="378" spans="37:38">
      <c r="AK378" s="17"/>
      <c r="AL378" s="17"/>
    </row>
    <row r="379" spans="37:38">
      <c r="AK379" s="17"/>
      <c r="AL379" s="17"/>
    </row>
    <row r="380" spans="37:38">
      <c r="AK380" s="17"/>
      <c r="AL380" s="17"/>
    </row>
    <row r="381" spans="37:38">
      <c r="AK381" s="17"/>
      <c r="AL381" s="17"/>
    </row>
    <row r="382" spans="37:38">
      <c r="AK382" s="17"/>
      <c r="AL382" s="17"/>
    </row>
    <row r="383" spans="37:38">
      <c r="AK383" s="17"/>
      <c r="AL383" s="17"/>
    </row>
    <row r="384" spans="37:38">
      <c r="AK384" s="17"/>
      <c r="AL384" s="17"/>
    </row>
    <row r="385" spans="37:38">
      <c r="AK385" s="17"/>
      <c r="AL385" s="17"/>
    </row>
    <row r="386" spans="37:38">
      <c r="AK386" s="17"/>
      <c r="AL386" s="17"/>
    </row>
    <row r="387" spans="37:38">
      <c r="AK387" s="17"/>
      <c r="AL387" s="17"/>
    </row>
    <row r="388" spans="37:38">
      <c r="AK388" s="17"/>
      <c r="AL388" s="17"/>
    </row>
    <row r="389" spans="37:38">
      <c r="AK389" s="17"/>
      <c r="AL389" s="17"/>
    </row>
    <row r="390" spans="37:38">
      <c r="AK390" s="17"/>
      <c r="AL390" s="17"/>
    </row>
    <row r="391" spans="37:38">
      <c r="AK391" s="17"/>
      <c r="AL391" s="17"/>
    </row>
    <row r="392" spans="37:38">
      <c r="AK392" s="17"/>
      <c r="AL392" s="17"/>
    </row>
    <row r="393" spans="37:38">
      <c r="AK393" s="17"/>
      <c r="AL393" s="17"/>
    </row>
    <row r="394" spans="37:38">
      <c r="AK394" s="17"/>
      <c r="AL394" s="17"/>
    </row>
    <row r="395" spans="37:38">
      <c r="AK395" s="17"/>
      <c r="AL395" s="17"/>
    </row>
    <row r="396" spans="37:38">
      <c r="AK396" s="17"/>
      <c r="AL396" s="17"/>
    </row>
    <row r="397" spans="37:38">
      <c r="AK397" s="17"/>
      <c r="AL397" s="17"/>
    </row>
    <row r="398" spans="37:38">
      <c r="AK398" s="17"/>
      <c r="AL398" s="17"/>
    </row>
    <row r="399" spans="37:38">
      <c r="AK399" s="17"/>
      <c r="AL399" s="17"/>
    </row>
    <row r="400" spans="37:38">
      <c r="AK400" s="17"/>
      <c r="AL400" s="17"/>
    </row>
    <row r="401" spans="37:38">
      <c r="AK401" s="17"/>
      <c r="AL401" s="17"/>
    </row>
    <row r="402" spans="37:38">
      <c r="AK402" s="17"/>
      <c r="AL402" s="17"/>
    </row>
    <row r="403" spans="37:38">
      <c r="AK403" s="17"/>
      <c r="AL403" s="17"/>
    </row>
    <row r="404" spans="37:38">
      <c r="AK404" s="17"/>
      <c r="AL404" s="17"/>
    </row>
    <row r="405" spans="37:38">
      <c r="AK405" s="17"/>
      <c r="AL405" s="17"/>
    </row>
    <row r="406" spans="37:38">
      <c r="AK406" s="17"/>
      <c r="AL406" s="17"/>
    </row>
    <row r="407" spans="37:38">
      <c r="AK407" s="17"/>
      <c r="AL407" s="17"/>
    </row>
    <row r="408" spans="37:38">
      <c r="AK408" s="17"/>
      <c r="AL408" s="17"/>
    </row>
    <row r="409" spans="37:38">
      <c r="AK409" s="17"/>
      <c r="AL409" s="17"/>
    </row>
    <row r="410" spans="37:38">
      <c r="AK410" s="17"/>
      <c r="AL410" s="17"/>
    </row>
    <row r="411" spans="37:38">
      <c r="AK411" s="17"/>
      <c r="AL411" s="17"/>
    </row>
    <row r="412" spans="37:38">
      <c r="AK412" s="17"/>
      <c r="AL412" s="17"/>
    </row>
    <row r="413" spans="37:38">
      <c r="AK413" s="17"/>
      <c r="AL413" s="17"/>
    </row>
    <row r="414" spans="37:38">
      <c r="AK414" s="17"/>
      <c r="AL414" s="17"/>
    </row>
    <row r="415" spans="37:38">
      <c r="AK415" s="17"/>
      <c r="AL415" s="17"/>
    </row>
    <row r="416" spans="37:38">
      <c r="AK416" s="17"/>
      <c r="AL416" s="17"/>
    </row>
    <row r="417" spans="37:38">
      <c r="AK417" s="17"/>
      <c r="AL417" s="17"/>
    </row>
    <row r="418" spans="37:38">
      <c r="AK418" s="17"/>
      <c r="AL418" s="17"/>
    </row>
    <row r="419" spans="37:38">
      <c r="AK419" s="17"/>
      <c r="AL419" s="17"/>
    </row>
    <row r="420" spans="37:38">
      <c r="AK420" s="17"/>
      <c r="AL420" s="17"/>
    </row>
    <row r="421" spans="37:38">
      <c r="AK421" s="17"/>
      <c r="AL421" s="17"/>
    </row>
    <row r="422" spans="37:38">
      <c r="AK422" s="17"/>
      <c r="AL422" s="17"/>
    </row>
    <row r="423" spans="37:38">
      <c r="AK423" s="17"/>
      <c r="AL423" s="17"/>
    </row>
    <row r="424" spans="37:38">
      <c r="AK424" s="17"/>
      <c r="AL424" s="17"/>
    </row>
    <row r="425" spans="37:38">
      <c r="AK425" s="17"/>
      <c r="AL425" s="17"/>
    </row>
    <row r="426" spans="37:38">
      <c r="AK426" s="17"/>
      <c r="AL426" s="17"/>
    </row>
    <row r="427" spans="37:38">
      <c r="AK427" s="17"/>
      <c r="AL427" s="17"/>
    </row>
    <row r="428" spans="37:38">
      <c r="AK428" s="17"/>
      <c r="AL428" s="17"/>
    </row>
    <row r="429" spans="37:38">
      <c r="AK429" s="17"/>
      <c r="AL429" s="17"/>
    </row>
    <row r="430" spans="37:38">
      <c r="AK430" s="17"/>
      <c r="AL430" s="17"/>
    </row>
    <row r="431" spans="37:38">
      <c r="AK431" s="17"/>
      <c r="AL431" s="17"/>
    </row>
    <row r="432" spans="37:38">
      <c r="AK432" s="17"/>
      <c r="AL432" s="17"/>
    </row>
    <row r="433" spans="37:38">
      <c r="AK433" s="17"/>
      <c r="AL433" s="17"/>
    </row>
    <row r="434" spans="37:38">
      <c r="AK434" s="17"/>
      <c r="AL434" s="17"/>
    </row>
    <row r="435" spans="37:38">
      <c r="AK435" s="17"/>
      <c r="AL435" s="17"/>
    </row>
    <row r="436" spans="37:38">
      <c r="AK436" s="17"/>
      <c r="AL436" s="17"/>
    </row>
    <row r="437" spans="37:38">
      <c r="AK437" s="17"/>
      <c r="AL437" s="17"/>
    </row>
    <row r="438" spans="37:38">
      <c r="AK438" s="17"/>
      <c r="AL438" s="17"/>
    </row>
    <row r="439" spans="37:38">
      <c r="AK439" s="17"/>
      <c r="AL439" s="17"/>
    </row>
    <row r="440" spans="37:38">
      <c r="AK440" s="17"/>
      <c r="AL440" s="17"/>
    </row>
    <row r="441" spans="37:38">
      <c r="AK441" s="17"/>
      <c r="AL441" s="17"/>
    </row>
    <row r="442" spans="37:38">
      <c r="AK442" s="17"/>
      <c r="AL442" s="17"/>
    </row>
    <row r="443" spans="37:38">
      <c r="AK443" s="17"/>
      <c r="AL443" s="17"/>
    </row>
    <row r="444" spans="37:38">
      <c r="AK444" s="17"/>
      <c r="AL444" s="17"/>
    </row>
    <row r="445" spans="37:38">
      <c r="AK445" s="17"/>
      <c r="AL445" s="17"/>
    </row>
    <row r="446" spans="37:38">
      <c r="AK446" s="17"/>
      <c r="AL446" s="17"/>
    </row>
    <row r="447" spans="37:38">
      <c r="AK447" s="17"/>
      <c r="AL447" s="17"/>
    </row>
    <row r="448" spans="37:38">
      <c r="AK448" s="17"/>
      <c r="AL448" s="17"/>
    </row>
    <row r="449" spans="37:38">
      <c r="AK449" s="17"/>
      <c r="AL449" s="17"/>
    </row>
    <row r="450" spans="37:38">
      <c r="AK450" s="17"/>
      <c r="AL450" s="17"/>
    </row>
    <row r="451" spans="37:38">
      <c r="AK451" s="17"/>
      <c r="AL451" s="17"/>
    </row>
    <row r="452" spans="37:38">
      <c r="AK452" s="17"/>
      <c r="AL452" s="17"/>
    </row>
    <row r="453" spans="37:38">
      <c r="AK453" s="17"/>
      <c r="AL453" s="17"/>
    </row>
    <row r="454" spans="37:38">
      <c r="AK454" s="17"/>
      <c r="AL454" s="17"/>
    </row>
    <row r="455" spans="37:38">
      <c r="AK455" s="17"/>
      <c r="AL455" s="17"/>
    </row>
    <row r="456" spans="37:38">
      <c r="AK456" s="17"/>
      <c r="AL456" s="17"/>
    </row>
    <row r="457" spans="37:38">
      <c r="AK457" s="17"/>
      <c r="AL457" s="17"/>
    </row>
    <row r="458" spans="37:38">
      <c r="AK458" s="17"/>
      <c r="AL458" s="17"/>
    </row>
    <row r="459" spans="37:38">
      <c r="AK459" s="17"/>
      <c r="AL459" s="17"/>
    </row>
    <row r="460" spans="37:38">
      <c r="AK460" s="17"/>
      <c r="AL460" s="17"/>
    </row>
    <row r="461" spans="37:38">
      <c r="AK461" s="17"/>
      <c r="AL461" s="17"/>
    </row>
    <row r="462" spans="37:38">
      <c r="AK462" s="17"/>
      <c r="AL462" s="17"/>
    </row>
    <row r="463" spans="37:38">
      <c r="AK463" s="17"/>
      <c r="AL463" s="17"/>
    </row>
    <row r="464" spans="37:38">
      <c r="AK464" s="17"/>
      <c r="AL464" s="17"/>
    </row>
    <row r="465" spans="37:38">
      <c r="AK465" s="17"/>
      <c r="AL465" s="17"/>
    </row>
    <row r="466" spans="37:38">
      <c r="AK466" s="17"/>
      <c r="AL466" s="17"/>
    </row>
    <row r="467" spans="37:38">
      <c r="AK467" s="17"/>
      <c r="AL467" s="17"/>
    </row>
    <row r="468" spans="37:38">
      <c r="AK468" s="17"/>
      <c r="AL468" s="17"/>
    </row>
    <row r="469" spans="37:38">
      <c r="AK469" s="17"/>
      <c r="AL469" s="17"/>
    </row>
    <row r="470" spans="37:38">
      <c r="AK470" s="17"/>
      <c r="AL470" s="17"/>
    </row>
    <row r="471" spans="37:38">
      <c r="AK471" s="17"/>
      <c r="AL471" s="17"/>
    </row>
    <row r="472" spans="37:38">
      <c r="AK472" s="17"/>
      <c r="AL472" s="17"/>
    </row>
    <row r="473" spans="37:38">
      <c r="AK473" s="17"/>
      <c r="AL473" s="17"/>
    </row>
    <row r="474" spans="37:38">
      <c r="AK474" s="17"/>
      <c r="AL474" s="17"/>
    </row>
    <row r="475" spans="37:38">
      <c r="AK475" s="17"/>
      <c r="AL475" s="17"/>
    </row>
    <row r="476" spans="37:38">
      <c r="AK476" s="17"/>
      <c r="AL476" s="17"/>
    </row>
    <row r="477" spans="37:38">
      <c r="AK477" s="17"/>
      <c r="AL477" s="17"/>
    </row>
    <row r="478" spans="37:38">
      <c r="AK478" s="17"/>
      <c r="AL478" s="17"/>
    </row>
    <row r="479" spans="37:38">
      <c r="AK479" s="17"/>
      <c r="AL479" s="17"/>
    </row>
    <row r="480" spans="37:38">
      <c r="AK480" s="17"/>
      <c r="AL480" s="17"/>
    </row>
    <row r="481" spans="37:38">
      <c r="AK481" s="17"/>
      <c r="AL481" s="17"/>
    </row>
    <row r="482" spans="37:38">
      <c r="AK482" s="17"/>
      <c r="AL482" s="17"/>
    </row>
    <row r="483" spans="37:38">
      <c r="AK483" s="17"/>
      <c r="AL483" s="17"/>
    </row>
    <row r="484" spans="37:38">
      <c r="AK484" s="17"/>
      <c r="AL484" s="17"/>
    </row>
    <row r="485" spans="37:38">
      <c r="AK485" s="17"/>
      <c r="AL485" s="17"/>
    </row>
    <row r="486" spans="37:38">
      <c r="AK486" s="17"/>
      <c r="AL486" s="17"/>
    </row>
    <row r="487" spans="37:38">
      <c r="AK487" s="17"/>
      <c r="AL487" s="17"/>
    </row>
    <row r="488" spans="37:38">
      <c r="AK488" s="17"/>
      <c r="AL488" s="17"/>
    </row>
    <row r="489" spans="37:38">
      <c r="AK489" s="17"/>
      <c r="AL489" s="17"/>
    </row>
    <row r="490" spans="37:38">
      <c r="AK490" s="17"/>
      <c r="AL490" s="17"/>
    </row>
    <row r="491" spans="37:38">
      <c r="AK491" s="17"/>
      <c r="AL491" s="17"/>
    </row>
    <row r="492" spans="37:38">
      <c r="AK492" s="17"/>
      <c r="AL492" s="17"/>
    </row>
    <row r="493" spans="37:38">
      <c r="AK493" s="17"/>
      <c r="AL493" s="17"/>
    </row>
    <row r="494" spans="37:38">
      <c r="AK494" s="17"/>
      <c r="AL494" s="17"/>
    </row>
    <row r="495" spans="37:38">
      <c r="AK495" s="17"/>
      <c r="AL495" s="17"/>
    </row>
    <row r="496" spans="37:38">
      <c r="AK496" s="17"/>
      <c r="AL496" s="17"/>
    </row>
    <row r="497" spans="37:38">
      <c r="AK497" s="17"/>
      <c r="AL497" s="17"/>
    </row>
    <row r="498" spans="37:38">
      <c r="AK498" s="17"/>
      <c r="AL498" s="17"/>
    </row>
    <row r="499" spans="37:38">
      <c r="AK499" s="17"/>
      <c r="AL499" s="17"/>
    </row>
    <row r="500" spans="37:38">
      <c r="AK500" s="17"/>
      <c r="AL500" s="17"/>
    </row>
    <row r="501" spans="37:38">
      <c r="AK501" s="17"/>
      <c r="AL501" s="17"/>
    </row>
    <row r="502" spans="37:38">
      <c r="AK502" s="17"/>
      <c r="AL502" s="17"/>
    </row>
    <row r="503" spans="37:38">
      <c r="AK503" s="17"/>
      <c r="AL503" s="17"/>
    </row>
    <row r="504" spans="37:38">
      <c r="AK504" s="17"/>
      <c r="AL504" s="17"/>
    </row>
    <row r="505" spans="37:38">
      <c r="AK505" s="17"/>
      <c r="AL505" s="17"/>
    </row>
    <row r="506" spans="37:38">
      <c r="AK506" s="17"/>
      <c r="AL506" s="17"/>
    </row>
    <row r="507" spans="37:38">
      <c r="AK507" s="17"/>
      <c r="AL507" s="17"/>
    </row>
    <row r="508" spans="37:38">
      <c r="AK508" s="17"/>
      <c r="AL508" s="17"/>
    </row>
    <row r="509" spans="37:38">
      <c r="AK509" s="17"/>
      <c r="AL509" s="17"/>
    </row>
    <row r="510" spans="37:38">
      <c r="AK510" s="17"/>
      <c r="AL510" s="17"/>
    </row>
    <row r="511" spans="37:38">
      <c r="AK511" s="17"/>
      <c r="AL511" s="17"/>
    </row>
    <row r="512" spans="37:38">
      <c r="AK512" s="17"/>
      <c r="AL512" s="17"/>
    </row>
    <row r="513" spans="37:38">
      <c r="AK513" s="17"/>
      <c r="AL513" s="17"/>
    </row>
    <row r="514" spans="37:38">
      <c r="AK514" s="17"/>
      <c r="AL514" s="17"/>
    </row>
    <row r="515" spans="37:38">
      <c r="AK515" s="17"/>
      <c r="AL515" s="17"/>
    </row>
    <row r="516" spans="37:38">
      <c r="AK516" s="17"/>
      <c r="AL516" s="17"/>
    </row>
    <row r="517" spans="37:38">
      <c r="AK517" s="17"/>
      <c r="AL517" s="17"/>
    </row>
    <row r="518" spans="37:38">
      <c r="AK518" s="17"/>
      <c r="AL518" s="17"/>
    </row>
    <row r="519" spans="37:38">
      <c r="AK519" s="17"/>
      <c r="AL519" s="17"/>
    </row>
    <row r="520" spans="37:38">
      <c r="AK520" s="17"/>
      <c r="AL520" s="17"/>
    </row>
    <row r="521" spans="37:38">
      <c r="AK521" s="17"/>
      <c r="AL521" s="17"/>
    </row>
    <row r="522" spans="37:38">
      <c r="AK522" s="17"/>
      <c r="AL522" s="17"/>
    </row>
    <row r="523" spans="37:38">
      <c r="AK523" s="17"/>
      <c r="AL523" s="17"/>
    </row>
    <row r="524" spans="37:38">
      <c r="AK524" s="17"/>
      <c r="AL524" s="17"/>
    </row>
    <row r="525" spans="37:38">
      <c r="AK525" s="17"/>
      <c r="AL525" s="17"/>
    </row>
    <row r="526" spans="37:38">
      <c r="AK526" s="17"/>
      <c r="AL526" s="17"/>
    </row>
    <row r="527" spans="37:38">
      <c r="AK527" s="17"/>
      <c r="AL527" s="17"/>
    </row>
    <row r="528" spans="37:38">
      <c r="AK528" s="17"/>
      <c r="AL528" s="17"/>
    </row>
    <row r="529" spans="37:38">
      <c r="AK529" s="17"/>
      <c r="AL529" s="17"/>
    </row>
    <row r="530" spans="37:38">
      <c r="AK530" s="17"/>
      <c r="AL530" s="17"/>
    </row>
    <row r="531" spans="37:38">
      <c r="AK531" s="17"/>
      <c r="AL531" s="17"/>
    </row>
    <row r="532" spans="37:38">
      <c r="AK532" s="17"/>
      <c r="AL532" s="17"/>
    </row>
    <row r="533" spans="37:38">
      <c r="AK533" s="17"/>
      <c r="AL533" s="17"/>
    </row>
    <row r="534" spans="37:38">
      <c r="AK534" s="17"/>
      <c r="AL534" s="17"/>
    </row>
    <row r="535" spans="37:38">
      <c r="AK535" s="17"/>
      <c r="AL535" s="17"/>
    </row>
    <row r="536" spans="37:38">
      <c r="AK536" s="17"/>
      <c r="AL536" s="17"/>
    </row>
    <row r="537" spans="37:38">
      <c r="AK537" s="17"/>
      <c r="AL537" s="17"/>
    </row>
    <row r="538" spans="37:38">
      <c r="AK538" s="17"/>
      <c r="AL538" s="17"/>
    </row>
    <row r="539" spans="37:38">
      <c r="AK539" s="17"/>
      <c r="AL539" s="17"/>
    </row>
    <row r="540" spans="37:38">
      <c r="AK540" s="17"/>
      <c r="AL540" s="17"/>
    </row>
    <row r="541" spans="37:38">
      <c r="AK541" s="17"/>
      <c r="AL541" s="17"/>
    </row>
    <row r="542" spans="37:38">
      <c r="AK542" s="17"/>
      <c r="AL542" s="17"/>
    </row>
    <row r="543" spans="37:38">
      <c r="AK543" s="17"/>
      <c r="AL543" s="17"/>
    </row>
    <row r="544" spans="37:38">
      <c r="AK544" s="17"/>
      <c r="AL544" s="17"/>
    </row>
    <row r="545" spans="37:38">
      <c r="AK545" s="17"/>
      <c r="AL545" s="17"/>
    </row>
    <row r="546" spans="37:38">
      <c r="AK546" s="17"/>
      <c r="AL546" s="17"/>
    </row>
    <row r="547" spans="37:38">
      <c r="AK547" s="17"/>
      <c r="AL547" s="17"/>
    </row>
    <row r="548" spans="37:38">
      <c r="AK548" s="17"/>
      <c r="AL548" s="17"/>
    </row>
    <row r="549" spans="37:38">
      <c r="AK549" s="17"/>
      <c r="AL549" s="17"/>
    </row>
    <row r="550" spans="37:38">
      <c r="AK550" s="17"/>
      <c r="AL550" s="17"/>
    </row>
    <row r="551" spans="37:38">
      <c r="AK551" s="17"/>
      <c r="AL551" s="17"/>
    </row>
    <row r="552" spans="37:38">
      <c r="AK552" s="17"/>
      <c r="AL552" s="17"/>
    </row>
    <row r="553" spans="37:38">
      <c r="AK553" s="17"/>
      <c r="AL553" s="17"/>
    </row>
    <row r="554" spans="37:38">
      <c r="AK554" s="17"/>
      <c r="AL554" s="17"/>
    </row>
    <row r="555" spans="37:38">
      <c r="AK555" s="17"/>
      <c r="AL555" s="17"/>
    </row>
    <row r="556" spans="37:38">
      <c r="AK556" s="17"/>
      <c r="AL556" s="17"/>
    </row>
    <row r="557" spans="37:38">
      <c r="AK557" s="17"/>
      <c r="AL557" s="17"/>
    </row>
    <row r="558" spans="37:38">
      <c r="AK558" s="17"/>
      <c r="AL558" s="17"/>
    </row>
    <row r="559" spans="37:38">
      <c r="AK559" s="17"/>
      <c r="AL559" s="17"/>
    </row>
    <row r="560" spans="37:38">
      <c r="AK560" s="17"/>
      <c r="AL560" s="17"/>
    </row>
    <row r="561" spans="37:38">
      <c r="AK561" s="17"/>
      <c r="AL561" s="17"/>
    </row>
    <row r="562" spans="37:38">
      <c r="AK562" s="17"/>
      <c r="AL562" s="17"/>
    </row>
    <row r="563" spans="37:38">
      <c r="AK563" s="17"/>
      <c r="AL563" s="17"/>
    </row>
    <row r="564" spans="37:38">
      <c r="AK564" s="17"/>
      <c r="AL564" s="17"/>
    </row>
    <row r="565" spans="37:38">
      <c r="AK565" s="17"/>
      <c r="AL565" s="17"/>
    </row>
    <row r="566" spans="37:38">
      <c r="AK566" s="17"/>
      <c r="AL566" s="17"/>
    </row>
    <row r="567" spans="37:38">
      <c r="AK567" s="17"/>
      <c r="AL567" s="17"/>
    </row>
    <row r="568" spans="37:38">
      <c r="AK568" s="17"/>
      <c r="AL568" s="17"/>
    </row>
    <row r="569" spans="37:38">
      <c r="AK569" s="17"/>
      <c r="AL569" s="17"/>
    </row>
    <row r="570" spans="37:38">
      <c r="AK570" s="17"/>
      <c r="AL570" s="17"/>
    </row>
    <row r="571" spans="37:38">
      <c r="AK571" s="17"/>
      <c r="AL571" s="17"/>
    </row>
    <row r="572" spans="37:38">
      <c r="AK572" s="17"/>
      <c r="AL572" s="17"/>
    </row>
    <row r="573" spans="37:38">
      <c r="AK573" s="17"/>
      <c r="AL573" s="17"/>
    </row>
    <row r="574" spans="37:38">
      <c r="AK574" s="17"/>
      <c r="AL574" s="17"/>
    </row>
    <row r="575" spans="37:38">
      <c r="AK575" s="17"/>
      <c r="AL575" s="17"/>
    </row>
    <row r="576" spans="37:38">
      <c r="AK576" s="17"/>
      <c r="AL576" s="17"/>
    </row>
    <row r="577" spans="37:38">
      <c r="AK577" s="17"/>
      <c r="AL577" s="17"/>
    </row>
    <row r="578" spans="37:38">
      <c r="AK578" s="17"/>
      <c r="AL578" s="17"/>
    </row>
    <row r="579" spans="37:38">
      <c r="AK579" s="17"/>
      <c r="AL579" s="17"/>
    </row>
    <row r="580" spans="37:38">
      <c r="AK580" s="17"/>
      <c r="AL580" s="17"/>
    </row>
    <row r="581" spans="37:38">
      <c r="AK581" s="17"/>
      <c r="AL581" s="17"/>
    </row>
    <row r="582" spans="37:38">
      <c r="AK582" s="17"/>
      <c r="AL582" s="17"/>
    </row>
    <row r="583" spans="37:38">
      <c r="AK583" s="17"/>
      <c r="AL583" s="17"/>
    </row>
    <row r="584" spans="37:38">
      <c r="AK584" s="17"/>
      <c r="AL584" s="17"/>
    </row>
    <row r="585" spans="37:38">
      <c r="AK585" s="17"/>
      <c r="AL585" s="17"/>
    </row>
    <row r="586" spans="37:38">
      <c r="AK586" s="17"/>
      <c r="AL586" s="17"/>
    </row>
    <row r="587" spans="37:38">
      <c r="AK587" s="17"/>
      <c r="AL587" s="17"/>
    </row>
    <row r="588" spans="37:38">
      <c r="AK588" s="17"/>
      <c r="AL588" s="17"/>
    </row>
    <row r="589" spans="37:38">
      <c r="AK589" s="17"/>
      <c r="AL589" s="17"/>
    </row>
    <row r="590" spans="37:38">
      <c r="AK590" s="17"/>
      <c r="AL590" s="17"/>
    </row>
    <row r="591" spans="37:38">
      <c r="AK591" s="17"/>
      <c r="AL591" s="17"/>
    </row>
    <row r="592" spans="37:38">
      <c r="AK592" s="17"/>
      <c r="AL592" s="17"/>
    </row>
    <row r="593" spans="37:38">
      <c r="AK593" s="17"/>
      <c r="AL593" s="17"/>
    </row>
    <row r="594" spans="37:38">
      <c r="AK594" s="17"/>
      <c r="AL594" s="17"/>
    </row>
    <row r="595" spans="37:38">
      <c r="AK595" s="17"/>
      <c r="AL595" s="17"/>
    </row>
    <row r="596" spans="37:38">
      <c r="AK596" s="17"/>
      <c r="AL596" s="17"/>
    </row>
    <row r="597" spans="37:38">
      <c r="AK597" s="17"/>
      <c r="AL597" s="17"/>
    </row>
    <row r="598" spans="37:38">
      <c r="AK598" s="17"/>
      <c r="AL598" s="17"/>
    </row>
    <row r="599" spans="37:38">
      <c r="AK599" s="17"/>
      <c r="AL599" s="17"/>
    </row>
    <row r="600" spans="37:38">
      <c r="AK600" s="17"/>
      <c r="AL600" s="17"/>
    </row>
    <row r="601" spans="37:38">
      <c r="AK601" s="17"/>
      <c r="AL601" s="17"/>
    </row>
    <row r="602" spans="37:38">
      <c r="AK602" s="17"/>
      <c r="AL602" s="17"/>
    </row>
    <row r="603" spans="37:38">
      <c r="AK603" s="17"/>
      <c r="AL603" s="17"/>
    </row>
    <row r="604" spans="37:38">
      <c r="AK604" s="17"/>
      <c r="AL604" s="17"/>
    </row>
    <row r="605" spans="37:38">
      <c r="AK605" s="17"/>
      <c r="AL605" s="17"/>
    </row>
    <row r="606" spans="37:38">
      <c r="AK606" s="17"/>
      <c r="AL606" s="17"/>
    </row>
    <row r="607" spans="37:38">
      <c r="AK607" s="17"/>
      <c r="AL607" s="17"/>
    </row>
    <row r="608" spans="37:38">
      <c r="AK608" s="17"/>
      <c r="AL608" s="17"/>
    </row>
    <row r="609" spans="37:38">
      <c r="AK609" s="17"/>
      <c r="AL609" s="17"/>
    </row>
    <row r="610" spans="37:38">
      <c r="AK610" s="17"/>
      <c r="AL610" s="17"/>
    </row>
    <row r="611" spans="37:38">
      <c r="AK611" s="17"/>
      <c r="AL611" s="17"/>
    </row>
    <row r="612" spans="37:38">
      <c r="AK612" s="17"/>
      <c r="AL612" s="17"/>
    </row>
    <row r="613" spans="37:38">
      <c r="AK613" s="17"/>
      <c r="AL613" s="17"/>
    </row>
    <row r="614" spans="37:38">
      <c r="AK614" s="17"/>
      <c r="AL614" s="17"/>
    </row>
    <row r="615" spans="37:38">
      <c r="AK615" s="17"/>
      <c r="AL615" s="17"/>
    </row>
    <row r="616" spans="37:38">
      <c r="AK616" s="17"/>
      <c r="AL616" s="17"/>
    </row>
    <row r="617" spans="37:38">
      <c r="AK617" s="17"/>
      <c r="AL617" s="17"/>
    </row>
    <row r="618" spans="37:38">
      <c r="AK618" s="17"/>
      <c r="AL618" s="17"/>
    </row>
    <row r="619" spans="37:38">
      <c r="AK619" s="17"/>
      <c r="AL619" s="17"/>
    </row>
    <row r="620" spans="37:38">
      <c r="AK620" s="17"/>
      <c r="AL620" s="17"/>
    </row>
    <row r="621" spans="37:38">
      <c r="AK621" s="17"/>
      <c r="AL621" s="17"/>
    </row>
    <row r="622" spans="37:38">
      <c r="AK622" s="17"/>
      <c r="AL622" s="17"/>
    </row>
    <row r="623" spans="37:38">
      <c r="AK623" s="17"/>
      <c r="AL623" s="17"/>
    </row>
    <row r="624" spans="37:38">
      <c r="AK624" s="17"/>
      <c r="AL624" s="17"/>
    </row>
    <row r="625" spans="37:38">
      <c r="AK625" s="17"/>
      <c r="AL625" s="17"/>
    </row>
    <row r="626" spans="37:38">
      <c r="AK626" s="17"/>
      <c r="AL626" s="17"/>
    </row>
    <row r="627" spans="37:38">
      <c r="AK627" s="17"/>
      <c r="AL627" s="17"/>
    </row>
    <row r="628" spans="37:38">
      <c r="AK628" s="17"/>
      <c r="AL628" s="17"/>
    </row>
    <row r="629" spans="37:38">
      <c r="AK629" s="17"/>
      <c r="AL629" s="17"/>
    </row>
    <row r="630" spans="37:38">
      <c r="AK630" s="17"/>
      <c r="AL630" s="17"/>
    </row>
    <row r="631" spans="37:38">
      <c r="AK631" s="17"/>
      <c r="AL631" s="17"/>
    </row>
    <row r="632" spans="37:38">
      <c r="AK632" s="17"/>
      <c r="AL632" s="17"/>
    </row>
    <row r="633" spans="37:38">
      <c r="AK633" s="17"/>
      <c r="AL633" s="17"/>
    </row>
    <row r="634" spans="37:38">
      <c r="AK634" s="17"/>
      <c r="AL634" s="17"/>
    </row>
    <row r="635" spans="37:38">
      <c r="AK635" s="17"/>
      <c r="AL635" s="17"/>
    </row>
    <row r="636" spans="37:38">
      <c r="AK636" s="17"/>
      <c r="AL636" s="17"/>
    </row>
    <row r="637" spans="37:38">
      <c r="AK637" s="17"/>
      <c r="AL637" s="17"/>
    </row>
    <row r="638" spans="37:38">
      <c r="AK638" s="17"/>
      <c r="AL638" s="17"/>
    </row>
    <row r="639" spans="37:38">
      <c r="AK639" s="17"/>
      <c r="AL639" s="17"/>
    </row>
    <row r="640" spans="37:38">
      <c r="AK640" s="17"/>
      <c r="AL640" s="17"/>
    </row>
    <row r="641" spans="37:38">
      <c r="AK641" s="17"/>
      <c r="AL641" s="17"/>
    </row>
    <row r="642" spans="37:38">
      <c r="AK642" s="17"/>
      <c r="AL642" s="17"/>
    </row>
    <row r="643" spans="37:38">
      <c r="AK643" s="17"/>
      <c r="AL643" s="17"/>
    </row>
    <row r="644" spans="37:38">
      <c r="AK644" s="17"/>
      <c r="AL644" s="17"/>
    </row>
    <row r="645" spans="37:38">
      <c r="AK645" s="17"/>
      <c r="AL645" s="17"/>
    </row>
    <row r="646" spans="37:38">
      <c r="AK646" s="17"/>
      <c r="AL646" s="17"/>
    </row>
    <row r="647" spans="37:38">
      <c r="AK647" s="17"/>
      <c r="AL647" s="17"/>
    </row>
    <row r="648" spans="37:38">
      <c r="AK648" s="17"/>
      <c r="AL648" s="17"/>
    </row>
    <row r="649" spans="37:38">
      <c r="AK649" s="17"/>
      <c r="AL649" s="17"/>
    </row>
    <row r="650" spans="37:38">
      <c r="AK650" s="17"/>
      <c r="AL650" s="17"/>
    </row>
    <row r="651" spans="37:38">
      <c r="AK651" s="17"/>
      <c r="AL651" s="17"/>
    </row>
    <row r="652" spans="37:38">
      <c r="AK652" s="17"/>
      <c r="AL652" s="17"/>
    </row>
    <row r="653" spans="37:38">
      <c r="AK653" s="17"/>
      <c r="AL653" s="17"/>
    </row>
    <row r="654" spans="37:38">
      <c r="AK654" s="17"/>
      <c r="AL654" s="17"/>
    </row>
    <row r="655" spans="37:38">
      <c r="AK655" s="17"/>
      <c r="AL655" s="17"/>
    </row>
    <row r="656" spans="37:38">
      <c r="AK656" s="17"/>
      <c r="AL656" s="17"/>
    </row>
    <row r="657" spans="37:38">
      <c r="AK657" s="17"/>
      <c r="AL657" s="17"/>
    </row>
    <row r="658" spans="37:38">
      <c r="AK658" s="17"/>
      <c r="AL658" s="17"/>
    </row>
    <row r="659" spans="37:38">
      <c r="AK659" s="17"/>
      <c r="AL659" s="17"/>
    </row>
    <row r="660" spans="37:38">
      <c r="AK660" s="17"/>
      <c r="AL660" s="17"/>
    </row>
    <row r="661" spans="37:38">
      <c r="AK661" s="17"/>
      <c r="AL661" s="17"/>
    </row>
    <row r="662" spans="37:38">
      <c r="AK662" s="17"/>
      <c r="AL662" s="17"/>
    </row>
    <row r="663" spans="37:38">
      <c r="AK663" s="17"/>
      <c r="AL663" s="17"/>
    </row>
    <row r="664" spans="37:38">
      <c r="AK664" s="17"/>
      <c r="AL664" s="17"/>
    </row>
    <row r="665" spans="37:38">
      <c r="AK665" s="17"/>
      <c r="AL665" s="17"/>
    </row>
    <row r="666" spans="37:38">
      <c r="AK666" s="17"/>
      <c r="AL666" s="17"/>
    </row>
    <row r="667" spans="37:38">
      <c r="AK667" s="17"/>
      <c r="AL667" s="17"/>
    </row>
    <row r="668" spans="37:38">
      <c r="AK668" s="17"/>
      <c r="AL668" s="17"/>
    </row>
    <row r="669" spans="37:38">
      <c r="AK669" s="17"/>
      <c r="AL669" s="17"/>
    </row>
    <row r="670" spans="37:38">
      <c r="AK670" s="17"/>
      <c r="AL670" s="17"/>
    </row>
    <row r="671" spans="37:38">
      <c r="AK671" s="17"/>
      <c r="AL671" s="17"/>
    </row>
    <row r="672" spans="37:38">
      <c r="AK672" s="17"/>
      <c r="AL672" s="17"/>
    </row>
    <row r="673" spans="37:38">
      <c r="AK673" s="17"/>
      <c r="AL673" s="17"/>
    </row>
    <row r="674" spans="37:38">
      <c r="AK674" s="17"/>
      <c r="AL674" s="17"/>
    </row>
    <row r="675" spans="37:38">
      <c r="AK675" s="17"/>
      <c r="AL675" s="17"/>
    </row>
    <row r="676" spans="37:38">
      <c r="AK676" s="17"/>
      <c r="AL676" s="17"/>
    </row>
    <row r="677" spans="37:38">
      <c r="AK677" s="17"/>
      <c r="AL677" s="17"/>
    </row>
    <row r="678" spans="37:38">
      <c r="AK678" s="17"/>
      <c r="AL678" s="17"/>
    </row>
    <row r="679" spans="37:38">
      <c r="AK679" s="17"/>
      <c r="AL679" s="17"/>
    </row>
    <row r="680" spans="37:38">
      <c r="AK680" s="17"/>
      <c r="AL680" s="17"/>
    </row>
    <row r="681" spans="37:38">
      <c r="AK681" s="17"/>
      <c r="AL681" s="17"/>
    </row>
    <row r="682" spans="37:38">
      <c r="AK682" s="17"/>
      <c r="AL682" s="17"/>
    </row>
    <row r="683" spans="37:38">
      <c r="AK683" s="17"/>
      <c r="AL683" s="17"/>
    </row>
    <row r="684" spans="37:38">
      <c r="AK684" s="17"/>
      <c r="AL684" s="17"/>
    </row>
    <row r="685" spans="37:38">
      <c r="AK685" s="17"/>
      <c r="AL685" s="17"/>
    </row>
    <row r="686" spans="37:38">
      <c r="AK686" s="17"/>
      <c r="AL686" s="17"/>
    </row>
    <row r="687" spans="37:38">
      <c r="AK687" s="17"/>
      <c r="AL687" s="17"/>
    </row>
    <row r="688" spans="37:38">
      <c r="AK688" s="17"/>
      <c r="AL688" s="17"/>
    </row>
    <row r="689" spans="37:38">
      <c r="AK689" s="17"/>
      <c r="AL689" s="17"/>
    </row>
    <row r="690" spans="37:38">
      <c r="AK690" s="17"/>
      <c r="AL690" s="17"/>
    </row>
    <row r="691" spans="37:38">
      <c r="AK691" s="17"/>
      <c r="AL691" s="17"/>
    </row>
    <row r="692" spans="37:38">
      <c r="AK692" s="17"/>
      <c r="AL692" s="17"/>
    </row>
    <row r="693" spans="37:38">
      <c r="AK693" s="17"/>
      <c r="AL693" s="17"/>
    </row>
    <row r="694" spans="37:38">
      <c r="AK694" s="17"/>
      <c r="AL694" s="17"/>
    </row>
    <row r="695" spans="37:38">
      <c r="AK695" s="17"/>
      <c r="AL695" s="17"/>
    </row>
    <row r="696" spans="37:38">
      <c r="AK696" s="17"/>
      <c r="AL696" s="17"/>
    </row>
    <row r="697" spans="37:38">
      <c r="AK697" s="17"/>
      <c r="AL697" s="17"/>
    </row>
    <row r="698" spans="37:38">
      <c r="AK698" s="17"/>
      <c r="AL698" s="17"/>
    </row>
    <row r="699" spans="37:38">
      <c r="AK699" s="17"/>
      <c r="AL699" s="17"/>
    </row>
    <row r="700" spans="37:38">
      <c r="AK700" s="17"/>
      <c r="AL700" s="17"/>
    </row>
    <row r="701" spans="37:38">
      <c r="AK701" s="17"/>
      <c r="AL701" s="17"/>
    </row>
    <row r="702" spans="37:38">
      <c r="AK702" s="17"/>
      <c r="AL702" s="17"/>
    </row>
    <row r="703" spans="37:38">
      <c r="AK703" s="17"/>
      <c r="AL703" s="17"/>
    </row>
    <row r="704" spans="37:38">
      <c r="AK704" s="17"/>
      <c r="AL704" s="17"/>
    </row>
    <row r="705" spans="37:38">
      <c r="AK705" s="17"/>
      <c r="AL705" s="17"/>
    </row>
    <row r="706" spans="37:38">
      <c r="AK706" s="17"/>
      <c r="AL706" s="17"/>
    </row>
    <row r="707" spans="37:38">
      <c r="AK707" s="17"/>
      <c r="AL707" s="17"/>
    </row>
    <row r="708" spans="37:38">
      <c r="AK708" s="17"/>
      <c r="AL708" s="17"/>
    </row>
    <row r="709" spans="37:38">
      <c r="AK709" s="17"/>
      <c r="AL709" s="17"/>
    </row>
    <row r="710" spans="37:38">
      <c r="AK710" s="17"/>
      <c r="AL710" s="17"/>
    </row>
    <row r="711" spans="37:38">
      <c r="AK711" s="17"/>
      <c r="AL711" s="17"/>
    </row>
    <row r="712" spans="37:38">
      <c r="AK712" s="17"/>
      <c r="AL712" s="17"/>
    </row>
    <row r="713" spans="37:38">
      <c r="AK713" s="17"/>
      <c r="AL713" s="17"/>
    </row>
    <row r="714" spans="37:38">
      <c r="AK714" s="17"/>
      <c r="AL714" s="17"/>
    </row>
    <row r="715" spans="37:38">
      <c r="AK715" s="17"/>
      <c r="AL715" s="17"/>
    </row>
    <row r="716" spans="37:38">
      <c r="AK716" s="17"/>
      <c r="AL716" s="17"/>
    </row>
    <row r="717" spans="37:38">
      <c r="AK717" s="17"/>
      <c r="AL717" s="17"/>
    </row>
    <row r="718" spans="37:38">
      <c r="AK718" s="17"/>
      <c r="AL718" s="17"/>
    </row>
    <row r="719" spans="37:38">
      <c r="AK719" s="17"/>
      <c r="AL719" s="17"/>
    </row>
    <row r="720" spans="37:38">
      <c r="AK720" s="17"/>
      <c r="AL720" s="17"/>
    </row>
    <row r="721" spans="37:38">
      <c r="AK721" s="17"/>
      <c r="AL721" s="17"/>
    </row>
    <row r="722" spans="37:38">
      <c r="AK722" s="17"/>
      <c r="AL722" s="17"/>
    </row>
    <row r="723" spans="37:38">
      <c r="AK723" s="17"/>
      <c r="AL723" s="17"/>
    </row>
    <row r="724" spans="37:38">
      <c r="AK724" s="17"/>
      <c r="AL724" s="17"/>
    </row>
    <row r="725" spans="37:38">
      <c r="AK725" s="17"/>
      <c r="AL725" s="17"/>
    </row>
    <row r="726" spans="37:38">
      <c r="AK726" s="17"/>
      <c r="AL726" s="17"/>
    </row>
    <row r="727" spans="37:38">
      <c r="AK727" s="17"/>
      <c r="AL727" s="17"/>
    </row>
    <row r="728" spans="37:38">
      <c r="AK728" s="17"/>
      <c r="AL728" s="17"/>
    </row>
    <row r="729" spans="37:38">
      <c r="AK729" s="17"/>
      <c r="AL729" s="17"/>
    </row>
    <row r="730" spans="37:38">
      <c r="AK730" s="17"/>
      <c r="AL730" s="17"/>
    </row>
    <row r="731" spans="37:38">
      <c r="AK731" s="17"/>
      <c r="AL731" s="17"/>
    </row>
    <row r="732" spans="37:38">
      <c r="AK732" s="17"/>
      <c r="AL732" s="17"/>
    </row>
    <row r="733" spans="37:38">
      <c r="AK733" s="17"/>
      <c r="AL733" s="17"/>
    </row>
    <row r="734" spans="37:38">
      <c r="AK734" s="17"/>
      <c r="AL734" s="17"/>
    </row>
    <row r="735" spans="37:38">
      <c r="AK735" s="17"/>
      <c r="AL735" s="17"/>
    </row>
    <row r="736" spans="37:38">
      <c r="AK736" s="17"/>
      <c r="AL736" s="17"/>
    </row>
    <row r="737" spans="37:38">
      <c r="AK737" s="17"/>
      <c r="AL737" s="17"/>
    </row>
    <row r="738" spans="37:38">
      <c r="AK738" s="17"/>
      <c r="AL738" s="17"/>
    </row>
    <row r="739" spans="37:38">
      <c r="AK739" s="17"/>
      <c r="AL739" s="17"/>
    </row>
    <row r="740" spans="37:38">
      <c r="AK740" s="17"/>
      <c r="AL740" s="17"/>
    </row>
    <row r="741" spans="37:38">
      <c r="AK741" s="17"/>
      <c r="AL741" s="17"/>
    </row>
    <row r="742" spans="37:38">
      <c r="AK742" s="17"/>
      <c r="AL742" s="17"/>
    </row>
    <row r="743" spans="37:38">
      <c r="AK743" s="17"/>
      <c r="AL743" s="17"/>
    </row>
    <row r="744" spans="37:38">
      <c r="AK744" s="17"/>
      <c r="AL744" s="17"/>
    </row>
    <row r="745" spans="37:38">
      <c r="AK745" s="17"/>
      <c r="AL745" s="17"/>
    </row>
    <row r="746" spans="37:38">
      <c r="AK746" s="17"/>
      <c r="AL746" s="17"/>
    </row>
    <row r="747" spans="37:38">
      <c r="AK747" s="17"/>
      <c r="AL747" s="17"/>
    </row>
    <row r="748" spans="37:38">
      <c r="AK748" s="17"/>
      <c r="AL748" s="17"/>
    </row>
    <row r="749" spans="37:38">
      <c r="AK749" s="17"/>
      <c r="AL749" s="17"/>
    </row>
    <row r="750" spans="37:38">
      <c r="AK750" s="17"/>
      <c r="AL750" s="17"/>
    </row>
    <row r="751" spans="37:38">
      <c r="AK751" s="17"/>
      <c r="AL751" s="17"/>
    </row>
    <row r="752" spans="37:38">
      <c r="AK752" s="17"/>
      <c r="AL752" s="17"/>
    </row>
    <row r="753" spans="37:38">
      <c r="AK753" s="17"/>
      <c r="AL753" s="17"/>
    </row>
    <row r="754" spans="37:38">
      <c r="AK754" s="17"/>
      <c r="AL754" s="17"/>
    </row>
    <row r="755" spans="37:38">
      <c r="AK755" s="17"/>
      <c r="AL755" s="17"/>
    </row>
    <row r="756" spans="37:38">
      <c r="AK756" s="17"/>
      <c r="AL756" s="17"/>
    </row>
    <row r="757" spans="37:38">
      <c r="AK757" s="17"/>
      <c r="AL757" s="17"/>
    </row>
    <row r="758" spans="37:38">
      <c r="AK758" s="17"/>
      <c r="AL758" s="17"/>
    </row>
    <row r="759" spans="37:38">
      <c r="AK759" s="17"/>
      <c r="AL759" s="17"/>
    </row>
    <row r="760" spans="37:38">
      <c r="AK760" s="17"/>
      <c r="AL760" s="17"/>
    </row>
    <row r="761" spans="37:38">
      <c r="AK761" s="17"/>
      <c r="AL761" s="17"/>
    </row>
    <row r="762" spans="37:38">
      <c r="AK762" s="17"/>
      <c r="AL762" s="17"/>
    </row>
    <row r="763" spans="37:38">
      <c r="AK763" s="17"/>
      <c r="AL763" s="17"/>
    </row>
    <row r="764" spans="37:38">
      <c r="AK764" s="17"/>
      <c r="AL764" s="17"/>
    </row>
    <row r="765" spans="37:38">
      <c r="AK765" s="17"/>
      <c r="AL765" s="17"/>
    </row>
    <row r="766" spans="37:38">
      <c r="AK766" s="17"/>
      <c r="AL766" s="17"/>
    </row>
    <row r="767" spans="37:38">
      <c r="AK767" s="17"/>
      <c r="AL767" s="17"/>
    </row>
    <row r="768" spans="37:38">
      <c r="AK768" s="17"/>
      <c r="AL768" s="17"/>
    </row>
    <row r="769" spans="37:38">
      <c r="AK769" s="17"/>
      <c r="AL769" s="17"/>
    </row>
    <row r="770" spans="37:38">
      <c r="AK770" s="17"/>
      <c r="AL770" s="17"/>
    </row>
    <row r="771" spans="37:38">
      <c r="AK771" s="17"/>
      <c r="AL771" s="17"/>
    </row>
    <row r="772" spans="37:38">
      <c r="AK772" s="17"/>
      <c r="AL772" s="17"/>
    </row>
    <row r="773" spans="37:38">
      <c r="AK773" s="17"/>
      <c r="AL773" s="17"/>
    </row>
    <row r="774" spans="37:38">
      <c r="AK774" s="17"/>
      <c r="AL774" s="17"/>
    </row>
    <row r="775" spans="37:38">
      <c r="AK775" s="17"/>
      <c r="AL775" s="17"/>
    </row>
    <row r="776" spans="37:38">
      <c r="AK776" s="17"/>
      <c r="AL776" s="17"/>
    </row>
    <row r="777" spans="37:38">
      <c r="AK777" s="17"/>
      <c r="AL777" s="17"/>
    </row>
    <row r="778" spans="37:38">
      <c r="AK778" s="17"/>
      <c r="AL778" s="17"/>
    </row>
    <row r="779" spans="37:38">
      <c r="AK779" s="17"/>
      <c r="AL779" s="17"/>
    </row>
    <row r="780" spans="37:38">
      <c r="AK780" s="17"/>
      <c r="AL780" s="17"/>
    </row>
    <row r="781" spans="37:38">
      <c r="AK781" s="17"/>
      <c r="AL781" s="17"/>
    </row>
    <row r="782" spans="37:38">
      <c r="AK782" s="17"/>
      <c r="AL782" s="17"/>
    </row>
    <row r="783" spans="37:38">
      <c r="AK783" s="17"/>
      <c r="AL783" s="17"/>
    </row>
    <row r="784" spans="37:38">
      <c r="AK784" s="17"/>
      <c r="AL784" s="17"/>
    </row>
    <row r="785" spans="37:38">
      <c r="AK785" s="17"/>
      <c r="AL785" s="17"/>
    </row>
    <row r="786" spans="37:38">
      <c r="AK786" s="17"/>
      <c r="AL786" s="17"/>
    </row>
    <row r="787" spans="37:38">
      <c r="AK787" s="17"/>
      <c r="AL787" s="17"/>
    </row>
    <row r="788" spans="37:38">
      <c r="AK788" s="17"/>
      <c r="AL788" s="17"/>
    </row>
    <row r="789" spans="37:38">
      <c r="AK789" s="17"/>
      <c r="AL789" s="17"/>
    </row>
    <row r="790" spans="37:38">
      <c r="AK790" s="17"/>
      <c r="AL790" s="17"/>
    </row>
    <row r="791" spans="37:38">
      <c r="AK791" s="17"/>
      <c r="AL791" s="17"/>
    </row>
    <row r="792" spans="37:38">
      <c r="AK792" s="17"/>
      <c r="AL792" s="17"/>
    </row>
    <row r="793" spans="37:38">
      <c r="AK793" s="17"/>
      <c r="AL793" s="17"/>
    </row>
    <row r="794" spans="37:38">
      <c r="AK794" s="17"/>
      <c r="AL794" s="17"/>
    </row>
    <row r="795" spans="37:38">
      <c r="AK795" s="17"/>
      <c r="AL795" s="17"/>
    </row>
    <row r="796" spans="37:38">
      <c r="AK796" s="17"/>
      <c r="AL796" s="17"/>
    </row>
    <row r="797" spans="37:38">
      <c r="AK797" s="17"/>
      <c r="AL797" s="17"/>
    </row>
    <row r="798" spans="37:38">
      <c r="AK798" s="17"/>
      <c r="AL798" s="17"/>
    </row>
    <row r="799" spans="37:38">
      <c r="AK799" s="17"/>
      <c r="AL799" s="17"/>
    </row>
    <row r="800" spans="37:38">
      <c r="AK800" s="17"/>
      <c r="AL800" s="17"/>
    </row>
    <row r="801" spans="37:38">
      <c r="AK801" s="17"/>
      <c r="AL801" s="17"/>
    </row>
    <row r="802" spans="37:38">
      <c r="AK802" s="17"/>
      <c r="AL802" s="17"/>
    </row>
    <row r="803" spans="37:38">
      <c r="AK803" s="17"/>
      <c r="AL803" s="17"/>
    </row>
    <row r="804" spans="37:38">
      <c r="AK804" s="17"/>
      <c r="AL804" s="17"/>
    </row>
    <row r="805" spans="37:38">
      <c r="AK805" s="17"/>
      <c r="AL805" s="17"/>
    </row>
    <row r="806" spans="37:38">
      <c r="AK806" s="17"/>
      <c r="AL806" s="17"/>
    </row>
    <row r="807" spans="37:38">
      <c r="AK807" s="17"/>
      <c r="AL807" s="17"/>
    </row>
    <row r="808" spans="37:38">
      <c r="AK808" s="17"/>
      <c r="AL808" s="17"/>
    </row>
    <row r="809" spans="37:38">
      <c r="AK809" s="17"/>
      <c r="AL809" s="17"/>
    </row>
    <row r="810" spans="37:38">
      <c r="AK810" s="17"/>
      <c r="AL810" s="17"/>
    </row>
    <row r="811" spans="37:38">
      <c r="AK811" s="17"/>
      <c r="AL811" s="17"/>
    </row>
    <row r="812" spans="37:38">
      <c r="AK812" s="17"/>
      <c r="AL812" s="17"/>
    </row>
    <row r="813" spans="37:38">
      <c r="AK813" s="17"/>
      <c r="AL813" s="17"/>
    </row>
    <row r="814" spans="37:38">
      <c r="AK814" s="17"/>
      <c r="AL814" s="17"/>
    </row>
    <row r="815" spans="37:38">
      <c r="AK815" s="17"/>
      <c r="AL815" s="17"/>
    </row>
    <row r="816" spans="37:38">
      <c r="AK816" s="17"/>
      <c r="AL816" s="17"/>
    </row>
    <row r="817" spans="37:38">
      <c r="AK817" s="17"/>
      <c r="AL817" s="17"/>
    </row>
    <row r="818" spans="37:38">
      <c r="AK818" s="17"/>
      <c r="AL818" s="17"/>
    </row>
    <row r="819" spans="37:38">
      <c r="AK819" s="17"/>
      <c r="AL819" s="17"/>
    </row>
    <row r="820" spans="37:38">
      <c r="AK820" s="17"/>
      <c r="AL820" s="17"/>
    </row>
    <row r="821" spans="37:38">
      <c r="AK821" s="17"/>
      <c r="AL821" s="17"/>
    </row>
    <row r="822" spans="37:38">
      <c r="AK822" s="17"/>
      <c r="AL822" s="17"/>
    </row>
    <row r="823" spans="37:38">
      <c r="AK823" s="17"/>
      <c r="AL823" s="17"/>
    </row>
    <row r="824" spans="37:38">
      <c r="AK824" s="17"/>
      <c r="AL824" s="17"/>
    </row>
    <row r="825" spans="37:38">
      <c r="AK825" s="17"/>
      <c r="AL825" s="17"/>
    </row>
    <row r="826" spans="37:38">
      <c r="AK826" s="17"/>
      <c r="AL826" s="17"/>
    </row>
    <row r="827" spans="37:38">
      <c r="AK827" s="17"/>
      <c r="AL827" s="17"/>
    </row>
    <row r="828" spans="37:38">
      <c r="AK828" s="17"/>
      <c r="AL828" s="17"/>
    </row>
    <row r="829" spans="37:38">
      <c r="AK829" s="17"/>
      <c r="AL829" s="17"/>
    </row>
    <row r="830" spans="37:38">
      <c r="AK830" s="17"/>
      <c r="AL830" s="17"/>
    </row>
    <row r="831" spans="37:38">
      <c r="AK831" s="17"/>
      <c r="AL831" s="17"/>
    </row>
    <row r="832" spans="37:38">
      <c r="AK832" s="17"/>
      <c r="AL832" s="17"/>
    </row>
    <row r="833" spans="37:38">
      <c r="AK833" s="17"/>
      <c r="AL833" s="17"/>
    </row>
    <row r="834" spans="37:38">
      <c r="AK834" s="17"/>
      <c r="AL834" s="17"/>
    </row>
    <row r="835" spans="37:38">
      <c r="AK835" s="17"/>
      <c r="AL835" s="17"/>
    </row>
    <row r="836" spans="37:38">
      <c r="AK836" s="17"/>
      <c r="AL836" s="17"/>
    </row>
    <row r="837" spans="37:38">
      <c r="AK837" s="17"/>
      <c r="AL837" s="17"/>
    </row>
    <row r="838" spans="37:38">
      <c r="AK838" s="17"/>
      <c r="AL838" s="17"/>
    </row>
    <row r="839" spans="37:38">
      <c r="AK839" s="17"/>
      <c r="AL839" s="17"/>
    </row>
    <row r="840" spans="37:38">
      <c r="AK840" s="17"/>
      <c r="AL840" s="17"/>
    </row>
    <row r="841" spans="37:38">
      <c r="AK841" s="17"/>
      <c r="AL841" s="17"/>
    </row>
    <row r="842" spans="37:38">
      <c r="AK842" s="17"/>
      <c r="AL842" s="17"/>
    </row>
    <row r="843" spans="37:38">
      <c r="AK843" s="17"/>
      <c r="AL843" s="17"/>
    </row>
    <row r="844" spans="37:38">
      <c r="AK844" s="17"/>
      <c r="AL844" s="17"/>
    </row>
    <row r="845" spans="37:38">
      <c r="AK845" s="17"/>
      <c r="AL845" s="17"/>
    </row>
    <row r="846" spans="37:38">
      <c r="AK846" s="17"/>
      <c r="AL846" s="17"/>
    </row>
    <row r="847" spans="37:38">
      <c r="AK847" s="17"/>
      <c r="AL847" s="17"/>
    </row>
    <row r="848" spans="37:38">
      <c r="AK848" s="17"/>
      <c r="AL848" s="17"/>
    </row>
    <row r="849" spans="37:38">
      <c r="AK849" s="17"/>
      <c r="AL849" s="17"/>
    </row>
    <row r="850" spans="37:38">
      <c r="AK850" s="17"/>
      <c r="AL850" s="17"/>
    </row>
    <row r="851" spans="37:38">
      <c r="AK851" s="17"/>
      <c r="AL851" s="17"/>
    </row>
    <row r="852" spans="37:38">
      <c r="AK852" s="17"/>
      <c r="AL852" s="17"/>
    </row>
    <row r="853" spans="37:38">
      <c r="AK853" s="17"/>
      <c r="AL853" s="17"/>
    </row>
    <row r="854" spans="37:38">
      <c r="AK854" s="17"/>
      <c r="AL854" s="17"/>
    </row>
    <row r="855" spans="37:38">
      <c r="AK855" s="17"/>
      <c r="AL855" s="17"/>
    </row>
    <row r="856" spans="37:38">
      <c r="AK856" s="17"/>
      <c r="AL856" s="17"/>
    </row>
    <row r="857" spans="37:38">
      <c r="AK857" s="17"/>
      <c r="AL857" s="17"/>
    </row>
    <row r="858" spans="37:38">
      <c r="AK858" s="17"/>
      <c r="AL858" s="17"/>
    </row>
    <row r="859" spans="37:38">
      <c r="AK859" s="17"/>
      <c r="AL859" s="17"/>
    </row>
    <row r="860" spans="37:38">
      <c r="AK860" s="17"/>
      <c r="AL860" s="17"/>
    </row>
    <row r="861" spans="37:38">
      <c r="AK861" s="17"/>
      <c r="AL861" s="17"/>
    </row>
    <row r="862" spans="37:38">
      <c r="AK862" s="17"/>
      <c r="AL862" s="17"/>
    </row>
    <row r="863" spans="37:38">
      <c r="AK863" s="17"/>
      <c r="AL863" s="17"/>
    </row>
    <row r="864" spans="37:38">
      <c r="AK864" s="17"/>
      <c r="AL864" s="17"/>
    </row>
    <row r="865" spans="37:38">
      <c r="AK865" s="17"/>
      <c r="AL865" s="17"/>
    </row>
    <row r="866" spans="37:38">
      <c r="AK866" s="17"/>
      <c r="AL866" s="17"/>
    </row>
    <row r="867" spans="37:38">
      <c r="AK867" s="17"/>
      <c r="AL867" s="17"/>
    </row>
    <row r="868" spans="37:38">
      <c r="AK868" s="17"/>
      <c r="AL868" s="17"/>
    </row>
    <row r="869" spans="37:38">
      <c r="AK869" s="17"/>
      <c r="AL869" s="17"/>
    </row>
    <row r="870" spans="37:38">
      <c r="AK870" s="17"/>
      <c r="AL870" s="17"/>
    </row>
    <row r="871" spans="37:38">
      <c r="AK871" s="17"/>
      <c r="AL871" s="17"/>
    </row>
    <row r="872" spans="37:38">
      <c r="AK872" s="17"/>
      <c r="AL872" s="17"/>
    </row>
    <row r="873" spans="37:38">
      <c r="AK873" s="17"/>
      <c r="AL873" s="17"/>
    </row>
    <row r="874" spans="37:38">
      <c r="AK874" s="17"/>
      <c r="AL874" s="17"/>
    </row>
    <row r="875" spans="37:38">
      <c r="AK875" s="17"/>
      <c r="AL875" s="17"/>
    </row>
    <row r="876" spans="37:38">
      <c r="AK876" s="17"/>
      <c r="AL876" s="17"/>
    </row>
    <row r="877" spans="37:38">
      <c r="AK877" s="17"/>
      <c r="AL877" s="17"/>
    </row>
    <row r="878" spans="37:38">
      <c r="AK878" s="17"/>
      <c r="AL878" s="17"/>
    </row>
    <row r="879" spans="37:38">
      <c r="AK879" s="17"/>
      <c r="AL879" s="17"/>
    </row>
    <row r="880" spans="37:38">
      <c r="AK880" s="17"/>
      <c r="AL880" s="17"/>
    </row>
    <row r="881" spans="37:38">
      <c r="AK881" s="17"/>
      <c r="AL881" s="17"/>
    </row>
    <row r="882" spans="37:38">
      <c r="AK882" s="17"/>
      <c r="AL882" s="17"/>
    </row>
    <row r="883" spans="37:38">
      <c r="AK883" s="17"/>
      <c r="AL883" s="17"/>
    </row>
    <row r="884" spans="37:38">
      <c r="AK884" s="17"/>
      <c r="AL884" s="17"/>
    </row>
    <row r="885" spans="37:38">
      <c r="AK885" s="17"/>
      <c r="AL885" s="17"/>
    </row>
    <row r="886" spans="37:38">
      <c r="AK886" s="17"/>
      <c r="AL886" s="17"/>
    </row>
    <row r="887" spans="37:38">
      <c r="AK887" s="17"/>
      <c r="AL887" s="17"/>
    </row>
    <row r="888" spans="37:38">
      <c r="AK888" s="17"/>
      <c r="AL888" s="17"/>
    </row>
    <row r="889" spans="37:38">
      <c r="AK889" s="17"/>
      <c r="AL889" s="17"/>
    </row>
    <row r="890" spans="37:38">
      <c r="AK890" s="17"/>
      <c r="AL890" s="17"/>
    </row>
    <row r="891" spans="37:38">
      <c r="AK891" s="17"/>
      <c r="AL891" s="17"/>
    </row>
    <row r="892" spans="37:38">
      <c r="AK892" s="17"/>
      <c r="AL892" s="17"/>
    </row>
    <row r="893" spans="37:38">
      <c r="AK893" s="17"/>
      <c r="AL893" s="17"/>
    </row>
    <row r="894" spans="37:38">
      <c r="AK894" s="17"/>
      <c r="AL894" s="17"/>
    </row>
    <row r="895" spans="37:38">
      <c r="AK895" s="17"/>
      <c r="AL895" s="17"/>
    </row>
    <row r="896" spans="37:38">
      <c r="AK896" s="17"/>
      <c r="AL896" s="17"/>
    </row>
    <row r="897" spans="37:38">
      <c r="AK897" s="17"/>
      <c r="AL897" s="17"/>
    </row>
    <row r="898" spans="37:38">
      <c r="AK898" s="17"/>
      <c r="AL898" s="17"/>
    </row>
    <row r="899" spans="37:38">
      <c r="AK899" s="17"/>
      <c r="AL899" s="17"/>
    </row>
    <row r="900" spans="37:38">
      <c r="AK900" s="17"/>
      <c r="AL900" s="17"/>
    </row>
    <row r="901" spans="37:38">
      <c r="AK901" s="17"/>
      <c r="AL901" s="17"/>
    </row>
    <row r="902" spans="37:38">
      <c r="AK902" s="17"/>
      <c r="AL902" s="17"/>
    </row>
    <row r="903" spans="37:38">
      <c r="AK903" s="17"/>
      <c r="AL903" s="17"/>
    </row>
    <row r="904" spans="37:38">
      <c r="AK904" s="17"/>
      <c r="AL904" s="17"/>
    </row>
    <row r="905" spans="37:38">
      <c r="AK905" s="17"/>
      <c r="AL905" s="17"/>
    </row>
    <row r="906" spans="37:38">
      <c r="AK906" s="17"/>
      <c r="AL906" s="17"/>
    </row>
    <row r="907" spans="37:38">
      <c r="AK907" s="17"/>
      <c r="AL907" s="17"/>
    </row>
    <row r="908" spans="37:38">
      <c r="AK908" s="17"/>
      <c r="AL908" s="17"/>
    </row>
    <row r="909" spans="37:38">
      <c r="AK909" s="17"/>
      <c r="AL909" s="17"/>
    </row>
    <row r="910" spans="37:38">
      <c r="AK910" s="17"/>
      <c r="AL910" s="17"/>
    </row>
    <row r="911" spans="37:38">
      <c r="AK911" s="17"/>
      <c r="AL911" s="17"/>
    </row>
    <row r="912" spans="37:38">
      <c r="AK912" s="17"/>
      <c r="AL912" s="17"/>
    </row>
    <row r="913" spans="37:38">
      <c r="AK913" s="17"/>
      <c r="AL913" s="17"/>
    </row>
    <row r="914" spans="37:38">
      <c r="AK914" s="17"/>
      <c r="AL914" s="17"/>
    </row>
    <row r="915" spans="37:38">
      <c r="AK915" s="17"/>
      <c r="AL915" s="17"/>
    </row>
    <row r="916" spans="37:38">
      <c r="AK916" s="17"/>
      <c r="AL916" s="17"/>
    </row>
    <row r="917" spans="37:38">
      <c r="AK917" s="17"/>
      <c r="AL917" s="17"/>
    </row>
    <row r="918" spans="37:38">
      <c r="AK918" s="17"/>
      <c r="AL918" s="17"/>
    </row>
    <row r="919" spans="37:38">
      <c r="AK919" s="17"/>
      <c r="AL919" s="17"/>
    </row>
    <row r="920" spans="37:38">
      <c r="AK920" s="17"/>
      <c r="AL920" s="17"/>
    </row>
    <row r="921" spans="37:38">
      <c r="AK921" s="17"/>
      <c r="AL921" s="17"/>
    </row>
    <row r="922" spans="37:38">
      <c r="AK922" s="17"/>
      <c r="AL922" s="17"/>
    </row>
    <row r="923" spans="37:38">
      <c r="AK923" s="17"/>
      <c r="AL923" s="17"/>
    </row>
    <row r="924" spans="37:38">
      <c r="AK924" s="17"/>
      <c r="AL924" s="17"/>
    </row>
    <row r="925" spans="37:38">
      <c r="AK925" s="17"/>
      <c r="AL925" s="17"/>
    </row>
    <row r="926" spans="37:38">
      <c r="AK926" s="17"/>
      <c r="AL926" s="17"/>
    </row>
    <row r="927" spans="37:38">
      <c r="AK927" s="17"/>
      <c r="AL927" s="17"/>
    </row>
    <row r="928" spans="37:38">
      <c r="AK928" s="17"/>
      <c r="AL928" s="17"/>
    </row>
    <row r="929" spans="37:38">
      <c r="AK929" s="17"/>
      <c r="AL929" s="17"/>
    </row>
    <row r="930" spans="37:38">
      <c r="AK930" s="17"/>
      <c r="AL930" s="17"/>
    </row>
    <row r="931" spans="37:38">
      <c r="AK931" s="17"/>
      <c r="AL931" s="17"/>
    </row>
    <row r="932" spans="37:38">
      <c r="AK932" s="17"/>
      <c r="AL932" s="17"/>
    </row>
    <row r="933" spans="37:38">
      <c r="AK933" s="17"/>
      <c r="AL933" s="17"/>
    </row>
    <row r="934" spans="37:38">
      <c r="AK934" s="17"/>
      <c r="AL934" s="17"/>
    </row>
    <row r="935" spans="37:38">
      <c r="AK935" s="17"/>
      <c r="AL935" s="17"/>
    </row>
    <row r="936" spans="37:38">
      <c r="AK936" s="17"/>
      <c r="AL936" s="17"/>
    </row>
    <row r="937" spans="37:38">
      <c r="AK937" s="17"/>
      <c r="AL937" s="17"/>
    </row>
    <row r="938" spans="37:38">
      <c r="AK938" s="17"/>
      <c r="AL938" s="17"/>
    </row>
    <row r="939" spans="37:38">
      <c r="AK939" s="17"/>
      <c r="AL939" s="17"/>
    </row>
    <row r="940" spans="37:38">
      <c r="AK940" s="17"/>
      <c r="AL940" s="17"/>
    </row>
    <row r="941" spans="37:38">
      <c r="AK941" s="17"/>
      <c r="AL941" s="17"/>
    </row>
    <row r="942" spans="37:38">
      <c r="AK942" s="17"/>
      <c r="AL942" s="17"/>
    </row>
    <row r="943" spans="37:38">
      <c r="AK943" s="17"/>
      <c r="AL943" s="17"/>
    </row>
    <row r="944" spans="37:38">
      <c r="AK944" s="17"/>
      <c r="AL944" s="17"/>
    </row>
    <row r="945" spans="37:38">
      <c r="AK945" s="17"/>
      <c r="AL945" s="17"/>
    </row>
    <row r="946" spans="37:38">
      <c r="AK946" s="17"/>
      <c r="AL946" s="17"/>
    </row>
    <row r="947" spans="37:38">
      <c r="AK947" s="17"/>
      <c r="AL947" s="17"/>
    </row>
    <row r="948" spans="37:38">
      <c r="AK948" s="17"/>
      <c r="AL948" s="17"/>
    </row>
    <row r="949" spans="37:38">
      <c r="AK949" s="17"/>
      <c r="AL949" s="17"/>
    </row>
    <row r="950" spans="37:38">
      <c r="AK950" s="17"/>
      <c r="AL950" s="17"/>
    </row>
    <row r="951" spans="37:38">
      <c r="AK951" s="17"/>
      <c r="AL951" s="17"/>
    </row>
    <row r="952" spans="37:38">
      <c r="AK952" s="17"/>
      <c r="AL952" s="17"/>
    </row>
    <row r="953" spans="37:38">
      <c r="AK953" s="17"/>
      <c r="AL953" s="17"/>
    </row>
    <row r="954" spans="37:38">
      <c r="AK954" s="17"/>
      <c r="AL954" s="17"/>
    </row>
    <row r="955" spans="37:38">
      <c r="AK955" s="17"/>
      <c r="AL955" s="17"/>
    </row>
    <row r="956" spans="37:38">
      <c r="AK956" s="17"/>
      <c r="AL956" s="17"/>
    </row>
    <row r="957" spans="37:38">
      <c r="AK957" s="17"/>
      <c r="AL957" s="17"/>
    </row>
    <row r="958" spans="37:38">
      <c r="AK958" s="17"/>
      <c r="AL958" s="17"/>
    </row>
    <row r="959" spans="37:38">
      <c r="AK959" s="17"/>
      <c r="AL959" s="17"/>
    </row>
    <row r="960" spans="37:38">
      <c r="AK960" s="17"/>
      <c r="AL960" s="17"/>
    </row>
    <row r="961" spans="37:38">
      <c r="AK961" s="17"/>
      <c r="AL961" s="17"/>
    </row>
    <row r="962" spans="37:38">
      <c r="AK962" s="17"/>
      <c r="AL962" s="17"/>
    </row>
    <row r="963" spans="37:38">
      <c r="AK963" s="17"/>
      <c r="AL963" s="17"/>
    </row>
    <row r="964" spans="37:38">
      <c r="AK964" s="17"/>
      <c r="AL964" s="17"/>
    </row>
    <row r="965" spans="37:38">
      <c r="AK965" s="17"/>
      <c r="AL965" s="17"/>
    </row>
    <row r="966" spans="37:38">
      <c r="AK966" s="17"/>
      <c r="AL966" s="17"/>
    </row>
    <row r="967" spans="37:38">
      <c r="AK967" s="17"/>
      <c r="AL967" s="17"/>
    </row>
    <row r="968" spans="37:38">
      <c r="AK968" s="17"/>
      <c r="AL968" s="17"/>
    </row>
    <row r="969" spans="37:38">
      <c r="AK969" s="17"/>
      <c r="AL969" s="17"/>
    </row>
    <row r="970" spans="37:38">
      <c r="AK970" s="17"/>
      <c r="AL970" s="17"/>
    </row>
    <row r="971" spans="37:38">
      <c r="AK971" s="17"/>
      <c r="AL971" s="17"/>
    </row>
    <row r="972" spans="37:38">
      <c r="AK972" s="17"/>
      <c r="AL972" s="17"/>
    </row>
    <row r="973" spans="37:38">
      <c r="AK973" s="17"/>
      <c r="AL973" s="17"/>
    </row>
    <row r="974" spans="37:38">
      <c r="AK974" s="17"/>
      <c r="AL974" s="17"/>
    </row>
    <row r="975" spans="37:38">
      <c r="AK975" s="17"/>
      <c r="AL975" s="17"/>
    </row>
    <row r="976" spans="37:38">
      <c r="AK976" s="17"/>
      <c r="AL976" s="17"/>
    </row>
    <row r="977" spans="37:38">
      <c r="AK977" s="17"/>
      <c r="AL977" s="17"/>
    </row>
    <row r="978" spans="37:38">
      <c r="AK978" s="17"/>
      <c r="AL978" s="17"/>
    </row>
    <row r="979" spans="37:38">
      <c r="AK979" s="17"/>
      <c r="AL979" s="17"/>
    </row>
    <row r="980" spans="37:38">
      <c r="AK980" s="17"/>
      <c r="AL980" s="17"/>
    </row>
    <row r="981" spans="37:38">
      <c r="AK981" s="17"/>
      <c r="AL981" s="17"/>
    </row>
    <row r="982" spans="37:38">
      <c r="AK982" s="17"/>
      <c r="AL982" s="17"/>
    </row>
    <row r="983" spans="37:38">
      <c r="AK983" s="17"/>
      <c r="AL983" s="17"/>
    </row>
    <row r="984" spans="37:38">
      <c r="AK984" s="17"/>
      <c r="AL984" s="17"/>
    </row>
    <row r="985" spans="37:38">
      <c r="AK985" s="17"/>
      <c r="AL985" s="17"/>
    </row>
    <row r="986" spans="37:38">
      <c r="AK986" s="17"/>
      <c r="AL986" s="17"/>
    </row>
    <row r="987" spans="37:38">
      <c r="AK987" s="17"/>
      <c r="AL987" s="17"/>
    </row>
    <row r="988" spans="37:38">
      <c r="AK988" s="17"/>
      <c r="AL988" s="17"/>
    </row>
    <row r="989" spans="37:38">
      <c r="AK989" s="17"/>
      <c r="AL989" s="17"/>
    </row>
    <row r="990" spans="37:38">
      <c r="AK990" s="17"/>
      <c r="AL990" s="17"/>
    </row>
    <row r="991" spans="37:38">
      <c r="AK991" s="17"/>
      <c r="AL991" s="17"/>
    </row>
    <row r="992" spans="37:38">
      <c r="AK992" s="17"/>
      <c r="AL992" s="17"/>
    </row>
    <row r="993" spans="37:38">
      <c r="AK993" s="17"/>
      <c r="AL993" s="17"/>
    </row>
    <row r="994" spans="37:38">
      <c r="AK994" s="17"/>
      <c r="AL994" s="17"/>
    </row>
    <row r="995" spans="37:38">
      <c r="AK995" s="17"/>
      <c r="AL995" s="17"/>
    </row>
    <row r="996" spans="37:38">
      <c r="AK996" s="17"/>
      <c r="AL996" s="17"/>
    </row>
    <row r="997" spans="37:38">
      <c r="AK997" s="17"/>
      <c r="AL997" s="17"/>
    </row>
    <row r="998" spans="37:38">
      <c r="AK998" s="17"/>
      <c r="AL998" s="17"/>
    </row>
    <row r="999" spans="37:38">
      <c r="AK999" s="17"/>
      <c r="AL999" s="17"/>
    </row>
    <row r="1000" spans="37:38">
      <c r="AK1000" s="17"/>
      <c r="AL1000" s="17"/>
    </row>
    <row r="1001" spans="37:38">
      <c r="AK1001" s="17"/>
      <c r="AL1001" s="17"/>
    </row>
    <row r="1002" spans="37:38">
      <c r="AK1002" s="17"/>
      <c r="AL1002" s="17"/>
    </row>
    <row r="1003" spans="37:38">
      <c r="AK1003" s="17"/>
      <c r="AL1003" s="17"/>
    </row>
    <row r="1004" spans="37:38">
      <c r="AK1004" s="17"/>
      <c r="AL1004" s="17"/>
    </row>
    <row r="1005" spans="37:38">
      <c r="AK1005" s="17"/>
      <c r="AL1005" s="17"/>
    </row>
    <row r="1006" spans="37:38">
      <c r="AK1006" s="17"/>
      <c r="AL1006" s="17"/>
    </row>
    <row r="1007" spans="37:38">
      <c r="AK1007" s="17"/>
      <c r="AL1007" s="17"/>
    </row>
    <row r="1008" spans="37:38">
      <c r="AK1008" s="17"/>
      <c r="AL1008" s="17"/>
    </row>
    <row r="1009" spans="37:38">
      <c r="AK1009" s="17"/>
      <c r="AL1009" s="17"/>
    </row>
    <row r="1010" spans="37:38">
      <c r="AK1010" s="17"/>
      <c r="AL1010" s="17"/>
    </row>
    <row r="1011" spans="37:38">
      <c r="AK1011" s="17"/>
      <c r="AL1011" s="17"/>
    </row>
    <row r="1012" spans="37:38">
      <c r="AK1012" s="17"/>
      <c r="AL1012" s="17"/>
    </row>
    <row r="1013" spans="37:38">
      <c r="AK1013" s="17"/>
      <c r="AL1013" s="17"/>
    </row>
    <row r="1014" spans="37:38">
      <c r="AK1014" s="17"/>
      <c r="AL1014" s="17"/>
    </row>
    <row r="1015" spans="37:38">
      <c r="AK1015" s="17"/>
      <c r="AL1015" s="17"/>
    </row>
    <row r="1016" spans="37:38">
      <c r="AK1016" s="17"/>
      <c r="AL1016" s="17"/>
    </row>
    <row r="1017" spans="37:38">
      <c r="AK1017" s="17"/>
      <c r="AL1017" s="17"/>
    </row>
    <row r="1018" spans="37:38">
      <c r="AK1018" s="17"/>
      <c r="AL1018" s="17"/>
    </row>
    <row r="1019" spans="37:38">
      <c r="AK1019" s="17"/>
      <c r="AL1019" s="17"/>
    </row>
    <row r="1020" spans="37:38">
      <c r="AK1020" s="17"/>
      <c r="AL1020" s="17"/>
    </row>
    <row r="1021" spans="37:38">
      <c r="AK1021" s="17"/>
      <c r="AL1021" s="17"/>
    </row>
    <row r="1022" spans="37:38">
      <c r="AK1022" s="17"/>
      <c r="AL1022" s="17"/>
    </row>
    <row r="1023" spans="37:38">
      <c r="AK1023" s="17"/>
      <c r="AL1023" s="17"/>
    </row>
    <row r="1024" spans="37:38">
      <c r="AK1024" s="17"/>
      <c r="AL1024" s="17"/>
    </row>
    <row r="1025" spans="37:38">
      <c r="AK1025" s="17"/>
      <c r="AL1025" s="17"/>
    </row>
    <row r="1026" spans="37:38">
      <c r="AK1026" s="17"/>
      <c r="AL1026" s="17"/>
    </row>
    <row r="1027" spans="37:38">
      <c r="AK1027" s="17"/>
      <c r="AL1027" s="17"/>
    </row>
    <row r="1028" spans="37:38">
      <c r="AK1028" s="17"/>
      <c r="AL1028" s="17"/>
    </row>
    <row r="1029" spans="37:38">
      <c r="AK1029" s="17"/>
      <c r="AL1029" s="17"/>
    </row>
    <row r="1030" spans="37:38">
      <c r="AK1030" s="17"/>
      <c r="AL1030" s="17"/>
    </row>
    <row r="1031" spans="37:38">
      <c r="AK1031" s="17"/>
      <c r="AL1031" s="17"/>
    </row>
    <row r="1032" spans="37:38">
      <c r="AK1032" s="17"/>
      <c r="AL1032" s="17"/>
    </row>
    <row r="1033" spans="37:38">
      <c r="AK1033" s="17"/>
      <c r="AL1033" s="17"/>
    </row>
    <row r="1034" spans="37:38">
      <c r="AK1034" s="17"/>
      <c r="AL1034" s="17"/>
    </row>
    <row r="1035" spans="37:38">
      <c r="AK1035" s="17"/>
      <c r="AL1035" s="17"/>
    </row>
    <row r="1036" spans="37:38">
      <c r="AK1036" s="17"/>
      <c r="AL1036" s="17"/>
    </row>
    <row r="1037" spans="37:38">
      <c r="AK1037" s="17"/>
      <c r="AL1037" s="17"/>
    </row>
    <row r="1038" spans="37:38">
      <c r="AK1038" s="17"/>
      <c r="AL1038" s="17"/>
    </row>
    <row r="1039" spans="37:38">
      <c r="AK1039" s="17"/>
      <c r="AL1039" s="17"/>
    </row>
    <row r="1040" spans="37:38">
      <c r="AK1040" s="17"/>
      <c r="AL1040" s="17"/>
    </row>
    <row r="1041" spans="37:38">
      <c r="AK1041" s="17"/>
      <c r="AL1041" s="17"/>
    </row>
    <row r="1042" spans="37:38">
      <c r="AK1042" s="17"/>
      <c r="AL1042" s="17"/>
    </row>
    <row r="1043" spans="37:38">
      <c r="AK1043" s="17"/>
      <c r="AL1043" s="17"/>
    </row>
    <row r="1044" spans="37:38">
      <c r="AK1044" s="17"/>
      <c r="AL1044" s="17"/>
    </row>
    <row r="1045" spans="37:38">
      <c r="AK1045" s="17"/>
      <c r="AL1045" s="17"/>
    </row>
    <row r="1046" spans="37:38">
      <c r="AK1046" s="17"/>
      <c r="AL1046" s="17"/>
    </row>
    <row r="1047" spans="37:38">
      <c r="AK1047" s="17"/>
      <c r="AL1047" s="17"/>
    </row>
    <row r="1048" spans="37:38">
      <c r="AK1048" s="17"/>
      <c r="AL1048" s="17"/>
    </row>
    <row r="1049" spans="37:38">
      <c r="AK1049" s="17"/>
      <c r="AL1049" s="17"/>
    </row>
    <row r="1050" spans="37:38">
      <c r="AK1050" s="17"/>
      <c r="AL1050" s="17"/>
    </row>
    <row r="1051" spans="37:38">
      <c r="AK1051" s="17"/>
      <c r="AL1051" s="17"/>
    </row>
    <row r="1052" spans="37:38">
      <c r="AK1052" s="17"/>
      <c r="AL1052" s="17"/>
    </row>
    <row r="1053" spans="37:38">
      <c r="AK1053" s="17"/>
      <c r="AL1053" s="17"/>
    </row>
    <row r="1054" spans="37:38">
      <c r="AK1054" s="17"/>
      <c r="AL1054" s="17"/>
    </row>
    <row r="1055" spans="37:38">
      <c r="AK1055" s="17"/>
      <c r="AL1055" s="17"/>
    </row>
    <row r="1056" spans="37:38">
      <c r="AK1056" s="17"/>
      <c r="AL1056" s="17"/>
    </row>
    <row r="1057" spans="37:38">
      <c r="AK1057" s="17"/>
      <c r="AL1057" s="17"/>
    </row>
    <row r="1058" spans="37:38">
      <c r="AK1058" s="17"/>
      <c r="AL1058" s="17"/>
    </row>
    <row r="1059" spans="37:38">
      <c r="AK1059" s="17"/>
      <c r="AL1059" s="17"/>
    </row>
    <row r="1060" spans="37:38">
      <c r="AK1060" s="17"/>
      <c r="AL1060" s="17"/>
    </row>
    <row r="1061" spans="37:38">
      <c r="AK1061" s="17"/>
      <c r="AL1061" s="17"/>
    </row>
    <row r="1062" spans="37:38">
      <c r="AK1062" s="17"/>
      <c r="AL1062" s="17"/>
    </row>
    <row r="1063" spans="37:38">
      <c r="AK1063" s="17"/>
      <c r="AL1063" s="17"/>
    </row>
    <row r="1064" spans="37:38">
      <c r="AK1064" s="17"/>
      <c r="AL1064" s="17"/>
    </row>
    <row r="1065" spans="37:38">
      <c r="AK1065" s="17"/>
      <c r="AL1065" s="17"/>
    </row>
    <row r="1066" spans="37:38">
      <c r="AK1066" s="17"/>
      <c r="AL1066" s="17"/>
    </row>
    <row r="1067" spans="37:38">
      <c r="AK1067" s="17"/>
      <c r="AL1067" s="17"/>
    </row>
    <row r="1068" spans="37:38">
      <c r="AK1068" s="17"/>
      <c r="AL1068" s="17"/>
    </row>
    <row r="1069" spans="37:38">
      <c r="AK1069" s="17"/>
      <c r="AL1069" s="17"/>
    </row>
    <row r="1070" spans="37:38">
      <c r="AK1070" s="17"/>
      <c r="AL1070" s="17"/>
    </row>
    <row r="1071" spans="37:38">
      <c r="AK1071" s="17"/>
      <c r="AL1071" s="17"/>
    </row>
    <row r="1072" spans="37:38">
      <c r="AK1072" s="17"/>
      <c r="AL1072" s="17"/>
    </row>
    <row r="1073" spans="37:38">
      <c r="AK1073" s="17"/>
      <c r="AL1073" s="17"/>
    </row>
    <row r="1074" spans="37:38">
      <c r="AK1074" s="17"/>
      <c r="AL1074" s="17"/>
    </row>
    <row r="1075" spans="37:38">
      <c r="AK1075" s="17"/>
      <c r="AL1075" s="17"/>
    </row>
    <row r="1076" spans="37:38">
      <c r="AK1076" s="17"/>
      <c r="AL1076" s="17"/>
    </row>
    <row r="1077" spans="37:38">
      <c r="AK1077" s="17"/>
      <c r="AL1077" s="17"/>
    </row>
    <row r="1078" spans="37:38">
      <c r="AK1078" s="17"/>
      <c r="AL1078" s="17"/>
    </row>
    <row r="1079" spans="37:38">
      <c r="AK1079" s="17"/>
      <c r="AL1079" s="17"/>
    </row>
    <row r="1080" spans="37:38">
      <c r="AK1080" s="17"/>
      <c r="AL1080" s="17"/>
    </row>
    <row r="1081" spans="37:38">
      <c r="AK1081" s="17"/>
      <c r="AL1081" s="17"/>
    </row>
    <row r="1082" spans="37:38">
      <c r="AK1082" s="17"/>
      <c r="AL1082" s="17"/>
    </row>
    <row r="1083" spans="37:38">
      <c r="AK1083" s="17"/>
      <c r="AL1083" s="17"/>
    </row>
    <row r="1084" spans="37:38">
      <c r="AK1084" s="17"/>
      <c r="AL1084" s="17"/>
    </row>
    <row r="1085" spans="37:38">
      <c r="AK1085" s="17"/>
      <c r="AL1085" s="17"/>
    </row>
    <row r="1086" spans="37:38">
      <c r="AK1086" s="17"/>
      <c r="AL1086" s="17"/>
    </row>
    <row r="1087" spans="37:38">
      <c r="AK1087" s="17"/>
      <c r="AL1087" s="17"/>
    </row>
    <row r="1088" spans="37:38">
      <c r="AK1088" s="17"/>
      <c r="AL1088" s="17"/>
    </row>
    <row r="1089" spans="37:38">
      <c r="AK1089" s="17"/>
      <c r="AL1089" s="17"/>
    </row>
    <row r="1090" spans="37:38">
      <c r="AK1090" s="17"/>
      <c r="AL1090" s="17"/>
    </row>
    <row r="1091" spans="37:38">
      <c r="AK1091" s="17"/>
      <c r="AL1091" s="17"/>
    </row>
    <row r="1092" spans="37:38">
      <c r="AK1092" s="17"/>
      <c r="AL1092" s="17"/>
    </row>
    <row r="1093" spans="37:38">
      <c r="AK1093" s="17"/>
      <c r="AL1093" s="17"/>
    </row>
    <row r="1094" spans="37:38">
      <c r="AK1094" s="17"/>
      <c r="AL1094" s="17"/>
    </row>
    <row r="1095" spans="37:38">
      <c r="AK1095" s="17"/>
      <c r="AL1095" s="17"/>
    </row>
    <row r="1096" spans="37:38">
      <c r="AK1096" s="17"/>
      <c r="AL1096" s="17"/>
    </row>
    <row r="1097" spans="37:38">
      <c r="AK1097" s="17"/>
      <c r="AL1097" s="17"/>
    </row>
    <row r="1098" spans="37:38">
      <c r="AK1098" s="17"/>
      <c r="AL1098" s="17"/>
    </row>
    <row r="1099" spans="37:38">
      <c r="AK1099" s="17"/>
      <c r="AL1099" s="17"/>
    </row>
    <row r="1100" spans="37:38">
      <c r="AK1100" s="17"/>
      <c r="AL1100" s="17"/>
    </row>
    <row r="1101" spans="37:38">
      <c r="AK1101" s="17"/>
      <c r="AL1101" s="17"/>
    </row>
    <row r="1102" spans="37:38">
      <c r="AK1102" s="17"/>
      <c r="AL1102" s="17"/>
    </row>
    <row r="1103" spans="37:38">
      <c r="AK1103" s="17"/>
      <c r="AL1103" s="17"/>
    </row>
    <row r="1104" spans="37:38">
      <c r="AK1104" s="17"/>
      <c r="AL1104" s="17"/>
    </row>
    <row r="1105" spans="37:38">
      <c r="AK1105" s="17"/>
      <c r="AL1105" s="17"/>
    </row>
    <row r="1106" spans="37:38">
      <c r="AK1106" s="17"/>
      <c r="AL1106" s="17"/>
    </row>
    <row r="1107" spans="37:38">
      <c r="AK1107" s="17"/>
      <c r="AL1107" s="17"/>
    </row>
    <row r="1108" spans="37:38">
      <c r="AK1108" s="17"/>
      <c r="AL1108" s="17"/>
    </row>
    <row r="1109" spans="37:38">
      <c r="AK1109" s="17"/>
      <c r="AL1109" s="17"/>
    </row>
    <row r="1110" spans="37:38">
      <c r="AK1110" s="17"/>
      <c r="AL1110" s="17"/>
    </row>
    <row r="1111" spans="37:38">
      <c r="AK1111" s="17"/>
      <c r="AL1111" s="17"/>
    </row>
    <row r="1112" spans="37:38">
      <c r="AK1112" s="17"/>
      <c r="AL1112" s="17"/>
    </row>
    <row r="1113" spans="37:38">
      <c r="AK1113" s="17"/>
      <c r="AL1113" s="17"/>
    </row>
    <row r="1114" spans="37:38">
      <c r="AK1114" s="17"/>
      <c r="AL1114" s="17"/>
    </row>
    <row r="1115" spans="37:38">
      <c r="AK1115" s="17"/>
      <c r="AL1115" s="17"/>
    </row>
    <row r="1116" spans="37:38">
      <c r="AK1116" s="17"/>
      <c r="AL1116" s="17"/>
    </row>
    <row r="1117" spans="37:38">
      <c r="AK1117" s="17"/>
      <c r="AL1117" s="17"/>
    </row>
    <row r="1118" spans="37:38">
      <c r="AK1118" s="17"/>
      <c r="AL1118" s="17"/>
    </row>
    <row r="1119" spans="37:38">
      <c r="AK1119" s="17"/>
      <c r="AL1119" s="17"/>
    </row>
    <row r="1120" spans="37:38">
      <c r="AK1120" s="17"/>
      <c r="AL1120" s="17"/>
    </row>
    <row r="1121" spans="37:38">
      <c r="AK1121" s="17"/>
      <c r="AL1121" s="17"/>
    </row>
    <row r="1122" spans="37:38">
      <c r="AK1122" s="17"/>
      <c r="AL1122" s="17"/>
    </row>
    <row r="1123" spans="37:38">
      <c r="AK1123" s="17"/>
      <c r="AL1123" s="17"/>
    </row>
    <row r="1124" spans="37:38">
      <c r="AK1124" s="17"/>
      <c r="AL1124" s="17"/>
    </row>
    <row r="1125" spans="37:38">
      <c r="AK1125" s="17"/>
      <c r="AL1125" s="17"/>
    </row>
    <row r="1126" spans="37:38">
      <c r="AK1126" s="17"/>
      <c r="AL1126" s="17"/>
    </row>
    <row r="1127" spans="37:38">
      <c r="AK1127" s="17"/>
      <c r="AL1127" s="17"/>
    </row>
    <row r="1128" spans="37:38">
      <c r="AK1128" s="17"/>
      <c r="AL1128" s="17"/>
    </row>
    <row r="1129" spans="37:38">
      <c r="AK1129" s="17"/>
      <c r="AL1129" s="17"/>
    </row>
    <row r="1130" spans="37:38">
      <c r="AK1130" s="17"/>
      <c r="AL1130" s="17"/>
    </row>
    <row r="1131" spans="37:38">
      <c r="AK1131" s="17"/>
      <c r="AL1131" s="17"/>
    </row>
    <row r="1132" spans="37:38">
      <c r="AK1132" s="17"/>
      <c r="AL1132" s="17"/>
    </row>
    <row r="1133" spans="37:38">
      <c r="AK1133" s="17"/>
      <c r="AL1133" s="17"/>
    </row>
    <row r="1134" spans="37:38">
      <c r="AK1134" s="17"/>
      <c r="AL1134" s="17"/>
    </row>
    <row r="1135" spans="37:38">
      <c r="AK1135" s="17"/>
      <c r="AL1135" s="17"/>
    </row>
    <row r="1136" spans="37:38">
      <c r="AK1136" s="17"/>
      <c r="AL1136" s="17"/>
    </row>
    <row r="1137" spans="37:38">
      <c r="AK1137" s="17"/>
      <c r="AL1137" s="17"/>
    </row>
    <row r="1138" spans="37:38">
      <c r="AK1138" s="17"/>
      <c r="AL1138" s="17"/>
    </row>
    <row r="1139" spans="37:38">
      <c r="AK1139" s="17"/>
      <c r="AL1139" s="17"/>
    </row>
    <row r="1140" spans="37:38">
      <c r="AK1140" s="17"/>
      <c r="AL1140" s="17"/>
    </row>
    <row r="1141" spans="37:38">
      <c r="AK1141" s="17"/>
      <c r="AL1141" s="17"/>
    </row>
    <row r="1142" spans="37:38">
      <c r="AK1142" s="17"/>
      <c r="AL1142" s="17"/>
    </row>
    <row r="1143" spans="37:38">
      <c r="AK1143" s="17"/>
      <c r="AL1143" s="17"/>
    </row>
    <row r="1144" spans="37:38">
      <c r="AK1144" s="17"/>
      <c r="AL1144" s="17"/>
    </row>
    <row r="1145" spans="37:38">
      <c r="AK1145" s="17"/>
      <c r="AL1145" s="17"/>
    </row>
    <row r="1146" spans="37:38">
      <c r="AK1146" s="17"/>
      <c r="AL1146" s="17"/>
    </row>
    <row r="1147" spans="37:38">
      <c r="AK1147" s="17"/>
      <c r="AL1147" s="17"/>
    </row>
    <row r="1148" spans="37:38">
      <c r="AK1148" s="17"/>
      <c r="AL1148" s="17"/>
    </row>
    <row r="1149" spans="37:38">
      <c r="AK1149" s="17"/>
      <c r="AL1149" s="17"/>
    </row>
    <row r="1150" spans="37:38">
      <c r="AK1150" s="17"/>
      <c r="AL1150" s="17"/>
    </row>
    <row r="1151" spans="37:38">
      <c r="AK1151" s="17"/>
      <c r="AL1151" s="17"/>
    </row>
    <row r="1152" spans="37:38">
      <c r="AK1152" s="17"/>
      <c r="AL1152" s="17"/>
    </row>
    <row r="1153" spans="37:38">
      <c r="AK1153" s="17"/>
      <c r="AL1153" s="17"/>
    </row>
    <row r="1154" spans="37:38">
      <c r="AK1154" s="17"/>
      <c r="AL1154" s="17"/>
    </row>
    <row r="1155" spans="37:38">
      <c r="AK1155" s="17"/>
      <c r="AL1155" s="17"/>
    </row>
    <row r="1156" spans="37:38">
      <c r="AK1156" s="17"/>
      <c r="AL1156" s="17"/>
    </row>
    <row r="1157" spans="37:38">
      <c r="AK1157" s="17"/>
      <c r="AL1157" s="17"/>
    </row>
    <row r="1158" spans="37:38">
      <c r="AK1158" s="17"/>
      <c r="AL1158" s="17"/>
    </row>
    <row r="1159" spans="37:38">
      <c r="AK1159" s="17"/>
      <c r="AL1159" s="17"/>
    </row>
    <row r="1160" spans="37:38">
      <c r="AK1160" s="17"/>
      <c r="AL1160" s="17"/>
    </row>
    <row r="1161" spans="37:38">
      <c r="AK1161" s="17"/>
      <c r="AL1161" s="17"/>
    </row>
    <row r="1162" spans="37:38">
      <c r="AK1162" s="17"/>
      <c r="AL1162" s="17"/>
    </row>
    <row r="1163" spans="37:38">
      <c r="AK1163" s="17"/>
      <c r="AL1163" s="17"/>
    </row>
    <row r="1164" spans="37:38">
      <c r="AK1164" s="17"/>
      <c r="AL1164" s="17"/>
    </row>
    <row r="1165" spans="37:38">
      <c r="AK1165" s="17"/>
      <c r="AL1165" s="17"/>
    </row>
    <row r="1166" spans="37:38">
      <c r="AK1166" s="17"/>
      <c r="AL1166" s="17"/>
    </row>
    <row r="1167" spans="37:38">
      <c r="AK1167" s="17"/>
      <c r="AL1167" s="17"/>
    </row>
    <row r="1168" spans="37:38">
      <c r="AK1168" s="17"/>
      <c r="AL1168" s="17"/>
    </row>
    <row r="1169" spans="37:38">
      <c r="AK1169" s="17"/>
      <c r="AL1169" s="17"/>
    </row>
    <row r="1170" spans="37:38">
      <c r="AK1170" s="17"/>
      <c r="AL1170" s="17"/>
    </row>
    <row r="1171" spans="37:38">
      <c r="AK1171" s="17"/>
      <c r="AL1171" s="17"/>
    </row>
    <row r="1172" spans="37:38">
      <c r="AK1172" s="17"/>
      <c r="AL1172" s="17"/>
    </row>
    <row r="1173" spans="37:38">
      <c r="AK1173" s="17"/>
      <c r="AL1173" s="17"/>
    </row>
    <row r="1174" spans="37:38">
      <c r="AK1174" s="17"/>
      <c r="AL1174" s="17"/>
    </row>
    <row r="1175" spans="37:38">
      <c r="AK1175" s="17"/>
      <c r="AL1175" s="17"/>
    </row>
    <row r="1176" spans="37:38">
      <c r="AK1176" s="17"/>
      <c r="AL1176" s="17"/>
    </row>
    <row r="1177" spans="37:38">
      <c r="AK1177" s="17"/>
      <c r="AL1177" s="17"/>
    </row>
    <row r="1178" spans="37:38">
      <c r="AK1178" s="17"/>
      <c r="AL1178" s="17"/>
    </row>
    <row r="1179" spans="37:38">
      <c r="AK1179" s="17"/>
      <c r="AL1179" s="17"/>
    </row>
    <row r="1180" spans="37:38">
      <c r="AK1180" s="17"/>
      <c r="AL1180" s="17"/>
    </row>
    <row r="1181" spans="37:38">
      <c r="AK1181" s="17"/>
      <c r="AL1181" s="17"/>
    </row>
    <row r="1182" spans="37:38">
      <c r="AK1182" s="17"/>
      <c r="AL1182" s="17"/>
    </row>
    <row r="1183" spans="37:38">
      <c r="AK1183" s="17"/>
      <c r="AL1183" s="17"/>
    </row>
    <row r="1184" spans="37:38">
      <c r="AK1184" s="17"/>
      <c r="AL1184" s="17"/>
    </row>
    <row r="1185" spans="37:38">
      <c r="AK1185" s="17"/>
      <c r="AL1185" s="17"/>
    </row>
    <row r="1186" spans="37:38">
      <c r="AK1186" s="17"/>
      <c r="AL1186" s="17"/>
    </row>
    <row r="1187" spans="37:38">
      <c r="AK1187" s="17"/>
      <c r="AL1187" s="17"/>
    </row>
    <row r="1188" spans="37:38">
      <c r="AK1188" s="17"/>
      <c r="AL1188" s="17"/>
    </row>
    <row r="1189" spans="37:38">
      <c r="AK1189" s="17"/>
      <c r="AL1189" s="17"/>
    </row>
    <row r="1190" spans="37:38">
      <c r="AK1190" s="17"/>
      <c r="AL1190" s="17"/>
    </row>
    <row r="1191" spans="37:38">
      <c r="AK1191" s="17"/>
      <c r="AL1191" s="17"/>
    </row>
    <row r="1192" spans="37:38">
      <c r="AK1192" s="17"/>
      <c r="AL1192" s="17"/>
    </row>
    <row r="1193" spans="37:38">
      <c r="AK1193" s="17"/>
      <c r="AL1193" s="17"/>
    </row>
    <row r="1194" spans="37:38">
      <c r="AK1194" s="17"/>
      <c r="AL1194" s="17"/>
    </row>
    <row r="1195" spans="37:38">
      <c r="AK1195" s="17"/>
      <c r="AL1195" s="17"/>
    </row>
    <row r="1196" spans="37:38">
      <c r="AK1196" s="17"/>
      <c r="AL1196" s="17"/>
    </row>
    <row r="1197" spans="37:38">
      <c r="AK1197" s="17"/>
      <c r="AL1197" s="17"/>
    </row>
    <row r="1198" spans="37:38">
      <c r="AK1198" s="17"/>
      <c r="AL1198" s="17"/>
    </row>
    <row r="1199" spans="37:38">
      <c r="AK1199" s="17"/>
      <c r="AL1199" s="17"/>
    </row>
    <row r="1200" spans="37:38">
      <c r="AK1200" s="17"/>
      <c r="AL1200" s="17"/>
    </row>
    <row r="1201" spans="37:38">
      <c r="AK1201" s="17"/>
      <c r="AL1201" s="17"/>
    </row>
    <row r="1202" spans="37:38">
      <c r="AK1202" s="17"/>
      <c r="AL1202" s="17"/>
    </row>
    <row r="1203" spans="37:38">
      <c r="AK1203" s="17"/>
      <c r="AL1203" s="17"/>
    </row>
    <row r="1204" spans="37:38">
      <c r="AK1204" s="17"/>
      <c r="AL1204" s="17"/>
    </row>
    <row r="1205" spans="37:38">
      <c r="AK1205" s="17"/>
      <c r="AL1205" s="17"/>
    </row>
    <row r="1206" spans="37:38">
      <c r="AK1206" s="17"/>
      <c r="AL1206" s="17"/>
    </row>
    <row r="1207" spans="37:38">
      <c r="AK1207" s="17"/>
      <c r="AL1207" s="17"/>
    </row>
    <row r="1208" spans="37:38">
      <c r="AK1208" s="17"/>
      <c r="AL1208" s="17"/>
    </row>
    <row r="1209" spans="37:38">
      <c r="AK1209" s="17"/>
      <c r="AL1209" s="17"/>
    </row>
    <row r="1210" spans="37:38">
      <c r="AK1210" s="17"/>
      <c r="AL1210" s="17"/>
    </row>
    <row r="1211" spans="37:38">
      <c r="AK1211" s="17"/>
      <c r="AL1211" s="17"/>
    </row>
    <row r="1212" spans="37:38">
      <c r="AK1212" s="17"/>
      <c r="AL1212" s="17"/>
    </row>
    <row r="1213" spans="37:38">
      <c r="AK1213" s="17"/>
      <c r="AL1213" s="17"/>
    </row>
    <row r="1214" spans="37:38">
      <c r="AK1214" s="17"/>
      <c r="AL1214" s="17"/>
    </row>
    <row r="1215" spans="37:38">
      <c r="AK1215" s="17"/>
      <c r="AL1215" s="17"/>
    </row>
    <row r="1216" spans="37:38">
      <c r="AK1216" s="17"/>
      <c r="AL1216" s="17"/>
    </row>
    <row r="1217" spans="37:38">
      <c r="AK1217" s="17"/>
      <c r="AL1217" s="17"/>
    </row>
    <row r="1218" spans="37:38">
      <c r="AK1218" s="17"/>
      <c r="AL1218" s="17"/>
    </row>
    <row r="1219" spans="37:38">
      <c r="AK1219" s="17"/>
      <c r="AL1219" s="17"/>
    </row>
    <row r="1220" spans="37:38">
      <c r="AK1220" s="17"/>
      <c r="AL1220" s="17"/>
    </row>
    <row r="1221" spans="37:38">
      <c r="AK1221" s="17"/>
      <c r="AL1221" s="17"/>
    </row>
    <row r="1222" spans="37:38">
      <c r="AK1222" s="17"/>
      <c r="AL1222" s="17"/>
    </row>
    <row r="1223" spans="37:38">
      <c r="AK1223" s="17"/>
      <c r="AL1223" s="17"/>
    </row>
    <row r="1224" spans="37:38">
      <c r="AK1224" s="17"/>
      <c r="AL1224" s="17"/>
    </row>
    <row r="1225" spans="37:38">
      <c r="AK1225" s="17"/>
      <c r="AL1225" s="17"/>
    </row>
    <row r="1226" spans="37:38">
      <c r="AK1226" s="17"/>
      <c r="AL1226" s="17"/>
    </row>
    <row r="1227" spans="37:38">
      <c r="AK1227" s="17"/>
      <c r="AL1227" s="17"/>
    </row>
    <row r="1228" spans="37:38">
      <c r="AK1228" s="17"/>
      <c r="AL1228" s="17"/>
    </row>
    <row r="1229" spans="37:38">
      <c r="AK1229" s="17"/>
      <c r="AL1229" s="17"/>
    </row>
    <row r="1230" spans="37:38">
      <c r="AK1230" s="17"/>
      <c r="AL1230" s="17"/>
    </row>
    <row r="1231" spans="37:38">
      <c r="AK1231" s="17"/>
      <c r="AL1231" s="17"/>
    </row>
    <row r="1232" spans="37:38">
      <c r="AK1232" s="17"/>
      <c r="AL1232" s="17"/>
    </row>
    <row r="1233" spans="37:38">
      <c r="AK1233" s="17"/>
      <c r="AL1233" s="17"/>
    </row>
    <row r="1234" spans="37:38">
      <c r="AK1234" s="17"/>
      <c r="AL1234" s="17"/>
    </row>
    <row r="1235" spans="37:38">
      <c r="AK1235" s="17"/>
      <c r="AL1235" s="17"/>
    </row>
    <row r="1236" spans="37:38">
      <c r="AK1236" s="17"/>
      <c r="AL1236" s="17"/>
    </row>
    <row r="1237" spans="37:38">
      <c r="AK1237" s="17"/>
      <c r="AL1237" s="17"/>
    </row>
    <row r="1238" spans="37:38">
      <c r="AK1238" s="17"/>
      <c r="AL1238" s="17"/>
    </row>
    <row r="1239" spans="37:38">
      <c r="AK1239" s="17"/>
      <c r="AL1239" s="17"/>
    </row>
    <row r="1240" spans="37:38">
      <c r="AK1240" s="17"/>
      <c r="AL1240" s="17"/>
    </row>
    <row r="1241" spans="37:38">
      <c r="AK1241" s="17"/>
      <c r="AL1241" s="17"/>
    </row>
    <row r="1242" spans="37:38">
      <c r="AK1242" s="17"/>
      <c r="AL1242" s="17"/>
    </row>
    <row r="1243" spans="37:38">
      <c r="AK1243" s="17"/>
      <c r="AL1243" s="17"/>
    </row>
    <row r="1244" spans="37:38">
      <c r="AK1244" s="17"/>
      <c r="AL1244" s="17"/>
    </row>
    <row r="1245" spans="37:38">
      <c r="AK1245" s="17"/>
      <c r="AL1245" s="17"/>
    </row>
    <row r="1246" spans="37:38">
      <c r="AK1246" s="17"/>
      <c r="AL1246" s="17"/>
    </row>
    <row r="1247" spans="37:38">
      <c r="AK1247" s="17"/>
      <c r="AL1247" s="17"/>
    </row>
    <row r="1248" spans="37:38">
      <c r="AK1248" s="17"/>
      <c r="AL1248" s="17"/>
    </row>
    <row r="1249" spans="37:38">
      <c r="AK1249" s="17"/>
      <c r="AL1249" s="17"/>
    </row>
    <row r="1250" spans="37:38">
      <c r="AK1250" s="17"/>
      <c r="AL1250" s="17"/>
    </row>
    <row r="1251" spans="37:38">
      <c r="AK1251" s="17"/>
      <c r="AL1251" s="17"/>
    </row>
    <row r="1252" spans="37:38">
      <c r="AK1252" s="17"/>
      <c r="AL1252" s="17"/>
    </row>
    <row r="1253" spans="37:38">
      <c r="AK1253" s="17"/>
      <c r="AL1253" s="17"/>
    </row>
    <row r="1254" spans="37:38">
      <c r="AK1254" s="17"/>
      <c r="AL1254" s="17"/>
    </row>
    <row r="1255" spans="37:38">
      <c r="AK1255" s="17"/>
      <c r="AL1255" s="17"/>
    </row>
    <row r="1256" spans="37:38">
      <c r="AK1256" s="17"/>
      <c r="AL1256" s="17"/>
    </row>
    <row r="1257" spans="37:38">
      <c r="AK1257" s="17"/>
      <c r="AL1257" s="17"/>
    </row>
    <row r="1258" spans="37:38">
      <c r="AK1258" s="17"/>
      <c r="AL1258" s="17"/>
    </row>
    <row r="1259" spans="37:38">
      <c r="AK1259" s="17"/>
      <c r="AL1259" s="17"/>
    </row>
    <row r="1260" spans="37:38">
      <c r="AK1260" s="17"/>
      <c r="AL1260" s="17"/>
    </row>
    <row r="1261" spans="37:38">
      <c r="AK1261" s="17"/>
      <c r="AL1261" s="17"/>
    </row>
    <row r="1262" spans="37:38">
      <c r="AK1262" s="17"/>
      <c r="AL1262" s="17"/>
    </row>
    <row r="1263" spans="37:38">
      <c r="AK1263" s="17"/>
      <c r="AL1263" s="17"/>
    </row>
    <row r="1264" spans="37:38">
      <c r="AK1264" s="17"/>
      <c r="AL1264" s="17"/>
    </row>
    <row r="1265" spans="37:38">
      <c r="AK1265" s="17"/>
      <c r="AL1265" s="17"/>
    </row>
    <row r="1266" spans="37:38">
      <c r="AK1266" s="17"/>
      <c r="AL1266" s="17"/>
    </row>
    <row r="1267" spans="37:38">
      <c r="AK1267" s="17"/>
      <c r="AL1267" s="17"/>
    </row>
    <row r="1268" spans="37:38">
      <c r="AK1268" s="17"/>
      <c r="AL1268" s="17"/>
    </row>
    <row r="1269" spans="37:38">
      <c r="AK1269" s="17"/>
      <c r="AL1269" s="17"/>
    </row>
    <row r="1270" spans="37:38">
      <c r="AK1270" s="17"/>
      <c r="AL1270" s="17"/>
    </row>
    <row r="1271" spans="37:38">
      <c r="AK1271" s="17"/>
      <c r="AL1271" s="17"/>
    </row>
    <row r="1272" spans="37:38">
      <c r="AK1272" s="17"/>
      <c r="AL1272" s="17"/>
    </row>
    <row r="1273" spans="37:38">
      <c r="AK1273" s="17"/>
      <c r="AL1273" s="17"/>
    </row>
    <row r="1274" spans="37:38">
      <c r="AK1274" s="17"/>
      <c r="AL1274" s="17"/>
    </row>
    <row r="1275" spans="37:38">
      <c r="AK1275" s="17"/>
      <c r="AL1275" s="17"/>
    </row>
    <row r="1276" spans="37:38">
      <c r="AK1276" s="17"/>
      <c r="AL1276" s="17"/>
    </row>
    <row r="1277" spans="37:38">
      <c r="AK1277" s="17"/>
      <c r="AL1277" s="17"/>
    </row>
    <row r="1278" spans="37:38">
      <c r="AK1278" s="17"/>
      <c r="AL1278" s="17"/>
    </row>
    <row r="1279" spans="37:38">
      <c r="AK1279" s="17"/>
      <c r="AL1279" s="17"/>
    </row>
    <row r="1280" spans="37:38">
      <c r="AK1280" s="17"/>
      <c r="AL1280" s="17"/>
    </row>
    <row r="1281" spans="37:38">
      <c r="AK1281" s="17"/>
      <c r="AL1281" s="17"/>
    </row>
    <row r="1282" spans="37:38">
      <c r="AK1282" s="17"/>
      <c r="AL1282" s="17"/>
    </row>
    <row r="1283" spans="37:38">
      <c r="AK1283" s="17"/>
      <c r="AL1283" s="17"/>
    </row>
    <row r="1284" spans="37:38">
      <c r="AK1284" s="17"/>
      <c r="AL1284" s="17"/>
    </row>
    <row r="1285" spans="37:38">
      <c r="AK1285" s="17"/>
      <c r="AL1285" s="17"/>
    </row>
    <row r="1286" spans="37:38">
      <c r="AK1286" s="17"/>
      <c r="AL1286" s="17"/>
    </row>
    <row r="1287" spans="37:38">
      <c r="AK1287" s="17"/>
      <c r="AL1287" s="17"/>
    </row>
    <row r="1288" spans="37:38">
      <c r="AK1288" s="17"/>
      <c r="AL1288" s="17"/>
    </row>
    <row r="1289" spans="37:38">
      <c r="AK1289" s="17"/>
      <c r="AL1289" s="17"/>
    </row>
    <row r="1290" spans="37:38">
      <c r="AK1290" s="17"/>
      <c r="AL1290" s="17"/>
    </row>
    <row r="1291" spans="37:38">
      <c r="AK1291" s="17"/>
      <c r="AL1291" s="17"/>
    </row>
    <row r="1292" spans="37:38">
      <c r="AK1292" s="17"/>
      <c r="AL1292" s="17"/>
    </row>
    <row r="1293" spans="37:38">
      <c r="AK1293" s="17"/>
      <c r="AL1293" s="17"/>
    </row>
    <row r="1294" spans="37:38">
      <c r="AK1294" s="17"/>
      <c r="AL1294" s="17"/>
    </row>
    <row r="1295" spans="37:38">
      <c r="AK1295" s="17"/>
      <c r="AL1295" s="17"/>
    </row>
    <row r="1296" spans="37:38">
      <c r="AK1296" s="17"/>
      <c r="AL1296" s="17"/>
    </row>
    <row r="1297" spans="37:38">
      <c r="AK1297" s="17"/>
      <c r="AL1297" s="17"/>
    </row>
    <row r="1298" spans="37:38">
      <c r="AK1298" s="17"/>
      <c r="AL1298" s="17"/>
    </row>
    <row r="1299" spans="37:38">
      <c r="AK1299" s="17"/>
      <c r="AL1299" s="17"/>
    </row>
    <row r="1300" spans="37:38">
      <c r="AK1300" s="17"/>
      <c r="AL1300" s="17"/>
    </row>
    <row r="1301" spans="37:38">
      <c r="AK1301" s="17"/>
      <c r="AL1301" s="17"/>
    </row>
    <row r="1302" spans="37:38">
      <c r="AK1302" s="17"/>
      <c r="AL1302" s="17"/>
    </row>
    <row r="1303" spans="37:38">
      <c r="AK1303" s="17"/>
      <c r="AL1303" s="17"/>
    </row>
    <row r="1304" spans="37:38">
      <c r="AK1304" s="17"/>
      <c r="AL1304" s="17"/>
    </row>
    <row r="1305" spans="37:38">
      <c r="AK1305" s="17"/>
      <c r="AL1305" s="17"/>
    </row>
    <row r="1306" spans="37:38">
      <c r="AK1306" s="17"/>
      <c r="AL1306" s="17"/>
    </row>
    <row r="1307" spans="37:38">
      <c r="AK1307" s="17"/>
      <c r="AL1307" s="17"/>
    </row>
    <row r="1308" spans="37:38">
      <c r="AK1308" s="17"/>
      <c r="AL1308" s="17"/>
    </row>
    <row r="1309" spans="37:38">
      <c r="AK1309" s="17"/>
      <c r="AL1309" s="17"/>
    </row>
    <row r="1310" spans="37:38">
      <c r="AK1310" s="17"/>
      <c r="AL1310" s="17"/>
    </row>
    <row r="1311" spans="37:38">
      <c r="AK1311" s="17"/>
      <c r="AL1311" s="17"/>
    </row>
    <row r="1312" spans="37:38">
      <c r="AK1312" s="17"/>
      <c r="AL1312" s="17"/>
    </row>
    <row r="1313" spans="37:38">
      <c r="AK1313" s="17"/>
      <c r="AL1313" s="17"/>
    </row>
    <row r="1314" spans="37:38">
      <c r="AK1314" s="17"/>
      <c r="AL1314" s="17"/>
    </row>
    <row r="1315" spans="37:38">
      <c r="AK1315" s="17"/>
      <c r="AL1315" s="17"/>
    </row>
    <row r="1316" spans="37:38">
      <c r="AK1316" s="17"/>
      <c r="AL1316" s="17"/>
    </row>
    <row r="1317" spans="37:38">
      <c r="AK1317" s="17"/>
      <c r="AL1317" s="17"/>
    </row>
    <row r="1318" spans="37:38">
      <c r="AK1318" s="17"/>
      <c r="AL1318" s="17"/>
    </row>
    <row r="1319" spans="37:38">
      <c r="AK1319" s="17"/>
      <c r="AL1319" s="17"/>
    </row>
    <row r="1320" spans="37:38">
      <c r="AK1320" s="17"/>
      <c r="AL1320" s="17"/>
    </row>
    <row r="1321" spans="37:38">
      <c r="AK1321" s="17"/>
      <c r="AL1321" s="17"/>
    </row>
    <row r="1322" spans="37:38">
      <c r="AK1322" s="17"/>
      <c r="AL1322" s="17"/>
    </row>
    <row r="1323" spans="37:38">
      <c r="AK1323" s="17"/>
      <c r="AL1323" s="17"/>
    </row>
    <row r="1324" spans="37:38">
      <c r="AK1324" s="17"/>
      <c r="AL1324" s="17"/>
    </row>
    <row r="1325" spans="37:38">
      <c r="AK1325" s="17"/>
      <c r="AL1325" s="17"/>
    </row>
    <row r="1326" spans="37:38">
      <c r="AK1326" s="17"/>
      <c r="AL1326" s="17"/>
    </row>
    <row r="1327" spans="37:38">
      <c r="AK1327" s="17"/>
      <c r="AL1327" s="17"/>
    </row>
    <row r="1328" spans="37:38">
      <c r="AK1328" s="17"/>
      <c r="AL1328" s="17"/>
    </row>
    <row r="1329" spans="37:38">
      <c r="AK1329" s="17"/>
      <c r="AL1329" s="17"/>
    </row>
    <row r="1330" spans="37:38">
      <c r="AK1330" s="17"/>
      <c r="AL1330" s="17"/>
    </row>
    <row r="1331" spans="37:38">
      <c r="AK1331" s="17"/>
      <c r="AL1331" s="17"/>
    </row>
    <row r="1332" spans="37:38">
      <c r="AK1332" s="17"/>
      <c r="AL1332" s="17"/>
    </row>
    <row r="1333" spans="37:38">
      <c r="AK1333" s="17"/>
      <c r="AL1333" s="17"/>
    </row>
    <row r="1334" spans="37:38">
      <c r="AK1334" s="17"/>
      <c r="AL1334" s="17"/>
    </row>
    <row r="1335" spans="37:38">
      <c r="AK1335" s="17"/>
      <c r="AL1335" s="17"/>
    </row>
    <row r="1336" spans="37:38">
      <c r="AK1336" s="17"/>
      <c r="AL1336" s="17"/>
    </row>
    <row r="1337" spans="37:38">
      <c r="AK1337" s="17"/>
      <c r="AL1337" s="17"/>
    </row>
    <row r="1338" spans="37:38">
      <c r="AK1338" s="17"/>
      <c r="AL1338" s="17"/>
    </row>
    <row r="1339" spans="37:38">
      <c r="AK1339" s="17"/>
      <c r="AL1339" s="17"/>
    </row>
    <row r="1340" spans="37:38">
      <c r="AK1340" s="17"/>
      <c r="AL1340" s="17"/>
    </row>
    <row r="1341" spans="37:38">
      <c r="AK1341" s="17"/>
      <c r="AL1341" s="17"/>
    </row>
    <row r="1342" spans="37:38">
      <c r="AK1342" s="17"/>
      <c r="AL1342" s="17"/>
    </row>
    <row r="1343" spans="37:38">
      <c r="AK1343" s="17"/>
      <c r="AL1343" s="17"/>
    </row>
    <row r="1344" spans="37:38">
      <c r="AK1344" s="17"/>
      <c r="AL1344" s="17"/>
    </row>
    <row r="1345" spans="37:38">
      <c r="AK1345" s="17"/>
      <c r="AL1345" s="17"/>
    </row>
    <row r="1346" spans="37:38">
      <c r="AK1346" s="17"/>
      <c r="AL1346" s="17"/>
    </row>
    <row r="1347" spans="37:38">
      <c r="AK1347" s="17"/>
      <c r="AL1347" s="17"/>
    </row>
    <row r="1348" spans="37:38">
      <c r="AK1348" s="17"/>
      <c r="AL1348" s="17"/>
    </row>
    <row r="1349" spans="37:38">
      <c r="AK1349" s="17"/>
      <c r="AL1349" s="17"/>
    </row>
    <row r="1350" spans="37:38">
      <c r="AK1350" s="17"/>
      <c r="AL1350" s="17"/>
    </row>
    <row r="1351" spans="37:38">
      <c r="AK1351" s="17"/>
      <c r="AL1351" s="17"/>
    </row>
    <row r="1352" spans="37:38">
      <c r="AK1352" s="17"/>
      <c r="AL1352" s="17"/>
    </row>
    <row r="1353" spans="37:38">
      <c r="AK1353" s="17"/>
      <c r="AL1353" s="17"/>
    </row>
    <row r="1354" spans="37:38">
      <c r="AK1354" s="17"/>
      <c r="AL1354" s="17"/>
    </row>
    <row r="1355" spans="37:38">
      <c r="AK1355" s="17"/>
      <c r="AL1355" s="17"/>
    </row>
    <row r="1356" spans="37:38">
      <c r="AK1356" s="17"/>
      <c r="AL1356" s="17"/>
    </row>
    <row r="1357" spans="37:38">
      <c r="AK1357" s="17"/>
      <c r="AL1357" s="17"/>
    </row>
    <row r="1358" spans="37:38">
      <c r="AK1358" s="17"/>
      <c r="AL1358" s="17"/>
    </row>
    <row r="1359" spans="37:38">
      <c r="AK1359" s="17"/>
      <c r="AL1359" s="17"/>
    </row>
    <row r="1360" spans="37:38">
      <c r="AK1360" s="17"/>
      <c r="AL1360" s="17"/>
    </row>
    <row r="1361" spans="37:38">
      <c r="AK1361" s="17"/>
      <c r="AL1361" s="17"/>
    </row>
    <row r="1362" spans="37:38">
      <c r="AK1362" s="17"/>
      <c r="AL1362" s="17"/>
    </row>
    <row r="1363" spans="37:38">
      <c r="AK1363" s="17"/>
      <c r="AL1363" s="17"/>
    </row>
    <row r="1364" spans="37:38">
      <c r="AK1364" s="17"/>
      <c r="AL1364" s="17"/>
    </row>
    <row r="1365" spans="37:38">
      <c r="AK1365" s="17"/>
      <c r="AL1365" s="17"/>
    </row>
    <row r="1366" spans="37:38">
      <c r="AK1366" s="17"/>
      <c r="AL1366" s="17"/>
    </row>
    <row r="1367" spans="37:38">
      <c r="AK1367" s="17"/>
      <c r="AL1367" s="17"/>
    </row>
    <row r="1368" spans="37:38">
      <c r="AK1368" s="17"/>
      <c r="AL1368" s="17"/>
    </row>
    <row r="1369" spans="37:38">
      <c r="AK1369" s="17"/>
      <c r="AL1369" s="17"/>
    </row>
    <row r="1370" spans="37:38">
      <c r="AK1370" s="17"/>
      <c r="AL1370" s="17"/>
    </row>
    <row r="1371" spans="37:38">
      <c r="AK1371" s="17"/>
      <c r="AL1371" s="17"/>
    </row>
    <row r="1372" spans="37:38">
      <c r="AK1372" s="17"/>
      <c r="AL1372" s="17"/>
    </row>
    <row r="1373" spans="37:38">
      <c r="AK1373" s="17"/>
      <c r="AL1373" s="17"/>
    </row>
    <row r="1374" spans="37:38">
      <c r="AK1374" s="17"/>
      <c r="AL1374" s="17"/>
    </row>
    <row r="1375" spans="37:38">
      <c r="AK1375" s="17"/>
      <c r="AL1375" s="17"/>
    </row>
    <row r="1376" spans="37:38">
      <c r="AK1376" s="17"/>
      <c r="AL1376" s="17"/>
    </row>
    <row r="1377" spans="37:38">
      <c r="AK1377" s="17"/>
      <c r="AL1377" s="17"/>
    </row>
    <row r="1378" spans="37:38">
      <c r="AK1378" s="17"/>
      <c r="AL1378" s="17"/>
    </row>
    <row r="1379" spans="37:38">
      <c r="AK1379" s="17"/>
      <c r="AL1379" s="17"/>
    </row>
    <row r="1380" spans="37:38">
      <c r="AK1380" s="17"/>
      <c r="AL1380" s="17"/>
    </row>
    <row r="1381" spans="37:38">
      <c r="AK1381" s="17"/>
      <c r="AL1381" s="17"/>
    </row>
    <row r="1382" spans="37:38">
      <c r="AK1382" s="17"/>
      <c r="AL1382" s="17"/>
    </row>
    <row r="1383" spans="37:38">
      <c r="AK1383" s="17"/>
      <c r="AL1383" s="17"/>
    </row>
    <row r="1384" spans="37:38">
      <c r="AK1384" s="17"/>
      <c r="AL1384" s="17"/>
    </row>
    <row r="1385" spans="37:38">
      <c r="AK1385" s="17"/>
      <c r="AL1385" s="17"/>
    </row>
    <row r="1386" spans="37:38">
      <c r="AK1386" s="17"/>
      <c r="AL1386" s="17"/>
    </row>
    <row r="1387" spans="37:38">
      <c r="AK1387" s="17"/>
      <c r="AL1387" s="17"/>
    </row>
    <row r="1388" spans="37:38">
      <c r="AK1388" s="17"/>
      <c r="AL1388" s="17"/>
    </row>
    <row r="1389" spans="37:38">
      <c r="AK1389" s="17"/>
      <c r="AL1389" s="17"/>
    </row>
    <row r="1390" spans="37:38">
      <c r="AK1390" s="17"/>
      <c r="AL1390" s="17"/>
    </row>
    <row r="1391" spans="37:38">
      <c r="AK1391" s="17"/>
      <c r="AL1391" s="17"/>
    </row>
    <row r="1392" spans="37:38">
      <c r="AK1392" s="17"/>
      <c r="AL1392" s="17"/>
    </row>
    <row r="1393" spans="37:38">
      <c r="AK1393" s="17"/>
      <c r="AL1393" s="17"/>
    </row>
    <row r="1394" spans="37:38">
      <c r="AK1394" s="17"/>
      <c r="AL1394" s="17"/>
    </row>
    <row r="1395" spans="37:38">
      <c r="AK1395" s="17"/>
      <c r="AL1395" s="17"/>
    </row>
    <row r="1396" spans="37:38">
      <c r="AK1396" s="17"/>
      <c r="AL1396" s="17"/>
    </row>
    <row r="1397" spans="37:38">
      <c r="AK1397" s="17"/>
      <c r="AL1397" s="17"/>
    </row>
    <row r="1398" spans="37:38">
      <c r="AK1398" s="17"/>
      <c r="AL1398" s="17"/>
    </row>
    <row r="1399" spans="37:38">
      <c r="AK1399" s="17"/>
      <c r="AL1399" s="17"/>
    </row>
    <row r="1400" spans="37:38">
      <c r="AK1400" s="17"/>
      <c r="AL1400" s="17"/>
    </row>
    <row r="1401" spans="37:38">
      <c r="AK1401" s="17"/>
      <c r="AL1401" s="17"/>
    </row>
    <row r="1402" spans="37:38">
      <c r="AK1402" s="17"/>
      <c r="AL1402" s="17"/>
    </row>
    <row r="1403" spans="37:38">
      <c r="AK1403" s="17"/>
      <c r="AL1403" s="17"/>
    </row>
    <row r="1404" spans="37:38">
      <c r="AK1404" s="17"/>
      <c r="AL1404" s="17"/>
    </row>
    <row r="1405" spans="37:38">
      <c r="AK1405" s="17"/>
      <c r="AL1405" s="17"/>
    </row>
    <row r="1406" spans="37:38">
      <c r="AK1406" s="17"/>
      <c r="AL1406" s="17"/>
    </row>
    <row r="1407" spans="37:38">
      <c r="AK1407" s="17"/>
      <c r="AL1407" s="17"/>
    </row>
    <row r="1408" spans="37:38">
      <c r="AK1408" s="17"/>
      <c r="AL1408" s="17"/>
    </row>
    <row r="1409" spans="37:38">
      <c r="AK1409" s="17"/>
      <c r="AL1409" s="17"/>
    </row>
    <row r="1410" spans="37:38">
      <c r="AK1410" s="17"/>
      <c r="AL1410" s="17"/>
    </row>
    <row r="1411" spans="37:38">
      <c r="AK1411" s="17"/>
      <c r="AL1411" s="17"/>
    </row>
    <row r="1412" spans="37:38">
      <c r="AK1412" s="17"/>
      <c r="AL1412" s="17"/>
    </row>
    <row r="1413" spans="37:38">
      <c r="AK1413" s="17"/>
      <c r="AL1413" s="17"/>
    </row>
    <row r="1414" spans="37:38">
      <c r="AK1414" s="17"/>
      <c r="AL1414" s="17"/>
    </row>
    <row r="1415" spans="37:38">
      <c r="AK1415" s="17"/>
      <c r="AL1415" s="17"/>
    </row>
    <row r="1416" spans="37:38">
      <c r="AK1416" s="17"/>
      <c r="AL1416" s="17"/>
    </row>
    <row r="1417" spans="37:38">
      <c r="AK1417" s="17"/>
      <c r="AL1417" s="17"/>
    </row>
    <row r="1418" spans="37:38">
      <c r="AK1418" s="17"/>
      <c r="AL1418" s="17"/>
    </row>
    <row r="1419" spans="37:38">
      <c r="AK1419" s="17"/>
      <c r="AL1419" s="17"/>
    </row>
    <row r="1420" spans="37:38">
      <c r="AK1420" s="17"/>
      <c r="AL1420" s="17"/>
    </row>
    <row r="1421" spans="37:38">
      <c r="AK1421" s="17"/>
      <c r="AL1421" s="17"/>
    </row>
    <row r="1422" spans="37:38">
      <c r="AK1422" s="17"/>
      <c r="AL1422" s="17"/>
    </row>
    <row r="1423" spans="37:38">
      <c r="AK1423" s="17"/>
      <c r="AL1423" s="17"/>
    </row>
    <row r="1424" spans="37:38">
      <c r="AK1424" s="17"/>
      <c r="AL1424" s="17"/>
    </row>
    <row r="1425" spans="37:38">
      <c r="AK1425" s="17"/>
      <c r="AL1425" s="17"/>
    </row>
    <row r="1426" spans="37:38">
      <c r="AK1426" s="17"/>
      <c r="AL1426" s="17"/>
    </row>
    <row r="1427" spans="37:38">
      <c r="AK1427" s="17"/>
      <c r="AL1427" s="17"/>
    </row>
    <row r="1428" spans="37:38">
      <c r="AK1428" s="17"/>
      <c r="AL1428" s="17"/>
    </row>
    <row r="1429" spans="37:38">
      <c r="AK1429" s="17"/>
      <c r="AL1429" s="17"/>
    </row>
    <row r="1430" spans="37:38">
      <c r="AK1430" s="17"/>
      <c r="AL1430" s="17"/>
    </row>
    <row r="1431" spans="37:38">
      <c r="AK1431" s="17"/>
      <c r="AL1431" s="17"/>
    </row>
    <row r="1432" spans="37:38">
      <c r="AK1432" s="17"/>
      <c r="AL1432" s="17"/>
    </row>
    <row r="1433" spans="37:38">
      <c r="AK1433" s="17"/>
      <c r="AL1433" s="17"/>
    </row>
    <row r="1434" spans="37:38">
      <c r="AK1434" s="17"/>
      <c r="AL1434" s="17"/>
    </row>
    <row r="1435" spans="37:38">
      <c r="AK1435" s="17"/>
      <c r="AL1435" s="17"/>
    </row>
    <row r="1436" spans="37:38">
      <c r="AK1436" s="17"/>
      <c r="AL1436" s="17"/>
    </row>
    <row r="1437" spans="37:38">
      <c r="AK1437" s="17"/>
      <c r="AL1437" s="17"/>
    </row>
    <row r="1438" spans="37:38">
      <c r="AK1438" s="17"/>
      <c r="AL1438" s="17"/>
    </row>
    <row r="1439" spans="37:38">
      <c r="AK1439" s="17"/>
      <c r="AL1439" s="17"/>
    </row>
    <row r="1440" spans="37:38">
      <c r="AK1440" s="17"/>
      <c r="AL1440" s="17"/>
    </row>
    <row r="1441" spans="37:38">
      <c r="AK1441" s="17"/>
      <c r="AL1441" s="17"/>
    </row>
    <row r="1442" spans="37:38">
      <c r="AK1442" s="17"/>
      <c r="AL1442" s="17"/>
    </row>
    <row r="1443" spans="37:38">
      <c r="AK1443" s="17"/>
      <c r="AL1443" s="17"/>
    </row>
    <row r="1444" spans="37:38">
      <c r="AK1444" s="17"/>
      <c r="AL1444" s="17"/>
    </row>
    <row r="1445" spans="37:38">
      <c r="AK1445" s="17"/>
      <c r="AL1445" s="17"/>
    </row>
    <row r="1446" spans="37:38">
      <c r="AK1446" s="17"/>
      <c r="AL1446" s="17"/>
    </row>
    <row r="1447" spans="37:38">
      <c r="AK1447" s="17"/>
      <c r="AL1447" s="17"/>
    </row>
    <row r="1448" spans="37:38">
      <c r="AK1448" s="17"/>
      <c r="AL1448" s="17"/>
    </row>
    <row r="1449" spans="37:38">
      <c r="AK1449" s="17"/>
      <c r="AL1449" s="17"/>
    </row>
    <row r="1450" spans="37:38">
      <c r="AK1450" s="17"/>
      <c r="AL1450" s="17"/>
    </row>
    <row r="1451" spans="37:38">
      <c r="AK1451" s="17"/>
      <c r="AL1451" s="17"/>
    </row>
    <row r="1452" spans="37:38">
      <c r="AK1452" s="17"/>
      <c r="AL1452" s="17"/>
    </row>
    <row r="1453" spans="37:38">
      <c r="AK1453" s="17"/>
      <c r="AL1453" s="17"/>
    </row>
    <row r="1454" spans="37:38">
      <c r="AK1454" s="17"/>
      <c r="AL1454" s="17"/>
    </row>
    <row r="1455" spans="37:38">
      <c r="AK1455" s="17"/>
      <c r="AL1455" s="17"/>
    </row>
    <row r="1456" spans="37:38">
      <c r="AK1456" s="17"/>
      <c r="AL1456" s="17"/>
    </row>
    <row r="1457" spans="37:38">
      <c r="AK1457" s="17"/>
      <c r="AL1457" s="17"/>
    </row>
    <row r="1458" spans="37:38">
      <c r="AK1458" s="17"/>
      <c r="AL1458" s="17"/>
    </row>
    <row r="1459" spans="37:38">
      <c r="AK1459" s="17"/>
      <c r="AL1459" s="17"/>
    </row>
    <row r="1460" spans="37:38">
      <c r="AK1460" s="17"/>
      <c r="AL1460" s="17"/>
    </row>
    <row r="1461" spans="37:38">
      <c r="AK1461" s="17"/>
      <c r="AL1461" s="17"/>
    </row>
    <row r="1462" spans="37:38">
      <c r="AK1462" s="17"/>
      <c r="AL1462" s="17"/>
    </row>
    <row r="1463" spans="37:38">
      <c r="AK1463" s="17"/>
      <c r="AL1463" s="17"/>
    </row>
    <row r="1464" spans="37:38">
      <c r="AK1464" s="17"/>
      <c r="AL1464" s="17"/>
    </row>
    <row r="1465" spans="37:38">
      <c r="AK1465" s="17"/>
      <c r="AL1465" s="17"/>
    </row>
    <row r="1466" spans="37:38">
      <c r="AK1466" s="17"/>
      <c r="AL1466" s="17"/>
    </row>
    <row r="1467" spans="37:38">
      <c r="AK1467" s="17"/>
      <c r="AL1467" s="17"/>
    </row>
    <row r="1468" spans="37:38">
      <c r="AK1468" s="17"/>
      <c r="AL1468" s="17"/>
    </row>
    <row r="1469" spans="37:38">
      <c r="AK1469" s="17"/>
      <c r="AL1469" s="17"/>
    </row>
    <row r="1470" spans="37:38">
      <c r="AK1470" s="17"/>
      <c r="AL1470" s="17"/>
    </row>
    <row r="1471" spans="37:38">
      <c r="AK1471" s="17"/>
      <c r="AL1471" s="17"/>
    </row>
    <row r="1472" spans="37:38">
      <c r="AK1472" s="17"/>
      <c r="AL1472" s="17"/>
    </row>
    <row r="1473" spans="37:38">
      <c r="AK1473" s="17"/>
      <c r="AL1473" s="17"/>
    </row>
    <row r="1474" spans="37:38">
      <c r="AK1474" s="17"/>
      <c r="AL1474" s="17"/>
    </row>
    <row r="1475" spans="37:38">
      <c r="AK1475" s="17"/>
      <c r="AL1475" s="17"/>
    </row>
    <row r="1476" spans="37:38">
      <c r="AK1476" s="17"/>
      <c r="AL1476" s="17"/>
    </row>
    <row r="1477" spans="37:38">
      <c r="AK1477" s="17"/>
      <c r="AL1477" s="17"/>
    </row>
    <row r="1478" spans="37:38">
      <c r="AK1478" s="17"/>
      <c r="AL1478" s="17"/>
    </row>
    <row r="1479" spans="37:38">
      <c r="AK1479" s="17"/>
      <c r="AL1479" s="17"/>
    </row>
    <row r="1480" spans="37:38">
      <c r="AK1480" s="17"/>
      <c r="AL1480" s="17"/>
    </row>
    <row r="1481" spans="37:38">
      <c r="AK1481" s="17"/>
      <c r="AL1481" s="17"/>
    </row>
    <row r="1482" spans="37:38">
      <c r="AK1482" s="17"/>
      <c r="AL1482" s="17"/>
    </row>
    <row r="1483" spans="37:38">
      <c r="AK1483" s="17"/>
      <c r="AL1483" s="17"/>
    </row>
    <row r="1484" spans="37:38">
      <c r="AK1484" s="17"/>
      <c r="AL1484" s="17"/>
    </row>
    <row r="1485" spans="37:38">
      <c r="AK1485" s="17"/>
      <c r="AL1485" s="17"/>
    </row>
    <row r="1486" spans="37:38">
      <c r="AK1486" s="17"/>
      <c r="AL1486" s="17"/>
    </row>
    <row r="1487" spans="37:38">
      <c r="AK1487" s="17"/>
      <c r="AL1487" s="17"/>
    </row>
    <row r="1488" spans="37:38">
      <c r="AK1488" s="17"/>
      <c r="AL1488" s="17"/>
    </row>
    <row r="1489" spans="37:38">
      <c r="AK1489" s="17"/>
      <c r="AL1489" s="17"/>
    </row>
    <row r="1490" spans="37:38">
      <c r="AK1490" s="17"/>
      <c r="AL1490" s="17"/>
    </row>
    <row r="1491" spans="37:38">
      <c r="AK1491" s="17"/>
      <c r="AL1491" s="17"/>
    </row>
    <row r="1492" spans="37:38">
      <c r="AK1492" s="17"/>
      <c r="AL1492" s="17"/>
    </row>
    <row r="1493" spans="37:38">
      <c r="AK1493" s="17"/>
      <c r="AL1493" s="17"/>
    </row>
    <row r="1494" spans="37:38">
      <c r="AK1494" s="17"/>
      <c r="AL1494" s="17"/>
    </row>
    <row r="1495" spans="37:38">
      <c r="AK1495" s="17"/>
      <c r="AL1495" s="17"/>
    </row>
    <row r="1496" spans="37:38">
      <c r="AK1496" s="17"/>
      <c r="AL1496" s="17"/>
    </row>
    <row r="1497" spans="37:38">
      <c r="AK1497" s="17"/>
      <c r="AL1497" s="17"/>
    </row>
    <row r="1498" spans="37:38">
      <c r="AK1498" s="17"/>
      <c r="AL1498" s="17"/>
    </row>
    <row r="1499" spans="37:38">
      <c r="AK1499" s="17"/>
      <c r="AL1499" s="17"/>
    </row>
    <row r="1500" spans="37:38">
      <c r="AK1500" s="17"/>
      <c r="AL1500" s="17"/>
    </row>
    <row r="1501" spans="37:38">
      <c r="AK1501" s="17"/>
      <c r="AL1501" s="17"/>
    </row>
    <row r="1502" spans="37:38">
      <c r="AK1502" s="17"/>
      <c r="AL1502" s="17"/>
    </row>
    <row r="1503" spans="37:38">
      <c r="AK1503" s="17"/>
      <c r="AL1503" s="17"/>
    </row>
    <row r="1504" spans="37:38">
      <c r="AK1504" s="17"/>
      <c r="AL1504" s="17"/>
    </row>
    <row r="1505" spans="37:38">
      <c r="AK1505" s="17"/>
      <c r="AL1505" s="17"/>
    </row>
    <row r="1506" spans="37:38">
      <c r="AK1506" s="17"/>
      <c r="AL1506" s="17"/>
    </row>
    <row r="1507" spans="37:38">
      <c r="AK1507" s="17"/>
      <c r="AL1507" s="17"/>
    </row>
    <row r="1508" spans="37:38">
      <c r="AK1508" s="17"/>
      <c r="AL1508" s="17"/>
    </row>
    <row r="1509" spans="37:38">
      <c r="AK1509" s="17"/>
      <c r="AL1509" s="17"/>
    </row>
    <row r="1510" spans="37:38">
      <c r="AK1510" s="17"/>
      <c r="AL1510" s="17"/>
    </row>
    <row r="1511" spans="37:38">
      <c r="AK1511" s="17"/>
      <c r="AL1511" s="17"/>
    </row>
    <row r="1512" spans="37:38">
      <c r="AK1512" s="17"/>
      <c r="AL1512" s="17"/>
    </row>
    <row r="1513" spans="37:38">
      <c r="AK1513" s="17"/>
      <c r="AL1513" s="17"/>
    </row>
    <row r="1514" spans="37:38">
      <c r="AK1514" s="17"/>
      <c r="AL1514" s="17"/>
    </row>
    <row r="1515" spans="37:38">
      <c r="AK1515" s="17"/>
      <c r="AL1515" s="17"/>
    </row>
    <row r="1516" spans="37:38">
      <c r="AK1516" s="17"/>
      <c r="AL1516" s="17"/>
    </row>
    <row r="1517" spans="37:38">
      <c r="AK1517" s="17"/>
      <c r="AL1517" s="17"/>
    </row>
    <row r="1518" spans="37:38">
      <c r="AK1518" s="17"/>
      <c r="AL1518" s="17"/>
    </row>
    <row r="1519" spans="37:38">
      <c r="AK1519" s="17"/>
      <c r="AL1519" s="17"/>
    </row>
    <row r="1520" spans="37:38">
      <c r="AK1520" s="17"/>
      <c r="AL1520" s="17"/>
    </row>
    <row r="1521" spans="37:38">
      <c r="AK1521" s="17"/>
      <c r="AL1521" s="17"/>
    </row>
    <row r="1522" spans="37:38">
      <c r="AK1522" s="17"/>
      <c r="AL1522" s="17"/>
    </row>
    <row r="1523" spans="37:38">
      <c r="AK1523" s="17"/>
      <c r="AL1523" s="17"/>
    </row>
    <row r="1524" spans="37:38">
      <c r="AK1524" s="17"/>
      <c r="AL1524" s="17"/>
    </row>
    <row r="1525" spans="37:38">
      <c r="AK1525" s="17"/>
      <c r="AL1525" s="17"/>
    </row>
    <row r="1526" spans="37:38">
      <c r="AK1526" s="17"/>
      <c r="AL1526" s="17"/>
    </row>
    <row r="1527" spans="37:38">
      <c r="AK1527" s="17"/>
      <c r="AL1527" s="17"/>
    </row>
    <row r="1528" spans="37:38">
      <c r="AK1528" s="17"/>
      <c r="AL1528" s="17"/>
    </row>
    <row r="1529" spans="37:38">
      <c r="AK1529" s="17"/>
      <c r="AL1529" s="17"/>
    </row>
    <row r="1530" spans="37:38">
      <c r="AK1530" s="17"/>
      <c r="AL1530" s="17"/>
    </row>
    <row r="1531" spans="37:38">
      <c r="AK1531" s="17"/>
      <c r="AL1531" s="17"/>
    </row>
    <row r="1532" spans="37:38">
      <c r="AK1532" s="17"/>
      <c r="AL1532" s="17"/>
    </row>
    <row r="1533" spans="37:38">
      <c r="AK1533" s="17"/>
      <c r="AL1533" s="17"/>
    </row>
    <row r="1534" spans="37:38">
      <c r="AK1534" s="17"/>
      <c r="AL1534" s="17"/>
    </row>
    <row r="1535" spans="37:38">
      <c r="AK1535" s="17"/>
      <c r="AL1535" s="17"/>
    </row>
    <row r="1536" spans="37:38">
      <c r="AK1536" s="17"/>
      <c r="AL1536" s="17"/>
    </row>
    <row r="1537" spans="37:38">
      <c r="AK1537" s="17"/>
      <c r="AL1537" s="17"/>
    </row>
    <row r="1538" spans="37:38">
      <c r="AK1538" s="17"/>
      <c r="AL1538" s="17"/>
    </row>
    <row r="1539" spans="37:38">
      <c r="AK1539" s="17"/>
      <c r="AL1539" s="17"/>
    </row>
    <row r="1540" spans="37:38">
      <c r="AK1540" s="17"/>
      <c r="AL1540" s="17"/>
    </row>
    <row r="1541" spans="37:38">
      <c r="AK1541" s="17"/>
      <c r="AL1541" s="17"/>
    </row>
    <row r="1542" spans="37:38">
      <c r="AK1542" s="17"/>
      <c r="AL1542" s="17"/>
    </row>
    <row r="1543" spans="37:38">
      <c r="AK1543" s="17"/>
      <c r="AL1543" s="17"/>
    </row>
    <row r="1544" spans="37:38">
      <c r="AK1544" s="17"/>
      <c r="AL1544" s="17"/>
    </row>
    <row r="1545" spans="37:38">
      <c r="AK1545" s="17"/>
      <c r="AL1545" s="17"/>
    </row>
    <row r="1546" spans="37:38">
      <c r="AK1546" s="17"/>
      <c r="AL1546" s="17"/>
    </row>
    <row r="1547" spans="37:38">
      <c r="AK1547" s="17"/>
      <c r="AL1547" s="17"/>
    </row>
    <row r="1548" spans="37:38">
      <c r="AK1548" s="17"/>
      <c r="AL1548" s="17"/>
    </row>
    <row r="1549" spans="37:38">
      <c r="AK1549" s="17"/>
      <c r="AL1549" s="17"/>
    </row>
    <row r="1550" spans="37:38">
      <c r="AK1550" s="17"/>
      <c r="AL1550" s="17"/>
    </row>
    <row r="1551" spans="37:38">
      <c r="AK1551" s="17"/>
      <c r="AL1551" s="17"/>
    </row>
    <row r="1552" spans="37:38">
      <c r="AK1552" s="17"/>
      <c r="AL1552" s="17"/>
    </row>
    <row r="1553" spans="37:38">
      <c r="AK1553" s="17"/>
      <c r="AL1553" s="17"/>
    </row>
    <row r="1554" spans="37:38">
      <c r="AK1554" s="17"/>
      <c r="AL1554" s="17"/>
    </row>
    <row r="1555" spans="37:38">
      <c r="AK1555" s="17"/>
      <c r="AL1555" s="17"/>
    </row>
    <row r="1556" spans="37:38">
      <c r="AK1556" s="17"/>
      <c r="AL1556" s="17"/>
    </row>
    <row r="1557" spans="37:38">
      <c r="AK1557" s="17"/>
      <c r="AL1557" s="17"/>
    </row>
    <row r="1558" spans="37:38">
      <c r="AK1558" s="17"/>
      <c r="AL1558" s="17"/>
    </row>
    <row r="1559" spans="37:38">
      <c r="AK1559" s="17"/>
      <c r="AL1559" s="17"/>
    </row>
    <row r="1560" spans="37:38">
      <c r="AK1560" s="17"/>
      <c r="AL1560" s="17"/>
    </row>
    <row r="1561" spans="37:38">
      <c r="AK1561" s="17"/>
      <c r="AL1561" s="17"/>
    </row>
    <row r="1562" spans="37:38">
      <c r="AK1562" s="17"/>
      <c r="AL1562" s="17"/>
    </row>
    <row r="1563" spans="37:38">
      <c r="AK1563" s="17"/>
      <c r="AL1563" s="17"/>
    </row>
    <row r="1564" spans="37:38">
      <c r="AK1564" s="17"/>
      <c r="AL1564" s="17"/>
    </row>
    <row r="1565" spans="37:38">
      <c r="AK1565" s="17"/>
      <c r="AL1565" s="17"/>
    </row>
    <row r="1566" spans="37:38">
      <c r="AK1566" s="17"/>
      <c r="AL1566" s="17"/>
    </row>
    <row r="1567" spans="37:38">
      <c r="AK1567" s="17"/>
      <c r="AL1567" s="17"/>
    </row>
    <row r="1568" spans="37:38">
      <c r="AK1568" s="17"/>
      <c r="AL1568" s="17"/>
    </row>
    <row r="1569" spans="37:38">
      <c r="AK1569" s="17"/>
      <c r="AL1569" s="17"/>
    </row>
    <row r="1570" spans="37:38">
      <c r="AK1570" s="17"/>
      <c r="AL1570" s="17"/>
    </row>
    <row r="1571" spans="37:38">
      <c r="AK1571" s="17"/>
      <c r="AL1571" s="17"/>
    </row>
    <row r="1572" spans="37:38">
      <c r="AK1572" s="17"/>
      <c r="AL1572" s="17"/>
    </row>
    <row r="1573" spans="37:38">
      <c r="AK1573" s="17"/>
      <c r="AL1573" s="17"/>
    </row>
    <row r="1574" spans="37:38">
      <c r="AK1574" s="17"/>
      <c r="AL1574" s="17"/>
    </row>
    <row r="1575" spans="37:38">
      <c r="AK1575" s="17"/>
      <c r="AL1575" s="17"/>
    </row>
    <row r="1576" spans="37:38">
      <c r="AK1576" s="17"/>
      <c r="AL1576" s="17"/>
    </row>
    <row r="1577" spans="37:38">
      <c r="AK1577" s="17"/>
      <c r="AL1577" s="17"/>
    </row>
    <row r="1578" spans="37:38">
      <c r="AK1578" s="17"/>
      <c r="AL1578" s="17"/>
    </row>
    <row r="1579" spans="37:38">
      <c r="AK1579" s="17"/>
      <c r="AL1579" s="17"/>
    </row>
    <row r="1580" spans="37:38">
      <c r="AK1580" s="17"/>
      <c r="AL1580" s="17"/>
    </row>
    <row r="1581" spans="37:38">
      <c r="AK1581" s="17"/>
      <c r="AL1581" s="17"/>
    </row>
    <row r="1582" spans="37:38">
      <c r="AK1582" s="17"/>
      <c r="AL1582" s="17"/>
    </row>
    <row r="1583" spans="37:38">
      <c r="AK1583" s="17"/>
      <c r="AL1583" s="17"/>
    </row>
    <row r="1584" spans="37:38">
      <c r="AK1584" s="17"/>
      <c r="AL1584" s="17"/>
    </row>
    <row r="1585" spans="37:38">
      <c r="AK1585" s="17"/>
      <c r="AL1585" s="17"/>
    </row>
    <row r="1586" spans="37:38">
      <c r="AK1586" s="17"/>
      <c r="AL1586" s="17"/>
    </row>
    <row r="1587" spans="37:38">
      <c r="AK1587" s="17"/>
      <c r="AL1587" s="17"/>
    </row>
    <row r="1588" spans="37:38">
      <c r="AK1588" s="17"/>
      <c r="AL1588" s="17"/>
    </row>
    <row r="1589" spans="37:38">
      <c r="AK1589" s="17"/>
      <c r="AL1589" s="17"/>
    </row>
    <row r="1590" spans="37:38">
      <c r="AK1590" s="17"/>
      <c r="AL1590" s="17"/>
    </row>
    <row r="1591" spans="37:38">
      <c r="AK1591" s="17"/>
      <c r="AL1591" s="17"/>
    </row>
    <row r="1592" spans="37:38">
      <c r="AK1592" s="17"/>
      <c r="AL1592" s="17"/>
    </row>
    <row r="1593" spans="37:38">
      <c r="AK1593" s="17"/>
      <c r="AL1593" s="17"/>
    </row>
    <row r="1594" spans="37:38">
      <c r="AK1594" s="17"/>
      <c r="AL1594" s="17"/>
    </row>
    <row r="1595" spans="37:38">
      <c r="AK1595" s="17"/>
      <c r="AL1595" s="17"/>
    </row>
    <row r="1596" spans="37:38">
      <c r="AK1596" s="17"/>
      <c r="AL1596" s="17"/>
    </row>
    <row r="1597" spans="37:38">
      <c r="AK1597" s="17"/>
      <c r="AL1597" s="17"/>
    </row>
    <row r="1598" spans="37:38">
      <c r="AK1598" s="17"/>
      <c r="AL1598" s="17"/>
    </row>
    <row r="1599" spans="37:38">
      <c r="AK1599" s="17"/>
      <c r="AL1599" s="17"/>
    </row>
    <row r="1600" spans="37:38">
      <c r="AK1600" s="17"/>
      <c r="AL1600" s="17"/>
    </row>
    <row r="1601" spans="37:38">
      <c r="AK1601" s="17"/>
      <c r="AL1601" s="17"/>
    </row>
    <row r="1602" spans="37:38">
      <c r="AK1602" s="17"/>
      <c r="AL1602" s="17"/>
    </row>
    <row r="1603" spans="37:38">
      <c r="AK1603" s="17"/>
      <c r="AL1603" s="17"/>
    </row>
    <row r="1604" spans="37:38">
      <c r="AK1604" s="17"/>
      <c r="AL1604" s="17"/>
    </row>
    <row r="1605" spans="37:38">
      <c r="AK1605" s="17"/>
      <c r="AL1605" s="17"/>
    </row>
    <row r="1606" spans="37:38">
      <c r="AK1606" s="17"/>
      <c r="AL1606" s="17"/>
    </row>
    <row r="1607" spans="37:38">
      <c r="AK1607" s="17"/>
      <c r="AL1607" s="17"/>
    </row>
    <row r="1608" spans="37:38">
      <c r="AK1608" s="17"/>
      <c r="AL1608" s="17"/>
    </row>
    <row r="1609" spans="37:38">
      <c r="AK1609" s="17"/>
      <c r="AL1609" s="17"/>
    </row>
    <row r="1610" spans="37:38">
      <c r="AK1610" s="17"/>
      <c r="AL1610" s="17"/>
    </row>
    <row r="1611" spans="37:38">
      <c r="AK1611" s="17"/>
      <c r="AL1611" s="17"/>
    </row>
    <row r="1612" spans="37:38">
      <c r="AK1612" s="17"/>
      <c r="AL1612" s="17"/>
    </row>
    <row r="1613" spans="37:38">
      <c r="AK1613" s="17"/>
      <c r="AL1613" s="17"/>
    </row>
    <row r="1614" spans="37:38">
      <c r="AK1614" s="17"/>
      <c r="AL1614" s="17"/>
    </row>
    <row r="1615" spans="37:38">
      <c r="AK1615" s="17"/>
      <c r="AL1615" s="17"/>
    </row>
    <row r="1616" spans="37:38">
      <c r="AK1616" s="17"/>
      <c r="AL1616" s="17"/>
    </row>
    <row r="1617" spans="37:38">
      <c r="AK1617" s="17"/>
      <c r="AL1617" s="17"/>
    </row>
    <row r="1618" spans="37:38">
      <c r="AK1618" s="17"/>
      <c r="AL1618" s="17"/>
    </row>
    <row r="1619" spans="37:38">
      <c r="AK1619" s="17"/>
      <c r="AL1619" s="17"/>
    </row>
    <row r="1620" spans="37:38">
      <c r="AK1620" s="17"/>
      <c r="AL1620" s="17"/>
    </row>
    <row r="1621" spans="37:38">
      <c r="AK1621" s="17"/>
      <c r="AL1621" s="17"/>
    </row>
    <row r="1622" spans="37:38">
      <c r="AK1622" s="17"/>
      <c r="AL1622" s="17"/>
    </row>
    <row r="1623" spans="37:38">
      <c r="AK1623" s="17"/>
      <c r="AL1623" s="17"/>
    </row>
    <row r="1624" spans="37:38">
      <c r="AK1624" s="17"/>
      <c r="AL1624" s="17"/>
    </row>
    <row r="1625" spans="37:38">
      <c r="AK1625" s="17"/>
      <c r="AL1625" s="17"/>
    </row>
    <row r="1626" spans="37:38">
      <c r="AK1626" s="17"/>
      <c r="AL1626" s="17"/>
    </row>
    <row r="1627" spans="37:38">
      <c r="AK1627" s="17"/>
      <c r="AL1627" s="17"/>
    </row>
    <row r="1628" spans="37:38">
      <c r="AK1628" s="17"/>
      <c r="AL1628" s="17"/>
    </row>
    <row r="1629" spans="37:38">
      <c r="AK1629" s="17"/>
      <c r="AL1629" s="17"/>
    </row>
    <row r="1630" spans="37:38">
      <c r="AK1630" s="17"/>
      <c r="AL1630" s="17"/>
    </row>
    <row r="1631" spans="37:38">
      <c r="AK1631" s="17"/>
      <c r="AL1631" s="17"/>
    </row>
    <row r="1632" spans="37:38">
      <c r="AK1632" s="17"/>
      <c r="AL1632" s="17"/>
    </row>
    <row r="1633" spans="37:38">
      <c r="AK1633" s="17"/>
      <c r="AL1633" s="17"/>
    </row>
    <row r="1634" spans="37:38">
      <c r="AK1634" s="17"/>
      <c r="AL1634" s="17"/>
    </row>
    <row r="1635" spans="37:38">
      <c r="AK1635" s="17"/>
      <c r="AL1635" s="17"/>
    </row>
    <row r="1636" spans="37:38">
      <c r="AK1636" s="17"/>
      <c r="AL1636" s="17"/>
    </row>
    <row r="1637" spans="37:38">
      <c r="AK1637" s="17"/>
      <c r="AL1637" s="17"/>
    </row>
    <row r="1638" spans="37:38">
      <c r="AK1638" s="17"/>
      <c r="AL1638" s="17"/>
    </row>
    <row r="1639" spans="37:38">
      <c r="AK1639" s="17"/>
      <c r="AL1639" s="17"/>
    </row>
    <row r="1640" spans="37:38">
      <c r="AK1640" s="17"/>
      <c r="AL1640" s="17"/>
    </row>
    <row r="1641" spans="37:38">
      <c r="AK1641" s="17"/>
      <c r="AL1641" s="17"/>
    </row>
    <row r="1642" spans="37:38">
      <c r="AK1642" s="17"/>
      <c r="AL1642" s="17"/>
    </row>
    <row r="1643" spans="37:38">
      <c r="AK1643" s="17"/>
      <c r="AL1643" s="17"/>
    </row>
    <row r="1644" spans="37:38">
      <c r="AK1644" s="17"/>
      <c r="AL1644" s="17"/>
    </row>
    <row r="1645" spans="37:38">
      <c r="AK1645" s="17"/>
      <c r="AL1645" s="17"/>
    </row>
    <row r="1646" spans="37:38">
      <c r="AK1646" s="17"/>
      <c r="AL1646" s="17"/>
    </row>
    <row r="1647" spans="37:38">
      <c r="AK1647" s="17"/>
      <c r="AL1647" s="17"/>
    </row>
    <row r="1648" spans="37:38">
      <c r="AK1648" s="17"/>
      <c r="AL1648" s="17"/>
    </row>
    <row r="1649" spans="37:38">
      <c r="AK1649" s="17"/>
      <c r="AL1649" s="17"/>
    </row>
    <row r="1650" spans="37:38">
      <c r="AK1650" s="17"/>
      <c r="AL1650" s="17"/>
    </row>
    <row r="1651" spans="37:38">
      <c r="AK1651" s="17"/>
      <c r="AL1651" s="17"/>
    </row>
    <row r="1652" spans="37:38">
      <c r="AK1652" s="17"/>
      <c r="AL1652" s="17"/>
    </row>
    <row r="1653" spans="37:38">
      <c r="AK1653" s="17"/>
      <c r="AL1653" s="17"/>
    </row>
    <row r="1654" spans="37:38">
      <c r="AK1654" s="17"/>
      <c r="AL1654" s="17"/>
    </row>
    <row r="1655" spans="37:38">
      <c r="AK1655" s="17"/>
      <c r="AL1655" s="17"/>
    </row>
    <row r="1656" spans="37:38">
      <c r="AK1656" s="17"/>
      <c r="AL1656" s="17"/>
    </row>
    <row r="1657" spans="37:38">
      <c r="AK1657" s="17"/>
      <c r="AL1657" s="17"/>
    </row>
    <row r="1658" spans="37:38">
      <c r="AK1658" s="17"/>
      <c r="AL1658" s="17"/>
    </row>
    <row r="1659" spans="37:38">
      <c r="AK1659" s="17"/>
      <c r="AL1659" s="17"/>
    </row>
    <row r="1660" spans="37:38">
      <c r="AK1660" s="17"/>
      <c r="AL1660" s="17"/>
    </row>
    <row r="1661" spans="37:38">
      <c r="AK1661" s="17"/>
      <c r="AL1661" s="17"/>
    </row>
    <row r="1662" spans="37:38">
      <c r="AK1662" s="17"/>
      <c r="AL1662" s="17"/>
    </row>
    <row r="1663" spans="37:38">
      <c r="AK1663" s="17"/>
      <c r="AL1663" s="17"/>
    </row>
    <row r="1664" spans="37:38">
      <c r="AK1664" s="17"/>
      <c r="AL1664" s="17"/>
    </row>
    <row r="1665" spans="37:38">
      <c r="AK1665" s="17"/>
      <c r="AL1665" s="17"/>
    </row>
    <row r="1666" spans="37:38">
      <c r="AK1666" s="17"/>
      <c r="AL1666" s="17"/>
    </row>
    <row r="1667" spans="37:38">
      <c r="AK1667" s="17"/>
      <c r="AL1667" s="17"/>
    </row>
    <row r="1668" spans="37:38">
      <c r="AK1668" s="17"/>
      <c r="AL1668" s="17"/>
    </row>
    <row r="1669" spans="37:38">
      <c r="AK1669" s="17"/>
      <c r="AL1669" s="17"/>
    </row>
    <row r="1670" spans="37:38">
      <c r="AK1670" s="17"/>
      <c r="AL1670" s="17"/>
    </row>
    <row r="1671" spans="37:38">
      <c r="AK1671" s="17"/>
      <c r="AL1671" s="17"/>
    </row>
    <row r="1672" spans="37:38">
      <c r="AK1672" s="17"/>
      <c r="AL1672" s="17"/>
    </row>
    <row r="1673" spans="37:38">
      <c r="AK1673" s="17"/>
      <c r="AL1673" s="17"/>
    </row>
    <row r="1674" spans="37:38">
      <c r="AK1674" s="17"/>
      <c r="AL1674" s="17"/>
    </row>
    <row r="1675" spans="37:38">
      <c r="AK1675" s="17"/>
      <c r="AL1675" s="17"/>
    </row>
    <row r="1676" spans="37:38">
      <c r="AK1676" s="17"/>
      <c r="AL1676" s="17"/>
    </row>
    <row r="1677" spans="37:38">
      <c r="AK1677" s="17"/>
      <c r="AL1677" s="17"/>
    </row>
    <row r="1678" spans="37:38">
      <c r="AK1678" s="17"/>
      <c r="AL1678" s="17"/>
    </row>
    <row r="1679" spans="37:38">
      <c r="AK1679" s="17"/>
      <c r="AL1679" s="17"/>
    </row>
    <row r="1680" spans="37:38">
      <c r="AK1680" s="17"/>
      <c r="AL1680" s="17"/>
    </row>
    <row r="1681" spans="37:38">
      <c r="AK1681" s="17"/>
      <c r="AL1681" s="17"/>
    </row>
    <row r="1682" spans="37:38">
      <c r="AK1682" s="17"/>
      <c r="AL1682" s="17"/>
    </row>
    <row r="1683" spans="37:38">
      <c r="AK1683" s="17"/>
      <c r="AL1683" s="17"/>
    </row>
    <row r="1684" spans="37:38">
      <c r="AK1684" s="17"/>
      <c r="AL1684" s="17"/>
    </row>
    <row r="1685" spans="37:38">
      <c r="AK1685" s="17"/>
      <c r="AL1685" s="17"/>
    </row>
    <row r="1686" spans="37:38">
      <c r="AK1686" s="17"/>
      <c r="AL1686" s="17"/>
    </row>
    <row r="1687" spans="37:38">
      <c r="AK1687" s="17"/>
      <c r="AL1687" s="17"/>
    </row>
    <row r="1688" spans="37:38">
      <c r="AK1688" s="17"/>
      <c r="AL1688" s="17"/>
    </row>
    <row r="1689" spans="37:38">
      <c r="AK1689" s="17"/>
      <c r="AL1689" s="17"/>
    </row>
    <row r="1690" spans="37:38">
      <c r="AK1690" s="17"/>
      <c r="AL1690" s="17"/>
    </row>
    <row r="1691" spans="37:38">
      <c r="AK1691" s="17"/>
      <c r="AL1691" s="17"/>
    </row>
    <row r="1692" spans="37:38">
      <c r="AK1692" s="17"/>
      <c r="AL1692" s="17"/>
    </row>
    <row r="1693" spans="37:38">
      <c r="AK1693" s="17"/>
      <c r="AL1693" s="17"/>
    </row>
    <row r="1694" spans="37:38">
      <c r="AK1694" s="17"/>
      <c r="AL1694" s="17"/>
    </row>
    <row r="1695" spans="37:38">
      <c r="AK1695" s="17"/>
      <c r="AL1695" s="17"/>
    </row>
    <row r="1696" spans="37:38">
      <c r="AK1696" s="17"/>
      <c r="AL1696" s="17"/>
    </row>
    <row r="1697" spans="37:38">
      <c r="AK1697" s="17"/>
      <c r="AL1697" s="17"/>
    </row>
    <row r="1698" spans="37:38">
      <c r="AK1698" s="17"/>
      <c r="AL1698" s="17"/>
    </row>
    <row r="1699" spans="37:38">
      <c r="AK1699" s="17"/>
      <c r="AL1699" s="17"/>
    </row>
    <row r="1700" spans="37:38">
      <c r="AK1700" s="17"/>
      <c r="AL1700" s="17"/>
    </row>
    <row r="1701" spans="37:38">
      <c r="AK1701" s="17"/>
      <c r="AL1701" s="17"/>
    </row>
    <row r="1702" spans="37:38">
      <c r="AK1702" s="17"/>
      <c r="AL1702" s="17"/>
    </row>
    <row r="1703" spans="37:38">
      <c r="AK1703" s="17"/>
      <c r="AL1703" s="17"/>
    </row>
    <row r="1704" spans="37:38">
      <c r="AK1704" s="17"/>
      <c r="AL1704" s="17"/>
    </row>
    <row r="1705" spans="37:38">
      <c r="AK1705" s="17"/>
      <c r="AL1705" s="17"/>
    </row>
    <row r="1706" spans="37:38">
      <c r="AK1706" s="17"/>
      <c r="AL1706" s="17"/>
    </row>
    <row r="1707" spans="37:38">
      <c r="AK1707" s="17"/>
      <c r="AL1707" s="17"/>
    </row>
    <row r="1708" spans="37:38">
      <c r="AK1708" s="17"/>
      <c r="AL1708" s="17"/>
    </row>
    <row r="1709" spans="37:38">
      <c r="AK1709" s="17"/>
      <c r="AL1709" s="17"/>
    </row>
    <row r="1710" spans="37:38">
      <c r="AK1710" s="17"/>
      <c r="AL1710" s="17"/>
    </row>
    <row r="1711" spans="37:38">
      <c r="AK1711" s="17"/>
      <c r="AL1711" s="17"/>
    </row>
    <row r="1712" spans="37:38">
      <c r="AK1712" s="17"/>
      <c r="AL1712" s="17"/>
    </row>
    <row r="1713" spans="37:38">
      <c r="AK1713" s="17"/>
      <c r="AL1713" s="17"/>
    </row>
    <row r="1714" spans="37:38">
      <c r="AK1714" s="17"/>
      <c r="AL1714" s="17"/>
    </row>
    <row r="1715" spans="37:38">
      <c r="AK1715" s="17"/>
      <c r="AL1715" s="17"/>
    </row>
    <row r="1716" spans="37:38">
      <c r="AK1716" s="17"/>
      <c r="AL1716" s="17"/>
    </row>
    <row r="1717" spans="37:38">
      <c r="AK1717" s="17"/>
      <c r="AL1717" s="17"/>
    </row>
    <row r="1718" spans="37:38">
      <c r="AK1718" s="17"/>
      <c r="AL1718" s="17"/>
    </row>
    <row r="1719" spans="37:38">
      <c r="AK1719" s="17"/>
      <c r="AL1719" s="17"/>
    </row>
    <row r="1720" spans="37:38">
      <c r="AK1720" s="17"/>
      <c r="AL1720" s="17"/>
    </row>
    <row r="1721" spans="37:38">
      <c r="AK1721" s="17"/>
      <c r="AL1721" s="17"/>
    </row>
    <row r="1722" spans="37:38">
      <c r="AK1722" s="17"/>
      <c r="AL1722" s="17"/>
    </row>
    <row r="1723" spans="37:38">
      <c r="AK1723" s="17"/>
      <c r="AL1723" s="17"/>
    </row>
    <row r="1724" spans="37:38">
      <c r="AK1724" s="17"/>
      <c r="AL1724" s="17"/>
    </row>
    <row r="1725" spans="37:38">
      <c r="AK1725" s="17"/>
      <c r="AL1725" s="17"/>
    </row>
    <row r="1726" spans="37:38">
      <c r="AK1726" s="17"/>
      <c r="AL1726" s="17"/>
    </row>
    <row r="1727" spans="37:38">
      <c r="AK1727" s="17"/>
      <c r="AL1727" s="17"/>
    </row>
    <row r="1728" spans="37:38">
      <c r="AK1728" s="17"/>
      <c r="AL1728" s="17"/>
    </row>
    <row r="1729" spans="37:38">
      <c r="AK1729" s="17"/>
      <c r="AL1729" s="17"/>
    </row>
    <row r="1730" spans="37:38">
      <c r="AK1730" s="17"/>
      <c r="AL1730" s="17"/>
    </row>
    <row r="1731" spans="37:38">
      <c r="AK1731" s="17"/>
      <c r="AL1731" s="17"/>
    </row>
    <row r="1732" spans="37:38">
      <c r="AK1732" s="17"/>
      <c r="AL1732" s="17"/>
    </row>
    <row r="1733" spans="37:38">
      <c r="AK1733" s="17"/>
      <c r="AL1733" s="17"/>
    </row>
    <row r="1734" spans="37:38">
      <c r="AK1734" s="17"/>
      <c r="AL1734" s="17"/>
    </row>
    <row r="1735" spans="37:38">
      <c r="AK1735" s="17"/>
      <c r="AL1735" s="17"/>
    </row>
    <row r="1736" spans="37:38">
      <c r="AK1736" s="17"/>
      <c r="AL1736" s="17"/>
    </row>
    <row r="1737" spans="37:38">
      <c r="AK1737" s="17"/>
      <c r="AL1737" s="17"/>
    </row>
    <row r="1738" spans="37:38">
      <c r="AK1738" s="17"/>
      <c r="AL1738" s="17"/>
    </row>
    <row r="1739" spans="37:38">
      <c r="AK1739" s="17"/>
      <c r="AL1739" s="17"/>
    </row>
    <row r="1740" spans="37:38">
      <c r="AK1740" s="17"/>
      <c r="AL1740" s="17"/>
    </row>
    <row r="1741" spans="37:38">
      <c r="AK1741" s="17"/>
      <c r="AL1741" s="17"/>
    </row>
    <row r="1742" spans="37:38">
      <c r="AK1742" s="17"/>
      <c r="AL1742" s="17"/>
    </row>
    <row r="1743" spans="37:38">
      <c r="AK1743" s="17"/>
      <c r="AL1743" s="17"/>
    </row>
    <row r="1744" spans="37:38">
      <c r="AK1744" s="17"/>
      <c r="AL1744" s="17"/>
    </row>
    <row r="1745" spans="37:38">
      <c r="AK1745" s="17"/>
      <c r="AL1745" s="17"/>
    </row>
    <row r="1746" spans="37:38">
      <c r="AK1746" s="17"/>
      <c r="AL1746" s="17"/>
    </row>
    <row r="1747" spans="37:38">
      <c r="AK1747" s="17"/>
      <c r="AL1747" s="17"/>
    </row>
    <row r="1748" spans="37:38">
      <c r="AK1748" s="17"/>
      <c r="AL1748" s="17"/>
    </row>
    <row r="1749" spans="37:38">
      <c r="AK1749" s="17"/>
      <c r="AL1749" s="17"/>
    </row>
    <row r="1750" spans="37:38">
      <c r="AK1750" s="17"/>
      <c r="AL1750" s="17"/>
    </row>
    <row r="1751" spans="37:38">
      <c r="AK1751" s="17"/>
      <c r="AL1751" s="17"/>
    </row>
    <row r="1752" spans="37:38">
      <c r="AK1752" s="17"/>
      <c r="AL1752" s="17"/>
    </row>
    <row r="1753" spans="37:38">
      <c r="AK1753" s="17"/>
      <c r="AL1753" s="17"/>
    </row>
    <row r="1754" spans="37:38">
      <c r="AK1754" s="17"/>
      <c r="AL1754" s="17"/>
    </row>
    <row r="1755" spans="37:38">
      <c r="AK1755" s="17"/>
      <c r="AL1755" s="17"/>
    </row>
    <row r="1756" spans="37:38">
      <c r="AK1756" s="17"/>
      <c r="AL1756" s="17"/>
    </row>
    <row r="1757" spans="37:38">
      <c r="AK1757" s="17"/>
      <c r="AL1757" s="17"/>
    </row>
    <row r="1758" spans="37:38">
      <c r="AK1758" s="17"/>
      <c r="AL1758" s="17"/>
    </row>
    <row r="1759" spans="37:38">
      <c r="AK1759" s="17"/>
      <c r="AL1759" s="17"/>
    </row>
    <row r="1760" spans="37:38">
      <c r="AK1760" s="17"/>
      <c r="AL1760" s="17"/>
    </row>
    <row r="1761" spans="37:38">
      <c r="AK1761" s="17"/>
      <c r="AL1761" s="17"/>
    </row>
    <row r="1762" spans="37:38">
      <c r="AK1762" s="17"/>
      <c r="AL1762" s="17"/>
    </row>
    <row r="1763" spans="37:38">
      <c r="AK1763" s="17"/>
      <c r="AL1763" s="17"/>
    </row>
    <row r="1764" spans="37:38">
      <c r="AK1764" s="17"/>
      <c r="AL1764" s="17"/>
    </row>
    <row r="1765" spans="37:38">
      <c r="AK1765" s="17"/>
      <c r="AL1765" s="17"/>
    </row>
    <row r="1766" spans="37:38">
      <c r="AK1766" s="17"/>
      <c r="AL1766" s="17"/>
    </row>
    <row r="1767" spans="37:38">
      <c r="AK1767" s="17"/>
      <c r="AL1767" s="17"/>
    </row>
    <row r="1768" spans="37:38">
      <c r="AK1768" s="17"/>
      <c r="AL1768" s="17"/>
    </row>
    <row r="1769" spans="37:38">
      <c r="AK1769" s="17"/>
      <c r="AL1769" s="17"/>
    </row>
    <row r="1770" spans="37:38">
      <c r="AK1770" s="17"/>
      <c r="AL1770" s="17"/>
    </row>
    <row r="1771" spans="37:38">
      <c r="AK1771" s="17"/>
      <c r="AL1771" s="17"/>
    </row>
    <row r="1772" spans="37:38">
      <c r="AK1772" s="17"/>
      <c r="AL1772" s="17"/>
    </row>
    <row r="1773" spans="37:38">
      <c r="AK1773" s="17"/>
      <c r="AL1773" s="17"/>
    </row>
    <row r="1774" spans="37:38">
      <c r="AK1774" s="17"/>
      <c r="AL1774" s="17"/>
    </row>
    <row r="1775" spans="37:38">
      <c r="AK1775" s="17"/>
      <c r="AL1775" s="17"/>
    </row>
    <row r="1776" spans="37:38">
      <c r="AK1776" s="17"/>
      <c r="AL1776" s="17"/>
    </row>
    <row r="1777" spans="37:38">
      <c r="AK1777" s="17"/>
      <c r="AL1777" s="17"/>
    </row>
    <row r="1778" spans="37:38">
      <c r="AK1778" s="17"/>
      <c r="AL1778" s="17"/>
    </row>
    <row r="1779" spans="37:38">
      <c r="AK1779" s="17"/>
      <c r="AL1779" s="17"/>
    </row>
    <row r="1780" spans="37:38">
      <c r="AK1780" s="17"/>
      <c r="AL1780" s="17"/>
    </row>
    <row r="1781" spans="37:38">
      <c r="AK1781" s="17"/>
      <c r="AL1781" s="17"/>
    </row>
    <row r="1782" spans="37:38">
      <c r="AK1782" s="17"/>
      <c r="AL1782" s="17"/>
    </row>
    <row r="1783" spans="37:38">
      <c r="AK1783" s="17"/>
      <c r="AL1783" s="17"/>
    </row>
    <row r="1784" spans="37:38">
      <c r="AK1784" s="17"/>
      <c r="AL1784" s="17"/>
    </row>
    <row r="1785" spans="37:38">
      <c r="AK1785" s="17"/>
      <c r="AL1785" s="17"/>
    </row>
    <row r="1786" spans="37:38">
      <c r="AK1786" s="17"/>
      <c r="AL1786" s="17"/>
    </row>
    <row r="1787" spans="37:38">
      <c r="AK1787" s="17"/>
      <c r="AL1787" s="17"/>
    </row>
    <row r="1788" spans="37:38">
      <c r="AK1788" s="17"/>
      <c r="AL1788" s="17"/>
    </row>
    <row r="1789" spans="37:38">
      <c r="AK1789" s="17"/>
      <c r="AL1789" s="17"/>
    </row>
    <row r="1790" spans="37:38">
      <c r="AK1790" s="17"/>
      <c r="AL1790" s="17"/>
    </row>
    <row r="1791" spans="37:38">
      <c r="AK1791" s="17"/>
      <c r="AL1791" s="17"/>
    </row>
    <row r="1792" spans="37:38">
      <c r="AK1792" s="17"/>
      <c r="AL1792" s="17"/>
    </row>
    <row r="1793" spans="37:38">
      <c r="AK1793" s="17"/>
      <c r="AL1793" s="17"/>
    </row>
    <row r="1794" spans="37:38">
      <c r="AK1794" s="17"/>
      <c r="AL1794" s="17"/>
    </row>
    <row r="1795" spans="37:38">
      <c r="AK1795" s="17"/>
      <c r="AL1795" s="17"/>
    </row>
    <row r="1796" spans="37:38">
      <c r="AK1796" s="17"/>
      <c r="AL1796" s="17"/>
    </row>
    <row r="1797" spans="37:38">
      <c r="AK1797" s="17"/>
      <c r="AL1797" s="17"/>
    </row>
    <row r="1798" spans="37:38">
      <c r="AK1798" s="17"/>
      <c r="AL1798" s="17"/>
    </row>
    <row r="1799" spans="37:38">
      <c r="AK1799" s="17"/>
      <c r="AL1799" s="17"/>
    </row>
    <row r="1800" spans="37:38">
      <c r="AK1800" s="17"/>
      <c r="AL1800" s="17"/>
    </row>
    <row r="1801" spans="37:38">
      <c r="AK1801" s="17"/>
      <c r="AL1801" s="17"/>
    </row>
    <row r="1802" spans="37:38">
      <c r="AK1802" s="17"/>
      <c r="AL1802" s="17"/>
    </row>
    <row r="1803" spans="37:38">
      <c r="AK1803" s="17"/>
      <c r="AL1803" s="17"/>
    </row>
    <row r="1804" spans="37:38">
      <c r="AK1804" s="17"/>
      <c r="AL1804" s="17"/>
    </row>
    <row r="1805" spans="37:38">
      <c r="AK1805" s="17"/>
      <c r="AL1805" s="17"/>
    </row>
    <row r="1806" spans="37:38">
      <c r="AK1806" s="17"/>
      <c r="AL1806" s="17"/>
    </row>
    <row r="1807" spans="37:38">
      <c r="AK1807" s="17"/>
      <c r="AL1807" s="17"/>
    </row>
    <row r="1808" spans="37:38">
      <c r="AK1808" s="17"/>
      <c r="AL1808" s="17"/>
    </row>
    <row r="1809" spans="37:38">
      <c r="AK1809" s="17"/>
      <c r="AL1809" s="17"/>
    </row>
    <row r="1810" spans="37:38">
      <c r="AK1810" s="17"/>
      <c r="AL1810" s="17"/>
    </row>
    <row r="1811" spans="37:38">
      <c r="AK1811" s="17"/>
      <c r="AL1811" s="17"/>
    </row>
    <row r="1812" spans="37:38">
      <c r="AK1812" s="17"/>
      <c r="AL1812" s="17"/>
    </row>
    <row r="1813" spans="37:38">
      <c r="AK1813" s="17"/>
      <c r="AL1813" s="17"/>
    </row>
    <row r="1814" spans="37:38">
      <c r="AK1814" s="17"/>
      <c r="AL1814" s="17"/>
    </row>
    <row r="1815" spans="37:38">
      <c r="AK1815" s="17"/>
      <c r="AL1815" s="17"/>
    </row>
    <row r="1816" spans="37:38">
      <c r="AK1816" s="17"/>
      <c r="AL1816" s="17"/>
    </row>
    <row r="1817" spans="37:38">
      <c r="AK1817" s="17"/>
      <c r="AL1817" s="17"/>
    </row>
    <row r="1818" spans="37:38">
      <c r="AK1818" s="17"/>
      <c r="AL1818" s="17"/>
    </row>
    <row r="1819" spans="37:38">
      <c r="AK1819" s="17"/>
      <c r="AL1819" s="17"/>
    </row>
    <row r="1820" spans="37:38">
      <c r="AK1820" s="17"/>
      <c r="AL1820" s="17"/>
    </row>
    <row r="1821" spans="37:38">
      <c r="AK1821" s="17"/>
      <c r="AL1821" s="17"/>
    </row>
    <row r="1822" spans="37:38">
      <c r="AK1822" s="17"/>
      <c r="AL1822" s="17"/>
    </row>
    <row r="1823" spans="37:38">
      <c r="AK1823" s="17"/>
      <c r="AL1823" s="17"/>
    </row>
    <row r="1824" spans="37:38">
      <c r="AK1824" s="17"/>
      <c r="AL1824" s="17"/>
    </row>
    <row r="1825" spans="37:38">
      <c r="AK1825" s="17"/>
      <c r="AL1825" s="17"/>
    </row>
    <row r="1826" spans="37:38">
      <c r="AK1826" s="17"/>
      <c r="AL1826" s="17"/>
    </row>
    <row r="1827" spans="37:38">
      <c r="AK1827" s="17"/>
      <c r="AL1827" s="17"/>
    </row>
    <row r="1828" spans="37:38">
      <c r="AK1828" s="17"/>
      <c r="AL1828" s="17"/>
    </row>
    <row r="1829" spans="37:38">
      <c r="AK1829" s="17"/>
      <c r="AL1829" s="17"/>
    </row>
    <row r="1830" spans="37:38">
      <c r="AK1830" s="17"/>
      <c r="AL1830" s="17"/>
    </row>
    <row r="1831" spans="37:38">
      <c r="AK1831" s="17"/>
      <c r="AL1831" s="17"/>
    </row>
    <row r="1832" spans="37:38">
      <c r="AK1832" s="17"/>
      <c r="AL1832" s="17"/>
    </row>
    <row r="1833" spans="37:38">
      <c r="AK1833" s="17"/>
      <c r="AL1833" s="17"/>
    </row>
    <row r="1834" spans="37:38">
      <c r="AK1834" s="17"/>
      <c r="AL1834" s="17"/>
    </row>
    <row r="1835" spans="37:38">
      <c r="AK1835" s="17"/>
      <c r="AL1835" s="17"/>
    </row>
    <row r="1836" spans="37:38">
      <c r="AK1836" s="17"/>
      <c r="AL1836" s="17"/>
    </row>
    <row r="1837" spans="37:38">
      <c r="AK1837" s="17"/>
      <c r="AL1837" s="17"/>
    </row>
    <row r="1838" spans="37:38">
      <c r="AK1838" s="17"/>
      <c r="AL1838" s="17"/>
    </row>
    <row r="1839" spans="37:38">
      <c r="AK1839" s="17"/>
      <c r="AL1839" s="17"/>
    </row>
    <row r="1840" spans="37:38">
      <c r="AK1840" s="17"/>
      <c r="AL1840" s="17"/>
    </row>
    <row r="1841" spans="37:38">
      <c r="AK1841" s="17"/>
      <c r="AL1841" s="17"/>
    </row>
    <row r="1842" spans="37:38">
      <c r="AK1842" s="17"/>
      <c r="AL1842" s="17"/>
    </row>
    <row r="1843" spans="37:38">
      <c r="AK1843" s="17"/>
      <c r="AL1843" s="17"/>
    </row>
    <row r="1844" spans="37:38">
      <c r="AK1844" s="17"/>
      <c r="AL1844" s="17"/>
    </row>
    <row r="1845" spans="37:38">
      <c r="AK1845" s="17"/>
      <c r="AL1845" s="17"/>
    </row>
    <row r="1846" spans="37:38">
      <c r="AK1846" s="17"/>
      <c r="AL1846" s="17"/>
    </row>
    <row r="1847" spans="37:38">
      <c r="AK1847" s="17"/>
      <c r="AL1847" s="17"/>
    </row>
    <row r="1848" spans="37:38">
      <c r="AK1848" s="17"/>
      <c r="AL1848" s="17"/>
    </row>
    <row r="1849" spans="37:38">
      <c r="AK1849" s="17"/>
      <c r="AL1849" s="17"/>
    </row>
    <row r="1850" spans="37:38">
      <c r="AK1850" s="17"/>
      <c r="AL1850" s="17"/>
    </row>
    <row r="1851" spans="37:38">
      <c r="AK1851" s="17"/>
      <c r="AL1851" s="17"/>
    </row>
    <row r="1852" spans="37:38">
      <c r="AK1852" s="17"/>
      <c r="AL1852" s="17"/>
    </row>
    <row r="1853" spans="37:38">
      <c r="AK1853" s="17"/>
      <c r="AL1853" s="17"/>
    </row>
    <row r="1854" spans="37:38">
      <c r="AK1854" s="17"/>
      <c r="AL1854" s="17"/>
    </row>
    <row r="1855" spans="37:38">
      <c r="AK1855" s="17"/>
      <c r="AL1855" s="17"/>
    </row>
    <row r="1856" spans="37:38">
      <c r="AK1856" s="17"/>
      <c r="AL1856" s="17"/>
    </row>
    <row r="1857" spans="37:38">
      <c r="AK1857" s="17"/>
      <c r="AL1857" s="17"/>
    </row>
    <row r="1858" spans="37:38">
      <c r="AK1858" s="17"/>
      <c r="AL1858" s="17"/>
    </row>
    <row r="1859" spans="37:38">
      <c r="AK1859" s="17"/>
      <c r="AL1859" s="17"/>
    </row>
    <row r="1860" spans="37:38">
      <c r="AK1860" s="17"/>
      <c r="AL1860" s="17"/>
    </row>
    <row r="1861" spans="37:38">
      <c r="AK1861" s="17"/>
      <c r="AL1861" s="17"/>
    </row>
    <row r="1862" spans="37:38">
      <c r="AK1862" s="17"/>
      <c r="AL1862" s="17"/>
    </row>
    <row r="1863" spans="37:38">
      <c r="AK1863" s="17"/>
      <c r="AL1863" s="17"/>
    </row>
    <row r="1864" spans="37:38">
      <c r="AK1864" s="17"/>
      <c r="AL1864" s="17"/>
    </row>
    <row r="1865" spans="37:38">
      <c r="AK1865" s="17"/>
      <c r="AL1865" s="17"/>
    </row>
    <row r="1866" spans="37:38">
      <c r="AK1866" s="17"/>
      <c r="AL1866" s="17"/>
    </row>
    <row r="1867" spans="37:38">
      <c r="AK1867" s="17"/>
      <c r="AL1867" s="17"/>
    </row>
    <row r="1868" spans="37:38">
      <c r="AK1868" s="17"/>
      <c r="AL1868" s="17"/>
    </row>
    <row r="1869" spans="37:38">
      <c r="AK1869" s="17"/>
      <c r="AL1869" s="17"/>
    </row>
    <row r="1870" spans="37:38">
      <c r="AK1870" s="17"/>
      <c r="AL1870" s="17"/>
    </row>
    <row r="1871" spans="37:38">
      <c r="AK1871" s="17"/>
      <c r="AL1871" s="17"/>
    </row>
    <row r="1872" spans="37:38">
      <c r="AK1872" s="17"/>
      <c r="AL1872" s="17"/>
    </row>
    <row r="1873" spans="37:38">
      <c r="AK1873" s="17"/>
      <c r="AL1873" s="17"/>
    </row>
    <row r="1874" spans="37:38">
      <c r="AK1874" s="17"/>
      <c r="AL1874" s="17"/>
    </row>
    <row r="1875" spans="37:38">
      <c r="AK1875" s="17"/>
      <c r="AL1875" s="17"/>
    </row>
    <row r="1876" spans="37:38">
      <c r="AK1876" s="17"/>
      <c r="AL1876" s="17"/>
    </row>
    <row r="1877" spans="37:38">
      <c r="AK1877" s="17"/>
      <c r="AL1877" s="17"/>
    </row>
    <row r="1878" spans="37:38">
      <c r="AK1878" s="17"/>
      <c r="AL1878" s="17"/>
    </row>
    <row r="1879" spans="37:38">
      <c r="AK1879" s="17"/>
      <c r="AL1879" s="17"/>
    </row>
    <row r="1880" spans="37:38">
      <c r="AK1880" s="17"/>
      <c r="AL1880" s="17"/>
    </row>
    <row r="1881" spans="37:38">
      <c r="AK1881" s="17"/>
      <c r="AL1881" s="17"/>
    </row>
    <row r="1882" spans="37:38">
      <c r="AK1882" s="17"/>
      <c r="AL1882" s="17"/>
    </row>
    <row r="1883" spans="37:38">
      <c r="AK1883" s="17"/>
      <c r="AL1883" s="17"/>
    </row>
    <row r="1884" spans="37:38">
      <c r="AK1884" s="17"/>
      <c r="AL1884" s="17"/>
    </row>
    <row r="1885" spans="37:38">
      <c r="AK1885" s="17"/>
      <c r="AL1885" s="17"/>
    </row>
    <row r="1886" spans="37:38">
      <c r="AK1886" s="17"/>
      <c r="AL1886" s="17"/>
    </row>
    <row r="1887" spans="37:38">
      <c r="AK1887" s="17"/>
      <c r="AL1887" s="17"/>
    </row>
    <row r="1888" spans="37:38">
      <c r="AK1888" s="17"/>
      <c r="AL1888" s="17"/>
    </row>
    <row r="1889" spans="37:38">
      <c r="AK1889" s="17"/>
      <c r="AL1889" s="17"/>
    </row>
    <row r="1890" spans="37:38">
      <c r="AK1890" s="17"/>
      <c r="AL1890" s="17"/>
    </row>
    <row r="1891" spans="37:38">
      <c r="AK1891" s="17"/>
      <c r="AL1891" s="17"/>
    </row>
    <row r="1892" spans="37:38">
      <c r="AK1892" s="17"/>
      <c r="AL1892" s="17"/>
    </row>
    <row r="1893" spans="37:38">
      <c r="AK1893" s="17"/>
      <c r="AL1893" s="17"/>
    </row>
    <row r="1894" spans="37:38">
      <c r="AK1894" s="17"/>
      <c r="AL1894" s="17"/>
    </row>
    <row r="1895" spans="37:38">
      <c r="AK1895" s="17"/>
      <c r="AL1895" s="17"/>
    </row>
    <row r="1896" spans="37:38">
      <c r="AK1896" s="17"/>
      <c r="AL1896" s="17"/>
    </row>
    <row r="1897" spans="37:38">
      <c r="AK1897" s="17"/>
      <c r="AL1897" s="17"/>
    </row>
    <row r="1898" spans="37:38">
      <c r="AK1898" s="17"/>
      <c r="AL1898" s="17"/>
    </row>
    <row r="1899" spans="37:38">
      <c r="AK1899" s="17"/>
      <c r="AL1899" s="17"/>
    </row>
    <row r="1900" spans="37:38">
      <c r="AK1900" s="17"/>
      <c r="AL1900" s="17"/>
    </row>
    <row r="1901" spans="37:38">
      <c r="AK1901" s="17"/>
      <c r="AL1901" s="17"/>
    </row>
    <row r="1902" spans="37:38">
      <c r="AK1902" s="17"/>
      <c r="AL1902" s="17"/>
    </row>
    <row r="1903" spans="37:38">
      <c r="AK1903" s="17"/>
      <c r="AL1903" s="17"/>
    </row>
    <row r="1904" spans="37:38">
      <c r="AK1904" s="17"/>
      <c r="AL1904" s="17"/>
    </row>
    <row r="1905" spans="37:38">
      <c r="AK1905" s="17"/>
      <c r="AL1905" s="17"/>
    </row>
    <row r="1906" spans="37:38">
      <c r="AK1906" s="17"/>
      <c r="AL1906" s="17"/>
    </row>
    <row r="1907" spans="37:38">
      <c r="AK1907" s="17"/>
      <c r="AL1907" s="17"/>
    </row>
    <row r="1908" spans="37:38">
      <c r="AK1908" s="17"/>
      <c r="AL1908" s="17"/>
    </row>
    <row r="1909" spans="37:38">
      <c r="AK1909" s="17"/>
      <c r="AL1909" s="17"/>
    </row>
    <row r="1910" spans="37:38">
      <c r="AK1910" s="17"/>
      <c r="AL1910" s="17"/>
    </row>
    <row r="1911" spans="37:38">
      <c r="AK1911" s="17"/>
      <c r="AL1911" s="17"/>
    </row>
    <row r="1912" spans="37:38">
      <c r="AK1912" s="17"/>
      <c r="AL1912" s="17"/>
    </row>
    <row r="1913" spans="37:38">
      <c r="AK1913" s="17"/>
      <c r="AL1913" s="17"/>
    </row>
    <row r="1914" spans="37:38">
      <c r="AK1914" s="17"/>
      <c r="AL1914" s="17"/>
    </row>
    <row r="1915" spans="37:38">
      <c r="AK1915" s="17"/>
      <c r="AL1915" s="17"/>
    </row>
    <row r="1916" spans="37:38">
      <c r="AK1916" s="17"/>
      <c r="AL1916" s="17"/>
    </row>
    <row r="1917" spans="37:38">
      <c r="AK1917" s="17"/>
      <c r="AL1917" s="17"/>
    </row>
    <row r="1918" spans="37:38">
      <c r="AK1918" s="17"/>
      <c r="AL1918" s="17"/>
    </row>
    <row r="1919" spans="37:38">
      <c r="AK1919" s="17"/>
      <c r="AL1919" s="17"/>
    </row>
    <row r="1920" spans="37:38">
      <c r="AK1920" s="17"/>
      <c r="AL1920" s="17"/>
    </row>
    <row r="1921" spans="37:38">
      <c r="AK1921" s="17"/>
      <c r="AL1921" s="17"/>
    </row>
    <row r="1922" spans="37:38">
      <c r="AK1922" s="17"/>
      <c r="AL1922" s="17"/>
    </row>
    <row r="1923" spans="37:38">
      <c r="AK1923" s="17"/>
      <c r="AL1923" s="17"/>
    </row>
    <row r="1924" spans="37:38">
      <c r="AK1924" s="17"/>
      <c r="AL1924" s="17"/>
    </row>
    <row r="1925" spans="37:38">
      <c r="AK1925" s="17"/>
      <c r="AL1925" s="17"/>
    </row>
    <row r="1926" spans="37:38">
      <c r="AK1926" s="17"/>
      <c r="AL1926" s="17"/>
    </row>
    <row r="1927" spans="37:38">
      <c r="AK1927" s="17"/>
      <c r="AL1927" s="17"/>
    </row>
    <row r="1928" spans="37:38">
      <c r="AK1928" s="17"/>
      <c r="AL1928" s="17"/>
    </row>
    <row r="1929" spans="37:38">
      <c r="AK1929" s="17"/>
      <c r="AL1929" s="17"/>
    </row>
    <row r="1930" spans="37:38">
      <c r="AK1930" s="17"/>
      <c r="AL1930" s="17"/>
    </row>
    <row r="1931" spans="37:38">
      <c r="AK1931" s="17"/>
      <c r="AL1931" s="17"/>
    </row>
    <row r="1932" spans="37:38">
      <c r="AK1932" s="17"/>
      <c r="AL1932" s="17"/>
    </row>
    <row r="1933" spans="37:38">
      <c r="AK1933" s="17"/>
      <c r="AL1933" s="17"/>
    </row>
    <row r="1934" spans="37:38">
      <c r="AK1934" s="17"/>
      <c r="AL1934" s="17"/>
    </row>
    <row r="1935" spans="37:38">
      <c r="AK1935" s="17"/>
      <c r="AL1935" s="17"/>
    </row>
    <row r="1936" spans="37:38">
      <c r="AK1936" s="17"/>
      <c r="AL1936" s="17"/>
    </row>
    <row r="1937" spans="37:38">
      <c r="AK1937" s="17"/>
      <c r="AL1937" s="17"/>
    </row>
    <row r="1938" spans="37:38">
      <c r="AK1938" s="17"/>
      <c r="AL1938" s="17"/>
    </row>
    <row r="1939" spans="37:38">
      <c r="AK1939" s="17"/>
      <c r="AL1939" s="17"/>
    </row>
    <row r="1940" spans="37:38">
      <c r="AK1940" s="17"/>
      <c r="AL1940" s="17"/>
    </row>
    <row r="1941" spans="37:38">
      <c r="AK1941" s="17"/>
      <c r="AL1941" s="17"/>
    </row>
    <row r="1942" spans="37:38">
      <c r="AK1942" s="17"/>
      <c r="AL1942" s="17"/>
    </row>
    <row r="1943" spans="37:38">
      <c r="AK1943" s="17"/>
      <c r="AL1943" s="17"/>
    </row>
    <row r="1944" spans="37:38">
      <c r="AK1944" s="17"/>
      <c r="AL1944" s="17"/>
    </row>
    <row r="1945" spans="37:38">
      <c r="AK1945" s="17"/>
      <c r="AL1945" s="17"/>
    </row>
    <row r="1946" spans="37:38">
      <c r="AK1946" s="17"/>
      <c r="AL1946" s="17"/>
    </row>
    <row r="1947" spans="37:38">
      <c r="AK1947" s="17"/>
      <c r="AL1947" s="17"/>
    </row>
    <row r="1948" spans="37:38">
      <c r="AK1948" s="17"/>
      <c r="AL1948" s="17"/>
    </row>
    <row r="1949" spans="37:38">
      <c r="AK1949" s="17"/>
      <c r="AL1949" s="17"/>
    </row>
    <row r="1950" spans="37:38">
      <c r="AK1950" s="17"/>
      <c r="AL1950" s="17"/>
    </row>
    <row r="1951" spans="37:38">
      <c r="AK1951" s="17"/>
      <c r="AL1951" s="17"/>
    </row>
    <row r="1952" spans="37:38">
      <c r="AK1952" s="17"/>
      <c r="AL1952" s="17"/>
    </row>
    <row r="1953" spans="37:38">
      <c r="AK1953" s="17"/>
      <c r="AL1953" s="17"/>
    </row>
    <row r="1954" spans="37:38">
      <c r="AK1954" s="17"/>
      <c r="AL1954" s="17"/>
    </row>
    <row r="1955" spans="37:38">
      <c r="AK1955" s="17"/>
      <c r="AL1955" s="17"/>
    </row>
    <row r="1956" spans="37:38">
      <c r="AK1956" s="17"/>
      <c r="AL1956" s="17"/>
    </row>
    <row r="1957" spans="37:38">
      <c r="AK1957" s="17"/>
      <c r="AL1957" s="17"/>
    </row>
    <row r="1958" spans="37:38">
      <c r="AK1958" s="17"/>
      <c r="AL1958" s="17"/>
    </row>
    <row r="1959" spans="37:38">
      <c r="AK1959" s="17"/>
      <c r="AL1959" s="17"/>
    </row>
    <row r="1960" spans="37:38">
      <c r="AK1960" s="17"/>
      <c r="AL1960" s="17"/>
    </row>
    <row r="1961" spans="37:38">
      <c r="AK1961" s="17"/>
      <c r="AL1961" s="17"/>
    </row>
    <row r="1962" spans="37:38">
      <c r="AK1962" s="17"/>
      <c r="AL1962" s="17"/>
    </row>
    <row r="1963" spans="37:38">
      <c r="AK1963" s="17"/>
      <c r="AL1963" s="17"/>
    </row>
    <row r="1964" spans="37:38">
      <c r="AK1964" s="17"/>
      <c r="AL1964" s="17"/>
    </row>
    <row r="1965" spans="37:38">
      <c r="AK1965" s="17"/>
      <c r="AL1965" s="17"/>
    </row>
    <row r="1966" spans="37:38">
      <c r="AK1966" s="17"/>
      <c r="AL1966" s="17"/>
    </row>
    <row r="1967" spans="37:38">
      <c r="AK1967" s="17"/>
      <c r="AL1967" s="17"/>
    </row>
    <row r="1968" spans="37:38">
      <c r="AK1968" s="17"/>
      <c r="AL1968" s="17"/>
    </row>
    <row r="1969" spans="37:38">
      <c r="AK1969" s="17"/>
      <c r="AL1969" s="17"/>
    </row>
    <row r="1970" spans="37:38">
      <c r="AK1970" s="17"/>
      <c r="AL1970" s="17"/>
    </row>
    <row r="1971" spans="37:38">
      <c r="AK1971" s="17"/>
      <c r="AL1971" s="17"/>
    </row>
    <row r="1972" spans="37:38">
      <c r="AK1972" s="17"/>
      <c r="AL1972" s="17"/>
    </row>
    <row r="1973" spans="37:38">
      <c r="AK1973" s="17"/>
      <c r="AL1973" s="17"/>
    </row>
    <row r="1974" spans="37:38">
      <c r="AK1974" s="17"/>
      <c r="AL1974" s="17"/>
    </row>
    <row r="1975" spans="37:38">
      <c r="AK1975" s="17"/>
      <c r="AL1975" s="17"/>
    </row>
    <row r="1976" spans="37:38">
      <c r="AK1976" s="17"/>
      <c r="AL1976" s="17"/>
    </row>
    <row r="1977" spans="37:38">
      <c r="AK1977" s="17"/>
      <c r="AL1977" s="17"/>
    </row>
    <row r="1978" spans="37:38">
      <c r="AK1978" s="17"/>
      <c r="AL1978" s="17"/>
    </row>
    <row r="1979" spans="37:38">
      <c r="AK1979" s="17"/>
      <c r="AL1979" s="17"/>
    </row>
    <row r="1980" spans="37:38">
      <c r="AK1980" s="17"/>
      <c r="AL1980" s="17"/>
    </row>
    <row r="1981" spans="37:38">
      <c r="AK1981" s="17"/>
      <c r="AL1981" s="17"/>
    </row>
    <row r="1982" spans="37:38">
      <c r="AK1982" s="17"/>
      <c r="AL1982" s="17"/>
    </row>
    <row r="1983" spans="37:38">
      <c r="AK1983" s="17"/>
      <c r="AL1983" s="17"/>
    </row>
    <row r="1984" spans="37:38">
      <c r="AK1984" s="17"/>
      <c r="AL1984" s="17"/>
    </row>
    <row r="1985" spans="37:38">
      <c r="AK1985" s="17"/>
      <c r="AL1985" s="17"/>
    </row>
    <row r="1986" spans="37:38">
      <c r="AK1986" s="17"/>
      <c r="AL1986" s="17"/>
    </row>
    <row r="1987" spans="37:38">
      <c r="AK1987" s="17"/>
      <c r="AL1987" s="17"/>
    </row>
    <row r="1988" spans="37:38">
      <c r="AK1988" s="17"/>
      <c r="AL1988" s="17"/>
    </row>
    <row r="1989" spans="37:38">
      <c r="AK1989" s="17"/>
      <c r="AL1989" s="17"/>
    </row>
    <row r="1990" spans="37:38">
      <c r="AK1990" s="17"/>
      <c r="AL1990" s="17"/>
    </row>
    <row r="1991" spans="37:38">
      <c r="AK1991" s="17"/>
      <c r="AL1991" s="17"/>
    </row>
    <row r="1992" spans="37:38">
      <c r="AK1992" s="17"/>
      <c r="AL1992" s="17"/>
    </row>
    <row r="1993" spans="37:38">
      <c r="AK1993" s="17"/>
      <c r="AL1993" s="17"/>
    </row>
    <row r="1994" spans="37:38">
      <c r="AK1994" s="17"/>
      <c r="AL1994" s="17"/>
    </row>
    <row r="1995" spans="37:38">
      <c r="AK1995" s="17"/>
      <c r="AL1995" s="17"/>
    </row>
    <row r="1996" spans="37:38">
      <c r="AK1996" s="17"/>
      <c r="AL1996" s="17"/>
    </row>
    <row r="1997" spans="37:38">
      <c r="AK1997" s="17"/>
      <c r="AL1997" s="17"/>
    </row>
    <row r="1998" spans="37:38">
      <c r="AK1998" s="17"/>
      <c r="AL1998" s="17"/>
    </row>
    <row r="1999" spans="37:38">
      <c r="AK1999" s="17"/>
      <c r="AL1999" s="17"/>
    </row>
    <row r="2000" spans="37:38">
      <c r="AK2000" s="17"/>
      <c r="AL2000" s="17"/>
    </row>
    <row r="2001" spans="37:38">
      <c r="AK2001" s="17"/>
      <c r="AL2001" s="17"/>
    </row>
    <row r="2002" spans="37:38">
      <c r="AK2002" s="17"/>
      <c r="AL2002" s="17"/>
    </row>
    <row r="2003" spans="37:38">
      <c r="AK2003" s="17"/>
      <c r="AL2003" s="17"/>
    </row>
    <row r="2004" spans="37:38">
      <c r="AK2004" s="17"/>
      <c r="AL2004" s="17"/>
    </row>
    <row r="2005" spans="37:38">
      <c r="AK2005" s="17"/>
      <c r="AL2005" s="17"/>
    </row>
    <row r="2006" spans="37:38">
      <c r="AK2006" s="17"/>
      <c r="AL2006" s="17"/>
    </row>
    <row r="2007" spans="37:38">
      <c r="AK2007" s="17"/>
      <c r="AL2007" s="17"/>
    </row>
    <row r="2008" spans="37:38">
      <c r="AK2008" s="17"/>
      <c r="AL2008" s="17"/>
    </row>
    <row r="2009" spans="37:38">
      <c r="AK2009" s="17"/>
      <c r="AL2009" s="17"/>
    </row>
    <row r="2010" spans="37:38">
      <c r="AK2010" s="17"/>
      <c r="AL2010" s="17"/>
    </row>
    <row r="2011" spans="37:38">
      <c r="AK2011" s="17"/>
      <c r="AL2011" s="17"/>
    </row>
    <row r="2012" spans="37:38">
      <c r="AK2012" s="17"/>
      <c r="AL2012" s="17"/>
    </row>
    <row r="2013" spans="37:38">
      <c r="AK2013" s="17"/>
      <c r="AL2013" s="17"/>
    </row>
    <row r="2014" spans="37:38">
      <c r="AK2014" s="17"/>
      <c r="AL2014" s="17"/>
    </row>
    <row r="2015" spans="37:38">
      <c r="AK2015" s="17"/>
      <c r="AL2015" s="17"/>
    </row>
    <row r="2016" spans="37:38">
      <c r="AK2016" s="17"/>
      <c r="AL2016" s="17"/>
    </row>
    <row r="2017" spans="37:38">
      <c r="AK2017" s="17"/>
      <c r="AL2017" s="17"/>
    </row>
    <row r="2018" spans="37:38">
      <c r="AK2018" s="17"/>
      <c r="AL2018" s="17"/>
    </row>
    <row r="2019" spans="37:38">
      <c r="AK2019" s="17"/>
      <c r="AL2019" s="17"/>
    </row>
    <row r="2020" spans="37:38">
      <c r="AK2020" s="17"/>
      <c r="AL2020" s="17"/>
    </row>
    <row r="2021" spans="37:38">
      <c r="AK2021" s="17"/>
      <c r="AL2021" s="17"/>
    </row>
    <row r="2022" spans="37:38">
      <c r="AK2022" s="17"/>
      <c r="AL2022" s="17"/>
    </row>
    <row r="2023" spans="37:38">
      <c r="AK2023" s="17"/>
      <c r="AL2023" s="17"/>
    </row>
    <row r="2024" spans="37:38">
      <c r="AK2024" s="17"/>
      <c r="AL2024" s="17"/>
    </row>
    <row r="2025" spans="37:38">
      <c r="AK2025" s="17"/>
      <c r="AL2025" s="17"/>
    </row>
    <row r="2026" spans="37:38">
      <c r="AK2026" s="17"/>
      <c r="AL2026" s="17"/>
    </row>
    <row r="2027" spans="37:38">
      <c r="AK2027" s="17"/>
      <c r="AL2027" s="17"/>
    </row>
    <row r="2028" spans="37:38">
      <c r="AK2028" s="17"/>
      <c r="AL2028" s="17"/>
    </row>
    <row r="2029" spans="37:38">
      <c r="AK2029" s="17"/>
      <c r="AL2029" s="17"/>
    </row>
    <row r="2030" spans="37:38">
      <c r="AK2030" s="17"/>
      <c r="AL2030" s="17"/>
    </row>
    <row r="2031" spans="37:38">
      <c r="AK2031" s="17"/>
      <c r="AL2031" s="17"/>
    </row>
    <row r="2032" spans="37:38">
      <c r="AK2032" s="17"/>
      <c r="AL2032" s="17"/>
    </row>
    <row r="2033" spans="37:38">
      <c r="AK2033" s="17"/>
      <c r="AL2033" s="17"/>
    </row>
    <row r="2034" spans="37:38">
      <c r="AK2034" s="17"/>
      <c r="AL2034" s="17"/>
    </row>
    <row r="2035" spans="37:38">
      <c r="AK2035" s="17"/>
      <c r="AL2035" s="17"/>
    </row>
    <row r="2036" spans="37:38">
      <c r="AK2036" s="17"/>
      <c r="AL2036" s="17"/>
    </row>
    <row r="2037" spans="37:38">
      <c r="AK2037" s="17"/>
      <c r="AL2037" s="17"/>
    </row>
    <row r="2038" spans="37:38">
      <c r="AK2038" s="17"/>
      <c r="AL2038" s="17"/>
    </row>
    <row r="2039" spans="37:38">
      <c r="AK2039" s="17"/>
      <c r="AL2039" s="17"/>
    </row>
    <row r="2040" spans="37:38">
      <c r="AK2040" s="17"/>
      <c r="AL2040" s="17"/>
    </row>
    <row r="2041" spans="37:38">
      <c r="AK2041" s="17"/>
      <c r="AL2041" s="17"/>
    </row>
    <row r="2042" spans="37:38">
      <c r="AK2042" s="17"/>
      <c r="AL2042" s="17"/>
    </row>
    <row r="2043" spans="37:38">
      <c r="AK2043" s="17"/>
      <c r="AL2043" s="17"/>
    </row>
    <row r="2044" spans="37:38">
      <c r="AK2044" s="17"/>
      <c r="AL2044" s="17"/>
    </row>
    <row r="2045" spans="37:38">
      <c r="AK2045" s="17"/>
      <c r="AL2045" s="17"/>
    </row>
    <row r="2046" spans="37:38">
      <c r="AK2046" s="17"/>
      <c r="AL2046" s="17"/>
    </row>
    <row r="2047" spans="37:38">
      <c r="AK2047" s="17"/>
      <c r="AL2047" s="17"/>
    </row>
    <row r="2048" spans="37:38">
      <c r="AK2048" s="17"/>
      <c r="AL2048" s="17"/>
    </row>
    <row r="2049" spans="37:38">
      <c r="AK2049" s="17"/>
      <c r="AL2049" s="17"/>
    </row>
    <row r="2050" spans="37:38">
      <c r="AK2050" s="17"/>
      <c r="AL2050" s="17"/>
    </row>
    <row r="2051" spans="37:38">
      <c r="AK2051" s="17"/>
      <c r="AL2051" s="17"/>
    </row>
    <row r="2052" spans="37:38">
      <c r="AK2052" s="17"/>
      <c r="AL2052" s="17"/>
    </row>
    <row r="2053" spans="37:38">
      <c r="AK2053" s="17"/>
      <c r="AL2053" s="17"/>
    </row>
    <row r="2054" spans="37:38">
      <c r="AK2054" s="17"/>
      <c r="AL2054" s="17"/>
    </row>
    <row r="2055" spans="37:38">
      <c r="AK2055" s="17"/>
      <c r="AL2055" s="17"/>
    </row>
    <row r="2056" spans="37:38">
      <c r="AK2056" s="17"/>
      <c r="AL2056" s="17"/>
    </row>
    <row r="2057" spans="37:38">
      <c r="AK2057" s="17"/>
      <c r="AL2057" s="17"/>
    </row>
    <row r="2058" spans="37:38">
      <c r="AK2058" s="17"/>
      <c r="AL2058" s="17"/>
    </row>
    <row r="2059" spans="37:38">
      <c r="AK2059" s="17"/>
      <c r="AL2059" s="17"/>
    </row>
    <row r="2060" spans="37:38">
      <c r="AK2060" s="17"/>
      <c r="AL2060" s="17"/>
    </row>
    <row r="2061" spans="37:38">
      <c r="AK2061" s="17"/>
      <c r="AL2061" s="17"/>
    </row>
    <row r="2062" spans="37:38">
      <c r="AK2062" s="17"/>
      <c r="AL2062" s="17"/>
    </row>
    <row r="2063" spans="37:38">
      <c r="AK2063" s="17"/>
      <c r="AL2063" s="17"/>
    </row>
    <row r="2064" spans="37:38">
      <c r="AK2064" s="17"/>
      <c r="AL2064" s="17"/>
    </row>
    <row r="2065" spans="37:38">
      <c r="AK2065" s="17"/>
      <c r="AL2065" s="17"/>
    </row>
    <row r="2066" spans="37:38">
      <c r="AK2066" s="17"/>
      <c r="AL2066" s="17"/>
    </row>
    <row r="2067" spans="37:38">
      <c r="AK2067" s="17"/>
      <c r="AL2067" s="17"/>
    </row>
    <row r="2068" spans="37:38">
      <c r="AK2068" s="17"/>
      <c r="AL2068" s="17"/>
    </row>
    <row r="2069" spans="37:38">
      <c r="AK2069" s="17"/>
      <c r="AL2069" s="17"/>
    </row>
    <row r="2070" spans="37:38">
      <c r="AK2070" s="17"/>
      <c r="AL2070" s="17"/>
    </row>
    <row r="2071" spans="37:38">
      <c r="AK2071" s="17"/>
      <c r="AL2071" s="17"/>
    </row>
    <row r="2072" spans="37:38">
      <c r="AK2072" s="17"/>
      <c r="AL2072" s="17"/>
    </row>
    <row r="2073" spans="37:38">
      <c r="AK2073" s="17"/>
      <c r="AL2073" s="17"/>
    </row>
    <row r="2074" spans="37:38">
      <c r="AK2074" s="17"/>
      <c r="AL2074" s="17"/>
    </row>
    <row r="2075" spans="37:38">
      <c r="AK2075" s="17"/>
      <c r="AL2075" s="17"/>
    </row>
    <row r="2076" spans="37:38">
      <c r="AK2076" s="17"/>
      <c r="AL2076" s="17"/>
    </row>
    <row r="2077" spans="37:38">
      <c r="AK2077" s="17"/>
      <c r="AL2077" s="17"/>
    </row>
    <row r="2078" spans="37:38">
      <c r="AK2078" s="17"/>
      <c r="AL2078" s="17"/>
    </row>
    <row r="2079" spans="37:38">
      <c r="AK2079" s="17"/>
      <c r="AL2079" s="17"/>
    </row>
    <row r="2080" spans="37:38">
      <c r="AK2080" s="17"/>
      <c r="AL2080" s="17"/>
    </row>
    <row r="2081" spans="37:38">
      <c r="AK2081" s="17"/>
      <c r="AL2081" s="17"/>
    </row>
    <row r="2082" spans="37:38">
      <c r="AK2082" s="17"/>
      <c r="AL2082" s="17"/>
    </row>
    <row r="2083" spans="37:38">
      <c r="AK2083" s="17"/>
      <c r="AL2083" s="17"/>
    </row>
    <row r="2084" spans="37:38">
      <c r="AK2084" s="17"/>
      <c r="AL2084" s="17"/>
    </row>
    <row r="2085" spans="37:38">
      <c r="AK2085" s="17"/>
      <c r="AL2085" s="17"/>
    </row>
    <row r="2086" spans="37:38">
      <c r="AK2086" s="17"/>
      <c r="AL2086" s="17"/>
    </row>
    <row r="2087" spans="37:38">
      <c r="AK2087" s="17"/>
      <c r="AL2087" s="17"/>
    </row>
    <row r="2088" spans="37:38">
      <c r="AK2088" s="17"/>
      <c r="AL2088" s="17"/>
    </row>
    <row r="2089" spans="37:38">
      <c r="AK2089" s="17"/>
      <c r="AL2089" s="17"/>
    </row>
    <row r="2090" spans="37:38">
      <c r="AK2090" s="17"/>
      <c r="AL2090" s="17"/>
    </row>
    <row r="2091" spans="37:38">
      <c r="AK2091" s="17"/>
      <c r="AL2091" s="17"/>
    </row>
    <row r="2092" spans="37:38">
      <c r="AK2092" s="17"/>
      <c r="AL2092" s="17"/>
    </row>
    <row r="2093" spans="37:38">
      <c r="AK2093" s="17"/>
      <c r="AL2093" s="17"/>
    </row>
    <row r="2094" spans="37:38">
      <c r="AK2094" s="17"/>
      <c r="AL2094" s="17"/>
    </row>
    <row r="2095" spans="37:38">
      <c r="AK2095" s="17"/>
      <c r="AL2095" s="17"/>
    </row>
    <row r="2096" spans="37:38">
      <c r="AK2096" s="17"/>
      <c r="AL2096" s="17"/>
    </row>
    <row r="2097" spans="37:38">
      <c r="AK2097" s="17"/>
      <c r="AL2097" s="17"/>
    </row>
    <row r="2098" spans="37:38">
      <c r="AK2098" s="17"/>
      <c r="AL2098" s="17"/>
    </row>
    <row r="2099" spans="37:38">
      <c r="AK2099" s="17"/>
      <c r="AL2099" s="17"/>
    </row>
    <row r="2100" spans="37:38">
      <c r="AK2100" s="17"/>
      <c r="AL2100" s="17"/>
    </row>
    <row r="2101" spans="37:38">
      <c r="AK2101" s="17"/>
      <c r="AL2101" s="17"/>
    </row>
    <row r="2102" spans="37:38">
      <c r="AK2102" s="17"/>
      <c r="AL2102" s="17"/>
    </row>
    <row r="2103" spans="37:38">
      <c r="AK2103" s="17"/>
      <c r="AL2103" s="17"/>
    </row>
    <row r="2104" spans="37:38">
      <c r="AK2104" s="17"/>
      <c r="AL2104" s="17"/>
    </row>
    <row r="2105" spans="37:38">
      <c r="AK2105" s="17"/>
      <c r="AL2105" s="17"/>
    </row>
    <row r="2106" spans="37:38">
      <c r="AK2106" s="17"/>
      <c r="AL2106" s="17"/>
    </row>
    <row r="2107" spans="37:38">
      <c r="AK2107" s="17"/>
      <c r="AL2107" s="17"/>
    </row>
    <row r="2108" spans="37:38">
      <c r="AK2108" s="17"/>
      <c r="AL2108" s="17"/>
    </row>
    <row r="2109" spans="37:38">
      <c r="AK2109" s="17"/>
      <c r="AL2109" s="17"/>
    </row>
    <row r="2110" spans="37:38">
      <c r="AK2110" s="17"/>
      <c r="AL2110" s="17"/>
    </row>
    <row r="2111" spans="37:38">
      <c r="AK2111" s="17"/>
      <c r="AL2111" s="17"/>
    </row>
    <row r="2112" spans="37:38">
      <c r="AK2112" s="17"/>
      <c r="AL2112" s="17"/>
    </row>
    <row r="2113" spans="37:38">
      <c r="AK2113" s="17"/>
      <c r="AL2113" s="17"/>
    </row>
    <row r="2114" spans="37:38">
      <c r="AK2114" s="17"/>
      <c r="AL2114" s="17"/>
    </row>
    <row r="2115" spans="37:38">
      <c r="AK2115" s="17"/>
      <c r="AL2115" s="17"/>
    </row>
    <row r="2116" spans="37:38">
      <c r="AK2116" s="17"/>
      <c r="AL2116" s="17"/>
    </row>
    <row r="2117" spans="37:38">
      <c r="AK2117" s="17"/>
      <c r="AL2117" s="17"/>
    </row>
    <row r="2118" spans="37:38">
      <c r="AK2118" s="17"/>
      <c r="AL2118" s="17"/>
    </row>
    <row r="2119" spans="37:38">
      <c r="AK2119" s="17"/>
      <c r="AL2119" s="17"/>
    </row>
    <row r="2120" spans="37:38">
      <c r="AK2120" s="17"/>
      <c r="AL2120" s="17"/>
    </row>
    <row r="2121" spans="37:38">
      <c r="AK2121" s="17"/>
      <c r="AL2121" s="17"/>
    </row>
    <row r="2122" spans="37:38">
      <c r="AK2122" s="17"/>
      <c r="AL2122" s="17"/>
    </row>
    <row r="2123" spans="37:38">
      <c r="AK2123" s="17"/>
      <c r="AL2123" s="17"/>
    </row>
    <row r="2124" spans="37:38">
      <c r="AK2124" s="17"/>
      <c r="AL2124" s="17"/>
    </row>
    <row r="2125" spans="37:38">
      <c r="AK2125" s="17"/>
      <c r="AL2125" s="17"/>
    </row>
    <row r="2126" spans="37:38">
      <c r="AK2126" s="17"/>
      <c r="AL2126" s="17"/>
    </row>
    <row r="2127" spans="37:38">
      <c r="AK2127" s="17"/>
      <c r="AL2127" s="17"/>
    </row>
    <row r="2128" spans="37:38">
      <c r="AK2128" s="17"/>
      <c r="AL2128" s="17"/>
    </row>
    <row r="2129" spans="37:38">
      <c r="AK2129" s="17"/>
      <c r="AL2129" s="17"/>
    </row>
    <row r="2130" spans="37:38">
      <c r="AK2130" s="17"/>
      <c r="AL2130" s="17"/>
    </row>
    <row r="2131" spans="37:38">
      <c r="AK2131" s="17"/>
      <c r="AL2131" s="17"/>
    </row>
    <row r="2132" spans="37:38">
      <c r="AK2132" s="17"/>
      <c r="AL2132" s="17"/>
    </row>
    <row r="2133" spans="37:38">
      <c r="AK2133" s="17"/>
      <c r="AL2133" s="17"/>
    </row>
    <row r="2134" spans="37:38">
      <c r="AK2134" s="17"/>
      <c r="AL2134" s="17"/>
    </row>
    <row r="2135" spans="37:38">
      <c r="AK2135" s="17"/>
      <c r="AL2135" s="17"/>
    </row>
    <row r="2136" spans="37:38">
      <c r="AK2136" s="17"/>
      <c r="AL2136" s="17"/>
    </row>
    <row r="2137" spans="37:38">
      <c r="AK2137" s="17"/>
      <c r="AL2137" s="17"/>
    </row>
    <row r="2138" spans="37:38">
      <c r="AK2138" s="17"/>
      <c r="AL2138" s="17"/>
    </row>
    <row r="2139" spans="37:38">
      <c r="AK2139" s="17"/>
      <c r="AL2139" s="17"/>
    </row>
    <row r="2140" spans="37:38">
      <c r="AK2140" s="17"/>
      <c r="AL2140" s="17"/>
    </row>
    <row r="2141" spans="37:38">
      <c r="AK2141" s="17"/>
      <c r="AL2141" s="17"/>
    </row>
    <row r="2142" spans="37:38">
      <c r="AK2142" s="17"/>
      <c r="AL2142" s="17"/>
    </row>
    <row r="2143" spans="37:38">
      <c r="AK2143" s="17"/>
      <c r="AL2143" s="17"/>
    </row>
    <row r="2144" spans="37:38">
      <c r="AK2144" s="17"/>
      <c r="AL2144" s="17"/>
    </row>
    <row r="2145" spans="37:38">
      <c r="AK2145" s="17"/>
      <c r="AL2145" s="17"/>
    </row>
    <row r="2146" spans="37:38">
      <c r="AK2146" s="17"/>
      <c r="AL2146" s="17"/>
    </row>
    <row r="2147" spans="37:38">
      <c r="AK2147" s="17"/>
      <c r="AL2147" s="17"/>
    </row>
    <row r="2148" spans="37:38">
      <c r="AK2148" s="17"/>
      <c r="AL2148" s="17"/>
    </row>
    <row r="2149" spans="37:38">
      <c r="AK2149" s="17"/>
      <c r="AL2149" s="17"/>
    </row>
    <row r="2150" spans="37:38">
      <c r="AK2150" s="17"/>
      <c r="AL2150" s="17"/>
    </row>
    <row r="2151" spans="37:38">
      <c r="AK2151" s="17"/>
      <c r="AL2151" s="17"/>
    </row>
    <row r="2152" spans="37:38">
      <c r="AK2152" s="17"/>
      <c r="AL2152" s="17"/>
    </row>
    <row r="2153" spans="37:38">
      <c r="AK2153" s="17"/>
      <c r="AL2153" s="17"/>
    </row>
    <row r="2154" spans="37:38">
      <c r="AK2154" s="17"/>
      <c r="AL2154" s="17"/>
    </row>
    <row r="2155" spans="37:38">
      <c r="AK2155" s="17"/>
      <c r="AL2155" s="17"/>
    </row>
    <row r="2156" spans="37:38">
      <c r="AK2156" s="17"/>
      <c r="AL2156" s="17"/>
    </row>
    <row r="2157" spans="37:38">
      <c r="AK2157" s="17"/>
      <c r="AL2157" s="17"/>
    </row>
    <row r="2158" spans="37:38">
      <c r="AK2158" s="17"/>
      <c r="AL2158" s="17"/>
    </row>
    <row r="2159" spans="37:38">
      <c r="AK2159" s="17"/>
      <c r="AL2159" s="17"/>
    </row>
    <row r="2160" spans="37:38">
      <c r="AK2160" s="17"/>
      <c r="AL2160" s="17"/>
    </row>
    <row r="2161" spans="37:38">
      <c r="AK2161" s="17"/>
      <c r="AL2161" s="17"/>
    </row>
    <row r="2162" spans="37:38">
      <c r="AK2162" s="17"/>
      <c r="AL2162" s="17"/>
    </row>
    <row r="2163" spans="37:38">
      <c r="AK2163" s="17"/>
      <c r="AL2163" s="17"/>
    </row>
    <row r="2164" spans="37:38">
      <c r="AK2164" s="17"/>
      <c r="AL2164" s="17"/>
    </row>
    <row r="2165" spans="37:38">
      <c r="AK2165" s="17"/>
      <c r="AL2165" s="17"/>
    </row>
    <row r="2166" spans="37:38">
      <c r="AK2166" s="17"/>
      <c r="AL2166" s="17"/>
    </row>
    <row r="2167" spans="37:38">
      <c r="AK2167" s="17"/>
      <c r="AL2167" s="17"/>
    </row>
    <row r="2168" spans="37:38">
      <c r="AK2168" s="17"/>
      <c r="AL2168" s="17"/>
    </row>
    <row r="2169" spans="37:38">
      <c r="AK2169" s="17"/>
      <c r="AL2169" s="17"/>
    </row>
    <row r="2170" spans="37:38">
      <c r="AK2170" s="17"/>
      <c r="AL2170" s="17"/>
    </row>
    <row r="2171" spans="37:38">
      <c r="AK2171" s="17"/>
      <c r="AL2171" s="17"/>
    </row>
    <row r="2172" spans="37:38">
      <c r="AK2172" s="17"/>
      <c r="AL2172" s="17"/>
    </row>
    <row r="2173" spans="37:38">
      <c r="AK2173" s="17"/>
      <c r="AL2173" s="17"/>
    </row>
    <row r="2174" spans="37:38">
      <c r="AK2174" s="17"/>
      <c r="AL2174" s="17"/>
    </row>
    <row r="2175" spans="37:38">
      <c r="AK2175" s="17"/>
      <c r="AL2175" s="17"/>
    </row>
    <row r="2176" spans="37:38">
      <c r="AK2176" s="17"/>
      <c r="AL2176" s="17"/>
    </row>
    <row r="2177" spans="37:38">
      <c r="AK2177" s="17"/>
      <c r="AL2177" s="17"/>
    </row>
    <row r="2178" spans="37:38">
      <c r="AK2178" s="17"/>
      <c r="AL2178" s="17"/>
    </row>
    <row r="2179" spans="37:38">
      <c r="AK2179" s="17"/>
      <c r="AL2179" s="17"/>
    </row>
    <row r="2180" spans="37:38">
      <c r="AK2180" s="17"/>
      <c r="AL2180" s="17"/>
    </row>
    <row r="2181" spans="37:38">
      <c r="AK2181" s="17"/>
      <c r="AL2181" s="17"/>
    </row>
    <row r="2182" spans="37:38">
      <c r="AK2182" s="17"/>
      <c r="AL2182" s="17"/>
    </row>
    <row r="2183" spans="37:38">
      <c r="AK2183" s="17"/>
      <c r="AL2183" s="17"/>
    </row>
    <row r="2184" spans="37:38">
      <c r="AK2184" s="17"/>
      <c r="AL2184" s="17"/>
    </row>
    <row r="2185" spans="37:38">
      <c r="AK2185" s="17"/>
      <c r="AL2185" s="17"/>
    </row>
    <row r="2186" spans="37:38">
      <c r="AK2186" s="17"/>
      <c r="AL2186" s="17"/>
    </row>
    <row r="2187" spans="37:38">
      <c r="AK2187" s="17"/>
      <c r="AL2187" s="17"/>
    </row>
    <row r="2188" spans="37:38">
      <c r="AK2188" s="17"/>
      <c r="AL2188" s="17"/>
    </row>
    <row r="2189" spans="37:38">
      <c r="AK2189" s="17"/>
      <c r="AL2189" s="17"/>
    </row>
    <row r="2190" spans="37:38">
      <c r="AK2190" s="17"/>
      <c r="AL2190" s="17"/>
    </row>
    <row r="2191" spans="37:38">
      <c r="AK2191" s="17"/>
      <c r="AL2191" s="17"/>
    </row>
    <row r="2192" spans="37:38">
      <c r="AK2192" s="17"/>
      <c r="AL2192" s="17"/>
    </row>
    <row r="2193" spans="37:38">
      <c r="AK2193" s="17"/>
      <c r="AL2193" s="17"/>
    </row>
    <row r="2194" spans="37:38">
      <c r="AK2194" s="17"/>
      <c r="AL2194" s="17"/>
    </row>
    <row r="2195" spans="37:38">
      <c r="AK2195" s="17"/>
      <c r="AL2195" s="17"/>
    </row>
    <row r="2196" spans="37:38">
      <c r="AK2196" s="17"/>
      <c r="AL2196" s="17"/>
    </row>
    <row r="2197" spans="37:38">
      <c r="AK2197" s="17"/>
      <c r="AL2197" s="17"/>
    </row>
    <row r="2198" spans="37:38">
      <c r="AK2198" s="17"/>
      <c r="AL2198" s="17"/>
    </row>
    <row r="2199" spans="37:38">
      <c r="AK2199" s="17"/>
      <c r="AL2199" s="17"/>
    </row>
    <row r="2200" spans="37:38">
      <c r="AK2200" s="17"/>
      <c r="AL2200" s="17"/>
    </row>
    <row r="2201" spans="37:38">
      <c r="AK2201" s="17"/>
      <c r="AL2201" s="17"/>
    </row>
    <row r="2202" spans="37:38">
      <c r="AK2202" s="17"/>
      <c r="AL2202" s="17"/>
    </row>
    <row r="2203" spans="37:38">
      <c r="AK2203" s="17"/>
      <c r="AL2203" s="17"/>
    </row>
    <row r="2204" spans="37:38">
      <c r="AK2204" s="17"/>
      <c r="AL2204" s="17"/>
    </row>
    <row r="2205" spans="37:38">
      <c r="AK2205" s="17"/>
      <c r="AL2205" s="17"/>
    </row>
    <row r="2206" spans="37:38">
      <c r="AK2206" s="17"/>
      <c r="AL2206" s="17"/>
    </row>
    <row r="2207" spans="37:38">
      <c r="AK2207" s="17"/>
      <c r="AL2207" s="17"/>
    </row>
    <row r="2208" spans="37:38">
      <c r="AK2208" s="17"/>
      <c r="AL2208" s="17"/>
    </row>
    <row r="2209" spans="37:38">
      <c r="AK2209" s="17"/>
      <c r="AL2209" s="17"/>
    </row>
    <row r="2210" spans="37:38">
      <c r="AK2210" s="17"/>
      <c r="AL2210" s="17"/>
    </row>
    <row r="2211" spans="37:38">
      <c r="AK2211" s="17"/>
      <c r="AL2211" s="17"/>
    </row>
    <row r="2212" spans="37:38">
      <c r="AK2212" s="17"/>
      <c r="AL2212" s="17"/>
    </row>
    <row r="2213" spans="37:38">
      <c r="AK2213" s="17"/>
      <c r="AL2213" s="17"/>
    </row>
    <row r="2214" spans="37:38">
      <c r="AK2214" s="17"/>
      <c r="AL2214" s="17"/>
    </row>
    <row r="2215" spans="37:38">
      <c r="AK2215" s="17"/>
      <c r="AL2215" s="17"/>
    </row>
    <row r="2216" spans="37:38">
      <c r="AK2216" s="17"/>
      <c r="AL2216" s="17"/>
    </row>
    <row r="2217" spans="37:38">
      <c r="AK2217" s="17"/>
      <c r="AL2217" s="17"/>
    </row>
    <row r="2218" spans="37:38">
      <c r="AK2218" s="17"/>
      <c r="AL2218" s="17"/>
    </row>
    <row r="2219" spans="37:38">
      <c r="AK2219" s="17"/>
      <c r="AL2219" s="17"/>
    </row>
    <row r="2220" spans="37:38">
      <c r="AK2220" s="17"/>
      <c r="AL2220" s="17"/>
    </row>
    <row r="2221" spans="37:38">
      <c r="AK2221" s="17"/>
      <c r="AL2221" s="17"/>
    </row>
    <row r="2222" spans="37:38">
      <c r="AK2222" s="17"/>
      <c r="AL2222" s="17"/>
    </row>
    <row r="2223" spans="37:38">
      <c r="AK2223" s="17"/>
      <c r="AL2223" s="17"/>
    </row>
    <row r="2224" spans="37:38">
      <c r="AK2224" s="17"/>
      <c r="AL2224" s="17"/>
    </row>
    <row r="2225" spans="37:38">
      <c r="AK2225" s="17"/>
      <c r="AL2225" s="17"/>
    </row>
    <row r="2226" spans="37:38">
      <c r="AK2226" s="17"/>
      <c r="AL2226" s="17"/>
    </row>
    <row r="2227" spans="37:38">
      <c r="AK2227" s="17"/>
      <c r="AL2227" s="17"/>
    </row>
    <row r="2228" spans="37:38">
      <c r="AK2228" s="17"/>
      <c r="AL2228" s="17"/>
    </row>
    <row r="2229" spans="37:38">
      <c r="AK2229" s="17"/>
      <c r="AL2229" s="17"/>
    </row>
    <row r="2230" spans="37:38">
      <c r="AK2230" s="17"/>
      <c r="AL2230" s="17"/>
    </row>
    <row r="2231" spans="37:38">
      <c r="AK2231" s="17"/>
      <c r="AL2231" s="17"/>
    </row>
    <row r="2232" spans="37:38">
      <c r="AK2232" s="17"/>
      <c r="AL2232" s="17"/>
    </row>
    <row r="2233" spans="37:38">
      <c r="AK2233" s="17"/>
      <c r="AL2233" s="17"/>
    </row>
    <row r="2234" spans="37:38">
      <c r="AK2234" s="17"/>
      <c r="AL2234" s="17"/>
    </row>
    <row r="2235" spans="37:38">
      <c r="AK2235" s="17"/>
      <c r="AL2235" s="17"/>
    </row>
    <row r="2236" spans="37:38">
      <c r="AK2236" s="17"/>
      <c r="AL2236" s="17"/>
    </row>
    <row r="2237" spans="37:38">
      <c r="AK2237" s="17"/>
      <c r="AL2237" s="17"/>
    </row>
    <row r="2238" spans="37:38">
      <c r="AK2238" s="17"/>
      <c r="AL2238" s="17"/>
    </row>
    <row r="2239" spans="37:38">
      <c r="AK2239" s="17"/>
      <c r="AL2239" s="17"/>
    </row>
    <row r="2240" spans="37:38">
      <c r="AK2240" s="17"/>
      <c r="AL2240" s="17"/>
    </row>
    <row r="2241" spans="37:38">
      <c r="AK2241" s="17"/>
      <c r="AL2241" s="17"/>
    </row>
    <row r="2242" spans="37:38">
      <c r="AK2242" s="17"/>
      <c r="AL2242" s="17"/>
    </row>
    <row r="2243" spans="37:38">
      <c r="AK2243" s="17"/>
      <c r="AL2243" s="17"/>
    </row>
    <row r="2244" spans="37:38">
      <c r="AK2244" s="17"/>
      <c r="AL2244" s="17"/>
    </row>
    <row r="2245" spans="37:38">
      <c r="AK2245" s="17"/>
      <c r="AL2245" s="17"/>
    </row>
    <row r="2246" spans="37:38">
      <c r="AK2246" s="17"/>
      <c r="AL2246" s="17"/>
    </row>
    <row r="2247" spans="37:38">
      <c r="AK2247" s="17"/>
      <c r="AL2247" s="17"/>
    </row>
    <row r="2248" spans="37:38">
      <c r="AK2248" s="17"/>
      <c r="AL2248" s="17"/>
    </row>
    <row r="2249" spans="37:38">
      <c r="AK2249" s="17"/>
      <c r="AL2249" s="17"/>
    </row>
    <row r="2250" spans="37:38">
      <c r="AK2250" s="17"/>
      <c r="AL2250" s="17"/>
    </row>
    <row r="2251" spans="37:38">
      <c r="AK2251" s="17"/>
      <c r="AL2251" s="17"/>
    </row>
    <row r="2252" spans="37:38">
      <c r="AK2252" s="17"/>
      <c r="AL2252" s="17"/>
    </row>
    <row r="2253" spans="37:38">
      <c r="AK2253" s="17"/>
      <c r="AL2253" s="17"/>
    </row>
    <row r="2254" spans="37:38">
      <c r="AK2254" s="17"/>
      <c r="AL2254" s="17"/>
    </row>
    <row r="2255" spans="37:38">
      <c r="AK2255" s="17"/>
      <c r="AL2255" s="17"/>
    </row>
    <row r="2256" spans="37:38">
      <c r="AK2256" s="17"/>
      <c r="AL2256" s="17"/>
    </row>
    <row r="2257" spans="37:38">
      <c r="AK2257" s="17"/>
      <c r="AL2257" s="17"/>
    </row>
    <row r="2258" spans="37:38">
      <c r="AK2258" s="17"/>
      <c r="AL2258" s="17"/>
    </row>
    <row r="2259" spans="37:38">
      <c r="AK2259" s="17"/>
      <c r="AL2259" s="17"/>
    </row>
    <row r="2260" spans="37:38">
      <c r="AK2260" s="17"/>
      <c r="AL2260" s="17"/>
    </row>
    <row r="2261" spans="37:38">
      <c r="AK2261" s="17"/>
      <c r="AL2261" s="17"/>
    </row>
    <row r="2262" spans="37:38">
      <c r="AK2262" s="17"/>
      <c r="AL2262" s="17"/>
    </row>
    <row r="2263" spans="37:38">
      <c r="AK2263" s="17"/>
      <c r="AL2263" s="17"/>
    </row>
    <row r="2264" spans="37:38">
      <c r="AK2264" s="17"/>
      <c r="AL2264" s="17"/>
    </row>
    <row r="2265" spans="37:38">
      <c r="AK2265" s="17"/>
      <c r="AL2265" s="17"/>
    </row>
    <row r="2266" spans="37:38">
      <c r="AK2266" s="17"/>
      <c r="AL2266" s="17"/>
    </row>
    <row r="2267" spans="37:38">
      <c r="AK2267" s="17"/>
      <c r="AL2267" s="17"/>
    </row>
    <row r="2268" spans="37:38">
      <c r="AK2268" s="17"/>
      <c r="AL2268" s="17"/>
    </row>
    <row r="2269" spans="37:38">
      <c r="AK2269" s="17"/>
      <c r="AL2269" s="17"/>
    </row>
    <row r="2270" spans="37:38">
      <c r="AK2270" s="17"/>
      <c r="AL2270" s="17"/>
    </row>
    <row r="2271" spans="37:38">
      <c r="AK2271" s="17"/>
      <c r="AL2271" s="17"/>
    </row>
    <row r="2272" spans="37:38">
      <c r="AK2272" s="17"/>
      <c r="AL2272" s="17"/>
    </row>
    <row r="2273" spans="37:38">
      <c r="AK2273" s="17"/>
      <c r="AL2273" s="17"/>
    </row>
    <row r="2274" spans="37:38">
      <c r="AK2274" s="17"/>
      <c r="AL2274" s="17"/>
    </row>
    <row r="2275" spans="37:38">
      <c r="AK2275" s="17"/>
      <c r="AL2275" s="17"/>
    </row>
    <row r="2276" spans="37:38">
      <c r="AK2276" s="17"/>
      <c r="AL2276" s="17"/>
    </row>
    <row r="2277" spans="37:38">
      <c r="AK2277" s="17"/>
      <c r="AL2277" s="17"/>
    </row>
    <row r="2278" spans="37:38">
      <c r="AK2278" s="17"/>
      <c r="AL2278" s="17"/>
    </row>
    <row r="2279" spans="37:38">
      <c r="AK2279" s="17"/>
      <c r="AL2279" s="17"/>
    </row>
    <row r="2280" spans="37:38">
      <c r="AK2280" s="17"/>
      <c r="AL2280" s="17"/>
    </row>
    <row r="2281" spans="37:38">
      <c r="AK2281" s="17"/>
      <c r="AL2281" s="17"/>
    </row>
    <row r="2282" spans="37:38">
      <c r="AK2282" s="17"/>
      <c r="AL2282" s="17"/>
    </row>
    <row r="2283" spans="37:38">
      <c r="AK2283" s="17"/>
      <c r="AL2283" s="17"/>
    </row>
    <row r="2284" spans="37:38">
      <c r="AK2284" s="17"/>
      <c r="AL2284" s="17"/>
    </row>
    <row r="2285" spans="37:38">
      <c r="AK2285" s="17"/>
      <c r="AL2285" s="17"/>
    </row>
    <row r="2286" spans="37:38">
      <c r="AK2286" s="17"/>
      <c r="AL2286" s="17"/>
    </row>
    <row r="2287" spans="37:38">
      <c r="AK2287" s="17"/>
      <c r="AL2287" s="17"/>
    </row>
    <row r="2288" spans="37:38">
      <c r="AK2288" s="17"/>
      <c r="AL2288" s="17"/>
    </row>
    <row r="2289" spans="37:38">
      <c r="AK2289" s="17"/>
      <c r="AL2289" s="17"/>
    </row>
    <row r="2290" spans="37:38">
      <c r="AK2290" s="17"/>
      <c r="AL2290" s="17"/>
    </row>
    <row r="2291" spans="37:38">
      <c r="AK2291" s="17"/>
      <c r="AL2291" s="17"/>
    </row>
    <row r="2292" spans="37:38">
      <c r="AK2292" s="17"/>
      <c r="AL2292" s="17"/>
    </row>
    <row r="2293" spans="37:38">
      <c r="AK2293" s="17"/>
      <c r="AL2293" s="17"/>
    </row>
    <row r="2294" spans="37:38">
      <c r="AK2294" s="17"/>
      <c r="AL2294" s="17"/>
    </row>
    <row r="2295" spans="37:38">
      <c r="AK2295" s="17"/>
      <c r="AL2295" s="17"/>
    </row>
    <row r="2296" spans="37:38">
      <c r="AK2296" s="17"/>
      <c r="AL2296" s="17"/>
    </row>
    <row r="2297" spans="37:38">
      <c r="AK2297" s="17"/>
      <c r="AL2297" s="17"/>
    </row>
    <row r="2298" spans="37:38">
      <c r="AK2298" s="17"/>
      <c r="AL2298" s="17"/>
    </row>
    <row r="2299" spans="37:38">
      <c r="AK2299" s="17"/>
      <c r="AL2299" s="17"/>
    </row>
    <row r="2300" spans="37:38">
      <c r="AK2300" s="17"/>
      <c r="AL2300" s="17"/>
    </row>
    <row r="2301" spans="37:38">
      <c r="AK2301" s="17"/>
      <c r="AL2301" s="17"/>
    </row>
    <row r="2302" spans="37:38">
      <c r="AK2302" s="17"/>
      <c r="AL2302" s="17"/>
    </row>
    <row r="2303" spans="37:38">
      <c r="AK2303" s="17"/>
      <c r="AL2303" s="17"/>
    </row>
    <row r="2304" spans="37:38">
      <c r="AK2304" s="17"/>
      <c r="AL2304" s="17"/>
    </row>
    <row r="2305" spans="37:38">
      <c r="AK2305" s="17"/>
      <c r="AL2305" s="17"/>
    </row>
    <row r="2306" spans="37:38">
      <c r="AK2306" s="17"/>
      <c r="AL2306" s="17"/>
    </row>
    <row r="2307" spans="37:38">
      <c r="AK2307" s="17"/>
      <c r="AL2307" s="17"/>
    </row>
    <row r="2308" spans="37:38">
      <c r="AK2308" s="17"/>
      <c r="AL2308" s="17"/>
    </row>
    <row r="2309" spans="37:38">
      <c r="AK2309" s="17"/>
      <c r="AL2309" s="17"/>
    </row>
    <row r="2310" spans="37:38">
      <c r="AK2310" s="17"/>
      <c r="AL2310" s="17"/>
    </row>
    <row r="2311" spans="37:38">
      <c r="AK2311" s="17"/>
      <c r="AL2311" s="17"/>
    </row>
    <row r="2312" spans="37:38">
      <c r="AK2312" s="17"/>
      <c r="AL2312" s="17"/>
    </row>
    <row r="2313" spans="37:38">
      <c r="AK2313" s="17"/>
      <c r="AL2313" s="17"/>
    </row>
    <row r="2314" spans="37:38">
      <c r="AK2314" s="17"/>
      <c r="AL2314" s="17"/>
    </row>
    <row r="2315" spans="37:38">
      <c r="AK2315" s="17"/>
      <c r="AL2315" s="17"/>
    </row>
    <row r="2316" spans="37:38">
      <c r="AK2316" s="17"/>
      <c r="AL2316" s="17"/>
    </row>
    <row r="2317" spans="37:38">
      <c r="AK2317" s="17"/>
      <c r="AL2317" s="17"/>
    </row>
    <row r="2318" spans="37:38">
      <c r="AK2318" s="17"/>
      <c r="AL2318" s="17"/>
    </row>
    <row r="2319" spans="37:38">
      <c r="AK2319" s="17"/>
      <c r="AL2319" s="17"/>
    </row>
    <row r="2320" spans="37:38">
      <c r="AK2320" s="17"/>
      <c r="AL2320" s="17"/>
    </row>
    <row r="2321" spans="37:38">
      <c r="AK2321" s="17"/>
      <c r="AL2321" s="17"/>
    </row>
    <row r="2322" spans="37:38">
      <c r="AK2322" s="17"/>
      <c r="AL2322" s="17"/>
    </row>
    <row r="2323" spans="37:38">
      <c r="AK2323" s="17"/>
      <c r="AL2323" s="17"/>
    </row>
    <row r="2324" spans="37:38">
      <c r="AK2324" s="17"/>
      <c r="AL2324" s="17"/>
    </row>
    <row r="2325" spans="37:38">
      <c r="AK2325" s="17"/>
      <c r="AL2325" s="17"/>
    </row>
    <row r="2326" spans="37:38">
      <c r="AK2326" s="17"/>
      <c r="AL2326" s="17"/>
    </row>
    <row r="2327" spans="37:38">
      <c r="AK2327" s="17"/>
      <c r="AL2327" s="17"/>
    </row>
    <row r="2328" spans="37:38">
      <c r="AK2328" s="17"/>
      <c r="AL2328" s="17"/>
    </row>
    <row r="2329" spans="37:38">
      <c r="AK2329" s="17"/>
      <c r="AL2329" s="17"/>
    </row>
    <row r="2330" spans="37:38">
      <c r="AK2330" s="17"/>
      <c r="AL2330" s="17"/>
    </row>
    <row r="2331" spans="37:38">
      <c r="AK2331" s="17"/>
      <c r="AL2331" s="17"/>
    </row>
    <row r="2332" spans="37:38">
      <c r="AK2332" s="17"/>
      <c r="AL2332" s="17"/>
    </row>
    <row r="2333" spans="37:38">
      <c r="AK2333" s="17"/>
      <c r="AL2333" s="17"/>
    </row>
    <row r="2334" spans="37:38">
      <c r="AK2334" s="17"/>
      <c r="AL2334" s="17"/>
    </row>
    <row r="2335" spans="37:38">
      <c r="AK2335" s="17"/>
      <c r="AL2335" s="17"/>
    </row>
    <row r="2336" spans="37:38">
      <c r="AK2336" s="17"/>
      <c r="AL2336" s="17"/>
    </row>
    <row r="2337" spans="37:38">
      <c r="AK2337" s="17"/>
      <c r="AL2337" s="17"/>
    </row>
    <row r="2338" spans="37:38">
      <c r="AK2338" s="17"/>
      <c r="AL2338" s="17"/>
    </row>
    <row r="2339" spans="37:38">
      <c r="AK2339" s="17"/>
      <c r="AL2339" s="17"/>
    </row>
    <row r="2340" spans="37:38">
      <c r="AK2340" s="17"/>
      <c r="AL2340" s="17"/>
    </row>
    <row r="2341" spans="37:38">
      <c r="AK2341" s="17"/>
      <c r="AL2341" s="17"/>
    </row>
    <row r="2342" spans="37:38">
      <c r="AK2342" s="17"/>
      <c r="AL2342" s="17"/>
    </row>
    <row r="2343" spans="37:38">
      <c r="AK2343" s="17"/>
      <c r="AL2343" s="17"/>
    </row>
    <row r="2344" spans="37:38">
      <c r="AK2344" s="17"/>
      <c r="AL2344" s="17"/>
    </row>
    <row r="2345" spans="37:38">
      <c r="AK2345" s="17"/>
      <c r="AL2345" s="17"/>
    </row>
    <row r="2346" spans="37:38">
      <c r="AK2346" s="17"/>
      <c r="AL2346" s="17"/>
    </row>
    <row r="2347" spans="37:38">
      <c r="AK2347" s="17"/>
      <c r="AL2347" s="17"/>
    </row>
    <row r="2348" spans="37:38">
      <c r="AK2348" s="17"/>
      <c r="AL2348" s="17"/>
    </row>
    <row r="2349" spans="37:38">
      <c r="AK2349" s="17"/>
      <c r="AL2349" s="17"/>
    </row>
    <row r="2350" spans="37:38">
      <c r="AK2350" s="17"/>
      <c r="AL2350" s="17"/>
    </row>
    <row r="2351" spans="37:38">
      <c r="AK2351" s="17"/>
      <c r="AL2351" s="17"/>
    </row>
    <row r="2352" spans="37:38">
      <c r="AK2352" s="17"/>
      <c r="AL2352" s="17"/>
    </row>
    <row r="2353" spans="37:38">
      <c r="AK2353" s="17"/>
      <c r="AL2353" s="17"/>
    </row>
    <row r="2354" spans="37:38">
      <c r="AK2354" s="17"/>
      <c r="AL2354" s="17"/>
    </row>
    <row r="2355" spans="37:38">
      <c r="AK2355" s="17"/>
      <c r="AL2355" s="17"/>
    </row>
    <row r="2356" spans="37:38">
      <c r="AK2356" s="17"/>
      <c r="AL2356" s="17"/>
    </row>
    <row r="2357" spans="37:38">
      <c r="AK2357" s="17"/>
      <c r="AL2357" s="17"/>
    </row>
    <row r="2358" spans="37:38">
      <c r="AK2358" s="17"/>
      <c r="AL2358" s="17"/>
    </row>
    <row r="2359" spans="37:38">
      <c r="AK2359" s="17"/>
      <c r="AL2359" s="17"/>
    </row>
    <row r="2360" spans="37:38">
      <c r="AK2360" s="17"/>
      <c r="AL2360" s="17"/>
    </row>
    <row r="2361" spans="37:38">
      <c r="AK2361" s="17"/>
      <c r="AL2361" s="17"/>
    </row>
    <row r="2362" spans="37:38">
      <c r="AK2362" s="17"/>
      <c r="AL2362" s="17"/>
    </row>
    <row r="2363" spans="37:38">
      <c r="AK2363" s="17"/>
      <c r="AL2363" s="17"/>
    </row>
    <row r="2364" spans="37:38">
      <c r="AK2364" s="17"/>
      <c r="AL2364" s="17"/>
    </row>
    <row r="2365" spans="37:38">
      <c r="AK2365" s="17"/>
      <c r="AL2365" s="17"/>
    </row>
    <row r="2366" spans="37:38">
      <c r="AK2366" s="17"/>
      <c r="AL2366" s="17"/>
    </row>
    <row r="2367" spans="37:38">
      <c r="AK2367" s="17"/>
      <c r="AL2367" s="17"/>
    </row>
    <row r="2368" spans="37:38">
      <c r="AK2368" s="17"/>
      <c r="AL2368" s="17"/>
    </row>
    <row r="2369" spans="37:38">
      <c r="AK2369" s="17"/>
      <c r="AL2369" s="17"/>
    </row>
    <row r="2370" spans="37:38">
      <c r="AK2370" s="17"/>
      <c r="AL2370" s="17"/>
    </row>
    <row r="2371" spans="37:38">
      <c r="AK2371" s="17"/>
      <c r="AL2371" s="17"/>
    </row>
    <row r="2372" spans="37:38">
      <c r="AK2372" s="17"/>
      <c r="AL2372" s="17"/>
    </row>
    <row r="2373" spans="37:38">
      <c r="AK2373" s="17"/>
      <c r="AL2373" s="17"/>
    </row>
    <row r="2374" spans="37:38">
      <c r="AK2374" s="17"/>
      <c r="AL2374" s="17"/>
    </row>
    <row r="2375" spans="37:38">
      <c r="AK2375" s="17"/>
      <c r="AL2375" s="17"/>
    </row>
    <row r="2376" spans="37:38">
      <c r="AK2376" s="17"/>
      <c r="AL2376" s="17"/>
    </row>
    <row r="2377" spans="37:38">
      <c r="AK2377" s="17"/>
      <c r="AL2377" s="17"/>
    </row>
    <row r="2378" spans="37:38">
      <c r="AK2378" s="17"/>
      <c r="AL2378" s="17"/>
    </row>
    <row r="2379" spans="37:38">
      <c r="AK2379" s="17"/>
      <c r="AL2379" s="17"/>
    </row>
    <row r="2380" spans="37:38">
      <c r="AK2380" s="17"/>
      <c r="AL2380" s="17"/>
    </row>
    <row r="2381" spans="37:38">
      <c r="AK2381" s="17"/>
      <c r="AL2381" s="17"/>
    </row>
    <row r="2382" spans="37:38">
      <c r="AK2382" s="17"/>
      <c r="AL2382" s="17"/>
    </row>
    <row r="2383" spans="37:38">
      <c r="AK2383" s="17"/>
      <c r="AL2383" s="17"/>
    </row>
    <row r="2384" spans="37:38">
      <c r="AK2384" s="17"/>
      <c r="AL2384" s="17"/>
    </row>
    <row r="2385" spans="37:38">
      <c r="AK2385" s="17"/>
      <c r="AL2385" s="17"/>
    </row>
    <row r="2386" spans="37:38">
      <c r="AK2386" s="17"/>
      <c r="AL2386" s="17"/>
    </row>
    <row r="2387" spans="37:38">
      <c r="AK2387" s="17"/>
      <c r="AL2387" s="17"/>
    </row>
    <row r="2388" spans="37:38">
      <c r="AK2388" s="17"/>
      <c r="AL2388" s="17"/>
    </row>
    <row r="2389" spans="37:38">
      <c r="AK2389" s="17"/>
      <c r="AL2389" s="17"/>
    </row>
    <row r="2390" spans="37:38">
      <c r="AK2390" s="17"/>
      <c r="AL2390" s="17"/>
    </row>
    <row r="2391" spans="37:38">
      <c r="AK2391" s="17"/>
      <c r="AL2391" s="17"/>
    </row>
    <row r="2392" spans="37:38">
      <c r="AK2392" s="17"/>
      <c r="AL2392" s="17"/>
    </row>
    <row r="2393" spans="37:38">
      <c r="AK2393" s="17"/>
      <c r="AL2393" s="17"/>
    </row>
    <row r="2394" spans="37:38">
      <c r="AK2394" s="17"/>
      <c r="AL2394" s="17"/>
    </row>
    <row r="2395" spans="37:38">
      <c r="AK2395" s="17"/>
      <c r="AL2395" s="17"/>
    </row>
    <row r="2396" spans="37:38">
      <c r="AK2396" s="17"/>
      <c r="AL2396" s="17"/>
    </row>
    <row r="2397" spans="37:38">
      <c r="AK2397" s="17"/>
      <c r="AL2397" s="17"/>
    </row>
    <row r="2398" spans="37:38">
      <c r="AK2398" s="17"/>
      <c r="AL2398" s="17"/>
    </row>
    <row r="2399" spans="37:38">
      <c r="AK2399" s="17"/>
      <c r="AL2399" s="17"/>
    </row>
    <row r="2400" spans="37:38">
      <c r="AK2400" s="17"/>
      <c r="AL2400" s="17"/>
    </row>
    <row r="2401" spans="37:38">
      <c r="AK2401" s="17"/>
      <c r="AL2401" s="17"/>
    </row>
    <row r="2402" spans="37:38">
      <c r="AK2402" s="17"/>
      <c r="AL2402" s="17"/>
    </row>
    <row r="2403" spans="37:38">
      <c r="AK2403" s="17"/>
      <c r="AL2403" s="17"/>
    </row>
    <row r="2404" spans="37:38">
      <c r="AK2404" s="17"/>
      <c r="AL2404" s="17"/>
    </row>
    <row r="2405" spans="37:38">
      <c r="AK2405" s="17"/>
      <c r="AL2405" s="17"/>
    </row>
    <row r="2406" spans="37:38">
      <c r="AK2406" s="17"/>
      <c r="AL2406" s="17"/>
    </row>
    <row r="2407" spans="37:38">
      <c r="AK2407" s="17"/>
      <c r="AL2407" s="17"/>
    </row>
    <row r="2408" spans="37:38">
      <c r="AK2408" s="17"/>
      <c r="AL2408" s="17"/>
    </row>
    <row r="2409" spans="37:38">
      <c r="AK2409" s="17"/>
      <c r="AL2409" s="17"/>
    </row>
    <row r="2410" spans="37:38">
      <c r="AK2410" s="17"/>
      <c r="AL2410" s="17"/>
    </row>
    <row r="2411" spans="37:38">
      <c r="AK2411" s="17"/>
      <c r="AL2411" s="17"/>
    </row>
    <row r="2412" spans="37:38">
      <c r="AK2412" s="17"/>
      <c r="AL2412" s="17"/>
    </row>
    <row r="2413" spans="37:38">
      <c r="AK2413" s="17"/>
      <c r="AL2413" s="17"/>
    </row>
    <row r="2414" spans="37:38">
      <c r="AK2414" s="17"/>
      <c r="AL2414" s="17"/>
    </row>
    <row r="2415" spans="37:38">
      <c r="AK2415" s="17"/>
      <c r="AL2415" s="17"/>
    </row>
    <row r="2416" spans="37:38">
      <c r="AK2416" s="17"/>
      <c r="AL2416" s="17"/>
    </row>
    <row r="2417" spans="37:38">
      <c r="AK2417" s="17"/>
      <c r="AL2417" s="17"/>
    </row>
    <row r="2418" spans="37:38">
      <c r="AK2418" s="17"/>
      <c r="AL2418" s="17"/>
    </row>
    <row r="2419" spans="37:38">
      <c r="AK2419" s="17"/>
      <c r="AL2419" s="17"/>
    </row>
    <row r="2420" spans="37:38">
      <c r="AK2420" s="17"/>
      <c r="AL2420" s="17"/>
    </row>
    <row r="2421" spans="37:38">
      <c r="AK2421" s="17"/>
      <c r="AL2421" s="17"/>
    </row>
    <row r="2422" spans="37:38">
      <c r="AK2422" s="17"/>
      <c r="AL2422" s="17"/>
    </row>
    <row r="2423" spans="37:38">
      <c r="AK2423" s="17"/>
      <c r="AL2423" s="17"/>
    </row>
    <row r="2424" spans="37:38">
      <c r="AK2424" s="17"/>
      <c r="AL2424" s="17"/>
    </row>
    <row r="2425" spans="37:38">
      <c r="AK2425" s="17"/>
      <c r="AL2425" s="17"/>
    </row>
    <row r="2426" spans="37:38">
      <c r="AK2426" s="17"/>
      <c r="AL2426" s="17"/>
    </row>
    <row r="2427" spans="37:38">
      <c r="AK2427" s="17"/>
      <c r="AL2427" s="17"/>
    </row>
    <row r="2428" spans="37:38">
      <c r="AK2428" s="17"/>
      <c r="AL2428" s="17"/>
    </row>
    <row r="2429" spans="37:38">
      <c r="AK2429" s="17"/>
      <c r="AL2429" s="17"/>
    </row>
    <row r="2430" spans="37:38">
      <c r="AK2430" s="17"/>
      <c r="AL2430" s="17"/>
    </row>
    <row r="2431" spans="37:38">
      <c r="AK2431" s="17"/>
      <c r="AL2431" s="17"/>
    </row>
    <row r="2432" spans="37:38">
      <c r="AK2432" s="17"/>
      <c r="AL2432" s="17"/>
    </row>
    <row r="2433" spans="37:38">
      <c r="AK2433" s="17"/>
      <c r="AL2433" s="17"/>
    </row>
    <row r="2434" spans="37:38">
      <c r="AK2434" s="17"/>
      <c r="AL2434" s="17"/>
    </row>
    <row r="2435" spans="37:38">
      <c r="AK2435" s="17"/>
      <c r="AL2435" s="17"/>
    </row>
    <row r="2436" spans="37:38">
      <c r="AK2436" s="17"/>
      <c r="AL2436" s="17"/>
    </row>
    <row r="2437" spans="37:38">
      <c r="AK2437" s="17"/>
      <c r="AL2437" s="17"/>
    </row>
    <row r="2438" spans="37:38">
      <c r="AK2438" s="17"/>
      <c r="AL2438" s="17"/>
    </row>
    <row r="2439" spans="37:38">
      <c r="AK2439" s="17"/>
      <c r="AL2439" s="17"/>
    </row>
    <row r="2440" spans="37:38">
      <c r="AK2440" s="17"/>
      <c r="AL2440" s="17"/>
    </row>
    <row r="2441" spans="37:38">
      <c r="AK2441" s="17"/>
      <c r="AL2441" s="17"/>
    </row>
    <row r="2442" spans="37:38">
      <c r="AK2442" s="17"/>
      <c r="AL2442" s="17"/>
    </row>
    <row r="2443" spans="37:38">
      <c r="AK2443" s="17"/>
      <c r="AL2443" s="17"/>
    </row>
    <row r="2444" spans="37:38">
      <c r="AK2444" s="17"/>
      <c r="AL2444" s="17"/>
    </row>
    <row r="2445" spans="37:38">
      <c r="AK2445" s="17"/>
      <c r="AL2445" s="17"/>
    </row>
    <row r="2446" spans="37:38">
      <c r="AK2446" s="17"/>
      <c r="AL2446" s="17"/>
    </row>
    <row r="2447" spans="37:38">
      <c r="AK2447" s="17"/>
      <c r="AL2447" s="17"/>
    </row>
    <row r="2448" spans="37:38">
      <c r="AK2448" s="17"/>
      <c r="AL2448" s="17"/>
    </row>
    <row r="2449" spans="37:38">
      <c r="AK2449" s="17"/>
      <c r="AL2449" s="17"/>
    </row>
    <row r="2450" spans="37:38">
      <c r="AK2450" s="17"/>
      <c r="AL2450" s="17"/>
    </row>
    <row r="2451" spans="37:38">
      <c r="AK2451" s="17"/>
      <c r="AL2451" s="17"/>
    </row>
    <row r="2452" spans="37:38">
      <c r="AK2452" s="17"/>
      <c r="AL2452" s="17"/>
    </row>
    <row r="2453" spans="37:38">
      <c r="AK2453" s="17"/>
      <c r="AL2453" s="17"/>
    </row>
    <row r="2454" spans="37:38">
      <c r="AK2454" s="17"/>
      <c r="AL2454" s="17"/>
    </row>
    <row r="2455" spans="37:38">
      <c r="AK2455" s="17"/>
      <c r="AL2455" s="17"/>
    </row>
    <row r="2456" spans="37:38">
      <c r="AK2456" s="17"/>
      <c r="AL2456" s="17"/>
    </row>
    <row r="2457" spans="37:38">
      <c r="AK2457" s="17"/>
      <c r="AL2457" s="17"/>
    </row>
    <row r="2458" spans="37:38">
      <c r="AK2458" s="17"/>
      <c r="AL2458" s="17"/>
    </row>
    <row r="2459" spans="37:38">
      <c r="AK2459" s="17"/>
      <c r="AL2459" s="17"/>
    </row>
    <row r="2460" spans="37:38">
      <c r="AK2460" s="17"/>
      <c r="AL2460" s="17"/>
    </row>
    <row r="2461" spans="37:38">
      <c r="AK2461" s="17"/>
      <c r="AL2461" s="17"/>
    </row>
    <row r="2462" spans="37:38">
      <c r="AK2462" s="17"/>
      <c r="AL2462" s="17"/>
    </row>
    <row r="2463" spans="37:38">
      <c r="AK2463" s="17"/>
      <c r="AL2463" s="17"/>
    </row>
    <row r="2464" spans="37:38">
      <c r="AK2464" s="17"/>
      <c r="AL2464" s="17"/>
    </row>
    <row r="2465" spans="37:38">
      <c r="AK2465" s="17"/>
      <c r="AL2465" s="17"/>
    </row>
    <row r="2466" spans="37:38">
      <c r="AK2466" s="17"/>
      <c r="AL2466" s="17"/>
    </row>
    <row r="2467" spans="37:38">
      <c r="AK2467" s="17"/>
      <c r="AL2467" s="17"/>
    </row>
    <row r="2468" spans="37:38">
      <c r="AK2468" s="17"/>
      <c r="AL2468" s="17"/>
    </row>
    <row r="2469" spans="37:38">
      <c r="AK2469" s="17"/>
      <c r="AL2469" s="17"/>
    </row>
    <row r="2470" spans="37:38">
      <c r="AK2470" s="17"/>
      <c r="AL2470" s="17"/>
    </row>
    <row r="2471" spans="37:38">
      <c r="AK2471" s="17"/>
      <c r="AL2471" s="17"/>
    </row>
    <row r="2472" spans="37:38">
      <c r="AK2472" s="17"/>
      <c r="AL2472" s="17"/>
    </row>
    <row r="2473" spans="37:38">
      <c r="AK2473" s="17"/>
      <c r="AL2473" s="17"/>
    </row>
    <row r="2474" spans="37:38">
      <c r="AK2474" s="17"/>
      <c r="AL2474" s="17"/>
    </row>
    <row r="2475" spans="37:38">
      <c r="AK2475" s="17"/>
      <c r="AL2475" s="17"/>
    </row>
    <row r="2476" spans="37:38">
      <c r="AK2476" s="17"/>
      <c r="AL2476" s="17"/>
    </row>
    <row r="2477" spans="37:38">
      <c r="AK2477" s="17"/>
      <c r="AL2477" s="17"/>
    </row>
    <row r="2478" spans="37:38">
      <c r="AK2478" s="17"/>
      <c r="AL2478" s="17"/>
    </row>
    <row r="2479" spans="37:38">
      <c r="AK2479" s="17"/>
      <c r="AL2479" s="17"/>
    </row>
    <row r="2480" spans="37:38">
      <c r="AK2480" s="17"/>
      <c r="AL2480" s="17"/>
    </row>
    <row r="2481" spans="37:38">
      <c r="AK2481" s="17"/>
      <c r="AL2481" s="17"/>
    </row>
    <row r="2482" spans="37:38">
      <c r="AK2482" s="17"/>
      <c r="AL2482" s="17"/>
    </row>
    <row r="2483" spans="37:38">
      <c r="AK2483" s="17"/>
      <c r="AL2483" s="17"/>
    </row>
    <row r="2484" spans="37:38">
      <c r="AK2484" s="17"/>
      <c r="AL2484" s="17"/>
    </row>
    <row r="2485" spans="37:38">
      <c r="AK2485" s="17"/>
      <c r="AL2485" s="17"/>
    </row>
    <row r="2486" spans="37:38">
      <c r="AK2486" s="17"/>
      <c r="AL2486" s="17"/>
    </row>
    <row r="2487" spans="37:38">
      <c r="AK2487" s="17"/>
      <c r="AL2487" s="17"/>
    </row>
    <row r="2488" spans="37:38">
      <c r="AK2488" s="17"/>
      <c r="AL2488" s="17"/>
    </row>
    <row r="2489" spans="37:38">
      <c r="AK2489" s="17"/>
      <c r="AL2489" s="17"/>
    </row>
    <row r="2490" spans="37:38">
      <c r="AK2490" s="17"/>
      <c r="AL2490" s="17"/>
    </row>
    <row r="2491" spans="37:38">
      <c r="AK2491" s="17"/>
      <c r="AL2491" s="17"/>
    </row>
    <row r="2492" spans="37:38">
      <c r="AK2492" s="17"/>
      <c r="AL2492" s="17"/>
    </row>
    <row r="2493" spans="37:38">
      <c r="AK2493" s="17"/>
      <c r="AL2493" s="17"/>
    </row>
    <row r="2494" spans="37:38">
      <c r="AK2494" s="17"/>
      <c r="AL2494" s="17"/>
    </row>
    <row r="2495" spans="37:38">
      <c r="AK2495" s="17"/>
      <c r="AL2495" s="17"/>
    </row>
    <row r="2496" spans="37:38">
      <c r="AK2496" s="17"/>
      <c r="AL2496" s="17"/>
    </row>
    <row r="2497" spans="37:38">
      <c r="AK2497" s="17"/>
      <c r="AL2497" s="17"/>
    </row>
    <row r="2498" spans="37:38">
      <c r="AK2498" s="17"/>
      <c r="AL2498" s="17"/>
    </row>
    <row r="2499" spans="37:38">
      <c r="AK2499" s="17"/>
      <c r="AL2499" s="17"/>
    </row>
    <row r="2500" spans="37:38">
      <c r="AK2500" s="17"/>
      <c r="AL2500" s="17"/>
    </row>
    <row r="2501" spans="37:38">
      <c r="AK2501" s="17"/>
      <c r="AL2501" s="17"/>
    </row>
    <row r="2502" spans="37:38">
      <c r="AK2502" s="17"/>
      <c r="AL2502" s="17"/>
    </row>
    <row r="2503" spans="37:38">
      <c r="AK2503" s="17"/>
      <c r="AL2503" s="17"/>
    </row>
    <row r="2504" spans="37:38">
      <c r="AK2504" s="17"/>
      <c r="AL2504" s="17"/>
    </row>
    <row r="2505" spans="37:38">
      <c r="AK2505" s="17"/>
      <c r="AL2505" s="17"/>
    </row>
    <row r="2506" spans="37:38">
      <c r="AK2506" s="17"/>
      <c r="AL2506" s="17"/>
    </row>
    <row r="2507" spans="37:38">
      <c r="AK2507" s="17"/>
      <c r="AL2507" s="17"/>
    </row>
    <row r="2508" spans="37:38">
      <c r="AK2508" s="17"/>
      <c r="AL2508" s="17"/>
    </row>
    <row r="2509" spans="37:38">
      <c r="AK2509" s="17"/>
      <c r="AL2509" s="17"/>
    </row>
    <row r="2510" spans="37:38">
      <c r="AK2510" s="17"/>
      <c r="AL2510" s="17"/>
    </row>
    <row r="2511" spans="37:38">
      <c r="AK2511" s="17"/>
      <c r="AL2511" s="17"/>
    </row>
    <row r="2512" spans="37:38">
      <c r="AK2512" s="17"/>
      <c r="AL2512" s="17"/>
    </row>
    <row r="2513" spans="37:38">
      <c r="AK2513" s="17"/>
      <c r="AL2513" s="17"/>
    </row>
    <row r="2514" spans="37:38">
      <c r="AK2514" s="17"/>
      <c r="AL2514" s="17"/>
    </row>
    <row r="2515" spans="37:38">
      <c r="AK2515" s="17"/>
      <c r="AL2515" s="17"/>
    </row>
    <row r="2516" spans="37:38">
      <c r="AK2516" s="17"/>
      <c r="AL2516" s="17"/>
    </row>
    <row r="2517" spans="37:38">
      <c r="AK2517" s="17"/>
      <c r="AL2517" s="17"/>
    </row>
    <row r="2518" spans="37:38">
      <c r="AK2518" s="17"/>
      <c r="AL2518" s="17"/>
    </row>
    <row r="2519" spans="37:38">
      <c r="AK2519" s="17"/>
      <c r="AL2519" s="17"/>
    </row>
    <row r="2520" spans="37:38">
      <c r="AK2520" s="17"/>
      <c r="AL2520" s="17"/>
    </row>
    <row r="2521" spans="37:38">
      <c r="AK2521" s="17"/>
      <c r="AL2521" s="17"/>
    </row>
    <row r="2522" spans="37:38">
      <c r="AK2522" s="17"/>
      <c r="AL2522" s="17"/>
    </row>
    <row r="2523" spans="37:38">
      <c r="AK2523" s="17"/>
      <c r="AL2523" s="17"/>
    </row>
    <row r="2524" spans="37:38">
      <c r="AK2524" s="17"/>
      <c r="AL2524" s="17"/>
    </row>
    <row r="2525" spans="37:38">
      <c r="AK2525" s="17"/>
      <c r="AL2525" s="17"/>
    </row>
    <row r="2526" spans="37:38">
      <c r="AK2526" s="17"/>
      <c r="AL2526" s="17"/>
    </row>
    <row r="2527" spans="37:38">
      <c r="AK2527" s="17"/>
      <c r="AL2527" s="17"/>
    </row>
    <row r="2528" spans="37:38">
      <c r="AK2528" s="17"/>
      <c r="AL2528" s="17"/>
    </row>
    <row r="2529" spans="37:38">
      <c r="AK2529" s="17"/>
      <c r="AL2529" s="17"/>
    </row>
    <row r="2530" spans="37:38">
      <c r="AK2530" s="17"/>
      <c r="AL2530" s="17"/>
    </row>
    <row r="2531" spans="37:38">
      <c r="AK2531" s="17"/>
      <c r="AL2531" s="17"/>
    </row>
    <row r="2532" spans="37:38">
      <c r="AK2532" s="17"/>
      <c r="AL2532" s="17"/>
    </row>
    <row r="2533" spans="37:38">
      <c r="AK2533" s="17"/>
      <c r="AL2533" s="17"/>
    </row>
    <row r="2534" spans="37:38">
      <c r="AK2534" s="17"/>
      <c r="AL2534" s="17"/>
    </row>
    <row r="2535" spans="37:38">
      <c r="AK2535" s="17"/>
      <c r="AL2535" s="17"/>
    </row>
    <row r="2536" spans="37:38">
      <c r="AK2536" s="17"/>
      <c r="AL2536" s="17"/>
    </row>
    <row r="2537" spans="37:38">
      <c r="AK2537" s="17"/>
      <c r="AL2537" s="17"/>
    </row>
    <row r="2538" spans="37:38">
      <c r="AK2538" s="17"/>
      <c r="AL2538" s="17"/>
    </row>
    <row r="2539" spans="37:38">
      <c r="AK2539" s="17"/>
      <c r="AL2539" s="17"/>
    </row>
    <row r="2540" spans="37:38">
      <c r="AK2540" s="17"/>
      <c r="AL2540" s="17"/>
    </row>
    <row r="2541" spans="37:38">
      <c r="AK2541" s="17"/>
      <c r="AL2541" s="17"/>
    </row>
    <row r="2542" spans="37:38">
      <c r="AK2542" s="17"/>
      <c r="AL2542" s="17"/>
    </row>
    <row r="2543" spans="37:38">
      <c r="AK2543" s="17"/>
      <c r="AL2543" s="17"/>
    </row>
    <row r="2544" spans="37:38">
      <c r="AK2544" s="17"/>
      <c r="AL2544" s="17"/>
    </row>
    <row r="2545" spans="37:38">
      <c r="AK2545" s="17"/>
      <c r="AL2545" s="17"/>
    </row>
    <row r="2546" spans="37:38">
      <c r="AK2546" s="17"/>
      <c r="AL2546" s="17"/>
    </row>
    <row r="2547" spans="37:38">
      <c r="AK2547" s="17"/>
      <c r="AL2547" s="17"/>
    </row>
    <row r="2548" spans="37:38">
      <c r="AK2548" s="17"/>
      <c r="AL2548" s="17"/>
    </row>
    <row r="2549" spans="37:38">
      <c r="AK2549" s="17"/>
      <c r="AL2549" s="17"/>
    </row>
    <row r="2550" spans="37:38">
      <c r="AK2550" s="17"/>
      <c r="AL2550" s="17"/>
    </row>
    <row r="2551" spans="37:38">
      <c r="AK2551" s="17"/>
      <c r="AL2551" s="17"/>
    </row>
    <row r="2552" spans="37:38">
      <c r="AK2552" s="17"/>
      <c r="AL2552" s="17"/>
    </row>
    <row r="2553" spans="37:38">
      <c r="AK2553" s="17"/>
      <c r="AL2553" s="17"/>
    </row>
    <row r="2554" spans="37:38">
      <c r="AK2554" s="17"/>
      <c r="AL2554" s="17"/>
    </row>
    <row r="2555" spans="37:38">
      <c r="AK2555" s="17"/>
      <c r="AL2555" s="17"/>
    </row>
    <row r="2556" spans="37:38">
      <c r="AK2556" s="17"/>
      <c r="AL2556" s="17"/>
    </row>
    <row r="2557" spans="37:38">
      <c r="AK2557" s="17"/>
      <c r="AL2557" s="17"/>
    </row>
    <row r="2558" spans="37:38">
      <c r="AK2558" s="17"/>
      <c r="AL2558" s="17"/>
    </row>
    <row r="2559" spans="37:38">
      <c r="AK2559" s="17"/>
      <c r="AL2559" s="17"/>
    </row>
    <row r="2560" spans="37:38">
      <c r="AK2560" s="17"/>
      <c r="AL2560" s="17"/>
    </row>
    <row r="2561" spans="37:38">
      <c r="AK2561" s="17"/>
      <c r="AL2561" s="17"/>
    </row>
    <row r="2562" spans="37:38">
      <c r="AK2562" s="17"/>
      <c r="AL2562" s="17"/>
    </row>
    <row r="2563" spans="37:38">
      <c r="AK2563" s="17"/>
      <c r="AL2563" s="17"/>
    </row>
    <row r="2564" spans="37:38">
      <c r="AK2564" s="17"/>
      <c r="AL2564" s="17"/>
    </row>
    <row r="2565" spans="37:38">
      <c r="AK2565" s="17"/>
      <c r="AL2565" s="17"/>
    </row>
    <row r="2566" spans="37:38">
      <c r="AK2566" s="17"/>
      <c r="AL2566" s="17"/>
    </row>
    <row r="2567" spans="37:38">
      <c r="AK2567" s="17"/>
      <c r="AL2567" s="17"/>
    </row>
    <row r="2568" spans="37:38">
      <c r="AK2568" s="17"/>
      <c r="AL2568" s="17"/>
    </row>
    <row r="2569" spans="37:38">
      <c r="AK2569" s="17"/>
      <c r="AL2569" s="17"/>
    </row>
    <row r="2570" spans="37:38">
      <c r="AK2570" s="17"/>
      <c r="AL2570" s="17"/>
    </row>
    <row r="2571" spans="37:38">
      <c r="AK2571" s="17"/>
      <c r="AL2571" s="17"/>
    </row>
    <row r="2572" spans="37:38">
      <c r="AK2572" s="17"/>
      <c r="AL2572" s="17"/>
    </row>
    <row r="2573" spans="37:38">
      <c r="AK2573" s="17"/>
      <c r="AL2573" s="17"/>
    </row>
    <row r="2574" spans="37:38">
      <c r="AK2574" s="17"/>
      <c r="AL2574" s="17"/>
    </row>
    <row r="2575" spans="37:38">
      <c r="AK2575" s="17"/>
      <c r="AL2575" s="17"/>
    </row>
    <row r="2576" spans="37:38">
      <c r="AK2576" s="17"/>
      <c r="AL2576" s="17"/>
    </row>
    <row r="2577" spans="37:38">
      <c r="AK2577" s="17"/>
      <c r="AL2577" s="17"/>
    </row>
    <row r="2578" spans="37:38">
      <c r="AK2578" s="17"/>
      <c r="AL2578" s="17"/>
    </row>
    <row r="2579" spans="37:38">
      <c r="AK2579" s="17"/>
      <c r="AL2579" s="17"/>
    </row>
    <row r="2580" spans="37:38">
      <c r="AK2580" s="17"/>
      <c r="AL2580" s="17"/>
    </row>
    <row r="2581" spans="37:38">
      <c r="AK2581" s="17"/>
      <c r="AL2581" s="17"/>
    </row>
    <row r="2582" spans="37:38">
      <c r="AK2582" s="17"/>
      <c r="AL2582" s="17"/>
    </row>
    <row r="2583" spans="37:38">
      <c r="AK2583" s="17"/>
      <c r="AL2583" s="17"/>
    </row>
    <row r="2584" spans="37:38">
      <c r="AK2584" s="17"/>
      <c r="AL2584" s="17"/>
    </row>
    <row r="2585" spans="37:38">
      <c r="AK2585" s="17"/>
      <c r="AL2585" s="17"/>
    </row>
    <row r="2586" spans="37:38">
      <c r="AK2586" s="17"/>
      <c r="AL2586" s="17"/>
    </row>
    <row r="2587" spans="37:38">
      <c r="AK2587" s="17"/>
      <c r="AL2587" s="17"/>
    </row>
    <row r="2588" spans="37:38">
      <c r="AK2588" s="17"/>
      <c r="AL2588" s="17"/>
    </row>
    <row r="2589" spans="37:38">
      <c r="AK2589" s="17"/>
      <c r="AL2589" s="17"/>
    </row>
    <row r="2590" spans="37:38">
      <c r="AK2590" s="17"/>
      <c r="AL2590" s="17"/>
    </row>
    <row r="2591" spans="37:38">
      <c r="AK2591" s="17"/>
      <c r="AL2591" s="17"/>
    </row>
    <row r="2592" spans="37:38">
      <c r="AK2592" s="17"/>
      <c r="AL2592" s="17"/>
    </row>
    <row r="2593" spans="37:38">
      <c r="AK2593" s="17"/>
      <c r="AL2593" s="17"/>
    </row>
    <row r="2594" spans="37:38">
      <c r="AK2594" s="17"/>
      <c r="AL2594" s="17"/>
    </row>
    <row r="2595" spans="37:38">
      <c r="AK2595" s="17"/>
      <c r="AL2595" s="17"/>
    </row>
    <row r="2596" spans="37:38">
      <c r="AK2596" s="17"/>
      <c r="AL2596" s="17"/>
    </row>
    <row r="2597" spans="37:38">
      <c r="AK2597" s="17"/>
      <c r="AL2597" s="17"/>
    </row>
    <row r="2598" spans="37:38">
      <c r="AK2598" s="17"/>
      <c r="AL2598" s="17"/>
    </row>
    <row r="2599" spans="37:38">
      <c r="AK2599" s="17"/>
      <c r="AL2599" s="17"/>
    </row>
    <row r="2600" spans="37:38">
      <c r="AK2600" s="17"/>
      <c r="AL2600" s="17"/>
    </row>
    <row r="2601" spans="37:38">
      <c r="AK2601" s="17"/>
      <c r="AL2601" s="17"/>
    </row>
    <row r="2602" spans="37:38">
      <c r="AK2602" s="17"/>
      <c r="AL2602" s="17"/>
    </row>
    <row r="2603" spans="37:38">
      <c r="AK2603" s="17"/>
      <c r="AL2603" s="17"/>
    </row>
    <row r="2604" spans="37:38">
      <c r="AK2604" s="17"/>
      <c r="AL2604" s="17"/>
    </row>
    <row r="2605" spans="37:38">
      <c r="AK2605" s="17"/>
      <c r="AL2605" s="17"/>
    </row>
    <row r="2606" spans="37:38">
      <c r="AK2606" s="17"/>
      <c r="AL2606" s="17"/>
    </row>
    <row r="2607" spans="37:38">
      <c r="AK2607" s="17"/>
      <c r="AL2607" s="17"/>
    </row>
    <row r="2608" spans="37:38">
      <c r="AK2608" s="17"/>
      <c r="AL2608" s="17"/>
    </row>
    <row r="2609" spans="37:38">
      <c r="AK2609" s="17"/>
      <c r="AL2609" s="17"/>
    </row>
    <row r="2610" spans="37:38">
      <c r="AK2610" s="17"/>
      <c r="AL2610" s="17"/>
    </row>
    <row r="2611" spans="37:38">
      <c r="AK2611" s="17"/>
      <c r="AL2611" s="17"/>
    </row>
    <row r="2612" spans="37:38">
      <c r="AK2612" s="17"/>
      <c r="AL2612" s="17"/>
    </row>
    <row r="2613" spans="37:38">
      <c r="AK2613" s="17"/>
      <c r="AL2613" s="17"/>
    </row>
    <row r="2614" spans="37:38">
      <c r="AK2614" s="17"/>
      <c r="AL2614" s="17"/>
    </row>
    <row r="2615" spans="37:38">
      <c r="AK2615" s="17"/>
      <c r="AL2615" s="17"/>
    </row>
    <row r="2616" spans="37:38">
      <c r="AK2616" s="17"/>
      <c r="AL2616" s="17"/>
    </row>
    <row r="2617" spans="37:38">
      <c r="AK2617" s="17"/>
      <c r="AL2617" s="17"/>
    </row>
    <row r="2618" spans="37:38">
      <c r="AK2618" s="17"/>
      <c r="AL2618" s="17"/>
    </row>
    <row r="2619" spans="37:38">
      <c r="AK2619" s="17"/>
      <c r="AL2619" s="17"/>
    </row>
    <row r="2620" spans="37:38">
      <c r="AK2620" s="17"/>
      <c r="AL2620" s="17"/>
    </row>
    <row r="2621" spans="37:38">
      <c r="AK2621" s="17"/>
      <c r="AL2621" s="17"/>
    </row>
    <row r="2622" spans="37:38">
      <c r="AK2622" s="17"/>
      <c r="AL2622" s="17"/>
    </row>
    <row r="2623" spans="37:38">
      <c r="AK2623" s="17"/>
      <c r="AL2623" s="17"/>
    </row>
    <row r="2624" spans="37:38">
      <c r="AK2624" s="17"/>
      <c r="AL2624" s="17"/>
    </row>
    <row r="2625" spans="37:38">
      <c r="AK2625" s="17"/>
      <c r="AL2625" s="17"/>
    </row>
    <row r="2626" spans="37:38">
      <c r="AK2626" s="17"/>
      <c r="AL2626" s="17"/>
    </row>
    <row r="2627" spans="37:38">
      <c r="AK2627" s="17"/>
      <c r="AL2627" s="17"/>
    </row>
    <row r="2628" spans="37:38">
      <c r="AK2628" s="17"/>
      <c r="AL2628" s="17"/>
    </row>
    <row r="2629" spans="37:38">
      <c r="AK2629" s="17"/>
      <c r="AL2629" s="17"/>
    </row>
    <row r="2630" spans="37:38">
      <c r="AK2630" s="17"/>
      <c r="AL2630" s="17"/>
    </row>
    <row r="2631" spans="37:38">
      <c r="AK2631" s="17"/>
      <c r="AL2631" s="17"/>
    </row>
    <row r="2632" spans="37:38">
      <c r="AK2632" s="17"/>
      <c r="AL2632" s="17"/>
    </row>
    <row r="2633" spans="37:38">
      <c r="AK2633" s="17"/>
      <c r="AL2633" s="17"/>
    </row>
    <row r="2634" spans="37:38">
      <c r="AK2634" s="17"/>
      <c r="AL2634" s="17"/>
    </row>
    <row r="2635" spans="37:38">
      <c r="AK2635" s="17"/>
      <c r="AL2635" s="17"/>
    </row>
    <row r="2636" spans="37:38">
      <c r="AK2636" s="17"/>
      <c r="AL2636" s="17"/>
    </row>
    <row r="2637" spans="37:38">
      <c r="AK2637" s="17"/>
      <c r="AL2637" s="17"/>
    </row>
    <row r="2638" spans="37:38">
      <c r="AK2638" s="17"/>
      <c r="AL2638" s="17"/>
    </row>
    <row r="2639" spans="37:38">
      <c r="AK2639" s="17"/>
      <c r="AL2639" s="17"/>
    </row>
    <row r="2640" spans="37:38">
      <c r="AK2640" s="17"/>
      <c r="AL2640" s="17"/>
    </row>
    <row r="2641" spans="37:38">
      <c r="AK2641" s="17"/>
      <c r="AL2641" s="17"/>
    </row>
    <row r="2642" spans="37:38">
      <c r="AK2642" s="17"/>
      <c r="AL2642" s="17"/>
    </row>
    <row r="2643" spans="37:38">
      <c r="AK2643" s="17"/>
      <c r="AL2643" s="17"/>
    </row>
    <row r="2644" spans="37:38">
      <c r="AK2644" s="17"/>
      <c r="AL2644" s="17"/>
    </row>
    <row r="2645" spans="37:38">
      <c r="AK2645" s="17"/>
      <c r="AL2645" s="17"/>
    </row>
    <row r="2646" spans="37:38">
      <c r="AK2646" s="17"/>
      <c r="AL2646" s="17"/>
    </row>
    <row r="2647" spans="37:38">
      <c r="AK2647" s="17"/>
      <c r="AL2647" s="17"/>
    </row>
    <row r="2648" spans="37:38">
      <c r="AK2648" s="17"/>
      <c r="AL2648" s="17"/>
    </row>
    <row r="2649" spans="37:38">
      <c r="AK2649" s="17"/>
      <c r="AL2649" s="17"/>
    </row>
    <row r="2650" spans="37:38">
      <c r="AK2650" s="17"/>
      <c r="AL2650" s="17"/>
    </row>
    <row r="2651" spans="37:38">
      <c r="AK2651" s="17"/>
      <c r="AL2651" s="17"/>
    </row>
    <row r="2652" spans="37:38">
      <c r="AK2652" s="17"/>
      <c r="AL2652" s="17"/>
    </row>
    <row r="2653" spans="37:38">
      <c r="AK2653" s="17"/>
      <c r="AL2653" s="17"/>
    </row>
    <row r="2654" spans="37:38">
      <c r="AK2654" s="17"/>
      <c r="AL2654" s="17"/>
    </row>
    <row r="2655" spans="37:38">
      <c r="AK2655" s="17"/>
      <c r="AL2655" s="17"/>
    </row>
    <row r="2656" spans="37:38">
      <c r="AK2656" s="17"/>
      <c r="AL2656" s="17"/>
    </row>
    <row r="2657" spans="37:38">
      <c r="AK2657" s="17"/>
      <c r="AL2657" s="17"/>
    </row>
    <row r="2658" spans="37:38">
      <c r="AK2658" s="17"/>
      <c r="AL2658" s="17"/>
    </row>
    <row r="2659" spans="37:38">
      <c r="AK2659" s="17"/>
      <c r="AL2659" s="17"/>
    </row>
    <row r="2660" spans="37:38">
      <c r="AK2660" s="17"/>
      <c r="AL2660" s="17"/>
    </row>
    <row r="2661" spans="37:38">
      <c r="AK2661" s="17"/>
      <c r="AL2661" s="17"/>
    </row>
    <row r="2662" spans="37:38">
      <c r="AK2662" s="17"/>
      <c r="AL2662" s="17"/>
    </row>
    <row r="2663" spans="37:38">
      <c r="AK2663" s="17"/>
      <c r="AL2663" s="17"/>
    </row>
    <row r="2664" spans="37:38">
      <c r="AK2664" s="17"/>
      <c r="AL2664" s="17"/>
    </row>
    <row r="2665" spans="37:38">
      <c r="AK2665" s="17"/>
      <c r="AL2665" s="17"/>
    </row>
    <row r="2666" spans="37:38">
      <c r="AK2666" s="17"/>
      <c r="AL2666" s="17"/>
    </row>
    <row r="2667" spans="37:38">
      <c r="AK2667" s="17"/>
      <c r="AL2667" s="17"/>
    </row>
    <row r="2668" spans="37:38">
      <c r="AK2668" s="17"/>
      <c r="AL2668" s="17"/>
    </row>
    <row r="2669" spans="37:38">
      <c r="AK2669" s="17"/>
      <c r="AL2669" s="17"/>
    </row>
    <row r="2670" spans="37:38">
      <c r="AK2670" s="17"/>
      <c r="AL2670" s="17"/>
    </row>
    <row r="2671" spans="37:38">
      <c r="AK2671" s="17"/>
      <c r="AL2671" s="17"/>
    </row>
    <row r="2672" spans="37:38">
      <c r="AK2672" s="17"/>
      <c r="AL2672" s="17"/>
    </row>
    <row r="2673" spans="37:38">
      <c r="AK2673" s="17"/>
      <c r="AL2673" s="17"/>
    </row>
    <row r="2674" spans="37:38">
      <c r="AK2674" s="17"/>
      <c r="AL2674" s="17"/>
    </row>
    <row r="2675" spans="37:38">
      <c r="AK2675" s="17"/>
      <c r="AL2675" s="17"/>
    </row>
    <row r="2676" spans="37:38">
      <c r="AK2676" s="17"/>
      <c r="AL2676" s="17"/>
    </row>
    <row r="2677" spans="37:38">
      <c r="AK2677" s="17"/>
      <c r="AL2677" s="17"/>
    </row>
    <row r="2678" spans="37:38">
      <c r="AK2678" s="17"/>
      <c r="AL2678" s="17"/>
    </row>
    <row r="2679" spans="37:38">
      <c r="AK2679" s="17"/>
      <c r="AL2679" s="17"/>
    </row>
    <row r="2680" spans="37:38">
      <c r="AK2680" s="17"/>
      <c r="AL2680" s="17"/>
    </row>
    <row r="2681" spans="37:38">
      <c r="AK2681" s="17"/>
      <c r="AL2681" s="17"/>
    </row>
    <row r="2682" spans="37:38">
      <c r="AK2682" s="17"/>
      <c r="AL2682" s="17"/>
    </row>
    <row r="2683" spans="37:38">
      <c r="AK2683" s="17"/>
      <c r="AL2683" s="17"/>
    </row>
    <row r="2684" spans="37:38">
      <c r="AK2684" s="17"/>
      <c r="AL2684" s="17"/>
    </row>
    <row r="2685" spans="37:38">
      <c r="AK2685" s="17"/>
      <c r="AL2685" s="17"/>
    </row>
    <row r="2686" spans="37:38">
      <c r="AK2686" s="17"/>
      <c r="AL2686" s="17"/>
    </row>
    <row r="2687" spans="37:38">
      <c r="AK2687" s="17"/>
      <c r="AL2687" s="17"/>
    </row>
    <row r="2688" spans="37:38">
      <c r="AK2688" s="17"/>
      <c r="AL2688" s="17"/>
    </row>
    <row r="2689" spans="37:38">
      <c r="AK2689" s="17"/>
      <c r="AL2689" s="17"/>
    </row>
    <row r="2690" spans="37:38">
      <c r="AK2690" s="17"/>
      <c r="AL2690" s="17"/>
    </row>
    <row r="2691" spans="37:38">
      <c r="AK2691" s="17"/>
      <c r="AL2691" s="17"/>
    </row>
    <row r="2692" spans="37:38">
      <c r="AK2692" s="17"/>
      <c r="AL2692" s="17"/>
    </row>
    <row r="2693" spans="37:38">
      <c r="AK2693" s="17"/>
      <c r="AL2693" s="17"/>
    </row>
    <row r="2694" spans="37:38">
      <c r="AK2694" s="17"/>
      <c r="AL2694" s="17"/>
    </row>
    <row r="2695" spans="37:38">
      <c r="AK2695" s="17"/>
      <c r="AL2695" s="17"/>
    </row>
    <row r="2696" spans="37:38">
      <c r="AK2696" s="17"/>
      <c r="AL2696" s="17"/>
    </row>
    <row r="2697" spans="37:38">
      <c r="AK2697" s="17"/>
      <c r="AL2697" s="17"/>
    </row>
    <row r="2698" spans="37:38">
      <c r="AK2698" s="17"/>
      <c r="AL2698" s="17"/>
    </row>
    <row r="2699" spans="37:38">
      <c r="AK2699" s="17"/>
      <c r="AL2699" s="17"/>
    </row>
    <row r="2700" spans="37:38">
      <c r="AK2700" s="17"/>
      <c r="AL2700" s="17"/>
    </row>
    <row r="2701" spans="37:38">
      <c r="AK2701" s="17"/>
      <c r="AL2701" s="17"/>
    </row>
    <row r="2702" spans="37:38">
      <c r="AK2702" s="17"/>
      <c r="AL2702" s="17"/>
    </row>
    <row r="2703" spans="37:38">
      <c r="AK2703" s="17"/>
      <c r="AL2703" s="17"/>
    </row>
    <row r="2704" spans="37:38">
      <c r="AK2704" s="17"/>
      <c r="AL2704" s="17"/>
    </row>
    <row r="2705" spans="37:38">
      <c r="AK2705" s="17"/>
      <c r="AL2705" s="17"/>
    </row>
    <row r="2706" spans="37:38">
      <c r="AK2706" s="17"/>
      <c r="AL2706" s="17"/>
    </row>
    <row r="2707" spans="37:38">
      <c r="AK2707" s="17"/>
      <c r="AL2707" s="17"/>
    </row>
    <row r="2708" spans="37:38">
      <c r="AK2708" s="17"/>
      <c r="AL2708" s="17"/>
    </row>
    <row r="2709" spans="37:38">
      <c r="AK2709" s="17"/>
      <c r="AL2709" s="17"/>
    </row>
    <row r="2710" spans="37:38">
      <c r="AK2710" s="17"/>
      <c r="AL2710" s="17"/>
    </row>
    <row r="2711" spans="37:38">
      <c r="AK2711" s="17"/>
      <c r="AL2711" s="17"/>
    </row>
    <row r="2712" spans="37:38">
      <c r="AK2712" s="17"/>
      <c r="AL2712" s="17"/>
    </row>
    <row r="2713" spans="37:38">
      <c r="AK2713" s="17"/>
      <c r="AL2713" s="17"/>
    </row>
    <row r="2714" spans="37:38">
      <c r="AK2714" s="17"/>
      <c r="AL2714" s="17"/>
    </row>
    <row r="2715" spans="37:38">
      <c r="AK2715" s="17"/>
      <c r="AL2715" s="17"/>
    </row>
    <row r="2716" spans="37:38">
      <c r="AK2716" s="17"/>
      <c r="AL2716" s="17"/>
    </row>
    <row r="2717" spans="37:38">
      <c r="AK2717" s="17"/>
      <c r="AL2717" s="17"/>
    </row>
    <row r="2718" spans="37:38">
      <c r="AK2718" s="17"/>
      <c r="AL2718" s="17"/>
    </row>
    <row r="2719" spans="37:38">
      <c r="AK2719" s="17"/>
      <c r="AL2719" s="17"/>
    </row>
    <row r="2720" spans="37:38">
      <c r="AK2720" s="17"/>
      <c r="AL2720" s="17"/>
    </row>
    <row r="2721" spans="37:38">
      <c r="AK2721" s="17"/>
      <c r="AL2721" s="17"/>
    </row>
    <row r="2722" spans="37:38">
      <c r="AK2722" s="17"/>
      <c r="AL2722" s="17"/>
    </row>
    <row r="2723" spans="37:38">
      <c r="AK2723" s="17"/>
      <c r="AL2723" s="17"/>
    </row>
    <row r="2724" spans="37:38">
      <c r="AK2724" s="17"/>
      <c r="AL2724" s="17"/>
    </row>
    <row r="2725" spans="37:38">
      <c r="AK2725" s="17"/>
      <c r="AL2725" s="17"/>
    </row>
    <row r="2726" spans="37:38">
      <c r="AK2726" s="17"/>
      <c r="AL2726" s="17"/>
    </row>
    <row r="2727" spans="37:38">
      <c r="AK2727" s="17"/>
      <c r="AL2727" s="17"/>
    </row>
    <row r="2728" spans="37:38">
      <c r="AK2728" s="17"/>
      <c r="AL2728" s="17"/>
    </row>
    <row r="2729" spans="37:38">
      <c r="AK2729" s="17"/>
      <c r="AL2729" s="17"/>
    </row>
    <row r="2730" spans="37:38">
      <c r="AK2730" s="17"/>
      <c r="AL2730" s="17"/>
    </row>
    <row r="2731" spans="37:38">
      <c r="AK2731" s="17"/>
      <c r="AL2731" s="17"/>
    </row>
    <row r="2732" spans="37:38">
      <c r="AK2732" s="17"/>
      <c r="AL2732" s="17"/>
    </row>
    <row r="2733" spans="37:38">
      <c r="AK2733" s="17"/>
      <c r="AL2733" s="17"/>
    </row>
    <row r="2734" spans="37:38">
      <c r="AK2734" s="17"/>
      <c r="AL2734" s="17"/>
    </row>
    <row r="2735" spans="37:38">
      <c r="AK2735" s="17"/>
      <c r="AL2735" s="17"/>
    </row>
    <row r="2736" spans="37:38">
      <c r="AK2736" s="17"/>
      <c r="AL2736" s="17"/>
    </row>
    <row r="2737" spans="37:38">
      <c r="AK2737" s="17"/>
      <c r="AL2737" s="17"/>
    </row>
    <row r="2738" spans="37:38">
      <c r="AK2738" s="17"/>
      <c r="AL2738" s="17"/>
    </row>
    <row r="2739" spans="37:38">
      <c r="AK2739" s="17"/>
      <c r="AL2739" s="17"/>
    </row>
    <row r="2740" spans="37:38">
      <c r="AK2740" s="17"/>
      <c r="AL2740" s="17"/>
    </row>
    <row r="2741" spans="37:38">
      <c r="AK2741" s="17"/>
      <c r="AL2741" s="17"/>
    </row>
    <row r="2742" spans="37:38">
      <c r="AK2742" s="17"/>
      <c r="AL2742" s="17"/>
    </row>
    <row r="2743" spans="37:38">
      <c r="AK2743" s="17"/>
      <c r="AL2743" s="17"/>
    </row>
    <row r="2744" spans="37:38">
      <c r="AK2744" s="17"/>
      <c r="AL2744" s="17"/>
    </row>
    <row r="2745" spans="37:38">
      <c r="AK2745" s="17"/>
      <c r="AL2745" s="17"/>
    </row>
    <row r="2746" spans="37:38">
      <c r="AK2746" s="17"/>
      <c r="AL2746" s="17"/>
    </row>
    <row r="2747" spans="37:38">
      <c r="AK2747" s="17"/>
      <c r="AL2747" s="17"/>
    </row>
    <row r="2748" spans="37:38">
      <c r="AK2748" s="17"/>
      <c r="AL2748" s="17"/>
    </row>
    <row r="2749" spans="37:38">
      <c r="AK2749" s="17"/>
      <c r="AL2749" s="17"/>
    </row>
    <row r="2750" spans="37:38">
      <c r="AK2750" s="17"/>
      <c r="AL2750" s="17"/>
    </row>
    <row r="2751" spans="37:38">
      <c r="AK2751" s="17"/>
      <c r="AL2751" s="17"/>
    </row>
    <row r="2752" spans="37:38">
      <c r="AK2752" s="17"/>
      <c r="AL2752" s="17"/>
    </row>
    <row r="2753" spans="37:38">
      <c r="AK2753" s="17"/>
      <c r="AL2753" s="17"/>
    </row>
    <row r="2754" spans="37:38">
      <c r="AK2754" s="17"/>
      <c r="AL2754" s="17"/>
    </row>
    <row r="2755" spans="37:38">
      <c r="AK2755" s="17"/>
      <c r="AL2755" s="17"/>
    </row>
    <row r="2756" spans="37:38">
      <c r="AK2756" s="17"/>
      <c r="AL2756" s="17"/>
    </row>
    <row r="2757" spans="37:38">
      <c r="AK2757" s="17"/>
      <c r="AL2757" s="17"/>
    </row>
    <row r="2758" spans="37:38">
      <c r="AK2758" s="17"/>
      <c r="AL2758" s="17"/>
    </row>
    <row r="2759" spans="37:38">
      <c r="AK2759" s="17"/>
      <c r="AL2759" s="17"/>
    </row>
    <row r="2760" spans="37:38">
      <c r="AK2760" s="17"/>
      <c r="AL2760" s="17"/>
    </row>
    <row r="2761" spans="37:38">
      <c r="AK2761" s="17"/>
      <c r="AL2761" s="17"/>
    </row>
    <row r="2762" spans="37:38">
      <c r="AK2762" s="17"/>
      <c r="AL2762" s="17"/>
    </row>
    <row r="2763" spans="37:38">
      <c r="AK2763" s="17"/>
      <c r="AL2763" s="17"/>
    </row>
    <row r="2764" spans="37:38">
      <c r="AK2764" s="17"/>
      <c r="AL2764" s="17"/>
    </row>
    <row r="2765" spans="37:38">
      <c r="AK2765" s="17"/>
      <c r="AL2765" s="17"/>
    </row>
    <row r="2766" spans="37:38">
      <c r="AK2766" s="17"/>
      <c r="AL2766" s="17"/>
    </row>
    <row r="2767" spans="37:38">
      <c r="AK2767" s="17"/>
      <c r="AL2767" s="17"/>
    </row>
    <row r="2768" spans="37:38">
      <c r="AK2768" s="17"/>
      <c r="AL2768" s="17"/>
    </row>
    <row r="2769" spans="37:38">
      <c r="AK2769" s="17"/>
      <c r="AL2769" s="17"/>
    </row>
    <row r="2770" spans="37:38">
      <c r="AK2770" s="17"/>
      <c r="AL2770" s="17"/>
    </row>
    <row r="2771" spans="37:38">
      <c r="AK2771" s="17"/>
      <c r="AL2771" s="17"/>
    </row>
    <row r="2772" spans="37:38">
      <c r="AK2772" s="17"/>
      <c r="AL2772" s="17"/>
    </row>
    <row r="2773" spans="37:38">
      <c r="AK2773" s="17"/>
      <c r="AL2773" s="17"/>
    </row>
    <row r="2774" spans="37:38">
      <c r="AK2774" s="17"/>
      <c r="AL2774" s="17"/>
    </row>
    <row r="2775" spans="37:38">
      <c r="AK2775" s="17"/>
      <c r="AL2775" s="17"/>
    </row>
    <row r="2776" spans="37:38">
      <c r="AK2776" s="17"/>
      <c r="AL2776" s="17"/>
    </row>
    <row r="2777" spans="37:38">
      <c r="AK2777" s="17"/>
      <c r="AL2777" s="17"/>
    </row>
    <row r="2778" spans="37:38">
      <c r="AK2778" s="17"/>
      <c r="AL2778" s="17"/>
    </row>
    <row r="2779" spans="37:38">
      <c r="AK2779" s="17"/>
      <c r="AL2779" s="17"/>
    </row>
    <row r="2780" spans="37:38">
      <c r="AK2780" s="17"/>
      <c r="AL2780" s="17"/>
    </row>
    <row r="2781" spans="37:38">
      <c r="AK2781" s="17"/>
      <c r="AL2781" s="17"/>
    </row>
    <row r="2782" spans="37:38">
      <c r="AK2782" s="17"/>
      <c r="AL2782" s="17"/>
    </row>
    <row r="2783" spans="37:38">
      <c r="AK2783" s="17"/>
      <c r="AL2783" s="17"/>
    </row>
    <row r="2784" spans="37:38">
      <c r="AK2784" s="17"/>
      <c r="AL2784" s="17"/>
    </row>
    <row r="2785" spans="37:38">
      <c r="AK2785" s="17"/>
      <c r="AL2785" s="17"/>
    </row>
    <row r="2786" spans="37:38">
      <c r="AK2786" s="17"/>
      <c r="AL2786" s="17"/>
    </row>
    <row r="2787" spans="37:38">
      <c r="AK2787" s="17"/>
      <c r="AL2787" s="17"/>
    </row>
    <row r="2788" spans="37:38">
      <c r="AK2788" s="17"/>
      <c r="AL2788" s="17"/>
    </row>
    <row r="2789" spans="37:38">
      <c r="AK2789" s="17"/>
      <c r="AL2789" s="17"/>
    </row>
    <row r="2790" spans="37:38">
      <c r="AK2790" s="17"/>
      <c r="AL2790" s="17"/>
    </row>
    <row r="2791" spans="37:38">
      <c r="AK2791" s="17"/>
      <c r="AL2791" s="17"/>
    </row>
    <row r="2792" spans="37:38">
      <c r="AK2792" s="17"/>
      <c r="AL2792" s="17"/>
    </row>
    <row r="2793" spans="37:38">
      <c r="AK2793" s="17"/>
      <c r="AL2793" s="17"/>
    </row>
    <row r="2794" spans="37:38">
      <c r="AK2794" s="17"/>
      <c r="AL2794" s="17"/>
    </row>
    <row r="2795" spans="37:38">
      <c r="AK2795" s="17"/>
      <c r="AL2795" s="17"/>
    </row>
    <row r="2796" spans="37:38">
      <c r="AK2796" s="17"/>
      <c r="AL2796" s="17"/>
    </row>
    <row r="2797" spans="37:38">
      <c r="AK2797" s="17"/>
      <c r="AL2797" s="17"/>
    </row>
    <row r="2798" spans="37:38">
      <c r="AK2798" s="17"/>
      <c r="AL2798" s="17"/>
    </row>
    <row r="2799" spans="37:38">
      <c r="AK2799" s="17"/>
      <c r="AL2799" s="17"/>
    </row>
    <row r="2800" spans="37:38">
      <c r="AK2800" s="17"/>
      <c r="AL2800" s="17"/>
    </row>
    <row r="2801" spans="37:38">
      <c r="AK2801" s="17"/>
      <c r="AL2801" s="17"/>
    </row>
    <row r="2802" spans="37:38">
      <c r="AK2802" s="17"/>
      <c r="AL2802" s="17"/>
    </row>
    <row r="2803" spans="37:38">
      <c r="AK2803" s="17"/>
      <c r="AL2803" s="17"/>
    </row>
    <row r="2804" spans="37:38">
      <c r="AK2804" s="17"/>
      <c r="AL2804" s="17"/>
    </row>
    <row r="2805" spans="37:38">
      <c r="AK2805" s="17"/>
      <c r="AL2805" s="17"/>
    </row>
    <row r="2806" spans="37:38">
      <c r="AK2806" s="17"/>
      <c r="AL2806" s="17"/>
    </row>
    <row r="2807" spans="37:38">
      <c r="AK2807" s="17"/>
      <c r="AL2807" s="17"/>
    </row>
    <row r="2808" spans="37:38">
      <c r="AK2808" s="17"/>
      <c r="AL2808" s="17"/>
    </row>
    <row r="2809" spans="37:38">
      <c r="AK2809" s="17"/>
      <c r="AL2809" s="17"/>
    </row>
    <row r="2810" spans="37:38">
      <c r="AK2810" s="17"/>
      <c r="AL2810" s="17"/>
    </row>
    <row r="2811" spans="37:38">
      <c r="AK2811" s="17"/>
      <c r="AL2811" s="17"/>
    </row>
    <row r="2812" spans="37:38">
      <c r="AK2812" s="17"/>
      <c r="AL2812" s="17"/>
    </row>
    <row r="2813" spans="37:38">
      <c r="AK2813" s="17"/>
      <c r="AL2813" s="17"/>
    </row>
    <row r="2814" spans="37:38">
      <c r="AK2814" s="17"/>
      <c r="AL2814" s="17"/>
    </row>
    <row r="2815" spans="37:38">
      <c r="AK2815" s="17"/>
      <c r="AL2815" s="17"/>
    </row>
    <row r="2816" spans="37:38">
      <c r="AK2816" s="17"/>
      <c r="AL2816" s="17"/>
    </row>
    <row r="2817" spans="37:38">
      <c r="AK2817" s="17"/>
      <c r="AL2817" s="17"/>
    </row>
    <row r="2818" spans="37:38">
      <c r="AK2818" s="17"/>
      <c r="AL2818" s="17"/>
    </row>
    <row r="2819" spans="37:38">
      <c r="AK2819" s="17"/>
      <c r="AL2819" s="17"/>
    </row>
    <row r="2820" spans="37:38">
      <c r="AK2820" s="17"/>
      <c r="AL2820" s="17"/>
    </row>
    <row r="2821" spans="37:38">
      <c r="AK2821" s="17"/>
      <c r="AL2821" s="17"/>
    </row>
    <row r="2822" spans="37:38">
      <c r="AK2822" s="17"/>
      <c r="AL2822" s="17"/>
    </row>
    <row r="2823" spans="37:38">
      <c r="AK2823" s="17"/>
      <c r="AL2823" s="17"/>
    </row>
    <row r="2824" spans="37:38">
      <c r="AK2824" s="17"/>
      <c r="AL2824" s="17"/>
    </row>
    <row r="2825" spans="37:38">
      <c r="AK2825" s="17"/>
      <c r="AL2825" s="17"/>
    </row>
    <row r="2826" spans="37:38">
      <c r="AK2826" s="17"/>
      <c r="AL2826" s="17"/>
    </row>
    <row r="2827" spans="37:38">
      <c r="AK2827" s="17"/>
      <c r="AL2827" s="17"/>
    </row>
    <row r="2828" spans="37:38">
      <c r="AK2828" s="17"/>
      <c r="AL2828" s="17"/>
    </row>
    <row r="2829" spans="37:38">
      <c r="AK2829" s="17"/>
      <c r="AL2829" s="17"/>
    </row>
    <row r="2830" spans="37:38">
      <c r="AK2830" s="17"/>
      <c r="AL2830" s="17"/>
    </row>
    <row r="2831" spans="37:38">
      <c r="AK2831" s="17"/>
      <c r="AL2831" s="17"/>
    </row>
    <row r="2832" spans="37:38">
      <c r="AK2832" s="17"/>
      <c r="AL2832" s="17"/>
    </row>
    <row r="2833" spans="37:38">
      <c r="AK2833" s="17"/>
      <c r="AL2833" s="17"/>
    </row>
    <row r="2834" spans="37:38">
      <c r="AK2834" s="17"/>
      <c r="AL2834" s="17"/>
    </row>
    <row r="2835" spans="37:38">
      <c r="AK2835" s="17"/>
      <c r="AL2835" s="17"/>
    </row>
    <row r="2836" spans="37:38">
      <c r="AK2836" s="17"/>
      <c r="AL2836" s="17"/>
    </row>
    <row r="2837" spans="37:38">
      <c r="AK2837" s="17"/>
      <c r="AL2837" s="17"/>
    </row>
    <row r="2838" spans="37:38">
      <c r="AK2838" s="17"/>
      <c r="AL2838" s="17"/>
    </row>
    <row r="2839" spans="37:38">
      <c r="AK2839" s="17"/>
      <c r="AL2839" s="17"/>
    </row>
    <row r="2840" spans="37:38">
      <c r="AK2840" s="17"/>
      <c r="AL2840" s="17"/>
    </row>
    <row r="2841" spans="37:38">
      <c r="AK2841" s="17"/>
      <c r="AL2841" s="17"/>
    </row>
    <row r="2842" spans="37:38">
      <c r="AK2842" s="17"/>
      <c r="AL2842" s="17"/>
    </row>
    <row r="2843" spans="37:38">
      <c r="AK2843" s="17"/>
      <c r="AL2843" s="17"/>
    </row>
    <row r="2844" spans="37:38">
      <c r="AK2844" s="17"/>
      <c r="AL2844" s="17"/>
    </row>
    <row r="2845" spans="37:38">
      <c r="AK2845" s="17"/>
      <c r="AL2845" s="17"/>
    </row>
    <row r="2846" spans="37:38">
      <c r="AK2846" s="17"/>
      <c r="AL2846" s="17"/>
    </row>
    <row r="2847" spans="37:38">
      <c r="AK2847" s="17"/>
      <c r="AL2847" s="17"/>
    </row>
    <row r="2848" spans="37:38">
      <c r="AK2848" s="17"/>
      <c r="AL2848" s="17"/>
    </row>
    <row r="2849" spans="37:38">
      <c r="AK2849" s="17"/>
      <c r="AL2849" s="17"/>
    </row>
    <row r="2850" spans="37:38">
      <c r="AK2850" s="17"/>
      <c r="AL2850" s="17"/>
    </row>
    <row r="2851" spans="37:38">
      <c r="AK2851" s="17"/>
      <c r="AL2851" s="17"/>
    </row>
    <row r="2852" spans="37:38">
      <c r="AK2852" s="17"/>
      <c r="AL2852" s="17"/>
    </row>
    <row r="2853" spans="37:38">
      <c r="AK2853" s="17"/>
      <c r="AL2853" s="17"/>
    </row>
    <row r="2854" spans="37:38">
      <c r="AK2854" s="17"/>
      <c r="AL2854" s="17"/>
    </row>
    <row r="2855" spans="37:38">
      <c r="AK2855" s="17"/>
      <c r="AL2855" s="17"/>
    </row>
    <row r="2856" spans="37:38">
      <c r="AK2856" s="17"/>
      <c r="AL2856" s="17"/>
    </row>
    <row r="2857" spans="37:38">
      <c r="AK2857" s="17"/>
      <c r="AL2857" s="17"/>
    </row>
    <row r="2858" spans="37:38">
      <c r="AK2858" s="17"/>
      <c r="AL2858" s="17"/>
    </row>
    <row r="2859" spans="37:38">
      <c r="AK2859" s="17"/>
      <c r="AL2859" s="17"/>
    </row>
    <row r="2860" spans="37:38">
      <c r="AK2860" s="17"/>
      <c r="AL2860" s="17"/>
    </row>
    <row r="2861" spans="37:38">
      <c r="AK2861" s="17"/>
      <c r="AL2861" s="17"/>
    </row>
    <row r="2862" spans="37:38">
      <c r="AK2862" s="17"/>
      <c r="AL2862" s="17"/>
    </row>
    <row r="2863" spans="37:38">
      <c r="AK2863" s="17"/>
      <c r="AL2863" s="17"/>
    </row>
    <row r="2864" spans="37:38">
      <c r="AK2864" s="17"/>
      <c r="AL2864" s="17"/>
    </row>
    <row r="2865" spans="37:38">
      <c r="AK2865" s="17"/>
      <c r="AL2865" s="17"/>
    </row>
    <row r="2866" spans="37:38">
      <c r="AK2866" s="17"/>
      <c r="AL2866" s="17"/>
    </row>
    <row r="2867" spans="37:38">
      <c r="AK2867" s="17"/>
      <c r="AL2867" s="17"/>
    </row>
    <row r="2868" spans="37:38">
      <c r="AK2868" s="17"/>
      <c r="AL2868" s="17"/>
    </row>
    <row r="2869" spans="37:38">
      <c r="AK2869" s="17"/>
      <c r="AL2869" s="17"/>
    </row>
    <row r="2870" spans="37:38">
      <c r="AK2870" s="17"/>
      <c r="AL2870" s="17"/>
    </row>
    <row r="2871" spans="37:38">
      <c r="AK2871" s="17"/>
      <c r="AL2871" s="17"/>
    </row>
    <row r="2872" spans="37:38">
      <c r="AK2872" s="17"/>
      <c r="AL2872" s="17"/>
    </row>
    <row r="2873" spans="37:38">
      <c r="AK2873" s="17"/>
      <c r="AL2873" s="17"/>
    </row>
    <row r="2874" spans="37:38">
      <c r="AK2874" s="17"/>
      <c r="AL2874" s="17"/>
    </row>
    <row r="2875" spans="37:38">
      <c r="AK2875" s="17"/>
      <c r="AL2875" s="17"/>
    </row>
    <row r="2876" spans="37:38">
      <c r="AK2876" s="17"/>
      <c r="AL2876" s="17"/>
    </row>
    <row r="2877" spans="37:38">
      <c r="AK2877" s="17"/>
      <c r="AL2877" s="17"/>
    </row>
    <row r="2878" spans="37:38">
      <c r="AK2878" s="17"/>
      <c r="AL2878" s="17"/>
    </row>
    <row r="2879" spans="37:38">
      <c r="AK2879" s="17"/>
      <c r="AL2879" s="17"/>
    </row>
    <row r="2880" spans="37:38">
      <c r="AK2880" s="17"/>
      <c r="AL2880" s="17"/>
    </row>
    <row r="2881" spans="37:38">
      <c r="AK2881" s="17"/>
      <c r="AL2881" s="17"/>
    </row>
    <row r="2882" spans="37:38">
      <c r="AK2882" s="17"/>
      <c r="AL2882" s="17"/>
    </row>
    <row r="2883" spans="37:38">
      <c r="AK2883" s="17"/>
      <c r="AL2883" s="17"/>
    </row>
    <row r="2884" spans="37:38">
      <c r="AK2884" s="17"/>
      <c r="AL2884" s="17"/>
    </row>
    <row r="2885" spans="37:38">
      <c r="AK2885" s="17"/>
      <c r="AL2885" s="17"/>
    </row>
    <row r="2886" spans="37:38">
      <c r="AK2886" s="17"/>
      <c r="AL2886" s="17"/>
    </row>
    <row r="2887" spans="37:38">
      <c r="AK2887" s="17"/>
      <c r="AL2887" s="17"/>
    </row>
    <row r="2888" spans="37:38">
      <c r="AK2888" s="17"/>
      <c r="AL2888" s="17"/>
    </row>
    <row r="2889" spans="37:38">
      <c r="AK2889" s="17"/>
      <c r="AL2889" s="17"/>
    </row>
    <row r="2890" spans="37:38">
      <c r="AK2890" s="17"/>
      <c r="AL2890" s="17"/>
    </row>
    <row r="2891" spans="37:38">
      <c r="AK2891" s="17"/>
      <c r="AL2891" s="17"/>
    </row>
    <row r="2892" spans="37:38">
      <c r="AK2892" s="17"/>
      <c r="AL2892" s="17"/>
    </row>
    <row r="2893" spans="37:38">
      <c r="AK2893" s="17"/>
      <c r="AL2893" s="17"/>
    </row>
    <row r="2894" spans="37:38">
      <c r="AK2894" s="17"/>
      <c r="AL2894" s="17"/>
    </row>
    <row r="2895" spans="37:38">
      <c r="AK2895" s="17"/>
      <c r="AL2895" s="17"/>
    </row>
    <row r="2896" spans="37:38">
      <c r="AK2896" s="17"/>
      <c r="AL2896" s="17"/>
    </row>
    <row r="2897" spans="37:38">
      <c r="AK2897" s="17"/>
      <c r="AL2897" s="17"/>
    </row>
    <row r="2898" spans="37:38">
      <c r="AK2898" s="17"/>
      <c r="AL2898" s="17"/>
    </row>
    <row r="2899" spans="37:38">
      <c r="AK2899" s="17"/>
      <c r="AL2899" s="17"/>
    </row>
    <row r="2900" spans="37:38">
      <c r="AK2900" s="17"/>
      <c r="AL2900" s="17"/>
    </row>
    <row r="2901" spans="37:38">
      <c r="AK2901" s="17"/>
      <c r="AL2901" s="17"/>
    </row>
    <row r="2902" spans="37:38">
      <c r="AK2902" s="17"/>
      <c r="AL2902" s="17"/>
    </row>
    <row r="2903" spans="37:38">
      <c r="AK2903" s="17"/>
      <c r="AL2903" s="17"/>
    </row>
    <row r="2904" spans="37:38">
      <c r="AK2904" s="17"/>
      <c r="AL2904" s="17"/>
    </row>
    <row r="2905" spans="37:38">
      <c r="AK2905" s="17"/>
      <c r="AL2905" s="17"/>
    </row>
    <row r="2906" spans="37:38">
      <c r="AK2906" s="17"/>
      <c r="AL2906" s="17"/>
    </row>
    <row r="2907" spans="37:38">
      <c r="AK2907" s="17"/>
      <c r="AL2907" s="17"/>
    </row>
    <row r="2908" spans="37:38">
      <c r="AK2908" s="17"/>
      <c r="AL2908" s="17"/>
    </row>
    <row r="2909" spans="37:38">
      <c r="AK2909" s="17"/>
      <c r="AL2909" s="17"/>
    </row>
    <row r="2910" spans="37:38">
      <c r="AK2910" s="17"/>
      <c r="AL2910" s="17"/>
    </row>
    <row r="2911" spans="37:38">
      <c r="AK2911" s="17"/>
      <c r="AL2911" s="17"/>
    </row>
    <row r="2912" spans="37:38">
      <c r="AK2912" s="17"/>
      <c r="AL2912" s="17"/>
    </row>
    <row r="2913" spans="37:38">
      <c r="AK2913" s="17"/>
      <c r="AL2913" s="17"/>
    </row>
    <row r="2914" spans="37:38">
      <c r="AK2914" s="17"/>
      <c r="AL2914" s="17"/>
    </row>
    <row r="2915" spans="37:38">
      <c r="AK2915" s="17"/>
      <c r="AL2915" s="17"/>
    </row>
    <row r="2916" spans="37:38">
      <c r="AK2916" s="17"/>
      <c r="AL2916" s="17"/>
    </row>
    <row r="2917" spans="37:38">
      <c r="AK2917" s="17"/>
      <c r="AL2917" s="17"/>
    </row>
    <row r="2918" spans="37:38">
      <c r="AK2918" s="17"/>
      <c r="AL2918" s="17"/>
    </row>
    <row r="2919" spans="37:38">
      <c r="AK2919" s="17"/>
      <c r="AL2919" s="17"/>
    </row>
    <row r="2920" spans="37:38">
      <c r="AK2920" s="17"/>
      <c r="AL2920" s="17"/>
    </row>
    <row r="2921" spans="37:38">
      <c r="AK2921" s="17"/>
      <c r="AL2921" s="17"/>
    </row>
    <row r="2922" spans="37:38">
      <c r="AK2922" s="17"/>
      <c r="AL2922" s="17"/>
    </row>
    <row r="2923" spans="37:38">
      <c r="AK2923" s="17"/>
      <c r="AL2923" s="17"/>
    </row>
    <row r="2924" spans="37:38">
      <c r="AK2924" s="17"/>
      <c r="AL2924" s="17"/>
    </row>
    <row r="2925" spans="37:38">
      <c r="AK2925" s="17"/>
      <c r="AL2925" s="17"/>
    </row>
    <row r="2926" spans="37:38">
      <c r="AK2926" s="17"/>
      <c r="AL2926" s="17"/>
    </row>
    <row r="2927" spans="37:38">
      <c r="AK2927" s="17"/>
      <c r="AL2927" s="17"/>
    </row>
    <row r="2928" spans="37:38">
      <c r="AK2928" s="17"/>
      <c r="AL2928" s="17"/>
    </row>
    <row r="2929" spans="37:38">
      <c r="AK2929" s="17"/>
      <c r="AL2929" s="17"/>
    </row>
    <row r="2930" spans="37:38">
      <c r="AK2930" s="17"/>
      <c r="AL2930" s="17"/>
    </row>
    <row r="2931" spans="37:38">
      <c r="AK2931" s="17"/>
      <c r="AL2931" s="17"/>
    </row>
    <row r="2932" spans="37:38">
      <c r="AK2932" s="17"/>
      <c r="AL2932" s="17"/>
    </row>
    <row r="2933" spans="37:38">
      <c r="AK2933" s="17"/>
      <c r="AL2933" s="17"/>
    </row>
    <row r="2934" spans="37:38">
      <c r="AK2934" s="17"/>
      <c r="AL2934" s="17"/>
    </row>
    <row r="2935" spans="37:38">
      <c r="AK2935" s="17"/>
      <c r="AL2935" s="17"/>
    </row>
    <row r="2936" spans="37:38">
      <c r="AK2936" s="17"/>
      <c r="AL2936" s="17"/>
    </row>
    <row r="2937" spans="37:38">
      <c r="AK2937" s="17"/>
      <c r="AL2937" s="17"/>
    </row>
    <row r="2938" spans="37:38">
      <c r="AK2938" s="17"/>
      <c r="AL2938" s="17"/>
    </row>
    <row r="2939" spans="37:38">
      <c r="AK2939" s="17"/>
      <c r="AL2939" s="17"/>
    </row>
    <row r="2940" spans="37:38">
      <c r="AK2940" s="17"/>
      <c r="AL2940" s="17"/>
    </row>
    <row r="2941" spans="37:38">
      <c r="AK2941" s="17"/>
      <c r="AL2941" s="17"/>
    </row>
    <row r="2942" spans="37:38">
      <c r="AK2942" s="17"/>
      <c r="AL2942" s="17"/>
    </row>
    <row r="2943" spans="37:38">
      <c r="AK2943" s="17"/>
      <c r="AL2943" s="17"/>
    </row>
    <row r="2944" spans="37:38">
      <c r="AK2944" s="17"/>
      <c r="AL2944" s="17"/>
    </row>
    <row r="2945" spans="37:38">
      <c r="AK2945" s="17"/>
      <c r="AL2945" s="17"/>
    </row>
    <row r="2946" spans="37:38">
      <c r="AK2946" s="17"/>
      <c r="AL2946" s="17"/>
    </row>
    <row r="2947" spans="37:38">
      <c r="AK2947" s="17"/>
      <c r="AL2947" s="17"/>
    </row>
    <row r="2948" spans="37:38">
      <c r="AK2948" s="17"/>
      <c r="AL2948" s="17"/>
    </row>
    <row r="2949" spans="37:38">
      <c r="AK2949" s="17"/>
      <c r="AL2949" s="17"/>
    </row>
    <row r="2950" spans="37:38">
      <c r="AK2950" s="17"/>
      <c r="AL2950" s="17"/>
    </row>
    <row r="2951" spans="37:38">
      <c r="AK2951" s="17"/>
      <c r="AL2951" s="17"/>
    </row>
    <row r="2952" spans="37:38">
      <c r="AK2952" s="17"/>
      <c r="AL2952" s="17"/>
    </row>
    <row r="2953" spans="37:38">
      <c r="AK2953" s="17"/>
      <c r="AL2953" s="17"/>
    </row>
    <row r="2954" spans="37:38">
      <c r="AK2954" s="17"/>
      <c r="AL2954" s="17"/>
    </row>
    <row r="2955" spans="37:38">
      <c r="AK2955" s="17"/>
      <c r="AL2955" s="17"/>
    </row>
    <row r="2956" spans="37:38">
      <c r="AK2956" s="17"/>
      <c r="AL2956" s="17"/>
    </row>
    <row r="2957" spans="37:38">
      <c r="AK2957" s="17"/>
      <c r="AL2957" s="17"/>
    </row>
    <row r="2958" spans="37:38">
      <c r="AK2958" s="17"/>
      <c r="AL2958" s="17"/>
    </row>
    <row r="2959" spans="37:38">
      <c r="AK2959" s="17"/>
      <c r="AL2959" s="17"/>
    </row>
    <row r="2960" spans="37:38">
      <c r="AK2960" s="17"/>
      <c r="AL2960" s="17"/>
    </row>
    <row r="2961" spans="37:38">
      <c r="AK2961" s="17"/>
      <c r="AL2961" s="17"/>
    </row>
    <row r="2962" spans="37:38">
      <c r="AK2962" s="17"/>
      <c r="AL2962" s="17"/>
    </row>
    <row r="2963" spans="37:38">
      <c r="AK2963" s="17"/>
      <c r="AL2963" s="17"/>
    </row>
    <row r="2964" spans="37:38">
      <c r="AK2964" s="17"/>
      <c r="AL2964" s="17"/>
    </row>
    <row r="2965" spans="37:38">
      <c r="AK2965" s="17"/>
      <c r="AL2965" s="17"/>
    </row>
    <row r="2966" spans="37:38">
      <c r="AK2966" s="17"/>
      <c r="AL2966" s="17"/>
    </row>
    <row r="2967" spans="37:38">
      <c r="AK2967" s="17"/>
      <c r="AL2967" s="17"/>
    </row>
    <row r="2968" spans="37:38">
      <c r="AK2968" s="17"/>
      <c r="AL2968" s="17"/>
    </row>
    <row r="2969" spans="37:38">
      <c r="AK2969" s="17"/>
      <c r="AL2969" s="17"/>
    </row>
    <row r="2970" spans="37:38">
      <c r="AK2970" s="17"/>
      <c r="AL2970" s="17"/>
    </row>
    <row r="2971" spans="37:38">
      <c r="AK2971" s="17"/>
      <c r="AL2971" s="17"/>
    </row>
    <row r="2972" spans="37:38">
      <c r="AK2972" s="17"/>
      <c r="AL2972" s="17"/>
    </row>
    <row r="2973" spans="37:38">
      <c r="AK2973" s="17"/>
      <c r="AL2973" s="17"/>
    </row>
    <row r="2974" spans="37:38">
      <c r="AK2974" s="17"/>
      <c r="AL2974" s="17"/>
    </row>
    <row r="2975" spans="37:38">
      <c r="AK2975" s="17"/>
      <c r="AL2975" s="17"/>
    </row>
    <row r="2976" spans="37:38">
      <c r="AK2976" s="17"/>
      <c r="AL2976" s="17"/>
    </row>
    <row r="2977" spans="37:38">
      <c r="AK2977" s="17"/>
      <c r="AL2977" s="17"/>
    </row>
    <row r="2978" spans="37:38">
      <c r="AK2978" s="17"/>
      <c r="AL2978" s="17"/>
    </row>
    <row r="2979" spans="37:38">
      <c r="AK2979" s="17"/>
      <c r="AL2979" s="17"/>
    </row>
    <row r="2980" spans="37:38">
      <c r="AK2980" s="17"/>
      <c r="AL2980" s="17"/>
    </row>
    <row r="2981" spans="37:38">
      <c r="AK2981" s="17"/>
      <c r="AL2981" s="17"/>
    </row>
    <row r="2982" spans="37:38">
      <c r="AK2982" s="17"/>
      <c r="AL2982" s="17"/>
    </row>
    <row r="2983" spans="37:38">
      <c r="AK2983" s="17"/>
      <c r="AL2983" s="17"/>
    </row>
    <row r="2984" spans="37:38">
      <c r="AK2984" s="17"/>
      <c r="AL2984" s="17"/>
    </row>
    <row r="2985" spans="37:38">
      <c r="AK2985" s="17"/>
      <c r="AL2985" s="17"/>
    </row>
    <row r="2986" spans="37:38">
      <c r="AK2986" s="17"/>
      <c r="AL2986" s="17"/>
    </row>
    <row r="2987" spans="37:38">
      <c r="AK2987" s="17"/>
      <c r="AL2987" s="17"/>
    </row>
    <row r="2988" spans="37:38">
      <c r="AK2988" s="17"/>
      <c r="AL2988" s="17"/>
    </row>
    <row r="2989" spans="37:38">
      <c r="AK2989" s="17"/>
      <c r="AL2989" s="17"/>
    </row>
    <row r="2990" spans="37:38">
      <c r="AK2990" s="17"/>
      <c r="AL2990" s="17"/>
    </row>
    <row r="2991" spans="37:38">
      <c r="AK2991" s="17"/>
      <c r="AL2991" s="17"/>
    </row>
    <row r="2992" spans="37:38">
      <c r="AK2992" s="17"/>
      <c r="AL2992" s="17"/>
    </row>
    <row r="2993" spans="37:38">
      <c r="AK2993" s="17"/>
      <c r="AL2993" s="17"/>
    </row>
    <row r="2994" spans="37:38">
      <c r="AK2994" s="17"/>
      <c r="AL2994" s="17"/>
    </row>
    <row r="2995" spans="37:38">
      <c r="AK2995" s="17"/>
      <c r="AL2995" s="17"/>
    </row>
    <row r="2996" spans="37:38">
      <c r="AK2996" s="17"/>
      <c r="AL2996" s="17"/>
    </row>
    <row r="2997" spans="37:38">
      <c r="AK2997" s="17"/>
      <c r="AL2997" s="17"/>
    </row>
    <row r="2998" spans="37:38">
      <c r="AK2998" s="17"/>
      <c r="AL2998" s="17"/>
    </row>
    <row r="2999" spans="37:38">
      <c r="AK2999" s="17"/>
      <c r="AL2999" s="17"/>
    </row>
    <row r="3000" spans="37:38">
      <c r="AK3000" s="17"/>
      <c r="AL3000" s="17"/>
    </row>
    <row r="3001" spans="37:38">
      <c r="AK3001" s="17"/>
      <c r="AL3001" s="17"/>
    </row>
    <row r="3002" spans="37:38">
      <c r="AK3002" s="17"/>
      <c r="AL3002" s="17"/>
    </row>
    <row r="3003" spans="37:38">
      <c r="AK3003" s="17"/>
      <c r="AL3003" s="17"/>
    </row>
    <row r="3004" spans="37:38">
      <c r="AK3004" s="17"/>
      <c r="AL3004" s="17"/>
    </row>
    <row r="3005" spans="37:38">
      <c r="AK3005" s="17"/>
      <c r="AL3005" s="17"/>
    </row>
    <row r="3006" spans="37:38">
      <c r="AK3006" s="17"/>
      <c r="AL3006" s="17"/>
    </row>
    <row r="3007" spans="37:38">
      <c r="AK3007" s="17"/>
      <c r="AL3007" s="17"/>
    </row>
    <row r="3008" spans="37:38">
      <c r="AK3008" s="17"/>
      <c r="AL3008" s="17"/>
    </row>
    <row r="3009" spans="37:38">
      <c r="AK3009" s="17"/>
      <c r="AL3009" s="17"/>
    </row>
    <row r="3010" spans="37:38">
      <c r="AK3010" s="17"/>
      <c r="AL3010" s="17"/>
    </row>
    <row r="3011" spans="37:38">
      <c r="AK3011" s="17"/>
      <c r="AL3011" s="17"/>
    </row>
    <row r="3012" spans="37:38">
      <c r="AK3012" s="17"/>
      <c r="AL3012" s="17"/>
    </row>
    <row r="3013" spans="37:38">
      <c r="AK3013" s="17"/>
      <c r="AL3013" s="17"/>
    </row>
    <row r="3014" spans="37:38">
      <c r="AK3014" s="17"/>
      <c r="AL3014" s="17"/>
    </row>
    <row r="3015" spans="37:38">
      <c r="AK3015" s="17"/>
      <c r="AL3015" s="17"/>
    </row>
    <row r="3016" spans="37:38">
      <c r="AK3016" s="17"/>
      <c r="AL3016" s="17"/>
    </row>
    <row r="3017" spans="37:38">
      <c r="AK3017" s="17"/>
      <c r="AL3017" s="17"/>
    </row>
    <row r="3018" spans="37:38">
      <c r="AK3018" s="17"/>
      <c r="AL3018" s="17"/>
    </row>
    <row r="3019" spans="37:38">
      <c r="AK3019" s="17"/>
      <c r="AL3019" s="17"/>
    </row>
    <row r="3020" spans="37:38">
      <c r="AK3020" s="17"/>
      <c r="AL3020" s="17"/>
    </row>
    <row r="3021" spans="37:38">
      <c r="AK3021" s="17"/>
      <c r="AL3021" s="17"/>
    </row>
    <row r="3022" spans="37:38">
      <c r="AK3022" s="17"/>
      <c r="AL3022" s="17"/>
    </row>
    <row r="3023" spans="37:38">
      <c r="AK3023" s="17"/>
      <c r="AL3023" s="17"/>
    </row>
    <row r="3024" spans="37:38">
      <c r="AK3024" s="17"/>
      <c r="AL3024" s="17"/>
    </row>
    <row r="3025" spans="37:38">
      <c r="AK3025" s="17"/>
      <c r="AL3025" s="17"/>
    </row>
    <row r="3026" spans="37:38">
      <c r="AK3026" s="17"/>
      <c r="AL3026" s="17"/>
    </row>
    <row r="3027" spans="37:38">
      <c r="AK3027" s="17"/>
      <c r="AL3027" s="17"/>
    </row>
    <row r="3028" spans="37:38">
      <c r="AK3028" s="17"/>
      <c r="AL3028" s="17"/>
    </row>
    <row r="3029" spans="37:38">
      <c r="AK3029" s="17"/>
      <c r="AL3029" s="17"/>
    </row>
    <row r="3030" spans="37:38">
      <c r="AK3030" s="17"/>
      <c r="AL3030" s="17"/>
    </row>
    <row r="3031" spans="37:38">
      <c r="AK3031" s="17"/>
      <c r="AL3031" s="17"/>
    </row>
    <row r="3032" spans="37:38">
      <c r="AK3032" s="17"/>
      <c r="AL3032" s="17"/>
    </row>
    <row r="3033" spans="37:38">
      <c r="AK3033" s="17"/>
      <c r="AL3033" s="17"/>
    </row>
    <row r="3034" spans="37:38">
      <c r="AK3034" s="17"/>
      <c r="AL3034" s="17"/>
    </row>
    <row r="3035" spans="37:38">
      <c r="AK3035" s="17"/>
      <c r="AL3035" s="17"/>
    </row>
    <row r="3036" spans="37:38">
      <c r="AK3036" s="17"/>
      <c r="AL3036" s="17"/>
    </row>
    <row r="3037" spans="37:38">
      <c r="AK3037" s="17"/>
      <c r="AL3037" s="17"/>
    </row>
    <row r="3038" spans="37:38">
      <c r="AK3038" s="17"/>
      <c r="AL3038" s="17"/>
    </row>
    <row r="3039" spans="37:38">
      <c r="AK3039" s="17"/>
      <c r="AL3039" s="17"/>
    </row>
    <row r="3040" spans="37:38">
      <c r="AK3040" s="17"/>
      <c r="AL3040" s="17"/>
    </row>
    <row r="3041" spans="37:38">
      <c r="AK3041" s="17"/>
      <c r="AL3041" s="17"/>
    </row>
    <row r="3042" spans="37:38">
      <c r="AK3042" s="17"/>
      <c r="AL3042" s="17"/>
    </row>
    <row r="3043" spans="37:38">
      <c r="AK3043" s="17"/>
      <c r="AL3043" s="17"/>
    </row>
    <row r="3044" spans="37:38">
      <c r="AK3044" s="17"/>
      <c r="AL3044" s="17"/>
    </row>
    <row r="3045" spans="37:38">
      <c r="AK3045" s="17"/>
      <c r="AL3045" s="17"/>
    </row>
    <row r="3046" spans="37:38">
      <c r="AK3046" s="17"/>
      <c r="AL3046" s="17"/>
    </row>
    <row r="3047" spans="37:38">
      <c r="AK3047" s="17"/>
      <c r="AL3047" s="17"/>
    </row>
    <row r="3048" spans="37:38">
      <c r="AK3048" s="17"/>
      <c r="AL3048" s="17"/>
    </row>
    <row r="3049" spans="37:38">
      <c r="AK3049" s="17"/>
      <c r="AL3049" s="17"/>
    </row>
    <row r="3050" spans="37:38">
      <c r="AK3050" s="17"/>
      <c r="AL3050" s="17"/>
    </row>
    <row r="3051" spans="37:38">
      <c r="AK3051" s="17"/>
      <c r="AL3051" s="17"/>
    </row>
    <row r="3052" spans="37:38">
      <c r="AK3052" s="17"/>
      <c r="AL3052" s="17"/>
    </row>
    <row r="3053" spans="37:38">
      <c r="AK3053" s="17"/>
      <c r="AL3053" s="17"/>
    </row>
    <row r="3054" spans="37:38">
      <c r="AK3054" s="17"/>
      <c r="AL3054" s="17"/>
    </row>
    <row r="3055" spans="37:38">
      <c r="AK3055" s="17"/>
      <c r="AL3055" s="17"/>
    </row>
    <row r="3056" spans="37:38">
      <c r="AK3056" s="17"/>
      <c r="AL3056" s="17"/>
    </row>
    <row r="3057" spans="37:38">
      <c r="AK3057" s="17"/>
      <c r="AL3057" s="17"/>
    </row>
    <row r="3058" spans="37:38">
      <c r="AK3058" s="17"/>
      <c r="AL3058" s="17"/>
    </row>
    <row r="3059" spans="37:38">
      <c r="AK3059" s="17"/>
      <c r="AL3059" s="17"/>
    </row>
    <row r="3060" spans="37:38">
      <c r="AK3060" s="17"/>
      <c r="AL3060" s="17"/>
    </row>
    <row r="3061" spans="37:38">
      <c r="AK3061" s="17"/>
      <c r="AL3061" s="17"/>
    </row>
    <row r="3062" spans="37:38">
      <c r="AK3062" s="17"/>
      <c r="AL3062" s="17"/>
    </row>
    <row r="3063" spans="37:38">
      <c r="AK3063" s="17"/>
      <c r="AL3063" s="17"/>
    </row>
    <row r="3064" spans="37:38">
      <c r="AK3064" s="17"/>
      <c r="AL3064" s="17"/>
    </row>
    <row r="3065" spans="37:38">
      <c r="AK3065" s="17"/>
      <c r="AL3065" s="17"/>
    </row>
    <row r="3066" spans="37:38">
      <c r="AK3066" s="17"/>
      <c r="AL3066" s="17"/>
    </row>
    <row r="3067" spans="37:38">
      <c r="AK3067" s="17"/>
      <c r="AL3067" s="17"/>
    </row>
    <row r="3068" spans="37:38">
      <c r="AK3068" s="17"/>
      <c r="AL3068" s="17"/>
    </row>
    <row r="3069" spans="37:38">
      <c r="AK3069" s="17"/>
      <c r="AL3069" s="17"/>
    </row>
    <row r="3070" spans="37:38">
      <c r="AK3070" s="17"/>
      <c r="AL3070" s="17"/>
    </row>
    <row r="3071" spans="37:38">
      <c r="AK3071" s="17"/>
      <c r="AL3071" s="17"/>
    </row>
    <row r="3072" spans="37:38">
      <c r="AK3072" s="17"/>
      <c r="AL3072" s="17"/>
    </row>
    <row r="3073" spans="37:38">
      <c r="AK3073" s="17"/>
      <c r="AL3073" s="17"/>
    </row>
    <row r="3074" spans="37:38">
      <c r="AK3074" s="17"/>
      <c r="AL3074" s="17"/>
    </row>
    <row r="3075" spans="37:38">
      <c r="AK3075" s="17"/>
      <c r="AL3075" s="17"/>
    </row>
    <row r="3076" spans="37:38">
      <c r="AK3076" s="17"/>
      <c r="AL3076" s="17"/>
    </row>
    <row r="3077" spans="37:38">
      <c r="AK3077" s="17"/>
      <c r="AL3077" s="17"/>
    </row>
    <row r="3078" spans="37:38">
      <c r="AK3078" s="17"/>
      <c r="AL3078" s="17"/>
    </row>
    <row r="3079" spans="37:38">
      <c r="AK3079" s="17"/>
      <c r="AL3079" s="17"/>
    </row>
    <row r="3080" spans="37:38">
      <c r="AK3080" s="17"/>
      <c r="AL3080" s="17"/>
    </row>
    <row r="3081" spans="37:38">
      <c r="AK3081" s="17"/>
      <c r="AL3081" s="17"/>
    </row>
    <row r="3082" spans="37:38">
      <c r="AK3082" s="17"/>
      <c r="AL3082" s="17"/>
    </row>
    <row r="3083" spans="37:38">
      <c r="AK3083" s="17"/>
      <c r="AL3083" s="17"/>
    </row>
    <row r="3084" spans="37:38">
      <c r="AK3084" s="17"/>
      <c r="AL3084" s="17"/>
    </row>
    <row r="3085" spans="37:38">
      <c r="AK3085" s="17"/>
      <c r="AL3085" s="17"/>
    </row>
    <row r="3086" spans="37:38">
      <c r="AK3086" s="17"/>
      <c r="AL3086" s="17"/>
    </row>
    <row r="3087" spans="37:38">
      <c r="AK3087" s="17"/>
      <c r="AL3087" s="17"/>
    </row>
    <row r="3088" spans="37:38">
      <c r="AK3088" s="17"/>
      <c r="AL3088" s="17"/>
    </row>
    <row r="3089" spans="37:38">
      <c r="AK3089" s="17"/>
      <c r="AL3089" s="17"/>
    </row>
    <row r="3090" spans="37:38">
      <c r="AK3090" s="17"/>
      <c r="AL3090" s="17"/>
    </row>
    <row r="3091" spans="37:38">
      <c r="AK3091" s="17"/>
      <c r="AL3091" s="17"/>
    </row>
    <row r="3092" spans="37:38">
      <c r="AK3092" s="17"/>
      <c r="AL3092" s="17"/>
    </row>
    <row r="3093" spans="37:38">
      <c r="AK3093" s="17"/>
      <c r="AL3093" s="17"/>
    </row>
    <row r="3094" spans="37:38">
      <c r="AK3094" s="17"/>
      <c r="AL3094" s="17"/>
    </row>
    <row r="3095" spans="37:38">
      <c r="AK3095" s="17"/>
      <c r="AL3095" s="17"/>
    </row>
    <row r="3096" spans="37:38">
      <c r="AK3096" s="17"/>
      <c r="AL3096" s="17"/>
    </row>
    <row r="3097" spans="37:38">
      <c r="AK3097" s="17"/>
      <c r="AL3097" s="17"/>
    </row>
    <row r="3098" spans="37:38">
      <c r="AK3098" s="17"/>
      <c r="AL3098" s="17"/>
    </row>
    <row r="3099" spans="37:38">
      <c r="AK3099" s="17"/>
      <c r="AL3099" s="17"/>
    </row>
    <row r="3100" spans="37:38">
      <c r="AK3100" s="17"/>
      <c r="AL3100" s="17"/>
    </row>
    <row r="3101" spans="37:38">
      <c r="AK3101" s="17"/>
      <c r="AL3101" s="17"/>
    </row>
    <row r="3102" spans="37:38">
      <c r="AK3102" s="17"/>
      <c r="AL3102" s="17"/>
    </row>
    <row r="3103" spans="37:38">
      <c r="AK3103" s="17"/>
      <c r="AL3103" s="17"/>
    </row>
    <row r="3104" spans="37:38">
      <c r="AK3104" s="17"/>
      <c r="AL3104" s="17"/>
    </row>
    <row r="3105" spans="37:38">
      <c r="AK3105" s="17"/>
      <c r="AL3105" s="17"/>
    </row>
    <row r="3106" spans="37:38">
      <c r="AK3106" s="17"/>
      <c r="AL3106" s="17"/>
    </row>
    <row r="3107" spans="37:38">
      <c r="AK3107" s="17"/>
      <c r="AL3107" s="17"/>
    </row>
    <row r="3108" spans="37:38">
      <c r="AK3108" s="17"/>
      <c r="AL3108" s="17"/>
    </row>
    <row r="3109" spans="37:38">
      <c r="AK3109" s="17"/>
      <c r="AL3109" s="17"/>
    </row>
    <row r="3110" spans="37:38">
      <c r="AK3110" s="17"/>
      <c r="AL3110" s="17"/>
    </row>
    <row r="3111" spans="37:38">
      <c r="AK3111" s="17"/>
      <c r="AL3111" s="17"/>
    </row>
    <row r="3112" spans="37:38">
      <c r="AK3112" s="17"/>
      <c r="AL3112" s="17"/>
    </row>
    <row r="3113" spans="37:38">
      <c r="AK3113" s="17"/>
      <c r="AL3113" s="17"/>
    </row>
    <row r="3114" spans="37:38">
      <c r="AK3114" s="17"/>
      <c r="AL3114" s="17"/>
    </row>
    <row r="3115" spans="37:38">
      <c r="AK3115" s="17"/>
      <c r="AL3115" s="17"/>
    </row>
    <row r="3116" spans="37:38">
      <c r="AK3116" s="17"/>
      <c r="AL3116" s="17"/>
    </row>
    <row r="3117" spans="37:38">
      <c r="AK3117" s="17"/>
      <c r="AL3117" s="17"/>
    </row>
    <row r="3118" spans="37:38">
      <c r="AK3118" s="17"/>
      <c r="AL3118" s="17"/>
    </row>
    <row r="3119" spans="37:38">
      <c r="AK3119" s="17"/>
      <c r="AL3119" s="17"/>
    </row>
    <row r="3120" spans="37:38">
      <c r="AK3120" s="17"/>
      <c r="AL3120" s="17"/>
    </row>
    <row r="3121" spans="37:38">
      <c r="AK3121" s="17"/>
      <c r="AL3121" s="17"/>
    </row>
    <row r="3122" spans="37:38">
      <c r="AK3122" s="17"/>
      <c r="AL3122" s="17"/>
    </row>
    <row r="3123" spans="37:38">
      <c r="AK3123" s="17"/>
      <c r="AL3123" s="17"/>
    </row>
    <row r="3124" spans="37:38">
      <c r="AK3124" s="17"/>
      <c r="AL3124" s="17"/>
    </row>
    <row r="3125" spans="37:38">
      <c r="AK3125" s="17"/>
      <c r="AL3125" s="17"/>
    </row>
    <row r="3126" spans="37:38">
      <c r="AK3126" s="17"/>
      <c r="AL3126" s="17"/>
    </row>
    <row r="3127" spans="37:38">
      <c r="AK3127" s="17"/>
      <c r="AL3127" s="17"/>
    </row>
    <row r="3128" spans="37:38">
      <c r="AK3128" s="17"/>
      <c r="AL3128" s="17"/>
    </row>
    <row r="3129" spans="37:38">
      <c r="AK3129" s="17"/>
      <c r="AL3129" s="17"/>
    </row>
    <row r="3130" spans="37:38">
      <c r="AK3130" s="17"/>
      <c r="AL3130" s="17"/>
    </row>
    <row r="3131" spans="37:38">
      <c r="AK3131" s="17"/>
      <c r="AL3131" s="17"/>
    </row>
    <row r="3132" spans="37:38">
      <c r="AK3132" s="17"/>
      <c r="AL3132" s="17"/>
    </row>
    <row r="3133" spans="37:38">
      <c r="AK3133" s="17"/>
      <c r="AL3133" s="17"/>
    </row>
    <row r="3134" spans="37:38">
      <c r="AK3134" s="17"/>
      <c r="AL3134" s="17"/>
    </row>
    <row r="3135" spans="37:38">
      <c r="AK3135" s="17"/>
      <c r="AL3135" s="17"/>
    </row>
    <row r="3136" spans="37:38">
      <c r="AK3136" s="17"/>
      <c r="AL3136" s="17"/>
    </row>
    <row r="3137" spans="37:38">
      <c r="AK3137" s="17"/>
      <c r="AL3137" s="17"/>
    </row>
    <row r="3138" spans="37:38">
      <c r="AK3138" s="17"/>
      <c r="AL3138" s="17"/>
    </row>
    <row r="3139" spans="37:38">
      <c r="AK3139" s="17"/>
      <c r="AL3139" s="17"/>
    </row>
    <row r="3140" spans="37:38">
      <c r="AK3140" s="17"/>
      <c r="AL3140" s="17"/>
    </row>
    <row r="3141" spans="37:38">
      <c r="AK3141" s="17"/>
      <c r="AL3141" s="17"/>
    </row>
    <row r="3142" spans="37:38">
      <c r="AK3142" s="17"/>
      <c r="AL3142" s="17"/>
    </row>
    <row r="3143" spans="37:38">
      <c r="AK3143" s="17"/>
      <c r="AL3143" s="17"/>
    </row>
    <row r="3144" spans="37:38">
      <c r="AK3144" s="17"/>
      <c r="AL3144" s="17"/>
    </row>
    <row r="3145" spans="37:38">
      <c r="AK3145" s="17"/>
      <c r="AL3145" s="17"/>
    </row>
    <row r="3146" spans="37:38">
      <c r="AK3146" s="17"/>
      <c r="AL3146" s="17"/>
    </row>
    <row r="3147" spans="37:38">
      <c r="AK3147" s="17"/>
      <c r="AL3147" s="17"/>
    </row>
    <row r="3148" spans="37:38">
      <c r="AK3148" s="17"/>
      <c r="AL3148" s="17"/>
    </row>
    <row r="3149" spans="37:38">
      <c r="AK3149" s="17"/>
      <c r="AL3149" s="17"/>
    </row>
    <row r="3150" spans="37:38">
      <c r="AK3150" s="17"/>
      <c r="AL3150" s="17"/>
    </row>
    <row r="3151" spans="37:38">
      <c r="AK3151" s="17"/>
      <c r="AL3151" s="17"/>
    </row>
    <row r="3152" spans="37:38">
      <c r="AK3152" s="17"/>
      <c r="AL3152" s="17"/>
    </row>
    <row r="3153" spans="37:38">
      <c r="AK3153" s="17"/>
      <c r="AL3153" s="17"/>
    </row>
    <row r="3154" spans="37:38">
      <c r="AK3154" s="17"/>
      <c r="AL3154" s="17"/>
    </row>
    <row r="3155" spans="37:38">
      <c r="AK3155" s="17"/>
      <c r="AL3155" s="17"/>
    </row>
    <row r="3156" spans="37:38">
      <c r="AK3156" s="17"/>
      <c r="AL3156" s="17"/>
    </row>
    <row r="3157" spans="37:38">
      <c r="AK3157" s="17"/>
      <c r="AL3157" s="17"/>
    </row>
    <row r="3158" spans="37:38">
      <c r="AK3158" s="17"/>
      <c r="AL3158" s="17"/>
    </row>
    <row r="3159" spans="37:38">
      <c r="AK3159" s="17"/>
      <c r="AL3159" s="17"/>
    </row>
    <row r="3160" spans="37:38">
      <c r="AK3160" s="17"/>
      <c r="AL3160" s="17"/>
    </row>
    <row r="3161" spans="37:38">
      <c r="AK3161" s="17"/>
      <c r="AL3161" s="17"/>
    </row>
    <row r="3162" spans="37:38">
      <c r="AK3162" s="17"/>
      <c r="AL3162" s="17"/>
    </row>
    <row r="3163" spans="37:38">
      <c r="AK3163" s="17"/>
      <c r="AL3163" s="17"/>
    </row>
    <row r="3164" spans="37:38">
      <c r="AK3164" s="17"/>
      <c r="AL3164" s="17"/>
    </row>
    <row r="3165" spans="37:38">
      <c r="AK3165" s="17"/>
      <c r="AL3165" s="17"/>
    </row>
    <row r="3166" spans="37:38">
      <c r="AK3166" s="17"/>
      <c r="AL3166" s="17"/>
    </row>
    <row r="3167" spans="37:38">
      <c r="AK3167" s="17"/>
      <c r="AL3167" s="17"/>
    </row>
    <row r="3168" spans="37:38">
      <c r="AK3168" s="17"/>
      <c r="AL3168" s="17"/>
    </row>
    <row r="3169" spans="37:38">
      <c r="AK3169" s="17"/>
      <c r="AL3169" s="17"/>
    </row>
    <row r="3170" spans="37:38">
      <c r="AK3170" s="17"/>
      <c r="AL3170" s="17"/>
    </row>
    <row r="3171" spans="37:38">
      <c r="AK3171" s="17"/>
      <c r="AL3171" s="17"/>
    </row>
    <row r="3172" spans="37:38">
      <c r="AK3172" s="17"/>
      <c r="AL3172" s="17"/>
    </row>
    <row r="3173" spans="37:38">
      <c r="AK3173" s="17"/>
      <c r="AL3173" s="17"/>
    </row>
    <row r="3174" spans="37:38">
      <c r="AK3174" s="17"/>
      <c r="AL3174" s="17"/>
    </row>
    <row r="3175" spans="37:38">
      <c r="AK3175" s="17"/>
      <c r="AL3175" s="17"/>
    </row>
    <row r="3176" spans="37:38">
      <c r="AK3176" s="17"/>
      <c r="AL3176" s="17"/>
    </row>
    <row r="3177" spans="37:38">
      <c r="AK3177" s="17"/>
      <c r="AL3177" s="17"/>
    </row>
    <row r="3178" spans="37:38">
      <c r="AK3178" s="17"/>
      <c r="AL3178" s="17"/>
    </row>
    <row r="3179" spans="37:38">
      <c r="AK3179" s="17"/>
      <c r="AL3179" s="17"/>
    </row>
    <row r="3180" spans="37:38">
      <c r="AK3180" s="17"/>
      <c r="AL3180" s="17"/>
    </row>
    <row r="3181" spans="37:38">
      <c r="AK3181" s="17"/>
      <c r="AL3181" s="17"/>
    </row>
    <row r="3182" spans="37:38">
      <c r="AK3182" s="17"/>
      <c r="AL3182" s="17"/>
    </row>
    <row r="3183" spans="37:38">
      <c r="AK3183" s="17"/>
      <c r="AL3183" s="17"/>
    </row>
    <row r="3184" spans="37:38">
      <c r="AK3184" s="17"/>
      <c r="AL3184" s="17"/>
    </row>
    <row r="3185" spans="37:38">
      <c r="AK3185" s="17"/>
      <c r="AL3185" s="17"/>
    </row>
    <row r="3186" spans="37:38">
      <c r="AK3186" s="17"/>
      <c r="AL3186" s="17"/>
    </row>
    <row r="3187" spans="37:38">
      <c r="AK3187" s="17"/>
      <c r="AL3187" s="17"/>
    </row>
    <row r="3188" spans="37:38">
      <c r="AK3188" s="17"/>
      <c r="AL3188" s="17"/>
    </row>
    <row r="3189" spans="37:38">
      <c r="AK3189" s="17"/>
      <c r="AL3189" s="17"/>
    </row>
    <row r="3190" spans="37:38">
      <c r="AK3190" s="17"/>
      <c r="AL3190" s="17"/>
    </row>
    <row r="3191" spans="37:38">
      <c r="AK3191" s="17"/>
      <c r="AL3191" s="17"/>
    </row>
    <row r="3192" spans="37:38">
      <c r="AK3192" s="17"/>
      <c r="AL3192" s="17"/>
    </row>
    <row r="3193" spans="37:38">
      <c r="AK3193" s="17"/>
      <c r="AL3193" s="17"/>
    </row>
    <row r="3194" spans="37:38">
      <c r="AK3194" s="17"/>
      <c r="AL3194" s="17"/>
    </row>
    <row r="3195" spans="37:38">
      <c r="AK3195" s="17"/>
      <c r="AL3195" s="17"/>
    </row>
    <row r="3196" spans="37:38">
      <c r="AK3196" s="17"/>
      <c r="AL3196" s="17"/>
    </row>
    <row r="3197" spans="37:38">
      <c r="AK3197" s="17"/>
      <c r="AL3197" s="17"/>
    </row>
    <row r="3198" spans="37:38">
      <c r="AK3198" s="17"/>
      <c r="AL3198" s="17"/>
    </row>
    <row r="3199" spans="37:38">
      <c r="AK3199" s="17"/>
      <c r="AL3199" s="17"/>
    </row>
    <row r="3200" spans="37:38">
      <c r="AK3200" s="17"/>
      <c r="AL3200" s="17"/>
    </row>
    <row r="3201" spans="37:38">
      <c r="AK3201" s="17"/>
      <c r="AL3201" s="17"/>
    </row>
    <row r="3202" spans="37:38">
      <c r="AK3202" s="17"/>
      <c r="AL3202" s="17"/>
    </row>
    <row r="3203" spans="37:38">
      <c r="AK3203" s="17"/>
      <c r="AL3203" s="17"/>
    </row>
    <row r="3204" spans="37:38">
      <c r="AK3204" s="17"/>
      <c r="AL3204" s="17"/>
    </row>
    <row r="3205" spans="37:38">
      <c r="AK3205" s="17"/>
      <c r="AL3205" s="17"/>
    </row>
    <row r="3206" spans="37:38">
      <c r="AK3206" s="17"/>
      <c r="AL3206" s="17"/>
    </row>
    <row r="3207" spans="37:38">
      <c r="AK3207" s="17"/>
      <c r="AL3207" s="17"/>
    </row>
    <row r="3208" spans="37:38">
      <c r="AK3208" s="17"/>
      <c r="AL3208" s="17"/>
    </row>
    <row r="3209" spans="37:38">
      <c r="AK3209" s="17"/>
      <c r="AL3209" s="17"/>
    </row>
    <row r="3210" spans="37:38">
      <c r="AK3210" s="17"/>
      <c r="AL3210" s="17"/>
    </row>
    <row r="3211" spans="37:38">
      <c r="AK3211" s="17"/>
      <c r="AL3211" s="17"/>
    </row>
    <row r="3212" spans="37:38">
      <c r="AK3212" s="17"/>
      <c r="AL3212" s="17"/>
    </row>
    <row r="3213" spans="37:38">
      <c r="AK3213" s="17"/>
      <c r="AL3213" s="17"/>
    </row>
    <row r="3214" spans="37:38">
      <c r="AK3214" s="17"/>
      <c r="AL3214" s="17"/>
    </row>
    <row r="3215" spans="37:38">
      <c r="AK3215" s="17"/>
      <c r="AL3215" s="17"/>
    </row>
    <row r="3216" spans="37:38">
      <c r="AK3216" s="17"/>
      <c r="AL3216" s="17"/>
    </row>
    <row r="3217" spans="37:38">
      <c r="AK3217" s="17"/>
      <c r="AL3217" s="17"/>
    </row>
    <row r="3218" spans="37:38">
      <c r="AK3218" s="17"/>
      <c r="AL3218" s="17"/>
    </row>
    <row r="3219" spans="37:38">
      <c r="AK3219" s="17"/>
      <c r="AL3219" s="17"/>
    </row>
    <row r="3220" spans="37:38">
      <c r="AK3220" s="17"/>
      <c r="AL3220" s="17"/>
    </row>
    <row r="3221" spans="37:38">
      <c r="AK3221" s="17"/>
      <c r="AL3221" s="17"/>
    </row>
    <row r="3222" spans="37:38">
      <c r="AK3222" s="17"/>
      <c r="AL3222" s="17"/>
    </row>
    <row r="3223" spans="37:38">
      <c r="AK3223" s="17"/>
      <c r="AL3223" s="17"/>
    </row>
    <row r="3224" spans="37:38">
      <c r="AK3224" s="17"/>
      <c r="AL3224" s="17"/>
    </row>
    <row r="3225" spans="37:38">
      <c r="AK3225" s="17"/>
      <c r="AL3225" s="17"/>
    </row>
    <row r="3226" spans="37:38">
      <c r="AK3226" s="17"/>
      <c r="AL3226" s="17"/>
    </row>
    <row r="3227" spans="37:38">
      <c r="AK3227" s="17"/>
      <c r="AL3227" s="17"/>
    </row>
    <row r="3228" spans="37:38">
      <c r="AK3228" s="17"/>
      <c r="AL3228" s="17"/>
    </row>
    <row r="3229" spans="37:38">
      <c r="AK3229" s="17"/>
      <c r="AL3229" s="17"/>
    </row>
    <row r="3230" spans="37:38">
      <c r="AK3230" s="17"/>
      <c r="AL3230" s="17"/>
    </row>
    <row r="3231" spans="37:38">
      <c r="AK3231" s="17"/>
      <c r="AL3231" s="17"/>
    </row>
    <row r="3232" spans="37:38">
      <c r="AK3232" s="17"/>
      <c r="AL3232" s="17"/>
    </row>
    <row r="3233" spans="37:38">
      <c r="AK3233" s="17"/>
      <c r="AL3233" s="17"/>
    </row>
    <row r="3234" spans="37:38">
      <c r="AK3234" s="17"/>
      <c r="AL3234" s="17"/>
    </row>
    <row r="3235" spans="37:38">
      <c r="AK3235" s="17"/>
      <c r="AL3235" s="17"/>
    </row>
    <row r="3236" spans="37:38">
      <c r="AK3236" s="17"/>
      <c r="AL3236" s="17"/>
    </row>
    <row r="3237" spans="37:38">
      <c r="AK3237" s="17"/>
      <c r="AL3237" s="17"/>
    </row>
    <row r="3238" spans="37:38">
      <c r="AK3238" s="17"/>
      <c r="AL3238" s="17"/>
    </row>
    <row r="3239" spans="37:38">
      <c r="AK3239" s="17"/>
      <c r="AL3239" s="17"/>
    </row>
    <row r="3240" spans="37:38">
      <c r="AK3240" s="17"/>
      <c r="AL3240" s="17"/>
    </row>
    <row r="3241" spans="37:38">
      <c r="AK3241" s="17"/>
      <c r="AL3241" s="17"/>
    </row>
    <row r="3242" spans="37:38">
      <c r="AK3242" s="17"/>
      <c r="AL3242" s="17"/>
    </row>
    <row r="3243" spans="37:38">
      <c r="AK3243" s="17"/>
      <c r="AL3243" s="17"/>
    </row>
    <row r="3244" spans="37:38">
      <c r="AK3244" s="17"/>
      <c r="AL3244" s="17"/>
    </row>
    <row r="3245" spans="37:38">
      <c r="AK3245" s="17"/>
      <c r="AL3245" s="17"/>
    </row>
    <row r="3246" spans="37:38">
      <c r="AK3246" s="17"/>
      <c r="AL3246" s="17"/>
    </row>
    <row r="3247" spans="37:38">
      <c r="AK3247" s="17"/>
      <c r="AL3247" s="17"/>
    </row>
    <row r="3248" spans="37:38">
      <c r="AK3248" s="17"/>
      <c r="AL3248" s="17"/>
    </row>
    <row r="3249" spans="37:38">
      <c r="AK3249" s="17"/>
      <c r="AL3249" s="17"/>
    </row>
    <row r="3250" spans="37:38">
      <c r="AK3250" s="17"/>
      <c r="AL3250" s="17"/>
    </row>
    <row r="3251" spans="37:38">
      <c r="AK3251" s="17"/>
      <c r="AL3251" s="17"/>
    </row>
    <row r="3252" spans="37:38">
      <c r="AK3252" s="17"/>
      <c r="AL3252" s="17"/>
    </row>
    <row r="3253" spans="37:38">
      <c r="AK3253" s="17"/>
      <c r="AL3253" s="17"/>
    </row>
    <row r="3254" spans="37:38">
      <c r="AK3254" s="17"/>
      <c r="AL3254" s="17"/>
    </row>
    <row r="3255" spans="37:38">
      <c r="AK3255" s="17"/>
      <c r="AL3255" s="17"/>
    </row>
    <row r="3256" spans="37:38">
      <c r="AK3256" s="17"/>
      <c r="AL3256" s="17"/>
    </row>
    <row r="3257" spans="37:38">
      <c r="AK3257" s="17"/>
      <c r="AL3257" s="17"/>
    </row>
    <row r="3258" spans="37:38">
      <c r="AK3258" s="17"/>
      <c r="AL3258" s="17"/>
    </row>
    <row r="3259" spans="37:38">
      <c r="AK3259" s="17"/>
      <c r="AL3259" s="17"/>
    </row>
    <row r="3260" spans="37:38">
      <c r="AK3260" s="17"/>
      <c r="AL3260" s="17"/>
    </row>
    <row r="3261" spans="37:38">
      <c r="AK3261" s="17"/>
      <c r="AL3261" s="17"/>
    </row>
    <row r="3262" spans="37:38">
      <c r="AK3262" s="17"/>
      <c r="AL3262" s="17"/>
    </row>
    <row r="3263" spans="37:38">
      <c r="AK3263" s="17"/>
      <c r="AL3263" s="17"/>
    </row>
    <row r="3264" spans="37:38">
      <c r="AK3264" s="17"/>
      <c r="AL3264" s="17"/>
    </row>
    <row r="3265" spans="37:38">
      <c r="AK3265" s="17"/>
      <c r="AL3265" s="17"/>
    </row>
    <row r="3266" spans="37:38">
      <c r="AK3266" s="17"/>
      <c r="AL3266" s="17"/>
    </row>
    <row r="3267" spans="37:38">
      <c r="AK3267" s="17"/>
      <c r="AL3267" s="17"/>
    </row>
    <row r="3268" spans="37:38">
      <c r="AK3268" s="17"/>
      <c r="AL3268" s="17"/>
    </row>
    <row r="3269" spans="37:38">
      <c r="AK3269" s="17"/>
      <c r="AL3269" s="17"/>
    </row>
    <row r="3270" spans="37:38">
      <c r="AK3270" s="17"/>
      <c r="AL3270" s="17"/>
    </row>
    <row r="3271" spans="37:38">
      <c r="AK3271" s="17"/>
      <c r="AL3271" s="17"/>
    </row>
    <row r="3272" spans="37:38">
      <c r="AK3272" s="17"/>
      <c r="AL3272" s="17"/>
    </row>
    <row r="3273" spans="37:38">
      <c r="AK3273" s="17"/>
      <c r="AL3273" s="17"/>
    </row>
    <row r="3274" spans="37:38">
      <c r="AK3274" s="17"/>
      <c r="AL3274" s="17"/>
    </row>
    <row r="3275" spans="37:38">
      <c r="AK3275" s="17"/>
      <c r="AL3275" s="17"/>
    </row>
    <row r="3276" spans="37:38">
      <c r="AK3276" s="17"/>
      <c r="AL3276" s="17"/>
    </row>
    <row r="3277" spans="37:38">
      <c r="AK3277" s="17"/>
      <c r="AL3277" s="17"/>
    </row>
    <row r="3278" spans="37:38">
      <c r="AK3278" s="17"/>
      <c r="AL3278" s="17"/>
    </row>
    <row r="3279" spans="37:38">
      <c r="AK3279" s="17"/>
      <c r="AL3279" s="17"/>
    </row>
    <row r="3280" spans="37:38">
      <c r="AK3280" s="17"/>
      <c r="AL3280" s="17"/>
    </row>
    <row r="3281" spans="37:38">
      <c r="AK3281" s="17"/>
      <c r="AL3281" s="17"/>
    </row>
    <row r="3282" spans="37:38">
      <c r="AK3282" s="17"/>
      <c r="AL3282" s="17"/>
    </row>
    <row r="3283" spans="37:38">
      <c r="AK3283" s="17"/>
      <c r="AL3283" s="17"/>
    </row>
    <row r="3284" spans="37:38">
      <c r="AK3284" s="17"/>
      <c r="AL3284" s="17"/>
    </row>
    <row r="3285" spans="37:38">
      <c r="AK3285" s="17"/>
      <c r="AL3285" s="17"/>
    </row>
    <row r="3286" spans="37:38">
      <c r="AK3286" s="17"/>
      <c r="AL3286" s="17"/>
    </row>
    <row r="3287" spans="37:38">
      <c r="AK3287" s="17"/>
      <c r="AL3287" s="17"/>
    </row>
    <row r="3288" spans="37:38">
      <c r="AK3288" s="17"/>
      <c r="AL3288" s="17"/>
    </row>
    <row r="3289" spans="37:38">
      <c r="AK3289" s="17"/>
      <c r="AL3289" s="17"/>
    </row>
    <row r="3290" spans="37:38">
      <c r="AK3290" s="17"/>
      <c r="AL3290" s="17"/>
    </row>
    <row r="3291" spans="37:38">
      <c r="AK3291" s="17"/>
      <c r="AL3291" s="17"/>
    </row>
    <row r="3292" spans="37:38">
      <c r="AK3292" s="17"/>
      <c r="AL3292" s="17"/>
    </row>
    <row r="3293" spans="37:38">
      <c r="AK3293" s="17"/>
      <c r="AL3293" s="17"/>
    </row>
    <row r="3294" spans="37:38">
      <c r="AK3294" s="17"/>
      <c r="AL3294" s="17"/>
    </row>
    <row r="3295" spans="37:38">
      <c r="AK3295" s="17"/>
      <c r="AL3295" s="17"/>
    </row>
    <row r="3296" spans="37:38">
      <c r="AK3296" s="17"/>
      <c r="AL3296" s="17"/>
    </row>
    <row r="3297" spans="37:38">
      <c r="AK3297" s="17"/>
      <c r="AL3297" s="17"/>
    </row>
    <row r="3298" spans="37:38">
      <c r="AK3298" s="17"/>
      <c r="AL3298" s="17"/>
    </row>
    <row r="3299" spans="37:38">
      <c r="AK3299" s="17"/>
      <c r="AL3299" s="17"/>
    </row>
    <row r="3300" spans="37:38">
      <c r="AK3300" s="17"/>
      <c r="AL3300" s="17"/>
    </row>
    <row r="3301" spans="37:38">
      <c r="AK3301" s="17"/>
      <c r="AL3301" s="17"/>
    </row>
    <row r="3302" spans="37:38">
      <c r="AK3302" s="17"/>
      <c r="AL3302" s="17"/>
    </row>
    <row r="3303" spans="37:38">
      <c r="AK3303" s="17"/>
      <c r="AL3303" s="17"/>
    </row>
    <row r="3304" spans="37:38">
      <c r="AK3304" s="17"/>
      <c r="AL3304" s="17"/>
    </row>
    <row r="3305" spans="37:38">
      <c r="AK3305" s="17"/>
      <c r="AL3305" s="17"/>
    </row>
    <row r="3306" spans="37:38">
      <c r="AK3306" s="17"/>
      <c r="AL3306" s="17"/>
    </row>
    <row r="3307" spans="37:38">
      <c r="AK3307" s="17"/>
      <c r="AL3307" s="17"/>
    </row>
    <row r="3308" spans="37:38">
      <c r="AK3308" s="17"/>
      <c r="AL3308" s="17"/>
    </row>
    <row r="3309" spans="37:38">
      <c r="AK3309" s="17"/>
      <c r="AL3309" s="17"/>
    </row>
    <row r="3310" spans="37:38">
      <c r="AK3310" s="17"/>
      <c r="AL3310" s="17"/>
    </row>
    <row r="3311" spans="37:38">
      <c r="AK3311" s="17"/>
      <c r="AL3311" s="17"/>
    </row>
    <row r="3312" spans="37:38">
      <c r="AK3312" s="17"/>
      <c r="AL3312" s="17"/>
    </row>
    <row r="3313" spans="37:38">
      <c r="AK3313" s="17"/>
      <c r="AL3313" s="17"/>
    </row>
    <row r="3314" spans="37:38">
      <c r="AK3314" s="17"/>
      <c r="AL3314" s="17"/>
    </row>
    <row r="3315" spans="37:38">
      <c r="AK3315" s="17"/>
      <c r="AL3315" s="17"/>
    </row>
    <row r="3316" spans="37:38">
      <c r="AK3316" s="17"/>
      <c r="AL3316" s="17"/>
    </row>
    <row r="3317" spans="37:38">
      <c r="AK3317" s="17"/>
      <c r="AL3317" s="17"/>
    </row>
    <row r="3318" spans="37:38">
      <c r="AK3318" s="17"/>
      <c r="AL3318" s="17"/>
    </row>
    <row r="3319" spans="37:38">
      <c r="AK3319" s="17"/>
      <c r="AL3319" s="17"/>
    </row>
    <row r="3320" spans="37:38">
      <c r="AK3320" s="17"/>
      <c r="AL3320" s="17"/>
    </row>
    <row r="3321" spans="37:38">
      <c r="AK3321" s="17"/>
      <c r="AL3321" s="17"/>
    </row>
    <row r="3322" spans="37:38">
      <c r="AK3322" s="17"/>
      <c r="AL3322" s="17"/>
    </row>
    <row r="3323" spans="37:38">
      <c r="AK3323" s="17"/>
      <c r="AL3323" s="17"/>
    </row>
    <row r="3324" spans="37:38">
      <c r="AK3324" s="17"/>
      <c r="AL3324" s="17"/>
    </row>
    <row r="3325" spans="37:38">
      <c r="AK3325" s="17"/>
      <c r="AL3325" s="17"/>
    </row>
    <row r="3326" spans="37:38">
      <c r="AK3326" s="17"/>
      <c r="AL3326" s="17"/>
    </row>
    <row r="3327" spans="37:38">
      <c r="AK3327" s="17"/>
      <c r="AL3327" s="17"/>
    </row>
    <row r="3328" spans="37:38">
      <c r="AK3328" s="17"/>
      <c r="AL3328" s="17"/>
    </row>
    <row r="3329" spans="37:38">
      <c r="AK3329" s="17"/>
      <c r="AL3329" s="17"/>
    </row>
    <row r="3330" spans="37:38">
      <c r="AK3330" s="17"/>
      <c r="AL3330" s="17"/>
    </row>
    <row r="3331" spans="37:38">
      <c r="AK3331" s="17"/>
      <c r="AL3331" s="17"/>
    </row>
    <row r="3332" spans="37:38">
      <c r="AK3332" s="17"/>
      <c r="AL3332" s="17"/>
    </row>
    <row r="3333" spans="37:38">
      <c r="AK3333" s="17"/>
      <c r="AL3333" s="17"/>
    </row>
    <row r="3334" spans="37:38">
      <c r="AK3334" s="17"/>
      <c r="AL3334" s="17"/>
    </row>
    <row r="3335" spans="37:38">
      <c r="AK3335" s="17"/>
      <c r="AL3335" s="17"/>
    </row>
    <row r="3336" spans="37:38">
      <c r="AK3336" s="17"/>
      <c r="AL3336" s="17"/>
    </row>
    <row r="3337" spans="37:38">
      <c r="AK3337" s="17"/>
      <c r="AL3337" s="17"/>
    </row>
    <row r="3338" spans="37:38">
      <c r="AK3338" s="17"/>
      <c r="AL3338" s="17"/>
    </row>
    <row r="3339" spans="37:38">
      <c r="AK3339" s="17"/>
      <c r="AL3339" s="17"/>
    </row>
    <row r="3340" spans="37:38">
      <c r="AK3340" s="17"/>
      <c r="AL3340" s="17"/>
    </row>
    <row r="3341" spans="37:38">
      <c r="AK3341" s="17"/>
      <c r="AL3341" s="17"/>
    </row>
    <row r="3342" spans="37:38">
      <c r="AK3342" s="17"/>
      <c r="AL3342" s="17"/>
    </row>
    <row r="3343" spans="37:38">
      <c r="AK3343" s="17"/>
      <c r="AL3343" s="17"/>
    </row>
    <row r="3344" spans="37:38">
      <c r="AK3344" s="17"/>
      <c r="AL3344" s="17"/>
    </row>
    <row r="3345" spans="37:38">
      <c r="AK3345" s="17"/>
      <c r="AL3345" s="17"/>
    </row>
    <row r="3346" spans="37:38">
      <c r="AK3346" s="17"/>
      <c r="AL3346" s="17"/>
    </row>
    <row r="3347" spans="37:38">
      <c r="AK3347" s="17"/>
      <c r="AL3347" s="17"/>
    </row>
    <row r="3348" spans="37:38">
      <c r="AK3348" s="17"/>
      <c r="AL3348" s="17"/>
    </row>
    <row r="3349" spans="37:38">
      <c r="AK3349" s="17"/>
      <c r="AL3349" s="17"/>
    </row>
    <row r="3350" spans="37:38">
      <c r="AK3350" s="17"/>
      <c r="AL3350" s="17"/>
    </row>
    <row r="3351" spans="37:38">
      <c r="AK3351" s="17"/>
      <c r="AL3351" s="17"/>
    </row>
    <row r="3352" spans="37:38">
      <c r="AK3352" s="17"/>
      <c r="AL3352" s="17"/>
    </row>
    <row r="3353" spans="37:38">
      <c r="AK3353" s="17"/>
      <c r="AL3353" s="17"/>
    </row>
    <row r="3354" spans="37:38">
      <c r="AK3354" s="17"/>
      <c r="AL3354" s="17"/>
    </row>
    <row r="3355" spans="37:38">
      <c r="AK3355" s="17"/>
      <c r="AL3355" s="17"/>
    </row>
    <row r="3356" spans="37:38">
      <c r="AK3356" s="17"/>
      <c r="AL3356" s="17"/>
    </row>
    <row r="3357" spans="37:38">
      <c r="AK3357" s="17"/>
      <c r="AL3357" s="17"/>
    </row>
    <row r="3358" spans="37:38">
      <c r="AK3358" s="17"/>
      <c r="AL3358" s="17"/>
    </row>
    <row r="3359" spans="37:38">
      <c r="AK3359" s="17"/>
      <c r="AL3359" s="17"/>
    </row>
    <row r="3360" spans="37:38">
      <c r="AK3360" s="17"/>
      <c r="AL3360" s="17"/>
    </row>
    <row r="3361" spans="37:38">
      <c r="AK3361" s="17"/>
      <c r="AL3361" s="17"/>
    </row>
    <row r="3362" spans="37:38">
      <c r="AK3362" s="17"/>
      <c r="AL3362" s="17"/>
    </row>
    <row r="3363" spans="37:38">
      <c r="AK3363" s="17"/>
      <c r="AL3363" s="17"/>
    </row>
    <row r="3364" spans="37:38">
      <c r="AK3364" s="17"/>
      <c r="AL3364" s="17"/>
    </row>
    <row r="3365" spans="37:38">
      <c r="AK3365" s="17"/>
      <c r="AL3365" s="17"/>
    </row>
    <row r="3366" spans="37:38">
      <c r="AK3366" s="17"/>
      <c r="AL3366" s="17"/>
    </row>
    <row r="3367" spans="37:38">
      <c r="AK3367" s="17"/>
      <c r="AL3367" s="17"/>
    </row>
    <row r="3368" spans="37:38">
      <c r="AK3368" s="17"/>
      <c r="AL3368" s="17"/>
    </row>
    <row r="3369" spans="37:38">
      <c r="AK3369" s="17"/>
      <c r="AL3369" s="17"/>
    </row>
    <row r="3370" spans="37:38">
      <c r="AK3370" s="17"/>
      <c r="AL3370" s="17"/>
    </row>
    <row r="3371" spans="37:38">
      <c r="AK3371" s="17"/>
      <c r="AL3371" s="17"/>
    </row>
    <row r="3372" spans="37:38">
      <c r="AK3372" s="17"/>
      <c r="AL3372" s="17"/>
    </row>
    <row r="3373" spans="37:38">
      <c r="AK3373" s="17"/>
      <c r="AL3373" s="17"/>
    </row>
    <row r="3374" spans="37:38">
      <c r="AK3374" s="17"/>
      <c r="AL3374" s="17"/>
    </row>
    <row r="3375" spans="37:38">
      <c r="AK3375" s="17"/>
      <c r="AL3375" s="17"/>
    </row>
    <row r="3376" spans="37:38">
      <c r="AK3376" s="17"/>
      <c r="AL3376" s="17"/>
    </row>
    <row r="3377" spans="37:38">
      <c r="AK3377" s="17"/>
      <c r="AL3377" s="17"/>
    </row>
    <row r="3378" spans="37:38">
      <c r="AK3378" s="17"/>
      <c r="AL3378" s="17"/>
    </row>
    <row r="3379" spans="37:38">
      <c r="AK3379" s="17"/>
      <c r="AL3379" s="17"/>
    </row>
    <row r="3380" spans="37:38">
      <c r="AK3380" s="17"/>
      <c r="AL3380" s="17"/>
    </row>
    <row r="3381" spans="37:38">
      <c r="AK3381" s="17"/>
      <c r="AL3381" s="17"/>
    </row>
    <row r="3382" spans="37:38">
      <c r="AK3382" s="17"/>
      <c r="AL3382" s="17"/>
    </row>
    <row r="3383" spans="37:38">
      <c r="AK3383" s="17"/>
      <c r="AL3383" s="17"/>
    </row>
    <row r="3384" spans="37:38">
      <c r="AK3384" s="17"/>
      <c r="AL3384" s="17"/>
    </row>
    <row r="3385" spans="37:38">
      <c r="AK3385" s="17"/>
      <c r="AL3385" s="17"/>
    </row>
    <row r="3386" spans="37:38">
      <c r="AK3386" s="17"/>
      <c r="AL3386" s="17"/>
    </row>
    <row r="3387" spans="37:38">
      <c r="AK3387" s="17"/>
      <c r="AL3387" s="17"/>
    </row>
    <row r="3388" spans="37:38">
      <c r="AK3388" s="17"/>
      <c r="AL3388" s="17"/>
    </row>
    <row r="3389" spans="37:38">
      <c r="AK3389" s="17"/>
      <c r="AL3389" s="17"/>
    </row>
    <row r="3390" spans="37:38">
      <c r="AK3390" s="17"/>
      <c r="AL3390" s="17"/>
    </row>
    <row r="3391" spans="37:38">
      <c r="AK3391" s="17"/>
      <c r="AL3391" s="17"/>
    </row>
    <row r="3392" spans="37:38">
      <c r="AK3392" s="17"/>
      <c r="AL3392" s="17"/>
    </row>
    <row r="3393" spans="37:38">
      <c r="AK3393" s="17"/>
      <c r="AL3393" s="17"/>
    </row>
    <row r="3394" spans="37:38">
      <c r="AK3394" s="17"/>
      <c r="AL3394" s="17"/>
    </row>
    <row r="3395" spans="37:38">
      <c r="AK3395" s="17"/>
      <c r="AL3395" s="17"/>
    </row>
    <row r="3396" spans="37:38">
      <c r="AK3396" s="17"/>
      <c r="AL3396" s="17"/>
    </row>
    <row r="3397" spans="37:38">
      <c r="AK3397" s="17"/>
      <c r="AL3397" s="17"/>
    </row>
    <row r="3398" spans="37:38">
      <c r="AK3398" s="17"/>
      <c r="AL3398" s="17"/>
    </row>
    <row r="3399" spans="37:38">
      <c r="AK3399" s="17"/>
      <c r="AL3399" s="17"/>
    </row>
    <row r="3400" spans="37:38">
      <c r="AK3400" s="17"/>
      <c r="AL3400" s="17"/>
    </row>
    <row r="3401" spans="37:38">
      <c r="AK3401" s="17"/>
      <c r="AL3401" s="17"/>
    </row>
    <row r="3402" spans="37:38">
      <c r="AK3402" s="17"/>
      <c r="AL3402" s="17"/>
    </row>
    <row r="3403" spans="37:38">
      <c r="AK3403" s="17"/>
      <c r="AL3403" s="17"/>
    </row>
    <row r="3404" spans="37:38">
      <c r="AK3404" s="17"/>
      <c r="AL3404" s="17"/>
    </row>
    <row r="3405" spans="37:38">
      <c r="AK3405" s="17"/>
      <c r="AL3405" s="17"/>
    </row>
    <row r="3406" spans="37:38">
      <c r="AK3406" s="17"/>
      <c r="AL3406" s="17"/>
    </row>
    <row r="3407" spans="37:38">
      <c r="AK3407" s="17"/>
      <c r="AL3407" s="17"/>
    </row>
    <row r="3408" spans="37:38">
      <c r="AK3408" s="17"/>
      <c r="AL3408" s="17"/>
    </row>
    <row r="3409" spans="37:38">
      <c r="AK3409" s="17"/>
      <c r="AL3409" s="17"/>
    </row>
    <row r="3410" spans="37:38">
      <c r="AK3410" s="17"/>
      <c r="AL3410" s="17"/>
    </row>
    <row r="3411" spans="37:38">
      <c r="AK3411" s="17"/>
      <c r="AL3411" s="17"/>
    </row>
    <row r="3412" spans="37:38">
      <c r="AK3412" s="17"/>
      <c r="AL3412" s="17"/>
    </row>
    <row r="3413" spans="37:38">
      <c r="AK3413" s="17"/>
      <c r="AL3413" s="17"/>
    </row>
    <row r="3414" spans="37:38">
      <c r="AK3414" s="17"/>
      <c r="AL3414" s="17"/>
    </row>
    <row r="3415" spans="37:38">
      <c r="AK3415" s="17"/>
      <c r="AL3415" s="17"/>
    </row>
    <row r="3416" spans="37:38">
      <c r="AK3416" s="17"/>
      <c r="AL3416" s="17"/>
    </row>
    <row r="3417" spans="37:38">
      <c r="AK3417" s="17"/>
      <c r="AL3417" s="17"/>
    </row>
    <row r="3418" spans="37:38">
      <c r="AK3418" s="17"/>
      <c r="AL3418" s="17"/>
    </row>
    <row r="3419" spans="37:38">
      <c r="AK3419" s="17"/>
      <c r="AL3419" s="17"/>
    </row>
    <row r="3420" spans="37:38">
      <c r="AK3420" s="17"/>
      <c r="AL3420" s="17"/>
    </row>
    <row r="3421" spans="37:38">
      <c r="AK3421" s="17"/>
      <c r="AL3421" s="17"/>
    </row>
    <row r="3422" spans="37:38">
      <c r="AK3422" s="17"/>
      <c r="AL3422" s="17"/>
    </row>
    <row r="3423" spans="37:38">
      <c r="AK3423" s="17"/>
      <c r="AL3423" s="17"/>
    </row>
    <row r="3424" spans="37:38">
      <c r="AK3424" s="17"/>
      <c r="AL3424" s="17"/>
    </row>
    <row r="3425" spans="37:38">
      <c r="AK3425" s="17"/>
      <c r="AL3425" s="17"/>
    </row>
    <row r="3426" spans="37:38">
      <c r="AK3426" s="17"/>
      <c r="AL3426" s="17"/>
    </row>
    <row r="3427" spans="37:38">
      <c r="AK3427" s="17"/>
      <c r="AL3427" s="17"/>
    </row>
    <row r="3428" spans="37:38">
      <c r="AK3428" s="17"/>
      <c r="AL3428" s="17"/>
    </row>
    <row r="3429" spans="37:38">
      <c r="AK3429" s="17"/>
      <c r="AL3429" s="17"/>
    </row>
    <row r="3430" spans="37:38">
      <c r="AK3430" s="17"/>
      <c r="AL3430" s="17"/>
    </row>
    <row r="3431" spans="37:38">
      <c r="AK3431" s="17"/>
      <c r="AL3431" s="17"/>
    </row>
    <row r="3432" spans="37:38">
      <c r="AK3432" s="17"/>
      <c r="AL3432" s="17"/>
    </row>
    <row r="3433" spans="37:38">
      <c r="AK3433" s="17"/>
      <c r="AL3433" s="17"/>
    </row>
    <row r="3434" spans="37:38">
      <c r="AK3434" s="17"/>
      <c r="AL3434" s="17"/>
    </row>
    <row r="3435" spans="37:38">
      <c r="AK3435" s="17"/>
      <c r="AL3435" s="17"/>
    </row>
    <row r="3436" spans="37:38">
      <c r="AK3436" s="17"/>
      <c r="AL3436" s="17"/>
    </row>
    <row r="3437" spans="37:38">
      <c r="AK3437" s="17"/>
      <c r="AL3437" s="17"/>
    </row>
    <row r="3438" spans="37:38">
      <c r="AK3438" s="17"/>
      <c r="AL3438" s="17"/>
    </row>
    <row r="3439" spans="37:38">
      <c r="AK3439" s="17"/>
      <c r="AL3439" s="17"/>
    </row>
    <row r="3440" spans="37:38">
      <c r="AK3440" s="17"/>
      <c r="AL3440" s="17"/>
    </row>
    <row r="3441" spans="37:38">
      <c r="AK3441" s="17"/>
      <c r="AL3441" s="17"/>
    </row>
    <row r="3442" spans="37:38">
      <c r="AK3442" s="17"/>
      <c r="AL3442" s="17"/>
    </row>
    <row r="3443" spans="37:38">
      <c r="AK3443" s="17"/>
      <c r="AL3443" s="17"/>
    </row>
    <row r="3444" spans="37:38">
      <c r="AK3444" s="17"/>
      <c r="AL3444" s="17"/>
    </row>
    <row r="3445" spans="37:38">
      <c r="AK3445" s="17"/>
      <c r="AL3445" s="17"/>
    </row>
    <row r="3446" spans="37:38">
      <c r="AK3446" s="17"/>
      <c r="AL3446" s="17"/>
    </row>
    <row r="3447" spans="37:38">
      <c r="AK3447" s="17"/>
      <c r="AL3447" s="17"/>
    </row>
    <row r="3448" spans="37:38">
      <c r="AK3448" s="17"/>
      <c r="AL3448" s="17"/>
    </row>
    <row r="3449" spans="37:38">
      <c r="AK3449" s="17"/>
      <c r="AL3449" s="17"/>
    </row>
    <row r="3450" spans="37:38">
      <c r="AK3450" s="17"/>
      <c r="AL3450" s="17"/>
    </row>
    <row r="3451" spans="37:38">
      <c r="AK3451" s="17"/>
      <c r="AL3451" s="17"/>
    </row>
    <row r="3452" spans="37:38">
      <c r="AK3452" s="17"/>
      <c r="AL3452" s="17"/>
    </row>
    <row r="3453" spans="37:38">
      <c r="AK3453" s="17"/>
      <c r="AL3453" s="17"/>
    </row>
    <row r="3454" spans="37:38">
      <c r="AK3454" s="17"/>
      <c r="AL3454" s="17"/>
    </row>
    <row r="3455" spans="37:38">
      <c r="AK3455" s="17"/>
      <c r="AL3455" s="17"/>
    </row>
    <row r="3456" spans="37:38">
      <c r="AK3456" s="17"/>
      <c r="AL3456" s="17"/>
    </row>
    <row r="3457" spans="37:38">
      <c r="AK3457" s="17"/>
      <c r="AL3457" s="17"/>
    </row>
    <row r="3458" spans="37:38">
      <c r="AK3458" s="17"/>
      <c r="AL3458" s="17"/>
    </row>
    <row r="3459" spans="37:38">
      <c r="AK3459" s="17"/>
      <c r="AL3459" s="17"/>
    </row>
    <row r="3460" spans="37:38">
      <c r="AK3460" s="17"/>
      <c r="AL3460" s="17"/>
    </row>
    <row r="3461" spans="37:38">
      <c r="AK3461" s="17"/>
      <c r="AL3461" s="17"/>
    </row>
    <row r="3462" spans="37:38">
      <c r="AK3462" s="17"/>
      <c r="AL3462" s="17"/>
    </row>
    <row r="3463" spans="37:38">
      <c r="AK3463" s="17"/>
      <c r="AL3463" s="17"/>
    </row>
    <row r="3464" spans="37:38">
      <c r="AK3464" s="17"/>
      <c r="AL3464" s="17"/>
    </row>
    <row r="3465" spans="37:38">
      <c r="AK3465" s="17"/>
      <c r="AL3465" s="17"/>
    </row>
    <row r="3466" spans="37:38">
      <c r="AK3466" s="17"/>
      <c r="AL3466" s="17"/>
    </row>
    <row r="3467" spans="37:38">
      <c r="AK3467" s="17"/>
      <c r="AL3467" s="17"/>
    </row>
    <row r="3468" spans="37:38">
      <c r="AK3468" s="17"/>
      <c r="AL3468" s="17"/>
    </row>
    <row r="3469" spans="37:38">
      <c r="AK3469" s="17"/>
      <c r="AL3469" s="17"/>
    </row>
    <row r="3470" spans="37:38">
      <c r="AK3470" s="17"/>
      <c r="AL3470" s="17"/>
    </row>
    <row r="3471" spans="37:38">
      <c r="AK3471" s="17"/>
      <c r="AL3471" s="17"/>
    </row>
    <row r="3472" spans="37:38">
      <c r="AK3472" s="17"/>
      <c r="AL3472" s="17"/>
    </row>
    <row r="3473" spans="37:38">
      <c r="AK3473" s="17"/>
      <c r="AL3473" s="17"/>
    </row>
    <row r="3474" spans="37:38">
      <c r="AK3474" s="17"/>
      <c r="AL3474" s="17"/>
    </row>
    <row r="3475" spans="37:38">
      <c r="AK3475" s="17"/>
      <c r="AL3475" s="17"/>
    </row>
    <row r="3476" spans="37:38">
      <c r="AK3476" s="17"/>
      <c r="AL3476" s="17"/>
    </row>
    <row r="3477" spans="37:38">
      <c r="AK3477" s="17"/>
      <c r="AL3477" s="17"/>
    </row>
    <row r="3478" spans="37:38">
      <c r="AK3478" s="17"/>
      <c r="AL3478" s="17"/>
    </row>
    <row r="3479" spans="37:38">
      <c r="AK3479" s="17"/>
      <c r="AL3479" s="17"/>
    </row>
    <row r="3480" spans="37:38">
      <c r="AK3480" s="17"/>
      <c r="AL3480" s="17"/>
    </row>
    <row r="3481" spans="37:38">
      <c r="AK3481" s="17"/>
      <c r="AL3481" s="17"/>
    </row>
    <row r="3482" spans="37:38">
      <c r="AK3482" s="17"/>
      <c r="AL3482" s="17"/>
    </row>
    <row r="3483" spans="37:38">
      <c r="AK3483" s="17"/>
      <c r="AL3483" s="17"/>
    </row>
    <row r="3484" spans="37:38">
      <c r="AK3484" s="17"/>
      <c r="AL3484" s="17"/>
    </row>
    <row r="3485" spans="37:38">
      <c r="AK3485" s="17"/>
      <c r="AL3485" s="17"/>
    </row>
    <row r="3486" spans="37:38">
      <c r="AK3486" s="17"/>
      <c r="AL3486" s="17"/>
    </row>
    <row r="3487" spans="37:38">
      <c r="AK3487" s="17"/>
      <c r="AL3487" s="17"/>
    </row>
    <row r="3488" spans="37:38">
      <c r="AK3488" s="17"/>
      <c r="AL3488" s="17"/>
    </row>
    <row r="3489" spans="37:38">
      <c r="AK3489" s="17"/>
      <c r="AL3489" s="17"/>
    </row>
    <row r="3490" spans="37:38">
      <c r="AK3490" s="17"/>
      <c r="AL3490" s="17"/>
    </row>
    <row r="3491" spans="37:38">
      <c r="AK3491" s="17"/>
      <c r="AL3491" s="17"/>
    </row>
    <row r="3492" spans="37:38">
      <c r="AK3492" s="17"/>
      <c r="AL3492" s="17"/>
    </row>
    <row r="3493" spans="37:38">
      <c r="AK3493" s="17"/>
      <c r="AL3493" s="17"/>
    </row>
    <row r="3494" spans="37:38">
      <c r="AK3494" s="17"/>
      <c r="AL3494" s="17"/>
    </row>
    <row r="3495" spans="37:38">
      <c r="AK3495" s="17"/>
      <c r="AL3495" s="17"/>
    </row>
    <row r="3496" spans="37:38">
      <c r="AK3496" s="17"/>
      <c r="AL3496" s="17"/>
    </row>
    <row r="3497" spans="37:38">
      <c r="AK3497" s="17"/>
      <c r="AL3497" s="17"/>
    </row>
    <row r="3498" spans="37:38">
      <c r="AK3498" s="17"/>
      <c r="AL3498" s="17"/>
    </row>
    <row r="3499" spans="37:38">
      <c r="AK3499" s="17"/>
      <c r="AL3499" s="17"/>
    </row>
    <row r="3500" spans="37:38">
      <c r="AK3500" s="17"/>
      <c r="AL3500" s="17"/>
    </row>
    <row r="3501" spans="37:38">
      <c r="AK3501" s="17"/>
      <c r="AL3501" s="17"/>
    </row>
    <row r="3502" spans="37:38">
      <c r="AK3502" s="17"/>
      <c r="AL3502" s="17"/>
    </row>
    <row r="3503" spans="37:38">
      <c r="AK3503" s="17"/>
      <c r="AL3503" s="17"/>
    </row>
    <row r="3504" spans="37:38">
      <c r="AK3504" s="17"/>
      <c r="AL3504" s="17"/>
    </row>
    <row r="3505" spans="37:38">
      <c r="AK3505" s="17"/>
      <c r="AL3505" s="17"/>
    </row>
    <row r="3506" spans="37:38">
      <c r="AK3506" s="17"/>
      <c r="AL3506" s="17"/>
    </row>
    <row r="3507" spans="37:38">
      <c r="AK3507" s="17"/>
      <c r="AL3507" s="17"/>
    </row>
    <row r="3508" spans="37:38">
      <c r="AK3508" s="17"/>
      <c r="AL3508" s="17"/>
    </row>
    <row r="3509" spans="37:38">
      <c r="AK3509" s="17"/>
      <c r="AL3509" s="17"/>
    </row>
    <row r="3510" spans="37:38">
      <c r="AK3510" s="17"/>
      <c r="AL3510" s="17"/>
    </row>
    <row r="3511" spans="37:38">
      <c r="AK3511" s="17"/>
      <c r="AL3511" s="17"/>
    </row>
    <row r="3512" spans="37:38">
      <c r="AK3512" s="17"/>
      <c r="AL3512" s="17"/>
    </row>
    <row r="3513" spans="37:38">
      <c r="AK3513" s="17"/>
      <c r="AL3513" s="17"/>
    </row>
    <row r="3514" spans="37:38">
      <c r="AK3514" s="17"/>
      <c r="AL3514" s="17"/>
    </row>
    <row r="3515" spans="37:38">
      <c r="AK3515" s="17"/>
      <c r="AL3515" s="17"/>
    </row>
    <row r="3516" spans="37:38">
      <c r="AK3516" s="17"/>
      <c r="AL3516" s="17"/>
    </row>
    <row r="3517" spans="37:38">
      <c r="AK3517" s="17"/>
      <c r="AL3517" s="17"/>
    </row>
    <row r="3518" spans="37:38">
      <c r="AK3518" s="17"/>
      <c r="AL3518" s="17"/>
    </row>
    <row r="3519" spans="37:38">
      <c r="AK3519" s="17"/>
      <c r="AL3519" s="17"/>
    </row>
    <row r="3520" spans="37:38">
      <c r="AK3520" s="17"/>
      <c r="AL3520" s="17"/>
    </row>
    <row r="3521" spans="37:38">
      <c r="AK3521" s="17"/>
      <c r="AL3521" s="17"/>
    </row>
    <row r="3522" spans="37:38">
      <c r="AK3522" s="17"/>
      <c r="AL3522" s="17"/>
    </row>
    <row r="3523" spans="37:38">
      <c r="AK3523" s="17"/>
      <c r="AL3523" s="17"/>
    </row>
    <row r="3524" spans="37:38">
      <c r="AK3524" s="17"/>
      <c r="AL3524" s="17"/>
    </row>
    <row r="3525" spans="37:38">
      <c r="AK3525" s="17"/>
      <c r="AL3525" s="17"/>
    </row>
    <row r="3526" spans="37:38">
      <c r="AK3526" s="17"/>
      <c r="AL3526" s="17"/>
    </row>
    <row r="3527" spans="37:38">
      <c r="AK3527" s="17"/>
      <c r="AL3527" s="17"/>
    </row>
    <row r="3528" spans="37:38">
      <c r="AK3528" s="17"/>
      <c r="AL3528" s="17"/>
    </row>
    <row r="3529" spans="37:38">
      <c r="AK3529" s="17"/>
      <c r="AL3529" s="17"/>
    </row>
    <row r="3530" spans="37:38">
      <c r="AK3530" s="17"/>
      <c r="AL3530" s="17"/>
    </row>
    <row r="3531" spans="37:38">
      <c r="AK3531" s="17"/>
      <c r="AL3531" s="17"/>
    </row>
    <row r="3532" spans="37:38">
      <c r="AK3532" s="17"/>
      <c r="AL3532" s="17"/>
    </row>
    <row r="3533" spans="37:38">
      <c r="AK3533" s="17"/>
      <c r="AL3533" s="17"/>
    </row>
    <row r="3534" spans="37:38">
      <c r="AK3534" s="17"/>
      <c r="AL3534" s="17"/>
    </row>
    <row r="3535" spans="37:38">
      <c r="AK3535" s="17"/>
      <c r="AL3535" s="17"/>
    </row>
    <row r="3536" spans="37:38">
      <c r="AK3536" s="17"/>
      <c r="AL3536" s="17"/>
    </row>
    <row r="3537" spans="37:38">
      <c r="AK3537" s="17"/>
      <c r="AL3537" s="17"/>
    </row>
    <row r="3538" spans="37:38">
      <c r="AK3538" s="17"/>
      <c r="AL3538" s="17"/>
    </row>
    <row r="3539" spans="37:38">
      <c r="AK3539" s="17"/>
      <c r="AL3539" s="17"/>
    </row>
    <row r="3540" spans="37:38">
      <c r="AK3540" s="17"/>
      <c r="AL3540" s="17"/>
    </row>
    <row r="3541" spans="37:38">
      <c r="AK3541" s="17"/>
      <c r="AL3541" s="17"/>
    </row>
    <row r="3542" spans="37:38">
      <c r="AK3542" s="17"/>
      <c r="AL3542" s="17"/>
    </row>
    <row r="3543" spans="37:38">
      <c r="AK3543" s="17"/>
      <c r="AL3543" s="17"/>
    </row>
    <row r="3544" spans="37:38">
      <c r="AK3544" s="17"/>
      <c r="AL3544" s="17"/>
    </row>
    <row r="3545" spans="37:38">
      <c r="AK3545" s="17"/>
      <c r="AL3545" s="17"/>
    </row>
    <row r="3546" spans="37:38">
      <c r="AK3546" s="17"/>
      <c r="AL3546" s="17"/>
    </row>
    <row r="3547" spans="37:38">
      <c r="AK3547" s="17"/>
      <c r="AL3547" s="17"/>
    </row>
    <row r="3548" spans="37:38">
      <c r="AK3548" s="17"/>
      <c r="AL3548" s="17"/>
    </row>
    <row r="3549" spans="37:38">
      <c r="AK3549" s="17"/>
      <c r="AL3549" s="17"/>
    </row>
    <row r="3550" spans="37:38">
      <c r="AK3550" s="17"/>
      <c r="AL3550" s="17"/>
    </row>
    <row r="3551" spans="37:38">
      <c r="AK3551" s="17"/>
      <c r="AL3551" s="17"/>
    </row>
    <row r="3552" spans="37:38">
      <c r="AK3552" s="17"/>
      <c r="AL3552" s="17"/>
    </row>
    <row r="3553" spans="37:38">
      <c r="AK3553" s="17"/>
      <c r="AL3553" s="17"/>
    </row>
    <row r="3554" spans="37:38">
      <c r="AK3554" s="17"/>
      <c r="AL3554" s="17"/>
    </row>
    <row r="3555" spans="37:38">
      <c r="AK3555" s="17"/>
      <c r="AL3555" s="17"/>
    </row>
    <row r="3556" spans="37:38">
      <c r="AK3556" s="17"/>
      <c r="AL3556" s="17"/>
    </row>
    <row r="3557" spans="37:38">
      <c r="AK3557" s="17"/>
      <c r="AL3557" s="17"/>
    </row>
    <row r="3558" spans="37:38">
      <c r="AK3558" s="17"/>
      <c r="AL3558" s="17"/>
    </row>
    <row r="3559" spans="37:38">
      <c r="AK3559" s="17"/>
      <c r="AL3559" s="17"/>
    </row>
    <row r="3560" spans="37:38">
      <c r="AK3560" s="17"/>
      <c r="AL3560" s="17"/>
    </row>
    <row r="3561" spans="37:38">
      <c r="AK3561" s="17"/>
      <c r="AL3561" s="17"/>
    </row>
    <row r="3562" spans="37:38">
      <c r="AK3562" s="17"/>
      <c r="AL3562" s="17"/>
    </row>
    <row r="3563" spans="37:38">
      <c r="AK3563" s="17"/>
      <c r="AL3563" s="17"/>
    </row>
    <row r="3564" spans="37:38">
      <c r="AK3564" s="17"/>
      <c r="AL3564" s="17"/>
    </row>
    <row r="3565" spans="37:38">
      <c r="AK3565" s="17"/>
      <c r="AL3565" s="17"/>
    </row>
    <row r="3566" spans="37:38">
      <c r="AK3566" s="17"/>
      <c r="AL3566" s="17"/>
    </row>
    <row r="3567" spans="37:38">
      <c r="AK3567" s="17"/>
      <c r="AL3567" s="17"/>
    </row>
    <row r="3568" spans="37:38">
      <c r="AK3568" s="17"/>
      <c r="AL3568" s="17"/>
    </row>
    <row r="3569" spans="37:38">
      <c r="AK3569" s="17"/>
      <c r="AL3569" s="17"/>
    </row>
    <row r="3570" spans="37:38">
      <c r="AK3570" s="17"/>
      <c r="AL3570" s="17"/>
    </row>
    <row r="3571" spans="37:38">
      <c r="AK3571" s="17"/>
      <c r="AL3571" s="17"/>
    </row>
    <row r="3572" spans="37:38">
      <c r="AK3572" s="17"/>
      <c r="AL3572" s="17"/>
    </row>
    <row r="3573" spans="37:38">
      <c r="AK3573" s="17"/>
      <c r="AL3573" s="17"/>
    </row>
    <row r="3574" spans="37:38">
      <c r="AK3574" s="17"/>
      <c r="AL3574" s="17"/>
    </row>
    <row r="3575" spans="37:38">
      <c r="AK3575" s="17"/>
      <c r="AL3575" s="17"/>
    </row>
    <row r="3576" spans="37:38">
      <c r="AK3576" s="17"/>
      <c r="AL3576" s="17"/>
    </row>
    <row r="3577" spans="37:38">
      <c r="AK3577" s="17"/>
      <c r="AL3577" s="17"/>
    </row>
    <row r="3578" spans="37:38">
      <c r="AK3578" s="17"/>
      <c r="AL3578" s="17"/>
    </row>
    <row r="3579" spans="37:38">
      <c r="AK3579" s="17"/>
      <c r="AL3579" s="17"/>
    </row>
    <row r="3580" spans="37:38">
      <c r="AK3580" s="17"/>
      <c r="AL3580" s="17"/>
    </row>
    <row r="3581" spans="37:38">
      <c r="AK3581" s="17"/>
      <c r="AL3581" s="17"/>
    </row>
    <row r="3582" spans="37:38">
      <c r="AK3582" s="17"/>
      <c r="AL3582" s="17"/>
    </row>
    <row r="3583" spans="37:38">
      <c r="AK3583" s="17"/>
      <c r="AL3583" s="17"/>
    </row>
    <row r="3584" spans="37:38">
      <c r="AK3584" s="17"/>
      <c r="AL3584" s="17"/>
    </row>
    <row r="3585" spans="37:38">
      <c r="AK3585" s="17"/>
      <c r="AL3585" s="17"/>
    </row>
    <row r="3586" spans="37:38">
      <c r="AK3586" s="17"/>
      <c r="AL3586" s="17"/>
    </row>
    <row r="3587" spans="37:38">
      <c r="AK3587" s="17"/>
      <c r="AL3587" s="17"/>
    </row>
    <row r="3588" spans="37:38">
      <c r="AK3588" s="17"/>
      <c r="AL3588" s="17"/>
    </row>
    <row r="3589" spans="37:38">
      <c r="AK3589" s="17"/>
      <c r="AL3589" s="17"/>
    </row>
    <row r="3590" spans="37:38">
      <c r="AK3590" s="17"/>
      <c r="AL3590" s="17"/>
    </row>
    <row r="3591" spans="37:38">
      <c r="AK3591" s="17"/>
      <c r="AL3591" s="17"/>
    </row>
    <row r="3592" spans="37:38">
      <c r="AK3592" s="17"/>
      <c r="AL3592" s="17"/>
    </row>
    <row r="3593" spans="37:38">
      <c r="AK3593" s="17"/>
      <c r="AL3593" s="17"/>
    </row>
    <row r="3594" spans="37:38">
      <c r="AK3594" s="17"/>
      <c r="AL3594" s="17"/>
    </row>
    <row r="3595" spans="37:38">
      <c r="AK3595" s="17"/>
      <c r="AL3595" s="17"/>
    </row>
    <row r="3596" spans="37:38">
      <c r="AK3596" s="17"/>
      <c r="AL3596" s="17"/>
    </row>
    <row r="3597" spans="37:38">
      <c r="AK3597" s="17"/>
      <c r="AL3597" s="17"/>
    </row>
    <row r="3598" spans="37:38">
      <c r="AK3598" s="17"/>
      <c r="AL3598" s="17"/>
    </row>
    <row r="3599" spans="37:38">
      <c r="AK3599" s="17"/>
      <c r="AL3599" s="17"/>
    </row>
    <row r="3600" spans="37:38">
      <c r="AK3600" s="17"/>
      <c r="AL3600" s="17"/>
    </row>
    <row r="3601" spans="37:38">
      <c r="AK3601" s="17"/>
      <c r="AL3601" s="17"/>
    </row>
    <row r="3602" spans="37:38">
      <c r="AK3602" s="17"/>
      <c r="AL3602" s="17"/>
    </row>
    <row r="3603" spans="37:38">
      <c r="AK3603" s="17"/>
      <c r="AL3603" s="17"/>
    </row>
    <row r="3604" spans="37:38">
      <c r="AK3604" s="17"/>
      <c r="AL3604" s="17"/>
    </row>
    <row r="3605" spans="37:38">
      <c r="AK3605" s="17"/>
      <c r="AL3605" s="17"/>
    </row>
    <row r="3606" spans="37:38">
      <c r="AK3606" s="17"/>
      <c r="AL3606" s="17"/>
    </row>
    <row r="3607" spans="37:38">
      <c r="AK3607" s="17"/>
      <c r="AL3607" s="17"/>
    </row>
    <row r="3608" spans="37:38">
      <c r="AK3608" s="17"/>
      <c r="AL3608" s="17"/>
    </row>
    <row r="3609" spans="37:38">
      <c r="AK3609" s="17"/>
      <c r="AL3609" s="17"/>
    </row>
    <row r="3610" spans="37:38">
      <c r="AK3610" s="17"/>
      <c r="AL3610" s="17"/>
    </row>
    <row r="3611" spans="37:38">
      <c r="AK3611" s="17"/>
      <c r="AL3611" s="17"/>
    </row>
    <row r="3612" spans="37:38">
      <c r="AK3612" s="17"/>
      <c r="AL3612" s="17"/>
    </row>
    <row r="3613" spans="37:38">
      <c r="AK3613" s="17"/>
      <c r="AL3613" s="17"/>
    </row>
    <row r="3614" spans="37:38">
      <c r="AK3614" s="17"/>
      <c r="AL3614" s="17"/>
    </row>
    <row r="3615" spans="37:38">
      <c r="AK3615" s="17"/>
      <c r="AL3615" s="17"/>
    </row>
    <row r="3616" spans="37:38">
      <c r="AK3616" s="17"/>
      <c r="AL3616" s="17"/>
    </row>
    <row r="3617" spans="37:38">
      <c r="AK3617" s="17"/>
      <c r="AL3617" s="17"/>
    </row>
    <row r="3618" spans="37:38">
      <c r="AK3618" s="17"/>
      <c r="AL3618" s="17"/>
    </row>
    <row r="3619" spans="37:38">
      <c r="AK3619" s="17"/>
      <c r="AL3619" s="17"/>
    </row>
    <row r="3620" spans="37:38">
      <c r="AK3620" s="17"/>
      <c r="AL3620" s="17"/>
    </row>
    <row r="3621" spans="37:38">
      <c r="AK3621" s="17"/>
      <c r="AL3621" s="17"/>
    </row>
    <row r="3622" spans="37:38">
      <c r="AK3622" s="17"/>
      <c r="AL3622" s="17"/>
    </row>
    <row r="3623" spans="37:38">
      <c r="AK3623" s="17"/>
      <c r="AL3623" s="17"/>
    </row>
    <row r="3624" spans="37:38">
      <c r="AK3624" s="17"/>
      <c r="AL3624" s="17"/>
    </row>
    <row r="3625" spans="37:38">
      <c r="AK3625" s="17"/>
      <c r="AL3625" s="17"/>
    </row>
    <row r="3626" spans="37:38">
      <c r="AK3626" s="17"/>
      <c r="AL3626" s="17"/>
    </row>
    <row r="3627" spans="37:38">
      <c r="AK3627" s="17"/>
      <c r="AL3627" s="17"/>
    </row>
    <row r="3628" spans="37:38">
      <c r="AK3628" s="17"/>
      <c r="AL3628" s="17"/>
    </row>
    <row r="3629" spans="37:38">
      <c r="AK3629" s="17"/>
      <c r="AL3629" s="17"/>
    </row>
    <row r="3630" spans="37:38">
      <c r="AK3630" s="17"/>
      <c r="AL3630" s="17"/>
    </row>
    <row r="3631" spans="37:38">
      <c r="AK3631" s="17"/>
      <c r="AL3631" s="17"/>
    </row>
    <row r="3632" spans="37:38">
      <c r="AK3632" s="17"/>
      <c r="AL3632" s="17"/>
    </row>
    <row r="3633" spans="37:38">
      <c r="AK3633" s="17"/>
      <c r="AL3633" s="17"/>
    </row>
    <row r="3634" spans="37:38">
      <c r="AK3634" s="17"/>
      <c r="AL3634" s="17"/>
    </row>
    <row r="3635" spans="37:38">
      <c r="AK3635" s="17"/>
      <c r="AL3635" s="17"/>
    </row>
    <row r="3636" spans="37:38">
      <c r="AK3636" s="17"/>
      <c r="AL3636" s="17"/>
    </row>
    <row r="3637" spans="37:38">
      <c r="AK3637" s="17"/>
      <c r="AL3637" s="17"/>
    </row>
    <row r="3638" spans="37:38">
      <c r="AK3638" s="17"/>
      <c r="AL3638" s="17"/>
    </row>
    <row r="3639" spans="37:38">
      <c r="AK3639" s="17"/>
      <c r="AL3639" s="17"/>
    </row>
    <row r="3640" spans="37:38">
      <c r="AK3640" s="17"/>
      <c r="AL3640" s="17"/>
    </row>
    <row r="3641" spans="37:38">
      <c r="AK3641" s="17"/>
      <c r="AL3641" s="17"/>
    </row>
    <row r="3642" spans="37:38">
      <c r="AK3642" s="17"/>
      <c r="AL3642" s="17"/>
    </row>
    <row r="3643" spans="37:38">
      <c r="AK3643" s="17"/>
      <c r="AL3643" s="17"/>
    </row>
    <row r="3644" spans="37:38">
      <c r="AK3644" s="17"/>
      <c r="AL3644" s="17"/>
    </row>
    <row r="3645" spans="37:38">
      <c r="AK3645" s="17"/>
      <c r="AL3645" s="17"/>
    </row>
    <row r="3646" spans="37:38">
      <c r="AK3646" s="17"/>
      <c r="AL3646" s="17"/>
    </row>
    <row r="3647" spans="37:38">
      <c r="AK3647" s="17"/>
      <c r="AL3647" s="17"/>
    </row>
    <row r="3648" spans="37:38">
      <c r="AK3648" s="17"/>
      <c r="AL3648" s="17"/>
    </row>
    <row r="3649" spans="37:38">
      <c r="AK3649" s="17"/>
      <c r="AL3649" s="17"/>
    </row>
    <row r="3650" spans="37:38">
      <c r="AK3650" s="17"/>
      <c r="AL3650" s="17"/>
    </row>
    <row r="3651" spans="37:38">
      <c r="AK3651" s="17"/>
      <c r="AL3651" s="17"/>
    </row>
    <row r="3652" spans="37:38">
      <c r="AK3652" s="17"/>
      <c r="AL3652" s="17"/>
    </row>
    <row r="3653" spans="37:38">
      <c r="AK3653" s="17"/>
      <c r="AL3653" s="17"/>
    </row>
    <row r="3654" spans="37:38">
      <c r="AK3654" s="17"/>
      <c r="AL3654" s="17"/>
    </row>
    <row r="3655" spans="37:38">
      <c r="AK3655" s="17"/>
      <c r="AL3655" s="17"/>
    </row>
    <row r="3656" spans="37:38">
      <c r="AK3656" s="17"/>
      <c r="AL3656" s="17"/>
    </row>
    <row r="3657" spans="37:38">
      <c r="AK3657" s="17"/>
      <c r="AL3657" s="17"/>
    </row>
    <row r="3658" spans="37:38">
      <c r="AK3658" s="17"/>
      <c r="AL3658" s="17"/>
    </row>
    <row r="3659" spans="37:38">
      <c r="AK3659" s="17"/>
      <c r="AL3659" s="17"/>
    </row>
    <row r="3660" spans="37:38">
      <c r="AK3660" s="17"/>
      <c r="AL3660" s="17"/>
    </row>
    <row r="3661" spans="37:38">
      <c r="AK3661" s="17"/>
      <c r="AL3661" s="17"/>
    </row>
    <row r="3662" spans="37:38">
      <c r="AK3662" s="17"/>
      <c r="AL3662" s="17"/>
    </row>
    <row r="3663" spans="37:38">
      <c r="AK3663" s="17"/>
      <c r="AL3663" s="17"/>
    </row>
    <row r="3664" spans="37:38">
      <c r="AK3664" s="17"/>
      <c r="AL3664" s="17"/>
    </row>
    <row r="3665" spans="37:38">
      <c r="AK3665" s="17"/>
      <c r="AL3665" s="17"/>
    </row>
    <row r="3666" spans="37:38">
      <c r="AK3666" s="17"/>
      <c r="AL3666" s="17"/>
    </row>
    <row r="3667" spans="37:38">
      <c r="AK3667" s="17"/>
      <c r="AL3667" s="17"/>
    </row>
    <row r="3668" spans="37:38">
      <c r="AK3668" s="17"/>
      <c r="AL3668" s="17"/>
    </row>
    <row r="3669" spans="37:38">
      <c r="AK3669" s="17"/>
      <c r="AL3669" s="17"/>
    </row>
    <row r="3670" spans="37:38">
      <c r="AK3670" s="17"/>
      <c r="AL3670" s="17"/>
    </row>
    <row r="3671" spans="37:38">
      <c r="AK3671" s="17"/>
      <c r="AL3671" s="17"/>
    </row>
    <row r="3672" spans="37:38">
      <c r="AK3672" s="17"/>
      <c r="AL3672" s="17"/>
    </row>
    <row r="3673" spans="37:38">
      <c r="AK3673" s="17"/>
      <c r="AL3673" s="17"/>
    </row>
    <row r="3674" spans="37:38">
      <c r="AK3674" s="17"/>
      <c r="AL3674" s="17"/>
    </row>
    <row r="3675" spans="37:38">
      <c r="AK3675" s="17"/>
      <c r="AL3675" s="17"/>
    </row>
    <row r="3676" spans="37:38">
      <c r="AK3676" s="17"/>
      <c r="AL3676" s="17"/>
    </row>
    <row r="3677" spans="37:38">
      <c r="AK3677" s="17"/>
      <c r="AL3677" s="17"/>
    </row>
    <row r="3678" spans="37:38">
      <c r="AK3678" s="17"/>
      <c r="AL3678" s="17"/>
    </row>
    <row r="3679" spans="37:38">
      <c r="AK3679" s="17"/>
      <c r="AL3679" s="17"/>
    </row>
    <row r="3680" spans="37:38">
      <c r="AK3680" s="17"/>
      <c r="AL3680" s="17"/>
    </row>
    <row r="3681" spans="37:38">
      <c r="AK3681" s="17"/>
      <c r="AL3681" s="17"/>
    </row>
    <row r="3682" spans="37:38">
      <c r="AK3682" s="17"/>
      <c r="AL3682" s="17"/>
    </row>
    <row r="3683" spans="37:38">
      <c r="AK3683" s="17"/>
      <c r="AL3683" s="17"/>
    </row>
    <row r="3684" spans="37:38">
      <c r="AK3684" s="17"/>
      <c r="AL3684" s="17"/>
    </row>
    <row r="3685" spans="37:38">
      <c r="AK3685" s="17"/>
      <c r="AL3685" s="17"/>
    </row>
    <row r="3686" spans="37:38">
      <c r="AK3686" s="17"/>
      <c r="AL3686" s="17"/>
    </row>
    <row r="3687" spans="37:38">
      <c r="AK3687" s="17"/>
      <c r="AL3687" s="17"/>
    </row>
    <row r="3688" spans="37:38">
      <c r="AK3688" s="17"/>
      <c r="AL3688" s="17"/>
    </row>
    <row r="3689" spans="37:38">
      <c r="AK3689" s="17"/>
      <c r="AL3689" s="17"/>
    </row>
    <row r="3690" spans="37:38">
      <c r="AK3690" s="17"/>
      <c r="AL3690" s="17"/>
    </row>
    <row r="3691" spans="37:38">
      <c r="AK3691" s="17"/>
      <c r="AL3691" s="17"/>
    </row>
    <row r="3692" spans="37:38">
      <c r="AK3692" s="17"/>
      <c r="AL3692" s="17"/>
    </row>
    <row r="3693" spans="37:38">
      <c r="AK3693" s="17"/>
      <c r="AL3693" s="17"/>
    </row>
    <row r="3694" spans="37:38">
      <c r="AK3694" s="17"/>
      <c r="AL3694" s="17"/>
    </row>
    <row r="3695" spans="37:38">
      <c r="AK3695" s="17"/>
      <c r="AL3695" s="17"/>
    </row>
    <row r="3696" spans="37:38">
      <c r="AK3696" s="17"/>
      <c r="AL3696" s="17"/>
    </row>
    <row r="3697" spans="37:38">
      <c r="AK3697" s="17"/>
      <c r="AL3697" s="17"/>
    </row>
    <row r="3698" spans="37:38">
      <c r="AK3698" s="17"/>
      <c r="AL3698" s="17"/>
    </row>
    <row r="3699" spans="37:38">
      <c r="AK3699" s="17"/>
      <c r="AL3699" s="17"/>
    </row>
    <row r="3700" spans="37:38">
      <c r="AK3700" s="17"/>
      <c r="AL3700" s="17"/>
    </row>
    <row r="3701" spans="37:38">
      <c r="AK3701" s="17"/>
      <c r="AL3701" s="17"/>
    </row>
    <row r="3702" spans="37:38">
      <c r="AK3702" s="17"/>
      <c r="AL3702" s="17"/>
    </row>
    <row r="3703" spans="37:38">
      <c r="AK3703" s="17"/>
      <c r="AL3703" s="17"/>
    </row>
    <row r="3704" spans="37:38">
      <c r="AK3704" s="17"/>
      <c r="AL3704" s="17"/>
    </row>
    <row r="3705" spans="37:38">
      <c r="AK3705" s="17"/>
      <c r="AL3705" s="17"/>
    </row>
    <row r="3706" spans="37:38">
      <c r="AK3706" s="17"/>
      <c r="AL3706" s="17"/>
    </row>
    <row r="3707" spans="37:38">
      <c r="AK3707" s="17"/>
      <c r="AL3707" s="17"/>
    </row>
    <row r="3708" spans="37:38">
      <c r="AK3708" s="17"/>
      <c r="AL3708" s="17"/>
    </row>
    <row r="3709" spans="37:38">
      <c r="AK3709" s="17"/>
      <c r="AL3709" s="17"/>
    </row>
    <row r="3710" spans="37:38">
      <c r="AK3710" s="17"/>
      <c r="AL3710" s="17"/>
    </row>
    <row r="3711" spans="37:38">
      <c r="AK3711" s="17"/>
      <c r="AL3711" s="17"/>
    </row>
    <row r="3712" spans="37:38">
      <c r="AK3712" s="17"/>
      <c r="AL3712" s="17"/>
    </row>
    <row r="3713" spans="37:38">
      <c r="AK3713" s="17"/>
      <c r="AL3713" s="17"/>
    </row>
    <row r="3714" spans="37:38">
      <c r="AK3714" s="17"/>
      <c r="AL3714" s="17"/>
    </row>
    <row r="3715" spans="37:38">
      <c r="AK3715" s="17"/>
      <c r="AL3715" s="17"/>
    </row>
    <row r="3716" spans="37:38">
      <c r="AK3716" s="17"/>
      <c r="AL3716" s="17"/>
    </row>
    <row r="3717" spans="37:38">
      <c r="AK3717" s="17"/>
      <c r="AL3717" s="17"/>
    </row>
    <row r="3718" spans="37:38">
      <c r="AK3718" s="17"/>
      <c r="AL3718" s="17"/>
    </row>
    <row r="3719" spans="37:38">
      <c r="AK3719" s="17"/>
      <c r="AL3719" s="17"/>
    </row>
    <row r="3720" spans="37:38">
      <c r="AK3720" s="17"/>
      <c r="AL3720" s="17"/>
    </row>
    <row r="3721" spans="37:38">
      <c r="AK3721" s="17"/>
      <c r="AL3721" s="17"/>
    </row>
    <row r="3722" spans="37:38">
      <c r="AK3722" s="17"/>
      <c r="AL3722" s="17"/>
    </row>
    <row r="3723" spans="37:38">
      <c r="AK3723" s="17"/>
      <c r="AL3723" s="17"/>
    </row>
    <row r="3724" spans="37:38">
      <c r="AK3724" s="17"/>
      <c r="AL3724" s="17"/>
    </row>
    <row r="3725" spans="37:38">
      <c r="AK3725" s="17"/>
      <c r="AL3725" s="17"/>
    </row>
    <row r="3726" spans="37:38">
      <c r="AK3726" s="17"/>
      <c r="AL3726" s="17"/>
    </row>
    <row r="3727" spans="37:38">
      <c r="AK3727" s="17"/>
      <c r="AL3727" s="17"/>
    </row>
    <row r="3728" spans="37:38">
      <c r="AK3728" s="17"/>
      <c r="AL3728" s="17"/>
    </row>
    <row r="3729" spans="37:38">
      <c r="AK3729" s="17"/>
      <c r="AL3729" s="17"/>
    </row>
    <row r="3730" spans="37:38">
      <c r="AK3730" s="17"/>
      <c r="AL3730" s="17"/>
    </row>
    <row r="3731" spans="37:38">
      <c r="AK3731" s="17"/>
      <c r="AL3731" s="17"/>
    </row>
    <row r="3732" spans="37:38">
      <c r="AK3732" s="17"/>
      <c r="AL3732" s="17"/>
    </row>
    <row r="3733" spans="37:38">
      <c r="AK3733" s="17"/>
      <c r="AL3733" s="17"/>
    </row>
    <row r="3734" spans="37:38">
      <c r="AK3734" s="17"/>
      <c r="AL3734" s="17"/>
    </row>
    <row r="3735" spans="37:38">
      <c r="AK3735" s="17"/>
      <c r="AL3735" s="17"/>
    </row>
    <row r="3736" spans="37:38">
      <c r="AK3736" s="17"/>
      <c r="AL3736" s="17"/>
    </row>
    <row r="3737" spans="37:38">
      <c r="AK3737" s="17"/>
      <c r="AL3737" s="17"/>
    </row>
    <row r="3738" spans="37:38">
      <c r="AK3738" s="17"/>
      <c r="AL3738" s="17"/>
    </row>
    <row r="3739" spans="37:38">
      <c r="AK3739" s="17"/>
      <c r="AL3739" s="17"/>
    </row>
    <row r="3740" spans="37:38">
      <c r="AK3740" s="17"/>
      <c r="AL3740" s="17"/>
    </row>
    <row r="3741" spans="37:38">
      <c r="AK3741" s="17"/>
      <c r="AL3741" s="17"/>
    </row>
    <row r="3742" spans="37:38">
      <c r="AK3742" s="17"/>
      <c r="AL3742" s="17"/>
    </row>
    <row r="3743" spans="37:38">
      <c r="AK3743" s="17"/>
      <c r="AL3743" s="17"/>
    </row>
    <row r="3744" spans="37:38">
      <c r="AK3744" s="17"/>
      <c r="AL3744" s="17"/>
    </row>
    <row r="3745" spans="37:38">
      <c r="AK3745" s="17"/>
      <c r="AL3745" s="17"/>
    </row>
    <row r="3746" spans="37:38">
      <c r="AK3746" s="17"/>
      <c r="AL3746" s="17"/>
    </row>
    <row r="3747" spans="37:38">
      <c r="AK3747" s="17"/>
      <c r="AL3747" s="17"/>
    </row>
    <row r="3748" spans="37:38">
      <c r="AK3748" s="17"/>
      <c r="AL3748" s="17"/>
    </row>
    <row r="3749" spans="37:38">
      <c r="AK3749" s="17"/>
      <c r="AL3749" s="17"/>
    </row>
    <row r="3750" spans="37:38">
      <c r="AK3750" s="17"/>
      <c r="AL3750" s="17"/>
    </row>
    <row r="3751" spans="37:38">
      <c r="AK3751" s="17"/>
      <c r="AL3751" s="17"/>
    </row>
    <row r="3752" spans="37:38">
      <c r="AK3752" s="17"/>
      <c r="AL3752" s="17"/>
    </row>
    <row r="3753" spans="37:38">
      <c r="AK3753" s="17"/>
      <c r="AL3753" s="17"/>
    </row>
    <row r="3754" spans="37:38">
      <c r="AK3754" s="17"/>
      <c r="AL3754" s="17"/>
    </row>
    <row r="3755" spans="37:38">
      <c r="AK3755" s="17"/>
      <c r="AL3755" s="17"/>
    </row>
    <row r="3756" spans="37:38">
      <c r="AK3756" s="17"/>
      <c r="AL3756" s="17"/>
    </row>
    <row r="3757" spans="37:38">
      <c r="AK3757" s="17"/>
      <c r="AL3757" s="17"/>
    </row>
    <row r="3758" spans="37:38">
      <c r="AK3758" s="17"/>
      <c r="AL3758" s="17"/>
    </row>
    <row r="3759" spans="37:38">
      <c r="AK3759" s="17"/>
      <c r="AL3759" s="17"/>
    </row>
    <row r="3760" spans="37:38">
      <c r="AK3760" s="17"/>
      <c r="AL3760" s="17"/>
    </row>
    <row r="3761" spans="37:38">
      <c r="AK3761" s="17"/>
      <c r="AL3761" s="17"/>
    </row>
    <row r="3762" spans="37:38">
      <c r="AK3762" s="17"/>
      <c r="AL3762" s="17"/>
    </row>
    <row r="3763" spans="37:38">
      <c r="AK3763" s="17"/>
      <c r="AL3763" s="17"/>
    </row>
    <row r="3764" spans="37:38">
      <c r="AK3764" s="17"/>
      <c r="AL3764" s="17"/>
    </row>
    <row r="3765" spans="37:38">
      <c r="AK3765" s="17"/>
      <c r="AL3765" s="17"/>
    </row>
    <row r="3766" spans="37:38">
      <c r="AK3766" s="17"/>
      <c r="AL3766" s="17"/>
    </row>
    <row r="3767" spans="37:38">
      <c r="AK3767" s="17"/>
      <c r="AL3767" s="17"/>
    </row>
    <row r="3768" spans="37:38">
      <c r="AK3768" s="17"/>
      <c r="AL3768" s="17"/>
    </row>
    <row r="3769" spans="37:38">
      <c r="AK3769" s="17"/>
      <c r="AL3769" s="17"/>
    </row>
    <row r="3770" spans="37:38">
      <c r="AK3770" s="17"/>
      <c r="AL3770" s="17"/>
    </row>
    <row r="3771" spans="37:38">
      <c r="AK3771" s="17"/>
      <c r="AL3771" s="17"/>
    </row>
    <row r="3772" spans="37:38">
      <c r="AK3772" s="17"/>
      <c r="AL3772" s="17"/>
    </row>
    <row r="3773" spans="37:38">
      <c r="AK3773" s="17"/>
      <c r="AL3773" s="17"/>
    </row>
    <row r="3774" spans="37:38">
      <c r="AK3774" s="17"/>
      <c r="AL3774" s="17"/>
    </row>
    <row r="3775" spans="37:38">
      <c r="AK3775" s="17"/>
      <c r="AL3775" s="17"/>
    </row>
    <row r="3776" spans="37:38">
      <c r="AK3776" s="17"/>
      <c r="AL3776" s="17"/>
    </row>
    <row r="3777" spans="37:38">
      <c r="AK3777" s="17"/>
      <c r="AL3777" s="17"/>
    </row>
    <row r="3778" spans="37:38">
      <c r="AK3778" s="17"/>
      <c r="AL3778" s="17"/>
    </row>
    <row r="3779" spans="37:38">
      <c r="AK3779" s="17"/>
      <c r="AL3779" s="17"/>
    </row>
    <row r="3780" spans="37:38">
      <c r="AK3780" s="17"/>
      <c r="AL3780" s="17"/>
    </row>
    <row r="3781" spans="37:38">
      <c r="AK3781" s="17"/>
      <c r="AL3781" s="17"/>
    </row>
    <row r="3782" spans="37:38">
      <c r="AK3782" s="17"/>
      <c r="AL3782" s="17"/>
    </row>
    <row r="3783" spans="37:38">
      <c r="AK3783" s="17"/>
      <c r="AL3783" s="17"/>
    </row>
    <row r="3784" spans="37:38">
      <c r="AK3784" s="17"/>
      <c r="AL3784" s="17"/>
    </row>
    <row r="3785" spans="37:38">
      <c r="AK3785" s="17"/>
      <c r="AL3785" s="17"/>
    </row>
    <row r="3786" spans="37:38">
      <c r="AK3786" s="17"/>
      <c r="AL3786" s="17"/>
    </row>
    <row r="3787" spans="37:38">
      <c r="AK3787" s="17"/>
      <c r="AL3787" s="17"/>
    </row>
    <row r="3788" spans="37:38">
      <c r="AK3788" s="17"/>
      <c r="AL3788" s="17"/>
    </row>
    <row r="3789" spans="37:38">
      <c r="AK3789" s="17"/>
      <c r="AL3789" s="17"/>
    </row>
    <row r="3790" spans="37:38">
      <c r="AK3790" s="17"/>
      <c r="AL3790" s="17"/>
    </row>
    <row r="3791" spans="37:38">
      <c r="AK3791" s="17"/>
      <c r="AL3791" s="17"/>
    </row>
    <row r="3792" spans="37:38">
      <c r="AK3792" s="17"/>
      <c r="AL3792" s="17"/>
    </row>
    <row r="3793" spans="37:38">
      <c r="AK3793" s="17"/>
      <c r="AL3793" s="17"/>
    </row>
    <row r="3794" spans="37:38">
      <c r="AK3794" s="17"/>
      <c r="AL3794" s="17"/>
    </row>
    <row r="3795" spans="37:38">
      <c r="AK3795" s="17"/>
      <c r="AL3795" s="17"/>
    </row>
    <row r="3796" spans="37:38">
      <c r="AK3796" s="17"/>
      <c r="AL3796" s="17"/>
    </row>
    <row r="3797" spans="37:38">
      <c r="AK3797" s="17"/>
      <c r="AL3797" s="17"/>
    </row>
    <row r="3798" spans="37:38">
      <c r="AK3798" s="17"/>
      <c r="AL3798" s="17"/>
    </row>
    <row r="3799" spans="37:38">
      <c r="AK3799" s="17"/>
      <c r="AL3799" s="17"/>
    </row>
    <row r="3800" spans="37:38">
      <c r="AK3800" s="17"/>
      <c r="AL3800" s="17"/>
    </row>
    <row r="3801" spans="37:38">
      <c r="AK3801" s="17"/>
      <c r="AL3801" s="17"/>
    </row>
    <row r="3802" spans="37:38">
      <c r="AK3802" s="17"/>
      <c r="AL3802" s="17"/>
    </row>
    <row r="3803" spans="37:38">
      <c r="AK3803" s="17"/>
      <c r="AL3803" s="17"/>
    </row>
    <row r="3804" spans="37:38">
      <c r="AK3804" s="17"/>
      <c r="AL3804" s="17"/>
    </row>
    <row r="3805" spans="37:38">
      <c r="AK3805" s="17"/>
      <c r="AL3805" s="17"/>
    </row>
    <row r="3806" spans="37:38">
      <c r="AK3806" s="17"/>
      <c r="AL3806" s="17"/>
    </row>
    <row r="3807" spans="37:38">
      <c r="AK3807" s="17"/>
      <c r="AL3807" s="17"/>
    </row>
    <row r="3808" spans="37:38">
      <c r="AK3808" s="17"/>
      <c r="AL3808" s="17"/>
    </row>
    <row r="3809" spans="37:38">
      <c r="AK3809" s="17"/>
      <c r="AL3809" s="17"/>
    </row>
    <row r="3810" spans="37:38">
      <c r="AK3810" s="17"/>
      <c r="AL3810" s="17"/>
    </row>
    <row r="3811" spans="37:38">
      <c r="AK3811" s="17"/>
      <c r="AL3811" s="17"/>
    </row>
    <row r="3812" spans="37:38">
      <c r="AK3812" s="17"/>
      <c r="AL3812" s="17"/>
    </row>
    <row r="3813" spans="37:38">
      <c r="AK3813" s="17"/>
      <c r="AL3813" s="17"/>
    </row>
    <row r="3814" spans="37:38">
      <c r="AK3814" s="17"/>
      <c r="AL3814" s="17"/>
    </row>
    <row r="3815" spans="37:38">
      <c r="AK3815" s="17"/>
      <c r="AL3815" s="17"/>
    </row>
    <row r="3816" spans="37:38">
      <c r="AK3816" s="17"/>
      <c r="AL3816" s="17"/>
    </row>
    <row r="3817" spans="37:38">
      <c r="AK3817" s="17"/>
      <c r="AL3817" s="17"/>
    </row>
    <row r="3818" spans="37:38">
      <c r="AK3818" s="17"/>
      <c r="AL3818" s="17"/>
    </row>
    <row r="3819" spans="37:38">
      <c r="AK3819" s="17"/>
      <c r="AL3819" s="17"/>
    </row>
    <row r="3820" spans="37:38">
      <c r="AK3820" s="17"/>
      <c r="AL3820" s="17"/>
    </row>
    <row r="3821" spans="37:38">
      <c r="AK3821" s="17"/>
      <c r="AL3821" s="17"/>
    </row>
    <row r="3822" spans="37:38">
      <c r="AK3822" s="17"/>
      <c r="AL3822" s="17"/>
    </row>
    <row r="3823" spans="37:38">
      <c r="AK3823" s="17"/>
      <c r="AL3823" s="17"/>
    </row>
    <row r="3824" spans="37:38">
      <c r="AK3824" s="17"/>
      <c r="AL3824" s="17"/>
    </row>
    <row r="3825" spans="37:38">
      <c r="AK3825" s="17"/>
      <c r="AL3825" s="17"/>
    </row>
    <row r="3826" spans="37:38">
      <c r="AK3826" s="17"/>
      <c r="AL3826" s="17"/>
    </row>
    <row r="3827" spans="37:38">
      <c r="AK3827" s="17"/>
      <c r="AL3827" s="17"/>
    </row>
    <row r="3828" spans="37:38">
      <c r="AK3828" s="17"/>
      <c r="AL3828" s="17"/>
    </row>
    <row r="3829" spans="37:38">
      <c r="AK3829" s="17"/>
      <c r="AL3829" s="17"/>
    </row>
    <row r="3830" spans="37:38">
      <c r="AK3830" s="17"/>
      <c r="AL3830" s="17"/>
    </row>
    <row r="3831" spans="37:38">
      <c r="AK3831" s="17"/>
      <c r="AL3831" s="17"/>
    </row>
    <row r="3832" spans="37:38">
      <c r="AK3832" s="17"/>
      <c r="AL3832" s="17"/>
    </row>
    <row r="3833" spans="37:38">
      <c r="AK3833" s="17"/>
      <c r="AL3833" s="17"/>
    </row>
    <row r="3834" spans="37:38">
      <c r="AK3834" s="17"/>
      <c r="AL3834" s="17"/>
    </row>
    <row r="3835" spans="37:38">
      <c r="AK3835" s="17"/>
      <c r="AL3835" s="17"/>
    </row>
    <row r="3836" spans="37:38">
      <c r="AK3836" s="17"/>
      <c r="AL3836" s="17"/>
    </row>
    <row r="3837" spans="37:38">
      <c r="AK3837" s="17"/>
      <c r="AL3837" s="17"/>
    </row>
    <row r="3838" spans="37:38">
      <c r="AK3838" s="17"/>
      <c r="AL3838" s="17"/>
    </row>
    <row r="3839" spans="37:38">
      <c r="AK3839" s="17"/>
      <c r="AL3839" s="17"/>
    </row>
    <row r="3840" spans="37:38">
      <c r="AK3840" s="17"/>
      <c r="AL3840" s="17"/>
    </row>
    <row r="3841" spans="37:38">
      <c r="AK3841" s="17"/>
      <c r="AL3841" s="17"/>
    </row>
    <row r="3842" spans="37:38">
      <c r="AK3842" s="17"/>
      <c r="AL3842" s="17"/>
    </row>
    <row r="3843" spans="37:38">
      <c r="AK3843" s="17"/>
      <c r="AL3843" s="17"/>
    </row>
    <row r="3844" spans="37:38">
      <c r="AK3844" s="17"/>
      <c r="AL3844" s="17"/>
    </row>
    <row r="3845" spans="37:38">
      <c r="AK3845" s="17"/>
      <c r="AL3845" s="17"/>
    </row>
    <row r="3846" spans="37:38">
      <c r="AK3846" s="17"/>
      <c r="AL3846" s="17"/>
    </row>
    <row r="3847" spans="37:38">
      <c r="AK3847" s="17"/>
      <c r="AL3847" s="17"/>
    </row>
    <row r="3848" spans="37:38">
      <c r="AK3848" s="17"/>
      <c r="AL3848" s="17"/>
    </row>
    <row r="3849" spans="37:38">
      <c r="AK3849" s="17"/>
      <c r="AL3849" s="17"/>
    </row>
    <row r="3850" spans="37:38">
      <c r="AK3850" s="17"/>
      <c r="AL3850" s="17"/>
    </row>
    <row r="3851" spans="37:38">
      <c r="AK3851" s="17"/>
      <c r="AL3851" s="17"/>
    </row>
    <row r="3852" spans="37:38">
      <c r="AK3852" s="17"/>
      <c r="AL3852" s="17"/>
    </row>
    <row r="3853" spans="37:38">
      <c r="AK3853" s="17"/>
      <c r="AL3853" s="17"/>
    </row>
    <row r="3854" spans="37:38">
      <c r="AK3854" s="17"/>
      <c r="AL3854" s="17"/>
    </row>
    <row r="3855" spans="37:38">
      <c r="AK3855" s="17"/>
      <c r="AL3855" s="17"/>
    </row>
    <row r="3856" spans="37:38">
      <c r="AK3856" s="17"/>
      <c r="AL3856" s="17"/>
    </row>
    <row r="3857" spans="37:38">
      <c r="AK3857" s="17"/>
      <c r="AL3857" s="17"/>
    </row>
    <row r="3858" spans="37:38">
      <c r="AK3858" s="17"/>
      <c r="AL3858" s="17"/>
    </row>
    <row r="3859" spans="37:38">
      <c r="AK3859" s="17"/>
      <c r="AL3859" s="17"/>
    </row>
    <row r="3860" spans="37:38">
      <c r="AK3860" s="17"/>
      <c r="AL3860" s="17"/>
    </row>
    <row r="3861" spans="37:38">
      <c r="AK3861" s="17"/>
      <c r="AL3861" s="17"/>
    </row>
    <row r="3862" spans="37:38">
      <c r="AK3862" s="17"/>
      <c r="AL3862" s="17"/>
    </row>
    <row r="3863" spans="37:38">
      <c r="AK3863" s="17"/>
      <c r="AL3863" s="17"/>
    </row>
    <row r="3864" spans="37:38">
      <c r="AK3864" s="17"/>
      <c r="AL3864" s="17"/>
    </row>
    <row r="3865" spans="37:38">
      <c r="AK3865" s="17"/>
      <c r="AL3865" s="17"/>
    </row>
    <row r="3866" spans="37:38">
      <c r="AK3866" s="17"/>
      <c r="AL3866" s="17"/>
    </row>
    <row r="3867" spans="37:38">
      <c r="AK3867" s="17"/>
      <c r="AL3867" s="17"/>
    </row>
    <row r="3868" spans="37:38">
      <c r="AK3868" s="17"/>
      <c r="AL3868" s="17"/>
    </row>
    <row r="3869" spans="37:38">
      <c r="AK3869" s="17"/>
      <c r="AL3869" s="17"/>
    </row>
    <row r="3870" spans="37:38">
      <c r="AK3870" s="17"/>
      <c r="AL3870" s="17"/>
    </row>
    <row r="3871" spans="37:38">
      <c r="AK3871" s="17"/>
      <c r="AL3871" s="17"/>
    </row>
    <row r="3872" spans="37:38">
      <c r="AK3872" s="17"/>
      <c r="AL3872" s="17"/>
    </row>
    <row r="3873" spans="37:38">
      <c r="AK3873" s="17"/>
      <c r="AL3873" s="17"/>
    </row>
    <row r="3874" spans="37:38">
      <c r="AK3874" s="17"/>
      <c r="AL3874" s="17"/>
    </row>
    <row r="3875" spans="37:38">
      <c r="AK3875" s="17"/>
      <c r="AL3875" s="17"/>
    </row>
    <row r="3876" spans="37:38">
      <c r="AK3876" s="17"/>
      <c r="AL3876" s="17"/>
    </row>
    <row r="3877" spans="37:38">
      <c r="AK3877" s="17"/>
      <c r="AL3877" s="17"/>
    </row>
    <row r="3878" spans="37:38">
      <c r="AK3878" s="17"/>
      <c r="AL3878" s="17"/>
    </row>
    <row r="3879" spans="37:38">
      <c r="AK3879" s="17"/>
      <c r="AL3879" s="17"/>
    </row>
    <row r="3880" spans="37:38">
      <c r="AK3880" s="17"/>
      <c r="AL3880" s="17"/>
    </row>
    <row r="3881" spans="37:38">
      <c r="AK3881" s="17"/>
      <c r="AL3881" s="17"/>
    </row>
    <row r="3882" spans="37:38">
      <c r="AK3882" s="17"/>
      <c r="AL3882" s="17"/>
    </row>
    <row r="3883" spans="37:38">
      <c r="AK3883" s="17"/>
      <c r="AL3883" s="17"/>
    </row>
    <row r="3884" spans="37:38">
      <c r="AK3884" s="17"/>
      <c r="AL3884" s="17"/>
    </row>
    <row r="3885" spans="37:38">
      <c r="AK3885" s="17"/>
      <c r="AL3885" s="17"/>
    </row>
    <row r="3886" spans="37:38">
      <c r="AK3886" s="17"/>
      <c r="AL3886" s="17"/>
    </row>
    <row r="3887" spans="37:38">
      <c r="AK3887" s="17"/>
      <c r="AL3887" s="17"/>
    </row>
    <row r="3888" spans="37:38">
      <c r="AK3888" s="17"/>
      <c r="AL3888" s="17"/>
    </row>
    <row r="3889" spans="37:38">
      <c r="AK3889" s="17"/>
      <c r="AL3889" s="17"/>
    </row>
    <row r="3890" spans="37:38">
      <c r="AK3890" s="17"/>
      <c r="AL3890" s="17"/>
    </row>
    <row r="3891" spans="37:38">
      <c r="AK3891" s="17"/>
      <c r="AL3891" s="17"/>
    </row>
    <row r="3892" spans="37:38">
      <c r="AK3892" s="17"/>
      <c r="AL3892" s="17"/>
    </row>
    <row r="3893" spans="37:38">
      <c r="AK3893" s="17"/>
      <c r="AL3893" s="17"/>
    </row>
    <row r="3894" spans="37:38">
      <c r="AK3894" s="17"/>
      <c r="AL3894" s="17"/>
    </row>
    <row r="3895" spans="37:38">
      <c r="AK3895" s="17"/>
      <c r="AL3895" s="17"/>
    </row>
    <row r="3896" spans="37:38">
      <c r="AK3896" s="17"/>
      <c r="AL3896" s="17"/>
    </row>
    <row r="3897" spans="37:38">
      <c r="AK3897" s="17"/>
      <c r="AL3897" s="17"/>
    </row>
    <row r="3898" spans="37:38">
      <c r="AK3898" s="17"/>
      <c r="AL3898" s="17"/>
    </row>
    <row r="3899" spans="37:38">
      <c r="AK3899" s="17"/>
      <c r="AL3899" s="17"/>
    </row>
    <row r="3900" spans="37:38">
      <c r="AK3900" s="17"/>
      <c r="AL3900" s="17"/>
    </row>
    <row r="3901" spans="37:38">
      <c r="AK3901" s="17"/>
      <c r="AL3901" s="17"/>
    </row>
    <row r="3902" spans="37:38">
      <c r="AK3902" s="17"/>
      <c r="AL3902" s="17"/>
    </row>
    <row r="3903" spans="37:38">
      <c r="AK3903" s="17"/>
      <c r="AL3903" s="17"/>
    </row>
    <row r="3904" spans="37:38">
      <c r="AK3904" s="17"/>
      <c r="AL3904" s="17"/>
    </row>
    <row r="3905" spans="37:38">
      <c r="AK3905" s="17"/>
      <c r="AL3905" s="17"/>
    </row>
    <row r="3906" spans="37:38">
      <c r="AK3906" s="17"/>
      <c r="AL3906" s="17"/>
    </row>
    <row r="3907" spans="37:38">
      <c r="AK3907" s="17"/>
      <c r="AL3907" s="17"/>
    </row>
    <row r="3908" spans="37:38">
      <c r="AK3908" s="17"/>
      <c r="AL3908" s="17"/>
    </row>
    <row r="3909" spans="37:38">
      <c r="AK3909" s="17"/>
      <c r="AL3909" s="17"/>
    </row>
    <row r="3910" spans="37:38">
      <c r="AK3910" s="17"/>
      <c r="AL3910" s="17"/>
    </row>
    <row r="3911" spans="37:38">
      <c r="AK3911" s="17"/>
      <c r="AL3911" s="17"/>
    </row>
    <row r="3912" spans="37:38">
      <c r="AK3912" s="17"/>
      <c r="AL3912" s="17"/>
    </row>
    <row r="3913" spans="37:38">
      <c r="AK3913" s="17"/>
      <c r="AL3913" s="17"/>
    </row>
    <row r="3914" spans="37:38">
      <c r="AK3914" s="17"/>
      <c r="AL3914" s="17"/>
    </row>
    <row r="3915" spans="37:38">
      <c r="AK3915" s="17"/>
      <c r="AL3915" s="17"/>
    </row>
    <row r="3916" spans="37:38">
      <c r="AK3916" s="17"/>
      <c r="AL3916" s="17"/>
    </row>
    <row r="3917" spans="37:38">
      <c r="AK3917" s="17"/>
      <c r="AL3917" s="17"/>
    </row>
    <row r="3918" spans="37:38">
      <c r="AK3918" s="17"/>
      <c r="AL3918" s="17"/>
    </row>
    <row r="3919" spans="37:38">
      <c r="AK3919" s="17"/>
      <c r="AL3919" s="17"/>
    </row>
    <row r="3920" spans="37:38">
      <c r="AK3920" s="17"/>
      <c r="AL3920" s="17"/>
    </row>
    <row r="3921" spans="37:38">
      <c r="AK3921" s="17"/>
      <c r="AL3921" s="17"/>
    </row>
    <row r="3922" spans="37:38">
      <c r="AK3922" s="17"/>
      <c r="AL3922" s="17"/>
    </row>
    <row r="3923" spans="37:38">
      <c r="AK3923" s="17"/>
      <c r="AL3923" s="17"/>
    </row>
    <row r="3924" spans="37:38">
      <c r="AK3924" s="17"/>
      <c r="AL3924" s="17"/>
    </row>
    <row r="3925" spans="37:38">
      <c r="AK3925" s="17"/>
      <c r="AL3925" s="17"/>
    </row>
    <row r="3926" spans="37:38">
      <c r="AK3926" s="17"/>
      <c r="AL3926" s="17"/>
    </row>
    <row r="3927" spans="37:38">
      <c r="AK3927" s="17"/>
      <c r="AL3927" s="17"/>
    </row>
    <row r="3928" spans="37:38">
      <c r="AK3928" s="17"/>
      <c r="AL3928" s="17"/>
    </row>
    <row r="3929" spans="37:38">
      <c r="AK3929" s="17"/>
      <c r="AL3929" s="17"/>
    </row>
    <row r="3930" spans="37:38">
      <c r="AK3930" s="17"/>
      <c r="AL3930" s="17"/>
    </row>
    <row r="3931" spans="37:38">
      <c r="AK3931" s="17"/>
      <c r="AL3931" s="17"/>
    </row>
    <row r="3932" spans="37:38">
      <c r="AK3932" s="17"/>
      <c r="AL3932" s="17"/>
    </row>
    <row r="3933" spans="37:38">
      <c r="AK3933" s="17"/>
      <c r="AL3933" s="17"/>
    </row>
    <row r="3934" spans="37:38">
      <c r="AK3934" s="17"/>
      <c r="AL3934" s="17"/>
    </row>
    <row r="3935" spans="37:38">
      <c r="AK3935" s="17"/>
      <c r="AL3935" s="17"/>
    </row>
    <row r="3936" spans="37:38">
      <c r="AK3936" s="17"/>
      <c r="AL3936" s="17"/>
    </row>
    <row r="3937" spans="37:38">
      <c r="AK3937" s="17"/>
      <c r="AL3937" s="17"/>
    </row>
    <row r="3938" spans="37:38">
      <c r="AK3938" s="17"/>
      <c r="AL3938" s="17"/>
    </row>
    <row r="3939" spans="37:38">
      <c r="AK3939" s="17"/>
      <c r="AL3939" s="17"/>
    </row>
    <row r="3940" spans="37:38">
      <c r="AK3940" s="17"/>
      <c r="AL3940" s="17"/>
    </row>
    <row r="3941" spans="37:38">
      <c r="AK3941" s="17"/>
      <c r="AL3941" s="17"/>
    </row>
    <row r="3942" spans="37:38">
      <c r="AK3942" s="17"/>
      <c r="AL3942" s="17"/>
    </row>
    <row r="3943" spans="37:38">
      <c r="AK3943" s="17"/>
      <c r="AL3943" s="17"/>
    </row>
    <row r="3944" spans="37:38">
      <c r="AK3944" s="17"/>
      <c r="AL3944" s="17"/>
    </row>
    <row r="3945" spans="37:38">
      <c r="AK3945" s="17"/>
      <c r="AL3945" s="17"/>
    </row>
    <row r="3946" spans="37:38">
      <c r="AK3946" s="17"/>
      <c r="AL3946" s="17"/>
    </row>
    <row r="3947" spans="37:38">
      <c r="AK3947" s="17"/>
      <c r="AL3947" s="17"/>
    </row>
    <row r="3948" spans="37:38">
      <c r="AK3948" s="17"/>
      <c r="AL3948" s="17"/>
    </row>
    <row r="3949" spans="37:38">
      <c r="AK3949" s="17"/>
      <c r="AL3949" s="17"/>
    </row>
    <row r="3950" spans="37:38">
      <c r="AK3950" s="17"/>
      <c r="AL3950" s="17"/>
    </row>
    <row r="3951" spans="37:38">
      <c r="AK3951" s="17"/>
      <c r="AL3951" s="17"/>
    </row>
    <row r="3952" spans="37:38">
      <c r="AK3952" s="17"/>
      <c r="AL3952" s="17"/>
    </row>
    <row r="3953" spans="37:38">
      <c r="AK3953" s="17"/>
      <c r="AL3953" s="17"/>
    </row>
    <row r="3954" spans="37:38">
      <c r="AK3954" s="17"/>
      <c r="AL3954" s="17"/>
    </row>
    <row r="3955" spans="37:38">
      <c r="AK3955" s="17"/>
      <c r="AL3955" s="17"/>
    </row>
    <row r="3956" spans="37:38">
      <c r="AK3956" s="17"/>
      <c r="AL3956" s="17"/>
    </row>
    <row r="3957" spans="37:38">
      <c r="AK3957" s="17"/>
      <c r="AL3957" s="17"/>
    </row>
    <row r="3958" spans="37:38">
      <c r="AK3958" s="17"/>
      <c r="AL3958" s="17"/>
    </row>
    <row r="3959" spans="37:38">
      <c r="AK3959" s="17"/>
      <c r="AL3959" s="17"/>
    </row>
    <row r="3960" spans="37:38">
      <c r="AK3960" s="17"/>
      <c r="AL3960" s="17"/>
    </row>
    <row r="3961" spans="37:38">
      <c r="AK3961" s="17"/>
      <c r="AL3961" s="17"/>
    </row>
    <row r="3962" spans="37:38">
      <c r="AK3962" s="17"/>
      <c r="AL3962" s="17"/>
    </row>
    <row r="3963" spans="37:38">
      <c r="AK3963" s="17"/>
      <c r="AL3963" s="17"/>
    </row>
    <row r="3964" spans="37:38">
      <c r="AK3964" s="17"/>
      <c r="AL3964" s="17"/>
    </row>
    <row r="3965" spans="37:38">
      <c r="AK3965" s="17"/>
      <c r="AL3965" s="17"/>
    </row>
    <row r="3966" spans="37:38">
      <c r="AK3966" s="17"/>
      <c r="AL3966" s="17"/>
    </row>
    <row r="3967" spans="37:38">
      <c r="AK3967" s="17"/>
      <c r="AL3967" s="17"/>
    </row>
    <row r="3968" spans="37:38">
      <c r="AK3968" s="17"/>
      <c r="AL3968" s="17"/>
    </row>
    <row r="3969" spans="37:38">
      <c r="AK3969" s="17"/>
      <c r="AL3969" s="17"/>
    </row>
    <row r="3970" spans="37:38">
      <c r="AK3970" s="17"/>
      <c r="AL3970" s="17"/>
    </row>
    <row r="3971" spans="37:38">
      <c r="AK3971" s="17"/>
      <c r="AL3971" s="17"/>
    </row>
    <row r="3972" spans="37:38">
      <c r="AK3972" s="17"/>
      <c r="AL3972" s="17"/>
    </row>
    <row r="3973" spans="37:38">
      <c r="AK3973" s="17"/>
      <c r="AL3973" s="17"/>
    </row>
    <row r="3974" spans="37:38">
      <c r="AK3974" s="17"/>
      <c r="AL3974" s="17"/>
    </row>
    <row r="3975" spans="37:38">
      <c r="AK3975" s="17"/>
      <c r="AL3975" s="17"/>
    </row>
    <row r="3976" spans="37:38">
      <c r="AK3976" s="17"/>
      <c r="AL3976" s="17"/>
    </row>
    <row r="3977" spans="37:38">
      <c r="AK3977" s="17"/>
      <c r="AL3977" s="17"/>
    </row>
    <row r="3978" spans="37:38">
      <c r="AK3978" s="17"/>
      <c r="AL3978" s="17"/>
    </row>
    <row r="3979" spans="37:38">
      <c r="AK3979" s="17"/>
      <c r="AL3979" s="17"/>
    </row>
    <row r="3980" spans="37:38">
      <c r="AK3980" s="17"/>
      <c r="AL3980" s="17"/>
    </row>
    <row r="3981" spans="37:38">
      <c r="AK3981" s="17"/>
      <c r="AL3981" s="17"/>
    </row>
    <row r="3982" spans="37:38">
      <c r="AK3982" s="17"/>
      <c r="AL3982" s="17"/>
    </row>
    <row r="3983" spans="37:38">
      <c r="AK3983" s="17"/>
      <c r="AL3983" s="17"/>
    </row>
    <row r="3984" spans="37:38">
      <c r="AK3984" s="17"/>
      <c r="AL3984" s="17"/>
    </row>
    <row r="3985" spans="37:38">
      <c r="AK3985" s="17"/>
      <c r="AL3985" s="17"/>
    </row>
    <row r="3986" spans="37:38">
      <c r="AK3986" s="17"/>
      <c r="AL3986" s="17"/>
    </row>
    <row r="3987" spans="37:38">
      <c r="AK3987" s="17"/>
      <c r="AL3987" s="17"/>
    </row>
    <row r="3988" spans="37:38">
      <c r="AK3988" s="17"/>
      <c r="AL3988" s="17"/>
    </row>
    <row r="3989" spans="37:38">
      <c r="AK3989" s="17"/>
      <c r="AL3989" s="17"/>
    </row>
    <row r="3990" spans="37:38">
      <c r="AK3990" s="17"/>
      <c r="AL3990" s="17"/>
    </row>
    <row r="3991" spans="37:38">
      <c r="AK3991" s="17"/>
      <c r="AL3991" s="17"/>
    </row>
    <row r="3992" spans="37:38">
      <c r="AK3992" s="17"/>
      <c r="AL3992" s="17"/>
    </row>
    <row r="3993" spans="37:38">
      <c r="AK3993" s="17"/>
      <c r="AL3993" s="17"/>
    </row>
    <row r="3994" spans="37:38">
      <c r="AK3994" s="17"/>
      <c r="AL3994" s="17"/>
    </row>
    <row r="3995" spans="37:38">
      <c r="AK3995" s="17"/>
      <c r="AL3995" s="17"/>
    </row>
    <row r="3996" spans="37:38">
      <c r="AK3996" s="17"/>
      <c r="AL3996" s="17"/>
    </row>
    <row r="3997" spans="37:38">
      <c r="AK3997" s="17"/>
      <c r="AL3997" s="17"/>
    </row>
    <row r="3998" spans="37:38">
      <c r="AK3998" s="17"/>
      <c r="AL3998" s="17"/>
    </row>
    <row r="3999" spans="37:38">
      <c r="AK3999" s="17"/>
      <c r="AL3999" s="17"/>
    </row>
    <row r="4000" spans="37:38">
      <c r="AK4000" s="17"/>
      <c r="AL4000" s="17"/>
    </row>
    <row r="4001" spans="37:38">
      <c r="AK4001" s="17"/>
      <c r="AL4001" s="17"/>
    </row>
    <row r="4002" spans="37:38">
      <c r="AK4002" s="17"/>
      <c r="AL4002" s="17"/>
    </row>
    <row r="4003" spans="37:38">
      <c r="AK4003" s="17"/>
      <c r="AL4003" s="17"/>
    </row>
    <row r="4004" spans="37:38">
      <c r="AK4004" s="17"/>
      <c r="AL4004" s="17"/>
    </row>
    <row r="4005" spans="37:38">
      <c r="AK4005" s="17"/>
      <c r="AL4005" s="17"/>
    </row>
    <row r="4006" spans="37:38">
      <c r="AK4006" s="17"/>
      <c r="AL4006" s="17"/>
    </row>
    <row r="4007" spans="37:38">
      <c r="AK4007" s="17"/>
      <c r="AL4007" s="17"/>
    </row>
    <row r="4008" spans="37:38">
      <c r="AK4008" s="17"/>
      <c r="AL4008" s="17"/>
    </row>
    <row r="4009" spans="37:38">
      <c r="AK4009" s="17"/>
      <c r="AL4009" s="17"/>
    </row>
    <row r="4010" spans="37:38">
      <c r="AK4010" s="17"/>
      <c r="AL4010" s="17"/>
    </row>
    <row r="4011" spans="37:38">
      <c r="AK4011" s="17"/>
      <c r="AL4011" s="17"/>
    </row>
    <row r="4012" spans="37:38">
      <c r="AK4012" s="17"/>
      <c r="AL4012" s="17"/>
    </row>
    <row r="4013" spans="37:38">
      <c r="AK4013" s="17"/>
      <c r="AL4013" s="17"/>
    </row>
    <row r="4014" spans="37:38">
      <c r="AK4014" s="17"/>
      <c r="AL4014" s="17"/>
    </row>
    <row r="4015" spans="37:38">
      <c r="AK4015" s="17"/>
      <c r="AL4015" s="17"/>
    </row>
    <row r="4016" spans="37:38">
      <c r="AK4016" s="17"/>
      <c r="AL4016" s="17"/>
    </row>
    <row r="4017" spans="37:38">
      <c r="AK4017" s="17"/>
      <c r="AL4017" s="17"/>
    </row>
    <row r="4018" spans="37:38">
      <c r="AK4018" s="17"/>
      <c r="AL4018" s="17"/>
    </row>
    <row r="4019" spans="37:38">
      <c r="AK4019" s="17"/>
      <c r="AL4019" s="17"/>
    </row>
    <row r="4020" spans="37:38">
      <c r="AK4020" s="17"/>
      <c r="AL4020" s="17"/>
    </row>
    <row r="4021" spans="37:38">
      <c r="AK4021" s="17"/>
      <c r="AL4021" s="17"/>
    </row>
    <row r="4022" spans="37:38">
      <c r="AK4022" s="17"/>
      <c r="AL4022" s="17"/>
    </row>
    <row r="4023" spans="37:38">
      <c r="AK4023" s="17"/>
      <c r="AL4023" s="17"/>
    </row>
    <row r="4024" spans="37:38">
      <c r="AK4024" s="17"/>
      <c r="AL4024" s="17"/>
    </row>
    <row r="4025" spans="37:38">
      <c r="AK4025" s="17"/>
      <c r="AL4025" s="17"/>
    </row>
    <row r="4026" spans="37:38">
      <c r="AK4026" s="17"/>
      <c r="AL4026" s="17"/>
    </row>
    <row r="4027" spans="37:38">
      <c r="AK4027" s="17"/>
      <c r="AL4027" s="17"/>
    </row>
    <row r="4028" spans="37:38">
      <c r="AK4028" s="17"/>
      <c r="AL4028" s="17"/>
    </row>
    <row r="4029" spans="37:38">
      <c r="AK4029" s="17"/>
      <c r="AL4029" s="17"/>
    </row>
    <row r="4030" spans="37:38">
      <c r="AK4030" s="17"/>
      <c r="AL4030" s="17"/>
    </row>
    <row r="4031" spans="37:38">
      <c r="AK4031" s="17"/>
      <c r="AL4031" s="17"/>
    </row>
    <row r="4032" spans="37:38">
      <c r="AK4032" s="17"/>
      <c r="AL4032" s="17"/>
    </row>
    <row r="4033" spans="37:38">
      <c r="AK4033" s="17"/>
      <c r="AL4033" s="17"/>
    </row>
    <row r="4034" spans="37:38">
      <c r="AK4034" s="17"/>
      <c r="AL4034" s="17"/>
    </row>
    <row r="4035" spans="37:38">
      <c r="AK4035" s="17"/>
      <c r="AL4035" s="17"/>
    </row>
    <row r="4036" spans="37:38">
      <c r="AK4036" s="17"/>
      <c r="AL4036" s="17"/>
    </row>
    <row r="4037" spans="37:38">
      <c r="AK4037" s="17"/>
      <c r="AL4037" s="17"/>
    </row>
    <row r="4038" spans="37:38">
      <c r="AK4038" s="17"/>
      <c r="AL4038" s="17"/>
    </row>
    <row r="4039" spans="37:38">
      <c r="AK4039" s="17"/>
      <c r="AL4039" s="17"/>
    </row>
    <row r="4040" spans="37:38">
      <c r="AK4040" s="17"/>
      <c r="AL4040" s="17"/>
    </row>
    <row r="4041" spans="37:38">
      <c r="AK4041" s="17"/>
      <c r="AL4041" s="17"/>
    </row>
    <row r="4042" spans="37:38">
      <c r="AK4042" s="17"/>
      <c r="AL4042" s="17"/>
    </row>
    <row r="4043" spans="37:38">
      <c r="AK4043" s="17"/>
      <c r="AL4043" s="17"/>
    </row>
    <row r="4044" spans="37:38">
      <c r="AK4044" s="17"/>
      <c r="AL4044" s="17"/>
    </row>
    <row r="4045" spans="37:38">
      <c r="AK4045" s="17"/>
      <c r="AL4045" s="17"/>
    </row>
    <row r="4046" spans="37:38">
      <c r="AK4046" s="17"/>
      <c r="AL4046" s="17"/>
    </row>
    <row r="4047" spans="37:38">
      <c r="AK4047" s="17"/>
      <c r="AL4047" s="17"/>
    </row>
    <row r="4048" spans="37:38">
      <c r="AK4048" s="17"/>
      <c r="AL4048" s="17"/>
    </row>
    <row r="4049" spans="37:38">
      <c r="AK4049" s="17"/>
      <c r="AL4049" s="17"/>
    </row>
    <row r="4050" spans="37:38">
      <c r="AK4050" s="17"/>
      <c r="AL4050" s="17"/>
    </row>
    <row r="4051" spans="37:38">
      <c r="AK4051" s="17"/>
      <c r="AL4051" s="17"/>
    </row>
    <row r="4052" spans="37:38">
      <c r="AK4052" s="17"/>
      <c r="AL4052" s="17"/>
    </row>
    <row r="4053" spans="37:38">
      <c r="AK4053" s="17"/>
      <c r="AL4053" s="17"/>
    </row>
    <row r="4054" spans="37:38">
      <c r="AK4054" s="17"/>
      <c r="AL4054" s="17"/>
    </row>
    <row r="4055" spans="37:38">
      <c r="AK4055" s="17"/>
      <c r="AL4055" s="17"/>
    </row>
    <row r="4056" spans="37:38">
      <c r="AK4056" s="17"/>
      <c r="AL4056" s="17"/>
    </row>
    <row r="4057" spans="37:38">
      <c r="AK4057" s="17"/>
      <c r="AL4057" s="17"/>
    </row>
    <row r="4058" spans="37:38">
      <c r="AK4058" s="17"/>
      <c r="AL4058" s="17"/>
    </row>
    <row r="4059" spans="37:38">
      <c r="AK4059" s="17"/>
      <c r="AL4059" s="17"/>
    </row>
    <row r="4060" spans="37:38">
      <c r="AK4060" s="17"/>
      <c r="AL4060" s="17"/>
    </row>
    <row r="4061" spans="37:38">
      <c r="AK4061" s="17"/>
      <c r="AL4061" s="17"/>
    </row>
    <row r="4062" spans="37:38">
      <c r="AK4062" s="17"/>
      <c r="AL4062" s="17"/>
    </row>
    <row r="4063" spans="37:38">
      <c r="AK4063" s="17"/>
      <c r="AL4063" s="17"/>
    </row>
    <row r="4064" spans="37:38">
      <c r="AK4064" s="17"/>
      <c r="AL4064" s="17"/>
    </row>
    <row r="4065" spans="37:38">
      <c r="AK4065" s="17"/>
      <c r="AL4065" s="17"/>
    </row>
    <row r="4066" spans="37:38">
      <c r="AK4066" s="17"/>
      <c r="AL4066" s="17"/>
    </row>
    <row r="4067" spans="37:38">
      <c r="AK4067" s="17"/>
      <c r="AL4067" s="17"/>
    </row>
    <row r="4068" spans="37:38">
      <c r="AK4068" s="17"/>
      <c r="AL4068" s="17"/>
    </row>
    <row r="4069" spans="37:38">
      <c r="AK4069" s="17"/>
      <c r="AL4069" s="17"/>
    </row>
    <row r="4070" spans="37:38">
      <c r="AK4070" s="17"/>
      <c r="AL4070" s="17"/>
    </row>
    <row r="4071" spans="37:38">
      <c r="AK4071" s="17"/>
      <c r="AL4071" s="17"/>
    </row>
    <row r="4072" spans="37:38">
      <c r="AK4072" s="17"/>
      <c r="AL4072" s="17"/>
    </row>
    <row r="4073" spans="37:38">
      <c r="AK4073" s="17"/>
      <c r="AL4073" s="17"/>
    </row>
    <row r="4074" spans="37:38">
      <c r="AK4074" s="17"/>
      <c r="AL4074" s="17"/>
    </row>
    <row r="4075" spans="37:38">
      <c r="AK4075" s="17"/>
      <c r="AL4075" s="17"/>
    </row>
    <row r="4076" spans="37:38">
      <c r="AK4076" s="17"/>
      <c r="AL4076" s="17"/>
    </row>
    <row r="4077" spans="37:38">
      <c r="AK4077" s="17"/>
      <c r="AL4077" s="17"/>
    </row>
    <row r="4078" spans="37:38">
      <c r="AK4078" s="17"/>
      <c r="AL4078" s="17"/>
    </row>
    <row r="4079" spans="37:38">
      <c r="AK4079" s="17"/>
      <c r="AL4079" s="17"/>
    </row>
    <row r="4080" spans="37:38">
      <c r="AK4080" s="17"/>
      <c r="AL4080" s="17"/>
    </row>
    <row r="4081" spans="37:38">
      <c r="AK4081" s="17"/>
      <c r="AL4081" s="17"/>
    </row>
    <row r="4082" spans="37:38">
      <c r="AK4082" s="17"/>
      <c r="AL4082" s="17"/>
    </row>
    <row r="4083" spans="37:38">
      <c r="AK4083" s="17"/>
      <c r="AL4083" s="17"/>
    </row>
    <row r="4084" spans="37:38">
      <c r="AK4084" s="17"/>
      <c r="AL4084" s="17"/>
    </row>
    <row r="4085" spans="37:38">
      <c r="AK4085" s="17"/>
      <c r="AL4085" s="17"/>
    </row>
    <row r="4086" spans="37:38">
      <c r="AK4086" s="17"/>
      <c r="AL4086" s="17"/>
    </row>
    <row r="4087" spans="37:38">
      <c r="AK4087" s="17"/>
      <c r="AL4087" s="17"/>
    </row>
    <row r="4088" spans="37:38">
      <c r="AK4088" s="17"/>
      <c r="AL4088" s="17"/>
    </row>
    <row r="4089" spans="37:38">
      <c r="AK4089" s="17"/>
      <c r="AL4089" s="17"/>
    </row>
    <row r="4090" spans="37:38">
      <c r="AK4090" s="17"/>
      <c r="AL4090" s="17"/>
    </row>
    <row r="4091" spans="37:38">
      <c r="AK4091" s="17"/>
      <c r="AL4091" s="17"/>
    </row>
    <row r="4092" spans="37:38">
      <c r="AK4092" s="17"/>
      <c r="AL4092" s="17"/>
    </row>
    <row r="4093" spans="37:38">
      <c r="AK4093" s="17"/>
      <c r="AL4093" s="17"/>
    </row>
    <row r="4094" spans="37:38">
      <c r="AK4094" s="17"/>
      <c r="AL4094" s="17"/>
    </row>
    <row r="4095" spans="37:38">
      <c r="AK4095" s="17"/>
      <c r="AL4095" s="17"/>
    </row>
    <row r="4096" spans="37:38">
      <c r="AK4096" s="17"/>
      <c r="AL4096" s="17"/>
    </row>
    <row r="4097" spans="37:38">
      <c r="AK4097" s="17"/>
      <c r="AL4097" s="17"/>
    </row>
    <row r="4098" spans="37:38">
      <c r="AK4098" s="17"/>
      <c r="AL4098" s="17"/>
    </row>
    <row r="4099" spans="37:38">
      <c r="AK4099" s="17"/>
      <c r="AL4099" s="17"/>
    </row>
    <row r="4100" spans="37:38">
      <c r="AK4100" s="17"/>
      <c r="AL4100" s="17"/>
    </row>
    <row r="4101" spans="37:38">
      <c r="AK4101" s="17"/>
      <c r="AL4101" s="17"/>
    </row>
    <row r="4102" spans="37:38">
      <c r="AK4102" s="17"/>
      <c r="AL4102" s="17"/>
    </row>
    <row r="4103" spans="37:38">
      <c r="AK4103" s="17"/>
      <c r="AL4103" s="17"/>
    </row>
    <row r="4104" spans="37:38">
      <c r="AK4104" s="17"/>
      <c r="AL4104" s="17"/>
    </row>
    <row r="4105" spans="37:38">
      <c r="AK4105" s="17"/>
      <c r="AL4105" s="17"/>
    </row>
    <row r="4106" spans="37:38">
      <c r="AK4106" s="17"/>
      <c r="AL4106" s="17"/>
    </row>
    <row r="4107" spans="37:38">
      <c r="AK4107" s="17"/>
      <c r="AL4107" s="17"/>
    </row>
    <row r="4108" spans="37:38">
      <c r="AK4108" s="17"/>
      <c r="AL4108" s="17"/>
    </row>
    <row r="4109" spans="37:38">
      <c r="AK4109" s="17"/>
      <c r="AL4109" s="17"/>
    </row>
    <row r="4110" spans="37:38">
      <c r="AK4110" s="17"/>
      <c r="AL4110" s="17"/>
    </row>
    <row r="4111" spans="37:38">
      <c r="AK4111" s="17"/>
      <c r="AL4111" s="17"/>
    </row>
    <row r="4112" spans="37:38">
      <c r="AK4112" s="17"/>
      <c r="AL4112" s="17"/>
    </row>
    <row r="4113" spans="37:38">
      <c r="AK4113" s="17"/>
      <c r="AL4113" s="17"/>
    </row>
    <row r="4114" spans="37:38">
      <c r="AK4114" s="17"/>
      <c r="AL4114" s="17"/>
    </row>
    <row r="4115" spans="37:38">
      <c r="AK4115" s="17"/>
      <c r="AL4115" s="17"/>
    </row>
    <row r="4116" spans="37:38">
      <c r="AK4116" s="17"/>
      <c r="AL4116" s="17"/>
    </row>
    <row r="4117" spans="37:38">
      <c r="AK4117" s="17"/>
      <c r="AL4117" s="17"/>
    </row>
    <row r="4118" spans="37:38">
      <c r="AK4118" s="17"/>
      <c r="AL4118" s="17"/>
    </row>
    <row r="4119" spans="37:38">
      <c r="AK4119" s="17"/>
      <c r="AL4119" s="17"/>
    </row>
    <row r="4120" spans="37:38">
      <c r="AK4120" s="17"/>
      <c r="AL4120" s="17"/>
    </row>
    <row r="4121" spans="37:38">
      <c r="AK4121" s="17"/>
      <c r="AL4121" s="17"/>
    </row>
    <row r="4122" spans="37:38">
      <c r="AK4122" s="17"/>
      <c r="AL4122" s="17"/>
    </row>
    <row r="4123" spans="37:38">
      <c r="AK4123" s="17"/>
      <c r="AL4123" s="17"/>
    </row>
    <row r="4124" spans="37:38">
      <c r="AK4124" s="17"/>
      <c r="AL4124" s="17"/>
    </row>
    <row r="4125" spans="37:38">
      <c r="AK4125" s="17"/>
      <c r="AL4125" s="17"/>
    </row>
    <row r="4126" spans="37:38">
      <c r="AK4126" s="17"/>
      <c r="AL4126" s="17"/>
    </row>
    <row r="4127" spans="37:38">
      <c r="AK4127" s="17"/>
      <c r="AL4127" s="17"/>
    </row>
    <row r="4128" spans="37:38">
      <c r="AK4128" s="17"/>
      <c r="AL4128" s="17"/>
    </row>
    <row r="4129" spans="37:38">
      <c r="AK4129" s="17"/>
      <c r="AL4129" s="17"/>
    </row>
    <row r="4130" spans="37:38">
      <c r="AK4130" s="17"/>
      <c r="AL4130" s="17"/>
    </row>
    <row r="4131" spans="37:38">
      <c r="AK4131" s="17"/>
      <c r="AL4131" s="17"/>
    </row>
    <row r="4132" spans="37:38">
      <c r="AK4132" s="17"/>
      <c r="AL4132" s="17"/>
    </row>
    <row r="4133" spans="37:38">
      <c r="AK4133" s="17"/>
      <c r="AL4133" s="17"/>
    </row>
    <row r="4134" spans="37:38">
      <c r="AK4134" s="17"/>
      <c r="AL4134" s="17"/>
    </row>
    <row r="4135" spans="37:38">
      <c r="AK4135" s="17"/>
      <c r="AL4135" s="17"/>
    </row>
    <row r="4136" spans="37:38">
      <c r="AK4136" s="17"/>
      <c r="AL4136" s="17"/>
    </row>
    <row r="4137" spans="37:38">
      <c r="AK4137" s="17"/>
      <c r="AL4137" s="17"/>
    </row>
    <row r="4138" spans="37:38">
      <c r="AK4138" s="17"/>
      <c r="AL4138" s="17"/>
    </row>
    <row r="4139" spans="37:38">
      <c r="AK4139" s="17"/>
      <c r="AL4139" s="17"/>
    </row>
    <row r="4140" spans="37:38">
      <c r="AK4140" s="17"/>
      <c r="AL4140" s="17"/>
    </row>
    <row r="4141" spans="37:38">
      <c r="AK4141" s="17"/>
      <c r="AL4141" s="17"/>
    </row>
    <row r="4142" spans="37:38">
      <c r="AK4142" s="17"/>
      <c r="AL4142" s="17"/>
    </row>
    <row r="4143" spans="37:38">
      <c r="AK4143" s="17"/>
      <c r="AL4143" s="17"/>
    </row>
    <row r="4144" spans="37:38">
      <c r="AK4144" s="17"/>
      <c r="AL4144" s="17"/>
    </row>
    <row r="4145" spans="37:38">
      <c r="AK4145" s="17"/>
      <c r="AL4145" s="17"/>
    </row>
    <row r="4146" spans="37:38">
      <c r="AK4146" s="17"/>
      <c r="AL4146" s="17"/>
    </row>
    <row r="4147" spans="37:38">
      <c r="AK4147" s="17"/>
      <c r="AL4147" s="17"/>
    </row>
    <row r="4148" spans="37:38">
      <c r="AK4148" s="17"/>
      <c r="AL4148" s="17"/>
    </row>
    <row r="4149" spans="37:38">
      <c r="AK4149" s="17"/>
      <c r="AL4149" s="17"/>
    </row>
    <row r="4150" spans="37:38">
      <c r="AK4150" s="17"/>
      <c r="AL4150" s="17"/>
    </row>
    <row r="4151" spans="37:38">
      <c r="AK4151" s="17"/>
      <c r="AL4151" s="17"/>
    </row>
    <row r="4152" spans="37:38">
      <c r="AK4152" s="17"/>
      <c r="AL4152" s="17"/>
    </row>
    <row r="4153" spans="37:38">
      <c r="AK4153" s="17"/>
      <c r="AL4153" s="17"/>
    </row>
    <row r="4154" spans="37:38">
      <c r="AK4154" s="17"/>
      <c r="AL4154" s="17"/>
    </row>
    <row r="4155" spans="37:38">
      <c r="AK4155" s="17"/>
      <c r="AL4155" s="17"/>
    </row>
    <row r="4156" spans="37:38">
      <c r="AK4156" s="17"/>
      <c r="AL4156" s="17"/>
    </row>
    <row r="4157" spans="37:38">
      <c r="AK4157" s="17"/>
      <c r="AL4157" s="17"/>
    </row>
    <row r="4158" spans="37:38">
      <c r="AK4158" s="17"/>
      <c r="AL4158" s="17"/>
    </row>
    <row r="4159" spans="37:38">
      <c r="AK4159" s="17"/>
      <c r="AL4159" s="17"/>
    </row>
    <row r="4160" spans="37:38">
      <c r="AK4160" s="17"/>
      <c r="AL4160" s="17"/>
    </row>
    <row r="4161" spans="37:38">
      <c r="AK4161" s="17"/>
      <c r="AL4161" s="17"/>
    </row>
    <row r="4162" spans="37:38">
      <c r="AK4162" s="17"/>
      <c r="AL4162" s="17"/>
    </row>
    <row r="4163" spans="37:38">
      <c r="AK4163" s="17"/>
      <c r="AL4163" s="17"/>
    </row>
    <row r="4164" spans="37:38">
      <c r="AK4164" s="17"/>
      <c r="AL4164" s="17"/>
    </row>
    <row r="4165" spans="37:38">
      <c r="AK4165" s="17"/>
      <c r="AL4165" s="17"/>
    </row>
    <row r="4166" spans="37:38">
      <c r="AK4166" s="17"/>
      <c r="AL4166" s="17"/>
    </row>
    <row r="4167" spans="37:38">
      <c r="AK4167" s="17"/>
      <c r="AL4167" s="17"/>
    </row>
    <row r="4168" spans="37:38">
      <c r="AK4168" s="17"/>
      <c r="AL4168" s="17"/>
    </row>
    <row r="4169" spans="37:38">
      <c r="AK4169" s="17"/>
      <c r="AL4169" s="17"/>
    </row>
    <row r="4170" spans="37:38">
      <c r="AK4170" s="17"/>
      <c r="AL4170" s="17"/>
    </row>
    <row r="4171" spans="37:38">
      <c r="AK4171" s="17"/>
      <c r="AL4171" s="17"/>
    </row>
    <row r="4172" spans="37:38">
      <c r="AK4172" s="17"/>
      <c r="AL4172" s="17"/>
    </row>
    <row r="4173" spans="37:38">
      <c r="AK4173" s="17"/>
      <c r="AL4173" s="17"/>
    </row>
    <row r="4174" spans="37:38">
      <c r="AK4174" s="17"/>
      <c r="AL4174" s="17"/>
    </row>
    <row r="4175" spans="37:38">
      <c r="AK4175" s="17"/>
      <c r="AL4175" s="17"/>
    </row>
    <row r="4176" spans="37:38">
      <c r="AK4176" s="17"/>
      <c r="AL4176" s="17"/>
    </row>
    <row r="4177" spans="37:38">
      <c r="AK4177" s="17"/>
      <c r="AL4177" s="17"/>
    </row>
    <row r="4178" spans="37:38">
      <c r="AK4178" s="17"/>
      <c r="AL4178" s="17"/>
    </row>
    <row r="4179" spans="37:38">
      <c r="AK4179" s="17"/>
      <c r="AL4179" s="17"/>
    </row>
    <row r="4180" spans="37:38">
      <c r="AK4180" s="17"/>
      <c r="AL4180" s="17"/>
    </row>
    <row r="4181" spans="37:38">
      <c r="AK4181" s="17"/>
      <c r="AL4181" s="17"/>
    </row>
    <row r="4182" spans="37:38">
      <c r="AK4182" s="17"/>
      <c r="AL4182" s="17"/>
    </row>
    <row r="4183" spans="37:38">
      <c r="AK4183" s="17"/>
      <c r="AL4183" s="17"/>
    </row>
    <row r="4184" spans="37:38">
      <c r="AK4184" s="17"/>
      <c r="AL4184" s="17"/>
    </row>
    <row r="4185" spans="37:38">
      <c r="AK4185" s="17"/>
      <c r="AL4185" s="17"/>
    </row>
    <row r="4186" spans="37:38">
      <c r="AK4186" s="17"/>
      <c r="AL4186" s="17"/>
    </row>
    <row r="4187" spans="37:38">
      <c r="AK4187" s="17"/>
      <c r="AL4187" s="17"/>
    </row>
    <row r="4188" spans="37:38">
      <c r="AK4188" s="17"/>
      <c r="AL4188" s="17"/>
    </row>
    <row r="4189" spans="37:38">
      <c r="AK4189" s="17"/>
      <c r="AL4189" s="17"/>
    </row>
    <row r="4190" spans="37:38">
      <c r="AK4190" s="17"/>
      <c r="AL4190" s="17"/>
    </row>
    <row r="4191" spans="37:38">
      <c r="AK4191" s="17"/>
      <c r="AL4191" s="17"/>
    </row>
    <row r="4192" spans="37:38">
      <c r="AK4192" s="17"/>
      <c r="AL4192" s="17"/>
    </row>
    <row r="4193" spans="37:38">
      <c r="AK4193" s="17"/>
      <c r="AL4193" s="17"/>
    </row>
    <row r="4194" spans="37:38">
      <c r="AK4194" s="17"/>
      <c r="AL4194" s="17"/>
    </row>
    <row r="4195" spans="37:38">
      <c r="AK4195" s="17"/>
      <c r="AL4195" s="17"/>
    </row>
    <row r="4196" spans="37:38">
      <c r="AK4196" s="17"/>
      <c r="AL4196" s="17"/>
    </row>
    <row r="4197" spans="37:38">
      <c r="AK4197" s="17"/>
      <c r="AL4197" s="17"/>
    </row>
    <row r="4198" spans="37:38">
      <c r="AK4198" s="17"/>
      <c r="AL4198" s="17"/>
    </row>
    <row r="4199" spans="37:38">
      <c r="AK4199" s="17"/>
      <c r="AL4199" s="17"/>
    </row>
    <row r="4200" spans="37:38">
      <c r="AK4200" s="17"/>
      <c r="AL4200" s="17"/>
    </row>
    <row r="4201" spans="37:38">
      <c r="AK4201" s="17"/>
      <c r="AL4201" s="17"/>
    </row>
    <row r="4202" spans="37:38">
      <c r="AK4202" s="17"/>
      <c r="AL4202" s="17"/>
    </row>
    <row r="4203" spans="37:38">
      <c r="AK4203" s="17"/>
      <c r="AL4203" s="17"/>
    </row>
    <row r="4204" spans="37:38">
      <c r="AK4204" s="17"/>
      <c r="AL4204" s="17"/>
    </row>
    <row r="4205" spans="37:38">
      <c r="AK4205" s="17"/>
      <c r="AL4205" s="17"/>
    </row>
    <row r="4206" spans="37:38">
      <c r="AK4206" s="17"/>
      <c r="AL4206" s="17"/>
    </row>
    <row r="4207" spans="37:38">
      <c r="AK4207" s="17"/>
      <c r="AL4207" s="17"/>
    </row>
    <row r="4208" spans="37:38">
      <c r="AK4208" s="17"/>
      <c r="AL4208" s="17"/>
    </row>
    <row r="4209" spans="37:38">
      <c r="AK4209" s="17"/>
      <c r="AL4209" s="17"/>
    </row>
    <row r="4210" spans="37:38">
      <c r="AK4210" s="17"/>
      <c r="AL4210" s="17"/>
    </row>
    <row r="4211" spans="37:38">
      <c r="AK4211" s="17"/>
      <c r="AL4211" s="17"/>
    </row>
    <row r="4212" spans="37:38">
      <c r="AK4212" s="17"/>
      <c r="AL4212" s="17"/>
    </row>
    <row r="4213" spans="37:38">
      <c r="AK4213" s="17"/>
      <c r="AL4213" s="17"/>
    </row>
    <row r="4214" spans="37:38">
      <c r="AK4214" s="17"/>
      <c r="AL4214" s="17"/>
    </row>
    <row r="4215" spans="37:38">
      <c r="AK4215" s="17"/>
      <c r="AL4215" s="17"/>
    </row>
    <row r="4216" spans="37:38">
      <c r="AK4216" s="17"/>
      <c r="AL4216" s="17"/>
    </row>
    <row r="4217" spans="37:38">
      <c r="AK4217" s="17"/>
      <c r="AL4217" s="17"/>
    </row>
    <row r="4218" spans="37:38">
      <c r="AK4218" s="17"/>
      <c r="AL4218" s="17"/>
    </row>
    <row r="4219" spans="37:38">
      <c r="AK4219" s="17"/>
      <c r="AL4219" s="17"/>
    </row>
    <row r="4220" spans="37:38">
      <c r="AK4220" s="17"/>
      <c r="AL4220" s="17"/>
    </row>
    <row r="4221" spans="37:38">
      <c r="AK4221" s="17"/>
      <c r="AL4221" s="17"/>
    </row>
    <row r="4222" spans="37:38">
      <c r="AK4222" s="17"/>
      <c r="AL4222" s="17"/>
    </row>
    <row r="4223" spans="37:38">
      <c r="AK4223" s="17"/>
      <c r="AL4223" s="17"/>
    </row>
    <row r="4224" spans="37:38">
      <c r="AK4224" s="17"/>
      <c r="AL4224" s="17"/>
    </row>
    <row r="4225" spans="37:38">
      <c r="AK4225" s="17"/>
      <c r="AL4225" s="17"/>
    </row>
    <row r="4226" spans="37:38">
      <c r="AK4226" s="17"/>
      <c r="AL4226" s="17"/>
    </row>
    <row r="4227" spans="37:38">
      <c r="AK4227" s="17"/>
      <c r="AL4227" s="17"/>
    </row>
    <row r="4228" spans="37:38">
      <c r="AK4228" s="17"/>
      <c r="AL4228" s="17"/>
    </row>
    <row r="4229" spans="37:38">
      <c r="AK4229" s="17"/>
      <c r="AL4229" s="17"/>
    </row>
    <row r="4230" spans="37:38">
      <c r="AK4230" s="17"/>
      <c r="AL4230" s="17"/>
    </row>
    <row r="4231" spans="37:38">
      <c r="AK4231" s="17"/>
      <c r="AL4231" s="17"/>
    </row>
    <row r="4232" spans="37:38">
      <c r="AK4232" s="17"/>
      <c r="AL4232" s="17"/>
    </row>
    <row r="4233" spans="37:38">
      <c r="AK4233" s="17"/>
      <c r="AL4233" s="17"/>
    </row>
    <row r="4234" spans="37:38">
      <c r="AK4234" s="17"/>
      <c r="AL4234" s="17"/>
    </row>
    <row r="4235" spans="37:38">
      <c r="AK4235" s="17"/>
      <c r="AL4235" s="17"/>
    </row>
    <row r="4236" spans="37:38">
      <c r="AK4236" s="17"/>
      <c r="AL4236" s="17"/>
    </row>
    <row r="4237" spans="37:38">
      <c r="AK4237" s="17"/>
      <c r="AL4237" s="17"/>
    </row>
    <row r="4238" spans="37:38">
      <c r="AK4238" s="17"/>
      <c r="AL4238" s="17"/>
    </row>
    <row r="4239" spans="37:38">
      <c r="AK4239" s="17"/>
      <c r="AL4239" s="17"/>
    </row>
    <row r="4240" spans="37:38">
      <c r="AK4240" s="17"/>
      <c r="AL4240" s="17"/>
    </row>
    <row r="4241" spans="37:38">
      <c r="AK4241" s="17"/>
      <c r="AL4241" s="17"/>
    </row>
    <row r="4242" spans="37:38">
      <c r="AK4242" s="17"/>
      <c r="AL4242" s="17"/>
    </row>
    <row r="4243" spans="37:38">
      <c r="AK4243" s="17"/>
      <c r="AL4243" s="17"/>
    </row>
    <row r="4244" spans="37:38">
      <c r="AK4244" s="17"/>
      <c r="AL4244" s="17"/>
    </row>
    <row r="4245" spans="37:38">
      <c r="AK4245" s="17"/>
      <c r="AL4245" s="17"/>
    </row>
    <row r="4246" spans="37:38">
      <c r="AK4246" s="17"/>
      <c r="AL4246" s="17"/>
    </row>
    <row r="4247" spans="37:38">
      <c r="AK4247" s="17"/>
      <c r="AL4247" s="17"/>
    </row>
    <row r="4248" spans="37:38">
      <c r="AK4248" s="17"/>
      <c r="AL4248" s="17"/>
    </row>
    <row r="4249" spans="37:38">
      <c r="AK4249" s="17"/>
      <c r="AL4249" s="17"/>
    </row>
    <row r="4250" spans="37:38">
      <c r="AK4250" s="17"/>
      <c r="AL4250" s="17"/>
    </row>
    <row r="4251" spans="37:38">
      <c r="AK4251" s="17"/>
      <c r="AL4251" s="17"/>
    </row>
    <row r="4252" spans="37:38">
      <c r="AK4252" s="17"/>
      <c r="AL4252" s="17"/>
    </row>
    <row r="4253" spans="37:38">
      <c r="AK4253" s="17"/>
      <c r="AL4253" s="17"/>
    </row>
    <row r="4254" spans="37:38">
      <c r="AK4254" s="17"/>
      <c r="AL4254" s="17"/>
    </row>
    <row r="4255" spans="37:38">
      <c r="AK4255" s="17"/>
      <c r="AL4255" s="17"/>
    </row>
    <row r="4256" spans="37:38">
      <c r="AK4256" s="17"/>
      <c r="AL4256" s="17"/>
    </row>
    <row r="4257" spans="37:38">
      <c r="AK4257" s="17"/>
      <c r="AL4257" s="17"/>
    </row>
    <row r="4258" spans="37:38">
      <c r="AK4258" s="17"/>
      <c r="AL4258" s="17"/>
    </row>
    <row r="4259" spans="37:38">
      <c r="AK4259" s="17"/>
      <c r="AL4259" s="17"/>
    </row>
    <row r="4260" spans="37:38">
      <c r="AK4260" s="17"/>
      <c r="AL4260" s="17"/>
    </row>
    <row r="4261" spans="37:38">
      <c r="AK4261" s="17"/>
      <c r="AL4261" s="17"/>
    </row>
    <row r="4262" spans="37:38">
      <c r="AK4262" s="17"/>
      <c r="AL4262" s="17"/>
    </row>
    <row r="4263" spans="37:38">
      <c r="AK4263" s="17"/>
      <c r="AL4263" s="17"/>
    </row>
    <row r="4264" spans="37:38">
      <c r="AK4264" s="17"/>
      <c r="AL4264" s="17"/>
    </row>
    <row r="4265" spans="37:38">
      <c r="AK4265" s="17"/>
      <c r="AL4265" s="17"/>
    </row>
    <row r="4266" spans="37:38">
      <c r="AK4266" s="17"/>
      <c r="AL4266" s="17"/>
    </row>
    <row r="4267" spans="37:38">
      <c r="AK4267" s="17"/>
      <c r="AL4267" s="17"/>
    </row>
    <row r="4268" spans="37:38">
      <c r="AK4268" s="17"/>
      <c r="AL4268" s="17"/>
    </row>
    <row r="4269" spans="37:38">
      <c r="AK4269" s="17"/>
      <c r="AL4269" s="17"/>
    </row>
    <row r="4270" spans="37:38">
      <c r="AK4270" s="17"/>
      <c r="AL4270" s="17"/>
    </row>
    <row r="4271" spans="37:38">
      <c r="AK4271" s="17"/>
      <c r="AL4271" s="17"/>
    </row>
    <row r="4272" spans="37:38">
      <c r="AK4272" s="17"/>
      <c r="AL4272" s="17"/>
    </row>
    <row r="4273" spans="37:38">
      <c r="AK4273" s="17"/>
      <c r="AL4273" s="17"/>
    </row>
    <row r="4274" spans="37:38">
      <c r="AK4274" s="17"/>
      <c r="AL4274" s="17"/>
    </row>
    <row r="4275" spans="37:38">
      <c r="AK4275" s="17"/>
      <c r="AL4275" s="17"/>
    </row>
    <row r="4276" spans="37:38">
      <c r="AK4276" s="17"/>
      <c r="AL4276" s="17"/>
    </row>
    <row r="4277" spans="37:38">
      <c r="AK4277" s="17"/>
      <c r="AL4277" s="17"/>
    </row>
    <row r="4278" spans="37:38">
      <c r="AK4278" s="17"/>
      <c r="AL4278" s="17"/>
    </row>
    <row r="4279" spans="37:38">
      <c r="AK4279" s="17"/>
      <c r="AL4279" s="17"/>
    </row>
    <row r="4280" spans="37:38">
      <c r="AK4280" s="17"/>
      <c r="AL4280" s="17"/>
    </row>
    <row r="4281" spans="37:38">
      <c r="AK4281" s="17"/>
      <c r="AL4281" s="17"/>
    </row>
    <row r="4282" spans="37:38">
      <c r="AK4282" s="17"/>
      <c r="AL4282" s="17"/>
    </row>
    <row r="4283" spans="37:38">
      <c r="AK4283" s="17"/>
      <c r="AL4283" s="17"/>
    </row>
    <row r="4284" spans="37:38">
      <c r="AK4284" s="17"/>
      <c r="AL4284" s="17"/>
    </row>
    <row r="4285" spans="37:38">
      <c r="AK4285" s="17"/>
      <c r="AL4285" s="17"/>
    </row>
    <row r="4286" spans="37:38">
      <c r="AK4286" s="17"/>
      <c r="AL4286" s="17"/>
    </row>
    <row r="4287" spans="37:38">
      <c r="AK4287" s="17"/>
      <c r="AL4287" s="17"/>
    </row>
    <row r="4288" spans="37:38">
      <c r="AK4288" s="17"/>
      <c r="AL4288" s="17"/>
    </row>
    <row r="4289" spans="37:38">
      <c r="AK4289" s="17"/>
      <c r="AL4289" s="17"/>
    </row>
    <row r="4290" spans="37:38">
      <c r="AK4290" s="17"/>
      <c r="AL4290" s="17"/>
    </row>
    <row r="4291" spans="37:38">
      <c r="AK4291" s="17"/>
      <c r="AL4291" s="17"/>
    </row>
    <row r="4292" spans="37:38">
      <c r="AK4292" s="17"/>
      <c r="AL4292" s="17"/>
    </row>
    <row r="4293" spans="37:38">
      <c r="AK4293" s="17"/>
      <c r="AL4293" s="17"/>
    </row>
    <row r="4294" spans="37:38">
      <c r="AK4294" s="17"/>
      <c r="AL4294" s="17"/>
    </row>
    <row r="4295" spans="37:38">
      <c r="AK4295" s="17"/>
      <c r="AL4295" s="17"/>
    </row>
    <row r="4296" spans="37:38">
      <c r="AK4296" s="17"/>
      <c r="AL4296" s="17"/>
    </row>
    <row r="4297" spans="37:38">
      <c r="AK4297" s="17"/>
      <c r="AL4297" s="17"/>
    </row>
    <row r="4298" spans="37:38">
      <c r="AK4298" s="17"/>
      <c r="AL4298" s="17"/>
    </row>
    <row r="4299" spans="37:38">
      <c r="AK4299" s="17"/>
      <c r="AL4299" s="17"/>
    </row>
    <row r="4300" spans="37:38">
      <c r="AK4300" s="17"/>
      <c r="AL4300" s="17"/>
    </row>
    <row r="4301" spans="37:38">
      <c r="AK4301" s="17"/>
      <c r="AL4301" s="17"/>
    </row>
    <row r="4302" spans="37:38">
      <c r="AK4302" s="17"/>
      <c r="AL4302" s="17"/>
    </row>
    <row r="4303" spans="37:38">
      <c r="AK4303" s="17"/>
      <c r="AL4303" s="17"/>
    </row>
    <row r="4304" spans="37:38">
      <c r="AK4304" s="17"/>
      <c r="AL4304" s="17"/>
    </row>
    <row r="4305" spans="37:38">
      <c r="AK4305" s="17"/>
      <c r="AL4305" s="17"/>
    </row>
    <row r="4306" spans="37:38">
      <c r="AK4306" s="17"/>
      <c r="AL4306" s="17"/>
    </row>
    <row r="4307" spans="37:38">
      <c r="AK4307" s="17"/>
      <c r="AL4307" s="17"/>
    </row>
    <row r="4308" spans="37:38">
      <c r="AK4308" s="17"/>
      <c r="AL4308" s="17"/>
    </row>
    <row r="4309" spans="37:38">
      <c r="AK4309" s="17"/>
      <c r="AL4309" s="17"/>
    </row>
    <row r="4310" spans="37:38">
      <c r="AK4310" s="17"/>
      <c r="AL4310" s="17"/>
    </row>
    <row r="4311" spans="37:38">
      <c r="AK4311" s="17"/>
      <c r="AL4311" s="17"/>
    </row>
    <row r="4312" spans="37:38">
      <c r="AK4312" s="17"/>
      <c r="AL4312" s="17"/>
    </row>
    <row r="4313" spans="37:38">
      <c r="AK4313" s="17"/>
      <c r="AL4313" s="17"/>
    </row>
    <row r="4314" spans="37:38">
      <c r="AK4314" s="17"/>
      <c r="AL4314" s="17"/>
    </row>
    <row r="4315" spans="37:38">
      <c r="AK4315" s="17"/>
      <c r="AL4315" s="17"/>
    </row>
    <row r="4316" spans="37:38">
      <c r="AK4316" s="17"/>
      <c r="AL4316" s="17"/>
    </row>
    <row r="4317" spans="37:38">
      <c r="AK4317" s="17"/>
      <c r="AL4317" s="17"/>
    </row>
    <row r="4318" spans="37:38">
      <c r="AK4318" s="17"/>
      <c r="AL4318" s="17"/>
    </row>
    <row r="4319" spans="37:38">
      <c r="AK4319" s="17"/>
      <c r="AL4319" s="17"/>
    </row>
    <row r="4320" spans="37:38">
      <c r="AK4320" s="17"/>
      <c r="AL4320" s="17"/>
    </row>
    <row r="4321" spans="37:38">
      <c r="AK4321" s="17"/>
      <c r="AL4321" s="17"/>
    </row>
    <row r="4322" spans="37:38">
      <c r="AK4322" s="17"/>
      <c r="AL4322" s="17"/>
    </row>
    <row r="4323" spans="37:38">
      <c r="AK4323" s="17"/>
      <c r="AL4323" s="17"/>
    </row>
    <row r="4324" spans="37:38">
      <c r="AK4324" s="17"/>
      <c r="AL4324" s="17"/>
    </row>
    <row r="4325" spans="37:38">
      <c r="AK4325" s="17"/>
      <c r="AL4325" s="17"/>
    </row>
    <row r="4326" spans="37:38">
      <c r="AK4326" s="17"/>
      <c r="AL4326" s="17"/>
    </row>
    <row r="4327" spans="37:38">
      <c r="AK4327" s="17"/>
      <c r="AL4327" s="17"/>
    </row>
    <row r="4328" spans="37:38">
      <c r="AK4328" s="17"/>
      <c r="AL4328" s="17"/>
    </row>
    <row r="4329" spans="37:38">
      <c r="AK4329" s="17"/>
      <c r="AL4329" s="17"/>
    </row>
    <row r="4330" spans="37:38">
      <c r="AK4330" s="17"/>
      <c r="AL4330" s="17"/>
    </row>
    <row r="4331" spans="37:38">
      <c r="AK4331" s="17"/>
      <c r="AL4331" s="17"/>
    </row>
    <row r="4332" spans="37:38">
      <c r="AK4332" s="17"/>
      <c r="AL4332" s="17"/>
    </row>
    <row r="4333" spans="37:38">
      <c r="AK4333" s="17"/>
      <c r="AL4333" s="17"/>
    </row>
    <row r="4334" spans="37:38">
      <c r="AK4334" s="17"/>
      <c r="AL4334" s="17"/>
    </row>
    <row r="4335" spans="37:38">
      <c r="AK4335" s="17"/>
      <c r="AL4335" s="17"/>
    </row>
    <row r="4336" spans="37:38">
      <c r="AK4336" s="17"/>
      <c r="AL4336" s="17"/>
    </row>
    <row r="4337" spans="37:38">
      <c r="AK4337" s="17"/>
      <c r="AL4337" s="17"/>
    </row>
    <row r="4338" spans="37:38">
      <c r="AK4338" s="17"/>
      <c r="AL4338" s="17"/>
    </row>
    <row r="4339" spans="37:38">
      <c r="AK4339" s="17"/>
      <c r="AL4339" s="17"/>
    </row>
    <row r="4340" spans="37:38">
      <c r="AK4340" s="17"/>
      <c r="AL4340" s="17"/>
    </row>
    <row r="4341" spans="37:38">
      <c r="AK4341" s="17"/>
      <c r="AL4341" s="17"/>
    </row>
    <row r="4342" spans="37:38">
      <c r="AK4342" s="17"/>
      <c r="AL4342" s="17"/>
    </row>
    <row r="4343" spans="37:38">
      <c r="AK4343" s="17"/>
      <c r="AL4343" s="17"/>
    </row>
    <row r="4344" spans="37:38">
      <c r="AK4344" s="17"/>
      <c r="AL4344" s="17"/>
    </row>
    <row r="4345" spans="37:38">
      <c r="AK4345" s="17"/>
      <c r="AL4345" s="17"/>
    </row>
    <row r="4346" spans="37:38">
      <c r="AK4346" s="17"/>
      <c r="AL4346" s="17"/>
    </row>
    <row r="4347" spans="37:38">
      <c r="AK4347" s="17"/>
      <c r="AL4347" s="17"/>
    </row>
    <row r="4348" spans="37:38">
      <c r="AK4348" s="17"/>
      <c r="AL4348" s="17"/>
    </row>
    <row r="4349" spans="37:38">
      <c r="AK4349" s="17"/>
      <c r="AL4349" s="17"/>
    </row>
    <row r="4350" spans="37:38">
      <c r="AK4350" s="17"/>
      <c r="AL4350" s="17"/>
    </row>
    <row r="4351" spans="37:38">
      <c r="AK4351" s="17"/>
      <c r="AL4351" s="17"/>
    </row>
    <row r="4352" spans="37:38">
      <c r="AK4352" s="17"/>
      <c r="AL4352" s="17"/>
    </row>
    <row r="4353" spans="37:38">
      <c r="AK4353" s="17"/>
      <c r="AL4353" s="17"/>
    </row>
    <row r="4354" spans="37:38">
      <c r="AK4354" s="17"/>
      <c r="AL4354" s="17"/>
    </row>
    <row r="4355" spans="37:38">
      <c r="AK4355" s="17"/>
      <c r="AL4355" s="17"/>
    </row>
    <row r="4356" spans="37:38">
      <c r="AK4356" s="17"/>
      <c r="AL4356" s="17"/>
    </row>
    <row r="4357" spans="37:38">
      <c r="AK4357" s="17"/>
      <c r="AL4357" s="17"/>
    </row>
    <row r="4358" spans="37:38">
      <c r="AK4358" s="17"/>
      <c r="AL4358" s="17"/>
    </row>
    <row r="4359" spans="37:38">
      <c r="AK4359" s="17"/>
      <c r="AL4359" s="17"/>
    </row>
    <row r="4360" spans="37:38">
      <c r="AK4360" s="17"/>
      <c r="AL4360" s="17"/>
    </row>
    <row r="4361" spans="37:38">
      <c r="AK4361" s="17"/>
      <c r="AL4361" s="17"/>
    </row>
    <row r="4362" spans="37:38">
      <c r="AK4362" s="17"/>
      <c r="AL4362" s="17"/>
    </row>
    <row r="4363" spans="37:38">
      <c r="AK4363" s="17"/>
      <c r="AL4363" s="17"/>
    </row>
    <row r="4364" spans="37:38">
      <c r="AK4364" s="17"/>
      <c r="AL4364" s="17"/>
    </row>
    <row r="4365" spans="37:38">
      <c r="AK4365" s="17"/>
      <c r="AL4365" s="17"/>
    </row>
    <row r="4366" spans="37:38">
      <c r="AK4366" s="17"/>
      <c r="AL4366" s="17"/>
    </row>
    <row r="4367" spans="37:38">
      <c r="AK4367" s="17"/>
      <c r="AL4367" s="17"/>
    </row>
    <row r="4368" spans="37:38">
      <c r="AK4368" s="17"/>
      <c r="AL4368" s="17"/>
    </row>
    <row r="4369" spans="37:38">
      <c r="AK4369" s="17"/>
      <c r="AL4369" s="17"/>
    </row>
    <row r="4370" spans="37:38">
      <c r="AK4370" s="17"/>
      <c r="AL4370" s="17"/>
    </row>
    <row r="4371" spans="37:38">
      <c r="AK4371" s="17"/>
      <c r="AL4371" s="17"/>
    </row>
    <row r="4372" spans="37:38">
      <c r="AK4372" s="17"/>
      <c r="AL4372" s="17"/>
    </row>
    <row r="4373" spans="37:38">
      <c r="AK4373" s="17"/>
      <c r="AL4373" s="17"/>
    </row>
    <row r="4374" spans="37:38">
      <c r="AK4374" s="17"/>
      <c r="AL4374" s="17"/>
    </row>
    <row r="4375" spans="37:38">
      <c r="AK4375" s="17"/>
      <c r="AL4375" s="17"/>
    </row>
    <row r="4376" spans="37:38">
      <c r="AK4376" s="17"/>
      <c r="AL4376" s="17"/>
    </row>
    <row r="4377" spans="37:38">
      <c r="AK4377" s="17"/>
      <c r="AL4377" s="17"/>
    </row>
    <row r="4378" spans="37:38">
      <c r="AK4378" s="17"/>
      <c r="AL4378" s="17"/>
    </row>
    <row r="4379" spans="37:38">
      <c r="AK4379" s="17"/>
      <c r="AL4379" s="17"/>
    </row>
    <row r="4380" spans="37:38">
      <c r="AK4380" s="17"/>
      <c r="AL4380" s="17"/>
    </row>
    <row r="4381" spans="37:38">
      <c r="AK4381" s="17"/>
      <c r="AL4381" s="17"/>
    </row>
    <row r="4382" spans="37:38">
      <c r="AK4382" s="17"/>
      <c r="AL4382" s="17"/>
    </row>
    <row r="4383" spans="37:38">
      <c r="AK4383" s="17"/>
      <c r="AL4383" s="17"/>
    </row>
    <row r="4384" spans="37:38">
      <c r="AK4384" s="17"/>
      <c r="AL4384" s="17"/>
    </row>
    <row r="4385" spans="37:38">
      <c r="AK4385" s="17"/>
      <c r="AL4385" s="17"/>
    </row>
    <row r="4386" spans="37:38">
      <c r="AK4386" s="17"/>
      <c r="AL4386" s="17"/>
    </row>
    <row r="4387" spans="37:38">
      <c r="AK4387" s="17"/>
      <c r="AL4387" s="17"/>
    </row>
    <row r="4388" spans="37:38">
      <c r="AK4388" s="17"/>
      <c r="AL4388" s="17"/>
    </row>
    <row r="4389" spans="37:38">
      <c r="AK4389" s="17"/>
      <c r="AL4389" s="17"/>
    </row>
    <row r="4390" spans="37:38">
      <c r="AK4390" s="17"/>
      <c r="AL4390" s="17"/>
    </row>
    <row r="4391" spans="37:38">
      <c r="AK4391" s="17"/>
      <c r="AL4391" s="17"/>
    </row>
    <row r="4392" spans="37:38">
      <c r="AK4392" s="17"/>
      <c r="AL4392" s="17"/>
    </row>
    <row r="4393" spans="37:38">
      <c r="AK4393" s="17"/>
      <c r="AL4393" s="17"/>
    </row>
    <row r="4394" spans="37:38">
      <c r="AK4394" s="17"/>
      <c r="AL4394" s="17"/>
    </row>
    <row r="4395" spans="37:38">
      <c r="AK4395" s="17"/>
      <c r="AL4395" s="17"/>
    </row>
    <row r="4396" spans="37:38">
      <c r="AK4396" s="17"/>
      <c r="AL4396" s="17"/>
    </row>
    <row r="4397" spans="37:38">
      <c r="AK4397" s="17"/>
      <c r="AL4397" s="17"/>
    </row>
    <row r="4398" spans="37:38">
      <c r="AK4398" s="17"/>
      <c r="AL4398" s="17"/>
    </row>
    <row r="4399" spans="37:38">
      <c r="AK4399" s="17"/>
      <c r="AL4399" s="17"/>
    </row>
    <row r="4400" spans="37:38">
      <c r="AK4400" s="17"/>
      <c r="AL4400" s="17"/>
    </row>
    <row r="4401" spans="37:38">
      <c r="AK4401" s="17"/>
      <c r="AL4401" s="17"/>
    </row>
    <row r="4402" spans="37:38">
      <c r="AK4402" s="17"/>
      <c r="AL4402" s="17"/>
    </row>
    <row r="4403" spans="37:38">
      <c r="AK4403" s="17"/>
      <c r="AL4403" s="17"/>
    </row>
    <row r="4404" spans="37:38">
      <c r="AK4404" s="17"/>
      <c r="AL4404" s="17"/>
    </row>
    <row r="4405" spans="37:38">
      <c r="AK4405" s="17"/>
      <c r="AL4405" s="17"/>
    </row>
    <row r="4406" spans="37:38">
      <c r="AK4406" s="17"/>
      <c r="AL4406" s="17"/>
    </row>
    <row r="4407" spans="37:38">
      <c r="AK4407" s="17"/>
      <c r="AL4407" s="17"/>
    </row>
    <row r="4408" spans="37:38">
      <c r="AK4408" s="17"/>
      <c r="AL4408" s="17"/>
    </row>
    <row r="4409" spans="37:38">
      <c r="AK4409" s="17"/>
      <c r="AL4409" s="17"/>
    </row>
    <row r="4410" spans="37:38">
      <c r="AK4410" s="17"/>
      <c r="AL4410" s="17"/>
    </row>
    <row r="4411" spans="37:38">
      <c r="AK4411" s="17"/>
      <c r="AL4411" s="17"/>
    </row>
    <row r="4412" spans="37:38">
      <c r="AK4412" s="17"/>
      <c r="AL4412" s="17"/>
    </row>
    <row r="4413" spans="37:38">
      <c r="AK4413" s="17"/>
      <c r="AL4413" s="17"/>
    </row>
    <row r="4414" spans="37:38">
      <c r="AK4414" s="17"/>
      <c r="AL4414" s="17"/>
    </row>
    <row r="4415" spans="37:38">
      <c r="AK4415" s="17"/>
      <c r="AL4415" s="17"/>
    </row>
    <row r="4416" spans="37:38">
      <c r="AK4416" s="17"/>
      <c r="AL4416" s="17"/>
    </row>
    <row r="4417" spans="37:38">
      <c r="AK4417" s="17"/>
      <c r="AL4417" s="17"/>
    </row>
    <row r="4418" spans="37:38">
      <c r="AK4418" s="17"/>
      <c r="AL4418" s="17"/>
    </row>
    <row r="4419" spans="37:38">
      <c r="AK4419" s="17"/>
      <c r="AL4419" s="17"/>
    </row>
    <row r="4420" spans="37:38">
      <c r="AK4420" s="17"/>
      <c r="AL4420" s="17"/>
    </row>
    <row r="4421" spans="37:38">
      <c r="AK4421" s="17"/>
      <c r="AL4421" s="17"/>
    </row>
    <row r="4422" spans="37:38">
      <c r="AK4422" s="17"/>
      <c r="AL4422" s="17"/>
    </row>
    <row r="4423" spans="37:38">
      <c r="AK4423" s="17"/>
      <c r="AL4423" s="17"/>
    </row>
    <row r="4424" spans="37:38">
      <c r="AK4424" s="17"/>
      <c r="AL4424" s="17"/>
    </row>
    <row r="4425" spans="37:38">
      <c r="AK4425" s="17"/>
      <c r="AL4425" s="17"/>
    </row>
    <row r="4426" spans="37:38">
      <c r="AK4426" s="17"/>
      <c r="AL4426" s="17"/>
    </row>
    <row r="4427" spans="37:38">
      <c r="AK4427" s="17"/>
      <c r="AL4427" s="17"/>
    </row>
    <row r="4428" spans="37:38">
      <c r="AK4428" s="17"/>
      <c r="AL4428" s="17"/>
    </row>
    <row r="4429" spans="37:38">
      <c r="AK4429" s="17"/>
      <c r="AL4429" s="17"/>
    </row>
    <row r="4430" spans="37:38">
      <c r="AK4430" s="17"/>
      <c r="AL4430" s="17"/>
    </row>
    <row r="4431" spans="37:38">
      <c r="AK4431" s="17"/>
      <c r="AL4431" s="17"/>
    </row>
    <row r="4432" spans="37:38">
      <c r="AK4432" s="17"/>
      <c r="AL4432" s="17"/>
    </row>
    <row r="4433" spans="37:38">
      <c r="AK4433" s="17"/>
      <c r="AL4433" s="17"/>
    </row>
    <row r="4434" spans="37:38">
      <c r="AK4434" s="17"/>
      <c r="AL4434" s="17"/>
    </row>
    <row r="4435" spans="37:38">
      <c r="AK4435" s="17"/>
      <c r="AL4435" s="17"/>
    </row>
    <row r="4436" spans="37:38">
      <c r="AK4436" s="17"/>
      <c r="AL4436" s="17"/>
    </row>
    <row r="4437" spans="37:38">
      <c r="AK4437" s="17"/>
      <c r="AL4437" s="17"/>
    </row>
    <row r="4438" spans="37:38">
      <c r="AK4438" s="17"/>
      <c r="AL4438" s="17"/>
    </row>
    <row r="4439" spans="37:38">
      <c r="AK4439" s="17"/>
      <c r="AL4439" s="17"/>
    </row>
    <row r="4440" spans="37:38">
      <c r="AK4440" s="17"/>
      <c r="AL4440" s="17"/>
    </row>
    <row r="4441" spans="37:38">
      <c r="AK4441" s="17"/>
      <c r="AL4441" s="17"/>
    </row>
    <row r="4442" spans="37:38">
      <c r="AK4442" s="17"/>
      <c r="AL4442" s="17"/>
    </row>
    <row r="4443" spans="37:38">
      <c r="AK4443" s="17"/>
      <c r="AL4443" s="17"/>
    </row>
    <row r="4444" spans="37:38">
      <c r="AK4444" s="17"/>
      <c r="AL4444" s="17"/>
    </row>
    <row r="4445" spans="37:38">
      <c r="AK4445" s="17"/>
      <c r="AL4445" s="17"/>
    </row>
    <row r="4446" spans="37:38">
      <c r="AK4446" s="17"/>
      <c r="AL4446" s="17"/>
    </row>
    <row r="4447" spans="37:38">
      <c r="AK4447" s="17"/>
      <c r="AL4447" s="17"/>
    </row>
    <row r="4448" spans="37:38">
      <c r="AK4448" s="17"/>
      <c r="AL4448" s="17"/>
    </row>
    <row r="4449" spans="37:38">
      <c r="AK4449" s="17"/>
      <c r="AL4449" s="17"/>
    </row>
    <row r="4450" spans="37:38">
      <c r="AK4450" s="17"/>
      <c r="AL4450" s="17"/>
    </row>
    <row r="4451" spans="37:38">
      <c r="AK4451" s="17"/>
      <c r="AL4451" s="17"/>
    </row>
    <row r="4452" spans="37:38">
      <c r="AK4452" s="17"/>
      <c r="AL4452" s="17"/>
    </row>
    <row r="4453" spans="37:38">
      <c r="AK4453" s="17"/>
      <c r="AL4453" s="17"/>
    </row>
    <row r="4454" spans="37:38">
      <c r="AK4454" s="17"/>
      <c r="AL4454" s="17"/>
    </row>
    <row r="4455" spans="37:38">
      <c r="AK4455" s="17"/>
      <c r="AL4455" s="17"/>
    </row>
    <row r="4456" spans="37:38">
      <c r="AK4456" s="17"/>
      <c r="AL4456" s="17"/>
    </row>
    <row r="4457" spans="37:38">
      <c r="AK4457" s="17"/>
      <c r="AL4457" s="17"/>
    </row>
    <row r="4458" spans="37:38">
      <c r="AK4458" s="17"/>
      <c r="AL4458" s="17"/>
    </row>
    <row r="4459" spans="37:38">
      <c r="AK4459" s="17"/>
      <c r="AL4459" s="17"/>
    </row>
    <row r="4460" spans="37:38">
      <c r="AK4460" s="17"/>
      <c r="AL4460" s="17"/>
    </row>
    <row r="4461" spans="37:38">
      <c r="AK4461" s="17"/>
      <c r="AL4461" s="17"/>
    </row>
    <row r="4462" spans="37:38">
      <c r="AK4462" s="17"/>
      <c r="AL4462" s="17"/>
    </row>
    <row r="4463" spans="37:38">
      <c r="AK4463" s="17"/>
      <c r="AL4463" s="17"/>
    </row>
    <row r="4464" spans="37:38">
      <c r="AK4464" s="17"/>
      <c r="AL4464" s="17"/>
    </row>
    <row r="4465" spans="37:38">
      <c r="AK4465" s="17"/>
      <c r="AL4465" s="17"/>
    </row>
    <row r="4466" spans="37:38">
      <c r="AK4466" s="17"/>
      <c r="AL4466" s="17"/>
    </row>
    <row r="4467" spans="37:38">
      <c r="AK4467" s="17"/>
      <c r="AL4467" s="17"/>
    </row>
    <row r="4468" spans="37:38">
      <c r="AK4468" s="17"/>
      <c r="AL4468" s="17"/>
    </row>
    <row r="4469" spans="37:38">
      <c r="AK4469" s="17"/>
      <c r="AL4469" s="17"/>
    </row>
    <row r="4470" spans="37:38">
      <c r="AK4470" s="17"/>
      <c r="AL4470" s="17"/>
    </row>
    <row r="4471" spans="37:38">
      <c r="AK4471" s="17"/>
      <c r="AL4471" s="17"/>
    </row>
    <row r="4472" spans="37:38">
      <c r="AK4472" s="17"/>
      <c r="AL4472" s="17"/>
    </row>
    <row r="4473" spans="37:38">
      <c r="AK4473" s="17"/>
      <c r="AL4473" s="17"/>
    </row>
    <row r="4474" spans="37:38">
      <c r="AK4474" s="17"/>
      <c r="AL4474" s="17"/>
    </row>
    <row r="4475" spans="37:38">
      <c r="AK4475" s="17"/>
      <c r="AL4475" s="17"/>
    </row>
    <row r="4476" spans="37:38">
      <c r="AK4476" s="17"/>
      <c r="AL4476" s="17"/>
    </row>
    <row r="4477" spans="37:38">
      <c r="AK4477" s="17"/>
      <c r="AL4477" s="17"/>
    </row>
    <row r="4478" spans="37:38">
      <c r="AK4478" s="17"/>
      <c r="AL4478" s="17"/>
    </row>
    <row r="4479" spans="37:38">
      <c r="AK4479" s="17"/>
      <c r="AL4479" s="17"/>
    </row>
    <row r="4480" spans="37:38">
      <c r="AK4480" s="17"/>
      <c r="AL4480" s="17"/>
    </row>
    <row r="4481" spans="37:38">
      <c r="AK4481" s="17"/>
      <c r="AL4481" s="17"/>
    </row>
    <row r="4482" spans="37:38">
      <c r="AK4482" s="17"/>
      <c r="AL4482" s="17"/>
    </row>
    <row r="4483" spans="37:38">
      <c r="AK4483" s="17"/>
      <c r="AL4483" s="17"/>
    </row>
    <row r="4484" spans="37:38">
      <c r="AK4484" s="17"/>
      <c r="AL4484" s="17"/>
    </row>
    <row r="4485" spans="37:38">
      <c r="AK4485" s="17"/>
      <c r="AL4485" s="17"/>
    </row>
    <row r="4486" spans="37:38">
      <c r="AK4486" s="17"/>
      <c r="AL4486" s="17"/>
    </row>
    <row r="4487" spans="37:38">
      <c r="AK4487" s="17"/>
      <c r="AL4487" s="17"/>
    </row>
    <row r="4488" spans="37:38">
      <c r="AK4488" s="17"/>
      <c r="AL4488" s="17"/>
    </row>
    <row r="4489" spans="37:38">
      <c r="AK4489" s="17"/>
      <c r="AL4489" s="17"/>
    </row>
    <row r="4490" spans="37:38">
      <c r="AK4490" s="17"/>
      <c r="AL4490" s="17"/>
    </row>
    <row r="4491" spans="37:38">
      <c r="AK4491" s="17"/>
      <c r="AL4491" s="17"/>
    </row>
    <row r="4492" spans="37:38">
      <c r="AK4492" s="17"/>
      <c r="AL4492" s="17"/>
    </row>
    <row r="4493" spans="37:38">
      <c r="AK4493" s="17"/>
      <c r="AL4493" s="17"/>
    </row>
    <row r="4494" spans="37:38">
      <c r="AK4494" s="17"/>
      <c r="AL4494" s="17"/>
    </row>
    <row r="4495" spans="37:38">
      <c r="AK4495" s="17"/>
      <c r="AL4495" s="17"/>
    </row>
    <row r="4496" spans="37:38">
      <c r="AK4496" s="17"/>
      <c r="AL4496" s="17"/>
    </row>
    <row r="4497" spans="37:38">
      <c r="AK4497" s="17"/>
      <c r="AL4497" s="17"/>
    </row>
    <row r="4498" spans="37:38">
      <c r="AK4498" s="17"/>
      <c r="AL4498" s="17"/>
    </row>
    <row r="4499" spans="37:38">
      <c r="AK4499" s="17"/>
      <c r="AL4499" s="17"/>
    </row>
    <row r="4500" spans="37:38">
      <c r="AK4500" s="17"/>
      <c r="AL4500" s="17"/>
    </row>
    <row r="4501" spans="37:38">
      <c r="AK4501" s="17"/>
      <c r="AL4501" s="17"/>
    </row>
    <row r="4502" spans="37:38">
      <c r="AK4502" s="17"/>
      <c r="AL4502" s="17"/>
    </row>
    <row r="4503" spans="37:38">
      <c r="AK4503" s="17"/>
      <c r="AL4503" s="17"/>
    </row>
    <row r="4504" spans="37:38">
      <c r="AK4504" s="17"/>
      <c r="AL4504" s="17"/>
    </row>
    <row r="4505" spans="37:38">
      <c r="AK4505" s="17"/>
      <c r="AL4505" s="17"/>
    </row>
    <row r="4506" spans="37:38">
      <c r="AK4506" s="17"/>
      <c r="AL4506" s="17"/>
    </row>
    <row r="4507" spans="37:38">
      <c r="AK4507" s="17"/>
      <c r="AL4507" s="17"/>
    </row>
    <row r="4508" spans="37:38">
      <c r="AK4508" s="17"/>
      <c r="AL4508" s="17"/>
    </row>
    <row r="4509" spans="37:38">
      <c r="AK4509" s="17"/>
      <c r="AL4509" s="17"/>
    </row>
    <row r="4510" spans="37:38">
      <c r="AK4510" s="17"/>
      <c r="AL4510" s="17"/>
    </row>
    <row r="4511" spans="37:38">
      <c r="AK4511" s="17"/>
      <c r="AL4511" s="17"/>
    </row>
    <row r="4512" spans="37:38">
      <c r="AK4512" s="17"/>
      <c r="AL4512" s="17"/>
    </row>
    <row r="4513" spans="37:38">
      <c r="AK4513" s="17"/>
      <c r="AL4513" s="17"/>
    </row>
    <row r="4514" spans="37:38">
      <c r="AK4514" s="17"/>
      <c r="AL4514" s="17"/>
    </row>
    <row r="4515" spans="37:38">
      <c r="AK4515" s="17"/>
      <c r="AL4515" s="17"/>
    </row>
    <row r="4516" spans="37:38">
      <c r="AK4516" s="17"/>
      <c r="AL4516" s="17"/>
    </row>
    <row r="4517" spans="37:38">
      <c r="AK4517" s="17"/>
      <c r="AL4517" s="17"/>
    </row>
    <row r="4518" spans="37:38">
      <c r="AK4518" s="17"/>
      <c r="AL4518" s="17"/>
    </row>
    <row r="4519" spans="37:38">
      <c r="AK4519" s="17"/>
      <c r="AL4519" s="17"/>
    </row>
    <row r="4520" spans="37:38">
      <c r="AK4520" s="17"/>
      <c r="AL4520" s="17"/>
    </row>
    <row r="4521" spans="37:38">
      <c r="AK4521" s="17"/>
      <c r="AL4521" s="17"/>
    </row>
    <row r="4522" spans="37:38">
      <c r="AK4522" s="17"/>
      <c r="AL4522" s="17"/>
    </row>
    <row r="4523" spans="37:38">
      <c r="AK4523" s="17"/>
      <c r="AL4523" s="17"/>
    </row>
    <row r="4524" spans="37:38">
      <c r="AK4524" s="17"/>
      <c r="AL4524" s="17"/>
    </row>
    <row r="4525" spans="37:38">
      <c r="AK4525" s="17"/>
      <c r="AL4525" s="17"/>
    </row>
    <row r="4526" spans="37:38">
      <c r="AK4526" s="17"/>
      <c r="AL4526" s="17"/>
    </row>
    <row r="4527" spans="37:38">
      <c r="AK4527" s="17"/>
      <c r="AL4527" s="17"/>
    </row>
    <row r="4528" spans="37:38">
      <c r="AK4528" s="17"/>
      <c r="AL4528" s="17"/>
    </row>
    <row r="4529" spans="37:38">
      <c r="AK4529" s="17"/>
      <c r="AL4529" s="17"/>
    </row>
    <row r="4530" spans="37:38">
      <c r="AK4530" s="17"/>
      <c r="AL4530" s="17"/>
    </row>
    <row r="4531" spans="37:38">
      <c r="AK4531" s="17"/>
      <c r="AL4531" s="17"/>
    </row>
    <row r="4532" spans="37:38">
      <c r="AK4532" s="17"/>
      <c r="AL4532" s="17"/>
    </row>
    <row r="4533" spans="37:38">
      <c r="AK4533" s="17"/>
      <c r="AL4533" s="17"/>
    </row>
    <row r="4534" spans="37:38">
      <c r="AK4534" s="17"/>
      <c r="AL4534" s="17"/>
    </row>
    <row r="4535" spans="37:38">
      <c r="AK4535" s="17"/>
      <c r="AL4535" s="17"/>
    </row>
    <row r="4536" spans="37:38">
      <c r="AK4536" s="17"/>
      <c r="AL4536" s="17"/>
    </row>
    <row r="4537" spans="37:38">
      <c r="AK4537" s="17"/>
      <c r="AL4537" s="17"/>
    </row>
    <row r="4538" spans="37:38">
      <c r="AK4538" s="17"/>
      <c r="AL4538" s="17"/>
    </row>
    <row r="4539" spans="37:38">
      <c r="AK4539" s="17"/>
      <c r="AL4539" s="17"/>
    </row>
    <row r="4540" spans="37:38">
      <c r="AK4540" s="17"/>
      <c r="AL4540" s="17"/>
    </row>
    <row r="4541" spans="37:38">
      <c r="AK4541" s="17"/>
      <c r="AL4541" s="17"/>
    </row>
    <row r="4542" spans="37:38">
      <c r="AK4542" s="17"/>
      <c r="AL4542" s="17"/>
    </row>
    <row r="4543" spans="37:38">
      <c r="AK4543" s="17"/>
      <c r="AL4543" s="17"/>
    </row>
    <row r="4544" spans="37:38">
      <c r="AK4544" s="17"/>
      <c r="AL4544" s="17"/>
    </row>
    <row r="4545" spans="37:38">
      <c r="AK4545" s="17"/>
      <c r="AL4545" s="17"/>
    </row>
    <row r="4546" spans="37:38">
      <c r="AK4546" s="17"/>
      <c r="AL4546" s="17"/>
    </row>
    <row r="4547" spans="37:38">
      <c r="AK4547" s="17"/>
      <c r="AL4547" s="17"/>
    </row>
    <row r="4548" spans="37:38">
      <c r="AK4548" s="17"/>
      <c r="AL4548" s="17"/>
    </row>
    <row r="4549" spans="37:38">
      <c r="AK4549" s="17"/>
      <c r="AL4549" s="17"/>
    </row>
    <row r="4550" spans="37:38">
      <c r="AK4550" s="17"/>
      <c r="AL4550" s="17"/>
    </row>
    <row r="4551" spans="37:38">
      <c r="AK4551" s="17"/>
      <c r="AL4551" s="17"/>
    </row>
    <row r="4552" spans="37:38">
      <c r="AK4552" s="17"/>
      <c r="AL4552" s="17"/>
    </row>
    <row r="4553" spans="37:38">
      <c r="AK4553" s="17"/>
      <c r="AL4553" s="17"/>
    </row>
    <row r="4554" spans="37:38">
      <c r="AK4554" s="17"/>
      <c r="AL4554" s="17"/>
    </row>
    <row r="4555" spans="37:38">
      <c r="AK4555" s="17"/>
      <c r="AL4555" s="17"/>
    </row>
    <row r="4556" spans="37:38">
      <c r="AK4556" s="17"/>
      <c r="AL4556" s="17"/>
    </row>
    <row r="4557" spans="37:38">
      <c r="AK4557" s="17"/>
      <c r="AL4557" s="17"/>
    </row>
    <row r="4558" spans="37:38">
      <c r="AK4558" s="17"/>
      <c r="AL4558" s="17"/>
    </row>
    <row r="4559" spans="37:38">
      <c r="AK4559" s="17"/>
      <c r="AL4559" s="17"/>
    </row>
    <row r="4560" spans="37:38">
      <c r="AK4560" s="17"/>
      <c r="AL4560" s="17"/>
    </row>
    <row r="4561" spans="37:38">
      <c r="AK4561" s="17"/>
      <c r="AL4561" s="17"/>
    </row>
    <row r="4562" spans="37:38">
      <c r="AK4562" s="17"/>
      <c r="AL4562" s="17"/>
    </row>
    <row r="4563" spans="37:38">
      <c r="AK4563" s="17"/>
      <c r="AL4563" s="17"/>
    </row>
    <row r="4564" spans="37:38">
      <c r="AK4564" s="17"/>
      <c r="AL4564" s="17"/>
    </row>
    <row r="4565" spans="37:38">
      <c r="AK4565" s="17"/>
      <c r="AL4565" s="17"/>
    </row>
    <row r="4566" spans="37:38">
      <c r="AK4566" s="17"/>
      <c r="AL4566" s="17"/>
    </row>
    <row r="4567" spans="37:38">
      <c r="AK4567" s="17"/>
      <c r="AL4567" s="17"/>
    </row>
    <row r="4568" spans="37:38">
      <c r="AK4568" s="17"/>
      <c r="AL4568" s="17"/>
    </row>
    <row r="4569" spans="37:38">
      <c r="AK4569" s="17"/>
      <c r="AL4569" s="17"/>
    </row>
    <row r="4570" spans="37:38">
      <c r="AK4570" s="17"/>
      <c r="AL4570" s="17"/>
    </row>
    <row r="4571" spans="37:38">
      <c r="AK4571" s="17"/>
      <c r="AL4571" s="17"/>
    </row>
    <row r="4572" spans="37:38">
      <c r="AK4572" s="17"/>
      <c r="AL4572" s="17"/>
    </row>
    <row r="4573" spans="37:38">
      <c r="AK4573" s="17"/>
      <c r="AL4573" s="17"/>
    </row>
    <row r="4574" spans="37:38">
      <c r="AK4574" s="17"/>
      <c r="AL4574" s="17"/>
    </row>
    <row r="4575" spans="37:38">
      <c r="AK4575" s="17"/>
      <c r="AL4575" s="17"/>
    </row>
    <row r="4576" spans="37:38">
      <c r="AK4576" s="17"/>
      <c r="AL4576" s="17"/>
    </row>
    <row r="4577" spans="37:38">
      <c r="AK4577" s="17"/>
      <c r="AL4577" s="17"/>
    </row>
    <row r="4578" spans="37:38">
      <c r="AK4578" s="17"/>
      <c r="AL4578" s="17"/>
    </row>
    <row r="4579" spans="37:38">
      <c r="AK4579" s="17"/>
      <c r="AL4579" s="17"/>
    </row>
    <row r="4580" spans="37:38">
      <c r="AK4580" s="17"/>
      <c r="AL4580" s="17"/>
    </row>
    <row r="4581" spans="37:38">
      <c r="AK4581" s="17"/>
      <c r="AL4581" s="17"/>
    </row>
    <row r="4582" spans="37:38">
      <c r="AK4582" s="17"/>
      <c r="AL4582" s="17"/>
    </row>
    <row r="4583" spans="37:38">
      <c r="AK4583" s="17"/>
      <c r="AL4583" s="17"/>
    </row>
    <row r="4584" spans="37:38">
      <c r="AK4584" s="17"/>
      <c r="AL4584" s="17"/>
    </row>
    <row r="4585" spans="37:38">
      <c r="AK4585" s="17"/>
      <c r="AL4585" s="17"/>
    </row>
    <row r="4586" spans="37:38">
      <c r="AK4586" s="17"/>
      <c r="AL4586" s="17"/>
    </row>
    <row r="4587" spans="37:38">
      <c r="AK4587" s="17"/>
      <c r="AL4587" s="17"/>
    </row>
    <row r="4588" spans="37:38">
      <c r="AK4588" s="17"/>
      <c r="AL4588" s="17"/>
    </row>
    <row r="4589" spans="37:38">
      <c r="AK4589" s="17"/>
      <c r="AL4589" s="17"/>
    </row>
    <row r="4590" spans="37:38">
      <c r="AK4590" s="17"/>
      <c r="AL4590" s="17"/>
    </row>
    <row r="4591" spans="37:38">
      <c r="AK4591" s="17"/>
      <c r="AL4591" s="17"/>
    </row>
    <row r="4592" spans="37:38">
      <c r="AK4592" s="17"/>
      <c r="AL4592" s="17"/>
    </row>
    <row r="4593" spans="37:38">
      <c r="AK4593" s="17"/>
      <c r="AL4593" s="17"/>
    </row>
    <row r="4594" spans="37:38">
      <c r="AK4594" s="17"/>
      <c r="AL4594" s="17"/>
    </row>
    <row r="4595" spans="37:38">
      <c r="AK4595" s="17"/>
      <c r="AL4595" s="17"/>
    </row>
    <row r="4596" spans="37:38">
      <c r="AK4596" s="17"/>
      <c r="AL4596" s="17"/>
    </row>
    <row r="4597" spans="37:38">
      <c r="AK4597" s="17"/>
      <c r="AL4597" s="17"/>
    </row>
    <row r="4598" spans="37:38">
      <c r="AK4598" s="17"/>
      <c r="AL4598" s="17"/>
    </row>
    <row r="4599" spans="37:38">
      <c r="AK4599" s="17"/>
      <c r="AL4599" s="17"/>
    </row>
    <row r="4600" spans="37:38">
      <c r="AK4600" s="17"/>
      <c r="AL4600" s="17"/>
    </row>
    <row r="4601" spans="37:38">
      <c r="AK4601" s="17"/>
      <c r="AL4601" s="17"/>
    </row>
    <row r="4602" spans="37:38">
      <c r="AK4602" s="17"/>
      <c r="AL4602" s="17"/>
    </row>
    <row r="4603" spans="37:38">
      <c r="AK4603" s="17"/>
      <c r="AL4603" s="17"/>
    </row>
    <row r="4604" spans="37:38">
      <c r="AK4604" s="17"/>
      <c r="AL4604" s="17"/>
    </row>
    <row r="4605" spans="37:38">
      <c r="AK4605" s="17"/>
      <c r="AL4605" s="17"/>
    </row>
    <row r="4606" spans="37:38">
      <c r="AK4606" s="17"/>
      <c r="AL4606" s="17"/>
    </row>
    <row r="4607" spans="37:38">
      <c r="AK4607" s="17"/>
      <c r="AL4607" s="17"/>
    </row>
    <row r="4608" spans="37:38">
      <c r="AK4608" s="17"/>
      <c r="AL4608" s="17"/>
    </row>
    <row r="4609" spans="37:38">
      <c r="AK4609" s="17"/>
      <c r="AL4609" s="17"/>
    </row>
    <row r="4610" spans="37:38">
      <c r="AK4610" s="17"/>
      <c r="AL4610" s="17"/>
    </row>
    <row r="4611" spans="37:38">
      <c r="AK4611" s="17"/>
      <c r="AL4611" s="17"/>
    </row>
    <row r="4612" spans="37:38">
      <c r="AK4612" s="17"/>
      <c r="AL4612" s="17"/>
    </row>
    <row r="4613" spans="37:38">
      <c r="AK4613" s="17"/>
      <c r="AL4613" s="17"/>
    </row>
    <row r="4614" spans="37:38">
      <c r="AK4614" s="17"/>
      <c r="AL4614" s="17"/>
    </row>
    <row r="4615" spans="37:38">
      <c r="AK4615" s="17"/>
      <c r="AL4615" s="17"/>
    </row>
    <row r="4616" spans="37:38">
      <c r="AK4616" s="17"/>
      <c r="AL4616" s="17"/>
    </row>
    <row r="4617" spans="37:38">
      <c r="AK4617" s="17"/>
      <c r="AL4617" s="17"/>
    </row>
    <row r="4618" spans="37:38">
      <c r="AK4618" s="17"/>
      <c r="AL4618" s="17"/>
    </row>
    <row r="4619" spans="37:38">
      <c r="AK4619" s="17"/>
      <c r="AL4619" s="17"/>
    </row>
    <row r="4620" spans="37:38">
      <c r="AK4620" s="17"/>
      <c r="AL4620" s="17"/>
    </row>
    <row r="4621" spans="37:38">
      <c r="AK4621" s="17"/>
      <c r="AL4621" s="17"/>
    </row>
    <row r="4622" spans="37:38">
      <c r="AK4622" s="17"/>
      <c r="AL4622" s="17"/>
    </row>
    <row r="4623" spans="37:38">
      <c r="AK4623" s="17"/>
      <c r="AL4623" s="17"/>
    </row>
    <row r="4624" spans="37:38">
      <c r="AK4624" s="17"/>
      <c r="AL4624" s="17"/>
    </row>
    <row r="4625" spans="37:38">
      <c r="AK4625" s="17"/>
      <c r="AL4625" s="17"/>
    </row>
    <row r="4626" spans="37:38">
      <c r="AK4626" s="17"/>
      <c r="AL4626" s="17"/>
    </row>
    <row r="4627" spans="37:38">
      <c r="AK4627" s="17"/>
      <c r="AL4627" s="17"/>
    </row>
    <row r="4628" spans="37:38">
      <c r="AK4628" s="17"/>
      <c r="AL4628" s="17"/>
    </row>
    <row r="4629" spans="37:38">
      <c r="AK4629" s="17"/>
      <c r="AL4629" s="17"/>
    </row>
    <row r="4630" spans="37:38">
      <c r="AK4630" s="17"/>
      <c r="AL4630" s="17"/>
    </row>
    <row r="4631" spans="37:38">
      <c r="AK4631" s="17"/>
      <c r="AL4631" s="17"/>
    </row>
    <row r="4632" spans="37:38">
      <c r="AK4632" s="17"/>
      <c r="AL4632" s="17"/>
    </row>
    <row r="4633" spans="37:38">
      <c r="AK4633" s="17"/>
      <c r="AL4633" s="17"/>
    </row>
    <row r="4634" spans="37:38">
      <c r="AK4634" s="17"/>
      <c r="AL4634" s="17"/>
    </row>
    <row r="4635" spans="37:38">
      <c r="AK4635" s="17"/>
      <c r="AL4635" s="17"/>
    </row>
    <row r="4636" spans="37:38">
      <c r="AK4636" s="17"/>
      <c r="AL4636" s="17"/>
    </row>
    <row r="4637" spans="37:38">
      <c r="AK4637" s="17"/>
      <c r="AL4637" s="17"/>
    </row>
    <row r="4638" spans="37:38">
      <c r="AK4638" s="17"/>
      <c r="AL4638" s="17"/>
    </row>
    <row r="4639" spans="37:38">
      <c r="AK4639" s="17"/>
      <c r="AL4639" s="17"/>
    </row>
    <row r="4640" spans="37:38">
      <c r="AK4640" s="17"/>
      <c r="AL4640" s="17"/>
    </row>
    <row r="4641" spans="37:38">
      <c r="AK4641" s="17"/>
      <c r="AL4641" s="17"/>
    </row>
    <row r="4642" spans="37:38">
      <c r="AK4642" s="17"/>
      <c r="AL4642" s="17"/>
    </row>
    <row r="4643" spans="37:38">
      <c r="AK4643" s="17"/>
      <c r="AL4643" s="17"/>
    </row>
    <row r="4644" spans="37:38">
      <c r="AK4644" s="17"/>
      <c r="AL4644" s="17"/>
    </row>
    <row r="4645" spans="37:38">
      <c r="AK4645" s="17"/>
      <c r="AL4645" s="17"/>
    </row>
    <row r="4646" spans="37:38">
      <c r="AK4646" s="17"/>
      <c r="AL4646" s="17"/>
    </row>
    <row r="4647" spans="37:38">
      <c r="AK4647" s="17"/>
      <c r="AL4647" s="17"/>
    </row>
    <row r="4648" spans="37:38">
      <c r="AK4648" s="17"/>
      <c r="AL4648" s="17"/>
    </row>
    <row r="4649" spans="37:38">
      <c r="AK4649" s="17"/>
      <c r="AL4649" s="17"/>
    </row>
    <row r="4650" spans="37:38">
      <c r="AK4650" s="17"/>
      <c r="AL4650" s="17"/>
    </row>
    <row r="4651" spans="37:38">
      <c r="AK4651" s="17"/>
      <c r="AL4651" s="17"/>
    </row>
    <row r="4652" spans="37:38">
      <c r="AK4652" s="17"/>
      <c r="AL4652" s="17"/>
    </row>
    <row r="4653" spans="37:38">
      <c r="AK4653" s="17"/>
      <c r="AL4653" s="17"/>
    </row>
    <row r="4654" spans="37:38">
      <c r="AK4654" s="17"/>
      <c r="AL4654" s="17"/>
    </row>
    <row r="4655" spans="37:38">
      <c r="AK4655" s="17"/>
      <c r="AL4655" s="17"/>
    </row>
    <row r="4656" spans="37:38">
      <c r="AK4656" s="17"/>
      <c r="AL4656" s="17"/>
    </row>
    <row r="4657" spans="37:38">
      <c r="AK4657" s="17"/>
      <c r="AL4657" s="17"/>
    </row>
    <row r="4658" spans="37:38">
      <c r="AK4658" s="17"/>
      <c r="AL4658" s="17"/>
    </row>
    <row r="4659" spans="37:38">
      <c r="AK4659" s="17"/>
      <c r="AL4659" s="17"/>
    </row>
    <row r="4660" spans="37:38">
      <c r="AK4660" s="17"/>
      <c r="AL4660" s="17"/>
    </row>
    <row r="4661" spans="37:38">
      <c r="AK4661" s="17"/>
      <c r="AL4661" s="17"/>
    </row>
    <row r="4662" spans="37:38">
      <c r="AK4662" s="17"/>
      <c r="AL4662" s="17"/>
    </row>
    <row r="4663" spans="37:38">
      <c r="AK4663" s="17"/>
      <c r="AL4663" s="17"/>
    </row>
    <row r="4664" spans="37:38">
      <c r="AK4664" s="17"/>
      <c r="AL4664" s="17"/>
    </row>
    <row r="4665" spans="37:38">
      <c r="AK4665" s="17"/>
      <c r="AL4665" s="17"/>
    </row>
    <row r="4666" spans="37:38">
      <c r="AK4666" s="17"/>
      <c r="AL4666" s="17"/>
    </row>
    <row r="4667" spans="37:38">
      <c r="AK4667" s="17"/>
      <c r="AL4667" s="17"/>
    </row>
    <row r="4668" spans="37:38">
      <c r="AK4668" s="17"/>
      <c r="AL4668" s="17"/>
    </row>
    <row r="4669" spans="37:38">
      <c r="AK4669" s="17"/>
      <c r="AL4669" s="17"/>
    </row>
    <row r="4670" spans="37:38">
      <c r="AK4670" s="17"/>
      <c r="AL4670" s="17"/>
    </row>
    <row r="4671" spans="37:38">
      <c r="AK4671" s="17"/>
      <c r="AL4671" s="17"/>
    </row>
    <row r="4672" spans="37:38">
      <c r="AK4672" s="17"/>
      <c r="AL4672" s="17"/>
    </row>
    <row r="4673" spans="37:38">
      <c r="AK4673" s="17"/>
      <c r="AL4673" s="17"/>
    </row>
    <row r="4674" spans="37:38">
      <c r="AK4674" s="17"/>
      <c r="AL4674" s="17"/>
    </row>
    <row r="4675" spans="37:38">
      <c r="AK4675" s="17"/>
      <c r="AL4675" s="17"/>
    </row>
    <row r="4676" spans="37:38">
      <c r="AK4676" s="17"/>
      <c r="AL4676" s="17"/>
    </row>
    <row r="4677" spans="37:38">
      <c r="AK4677" s="17"/>
      <c r="AL4677" s="17"/>
    </row>
    <row r="4678" spans="37:38">
      <c r="AK4678" s="17"/>
      <c r="AL4678" s="17"/>
    </row>
    <row r="4679" spans="37:38">
      <c r="AK4679" s="17"/>
      <c r="AL4679" s="17"/>
    </row>
    <row r="4680" spans="37:38">
      <c r="AK4680" s="17"/>
      <c r="AL4680" s="17"/>
    </row>
    <row r="4681" spans="37:38">
      <c r="AK4681" s="17"/>
      <c r="AL4681" s="17"/>
    </row>
    <row r="4682" spans="37:38">
      <c r="AK4682" s="17"/>
      <c r="AL4682" s="17"/>
    </row>
    <row r="4683" spans="37:38">
      <c r="AK4683" s="17"/>
      <c r="AL4683" s="17"/>
    </row>
    <row r="4684" spans="37:38">
      <c r="AK4684" s="17"/>
      <c r="AL4684" s="17"/>
    </row>
    <row r="4685" spans="37:38">
      <c r="AK4685" s="17"/>
      <c r="AL4685" s="17"/>
    </row>
    <row r="4686" spans="37:38">
      <c r="AK4686" s="17"/>
      <c r="AL4686" s="17"/>
    </row>
    <row r="4687" spans="37:38">
      <c r="AK4687" s="17"/>
      <c r="AL4687" s="17"/>
    </row>
    <row r="4688" spans="37:38">
      <c r="AK4688" s="17"/>
      <c r="AL4688" s="17"/>
    </row>
    <row r="4689" spans="37:38">
      <c r="AK4689" s="17"/>
      <c r="AL4689" s="17"/>
    </row>
    <row r="4690" spans="37:38">
      <c r="AK4690" s="17"/>
      <c r="AL4690" s="17"/>
    </row>
    <row r="4691" spans="37:38">
      <c r="AK4691" s="17"/>
      <c r="AL4691" s="17"/>
    </row>
    <row r="4692" spans="37:38">
      <c r="AK4692" s="17"/>
      <c r="AL4692" s="17"/>
    </row>
    <row r="4693" spans="37:38">
      <c r="AK4693" s="17"/>
      <c r="AL4693" s="17"/>
    </row>
    <row r="4694" spans="37:38">
      <c r="AK4694" s="17"/>
      <c r="AL4694" s="17"/>
    </row>
    <row r="4695" spans="37:38">
      <c r="AK4695" s="17"/>
      <c r="AL4695" s="17"/>
    </row>
    <row r="4696" spans="37:38">
      <c r="AK4696" s="17"/>
      <c r="AL4696" s="17"/>
    </row>
    <row r="4697" spans="37:38">
      <c r="AK4697" s="17"/>
      <c r="AL4697" s="17"/>
    </row>
    <row r="4698" spans="37:38">
      <c r="AK4698" s="17"/>
      <c r="AL4698" s="17"/>
    </row>
    <row r="4699" spans="37:38">
      <c r="AK4699" s="17"/>
      <c r="AL4699" s="17"/>
    </row>
    <row r="4700" spans="37:38">
      <c r="AK4700" s="17"/>
      <c r="AL4700" s="17"/>
    </row>
    <row r="4701" spans="37:38">
      <c r="AK4701" s="17"/>
      <c r="AL4701" s="17"/>
    </row>
    <row r="4702" spans="37:38">
      <c r="AK4702" s="17"/>
      <c r="AL4702" s="17"/>
    </row>
    <row r="4703" spans="37:38">
      <c r="AK4703" s="17"/>
      <c r="AL4703" s="17"/>
    </row>
    <row r="4704" spans="37:38">
      <c r="AK4704" s="17"/>
      <c r="AL4704" s="17"/>
    </row>
    <row r="4705" spans="37:38">
      <c r="AK4705" s="17"/>
      <c r="AL4705" s="17"/>
    </row>
    <row r="4706" spans="37:38">
      <c r="AK4706" s="17"/>
      <c r="AL4706" s="17"/>
    </row>
    <row r="4707" spans="37:38">
      <c r="AK4707" s="17"/>
      <c r="AL4707" s="17"/>
    </row>
    <row r="4708" spans="37:38">
      <c r="AK4708" s="17"/>
      <c r="AL4708" s="17"/>
    </row>
    <row r="4709" spans="37:38">
      <c r="AK4709" s="17"/>
      <c r="AL4709" s="17"/>
    </row>
    <row r="4710" spans="37:38">
      <c r="AK4710" s="17"/>
      <c r="AL4710" s="17"/>
    </row>
    <row r="4711" spans="37:38">
      <c r="AK4711" s="17"/>
      <c r="AL4711" s="17"/>
    </row>
    <row r="4712" spans="37:38">
      <c r="AK4712" s="17"/>
      <c r="AL4712" s="17"/>
    </row>
    <row r="4713" spans="37:38">
      <c r="AK4713" s="17"/>
      <c r="AL4713" s="17"/>
    </row>
    <row r="4714" spans="37:38">
      <c r="AK4714" s="17"/>
      <c r="AL4714" s="17"/>
    </row>
    <row r="4715" spans="37:38">
      <c r="AK4715" s="17"/>
      <c r="AL4715" s="17"/>
    </row>
    <row r="4716" spans="37:38">
      <c r="AK4716" s="17"/>
      <c r="AL4716" s="17"/>
    </row>
    <row r="4717" spans="37:38">
      <c r="AK4717" s="17"/>
      <c r="AL4717" s="17"/>
    </row>
    <row r="4718" spans="37:38">
      <c r="AK4718" s="17"/>
      <c r="AL4718" s="17"/>
    </row>
    <row r="4719" spans="37:38">
      <c r="AK4719" s="17"/>
      <c r="AL4719" s="17"/>
    </row>
    <row r="4720" spans="37:38">
      <c r="AK4720" s="17"/>
      <c r="AL4720" s="17"/>
    </row>
    <row r="4721" spans="37:38">
      <c r="AK4721" s="17"/>
      <c r="AL4721" s="17"/>
    </row>
    <row r="4722" spans="37:38">
      <c r="AK4722" s="17"/>
      <c r="AL4722" s="17"/>
    </row>
    <row r="4723" spans="37:38">
      <c r="AK4723" s="17"/>
      <c r="AL4723" s="17"/>
    </row>
    <row r="4724" spans="37:38">
      <c r="AK4724" s="17"/>
      <c r="AL4724" s="17"/>
    </row>
    <row r="4725" spans="37:38">
      <c r="AK4725" s="17"/>
      <c r="AL4725" s="17"/>
    </row>
    <row r="4726" spans="37:38">
      <c r="AK4726" s="17"/>
      <c r="AL4726" s="17"/>
    </row>
    <row r="4727" spans="37:38">
      <c r="AK4727" s="17"/>
      <c r="AL4727" s="17"/>
    </row>
    <row r="4728" spans="37:38">
      <c r="AK4728" s="17"/>
      <c r="AL4728" s="17"/>
    </row>
    <row r="4729" spans="37:38">
      <c r="AK4729" s="17"/>
      <c r="AL4729" s="17"/>
    </row>
    <row r="4730" spans="37:38">
      <c r="AK4730" s="17"/>
      <c r="AL4730" s="17"/>
    </row>
    <row r="4731" spans="37:38">
      <c r="AK4731" s="17"/>
      <c r="AL4731" s="17"/>
    </row>
    <row r="4732" spans="37:38">
      <c r="AK4732" s="17"/>
      <c r="AL4732" s="17"/>
    </row>
    <row r="4733" spans="37:38">
      <c r="AK4733" s="17"/>
      <c r="AL4733" s="17"/>
    </row>
    <row r="4734" spans="37:38">
      <c r="AK4734" s="17"/>
      <c r="AL4734" s="17"/>
    </row>
    <row r="4735" spans="37:38">
      <c r="AK4735" s="17"/>
      <c r="AL4735" s="17"/>
    </row>
    <row r="4736" spans="37:38">
      <c r="AK4736" s="17"/>
      <c r="AL4736" s="17"/>
    </row>
    <row r="4737" spans="37:38">
      <c r="AK4737" s="17"/>
      <c r="AL4737" s="17"/>
    </row>
    <row r="4738" spans="37:38">
      <c r="AK4738" s="17"/>
      <c r="AL4738" s="17"/>
    </row>
    <row r="4739" spans="37:38">
      <c r="AK4739" s="17"/>
      <c r="AL4739" s="17"/>
    </row>
    <row r="4740" spans="37:38">
      <c r="AK4740" s="17"/>
      <c r="AL4740" s="17"/>
    </row>
    <row r="4741" spans="37:38">
      <c r="AK4741" s="17"/>
      <c r="AL4741" s="17"/>
    </row>
    <row r="4742" spans="37:38">
      <c r="AK4742" s="17"/>
      <c r="AL4742" s="17"/>
    </row>
    <row r="4743" spans="37:38">
      <c r="AK4743" s="17"/>
      <c r="AL4743" s="17"/>
    </row>
    <row r="4744" spans="37:38">
      <c r="AK4744" s="17"/>
      <c r="AL4744" s="17"/>
    </row>
    <row r="4745" spans="37:38">
      <c r="AK4745" s="17"/>
      <c r="AL4745" s="17"/>
    </row>
    <row r="4746" spans="37:38">
      <c r="AK4746" s="17"/>
      <c r="AL4746" s="17"/>
    </row>
    <row r="4747" spans="37:38">
      <c r="AK4747" s="17"/>
      <c r="AL4747" s="17"/>
    </row>
    <row r="4748" spans="37:38">
      <c r="AK4748" s="17"/>
      <c r="AL4748" s="17"/>
    </row>
    <row r="4749" spans="37:38">
      <c r="AK4749" s="17"/>
      <c r="AL4749" s="17"/>
    </row>
    <row r="4750" spans="37:38">
      <c r="AK4750" s="17"/>
      <c r="AL4750" s="17"/>
    </row>
    <row r="4751" spans="37:38">
      <c r="AK4751" s="17"/>
      <c r="AL4751" s="17"/>
    </row>
    <row r="4752" spans="37:38">
      <c r="AK4752" s="17"/>
      <c r="AL4752" s="17"/>
    </row>
    <row r="4753" spans="37:38">
      <c r="AK4753" s="17"/>
      <c r="AL4753" s="17"/>
    </row>
    <row r="4754" spans="37:38">
      <c r="AK4754" s="17"/>
      <c r="AL4754" s="17"/>
    </row>
    <row r="4755" spans="37:38">
      <c r="AK4755" s="17"/>
      <c r="AL4755" s="17"/>
    </row>
    <row r="4756" spans="37:38">
      <c r="AK4756" s="17"/>
      <c r="AL4756" s="17"/>
    </row>
    <row r="4757" spans="37:38">
      <c r="AK4757" s="17"/>
      <c r="AL4757" s="17"/>
    </row>
    <row r="4758" spans="37:38">
      <c r="AK4758" s="17"/>
      <c r="AL4758" s="17"/>
    </row>
    <row r="4759" spans="37:38">
      <c r="AK4759" s="17"/>
      <c r="AL4759" s="17"/>
    </row>
    <row r="4760" spans="37:38">
      <c r="AK4760" s="17"/>
      <c r="AL4760" s="17"/>
    </row>
    <row r="4761" spans="37:38">
      <c r="AK4761" s="17"/>
      <c r="AL4761" s="17"/>
    </row>
    <row r="4762" spans="37:38">
      <c r="AK4762" s="17"/>
      <c r="AL4762" s="17"/>
    </row>
    <row r="4763" spans="37:38">
      <c r="AK4763" s="17"/>
      <c r="AL4763" s="17"/>
    </row>
    <row r="4764" spans="37:38">
      <c r="AK4764" s="17"/>
      <c r="AL4764" s="17"/>
    </row>
    <row r="4765" spans="37:38">
      <c r="AK4765" s="17"/>
      <c r="AL4765" s="17"/>
    </row>
    <row r="4766" spans="37:38">
      <c r="AK4766" s="17"/>
      <c r="AL4766" s="17"/>
    </row>
    <row r="4767" spans="37:38">
      <c r="AK4767" s="17"/>
      <c r="AL4767" s="17"/>
    </row>
    <row r="4768" spans="37:38">
      <c r="AK4768" s="17"/>
      <c r="AL4768" s="17"/>
    </row>
    <row r="4769" spans="37:38">
      <c r="AK4769" s="17"/>
      <c r="AL4769" s="17"/>
    </row>
    <row r="4770" spans="37:38">
      <c r="AK4770" s="17"/>
      <c r="AL4770" s="17"/>
    </row>
    <row r="4771" spans="37:38">
      <c r="AK4771" s="17"/>
      <c r="AL4771" s="17"/>
    </row>
    <row r="4772" spans="37:38">
      <c r="AK4772" s="17"/>
      <c r="AL4772" s="17"/>
    </row>
    <row r="4773" spans="37:38">
      <c r="AK4773" s="17"/>
      <c r="AL4773" s="17"/>
    </row>
    <row r="4774" spans="37:38">
      <c r="AK4774" s="17"/>
      <c r="AL4774" s="17"/>
    </row>
    <row r="4775" spans="37:38">
      <c r="AK4775" s="17"/>
      <c r="AL4775" s="17"/>
    </row>
    <row r="4776" spans="37:38">
      <c r="AK4776" s="17"/>
      <c r="AL4776" s="17"/>
    </row>
    <row r="4777" spans="37:38">
      <c r="AK4777" s="17"/>
      <c r="AL4777" s="17"/>
    </row>
    <row r="4778" spans="37:38">
      <c r="AK4778" s="17"/>
      <c r="AL4778" s="17"/>
    </row>
    <row r="4779" spans="37:38">
      <c r="AK4779" s="17"/>
      <c r="AL4779" s="17"/>
    </row>
    <row r="4780" spans="37:38">
      <c r="AK4780" s="17"/>
      <c r="AL4780" s="17"/>
    </row>
    <row r="4781" spans="37:38">
      <c r="AK4781" s="17"/>
      <c r="AL4781" s="17"/>
    </row>
    <row r="4782" spans="37:38">
      <c r="AK4782" s="17"/>
      <c r="AL4782" s="17"/>
    </row>
    <row r="4783" spans="37:38">
      <c r="AK4783" s="17"/>
      <c r="AL4783" s="17"/>
    </row>
    <row r="4784" spans="37:38">
      <c r="AK4784" s="17"/>
      <c r="AL4784" s="17"/>
    </row>
    <row r="4785" spans="37:38">
      <c r="AK4785" s="17"/>
      <c r="AL4785" s="17"/>
    </row>
    <row r="4786" spans="37:38">
      <c r="AK4786" s="17"/>
      <c r="AL4786" s="17"/>
    </row>
    <row r="4787" spans="37:38">
      <c r="AK4787" s="17"/>
      <c r="AL4787" s="17"/>
    </row>
    <row r="4788" spans="37:38">
      <c r="AK4788" s="17"/>
      <c r="AL4788" s="17"/>
    </row>
    <row r="4789" spans="37:38">
      <c r="AK4789" s="17"/>
      <c r="AL4789" s="17"/>
    </row>
    <row r="4790" spans="37:38">
      <c r="AK4790" s="17"/>
      <c r="AL4790" s="17"/>
    </row>
    <row r="4791" spans="37:38">
      <c r="AK4791" s="17"/>
      <c r="AL4791" s="17"/>
    </row>
    <row r="4792" spans="37:38">
      <c r="AK4792" s="17"/>
      <c r="AL4792" s="17"/>
    </row>
    <row r="4793" spans="37:38">
      <c r="AK4793" s="17"/>
      <c r="AL4793" s="17"/>
    </row>
    <row r="4794" spans="37:38">
      <c r="AK4794" s="17"/>
      <c r="AL4794" s="17"/>
    </row>
    <row r="4795" spans="37:38">
      <c r="AK4795" s="17"/>
      <c r="AL4795" s="17"/>
    </row>
    <row r="4796" spans="37:38">
      <c r="AK4796" s="17"/>
      <c r="AL4796" s="17"/>
    </row>
    <row r="4797" spans="37:38">
      <c r="AK4797" s="17"/>
      <c r="AL4797" s="17"/>
    </row>
    <row r="4798" spans="37:38">
      <c r="AK4798" s="17"/>
      <c r="AL4798" s="17"/>
    </row>
    <row r="4799" spans="37:38">
      <c r="AK4799" s="17"/>
      <c r="AL4799" s="17"/>
    </row>
    <row r="4800" spans="37:38">
      <c r="AK4800" s="17"/>
      <c r="AL4800" s="17"/>
    </row>
    <row r="4801" spans="37:38">
      <c r="AK4801" s="17"/>
      <c r="AL4801" s="17"/>
    </row>
    <row r="4802" spans="37:38">
      <c r="AK4802" s="17"/>
      <c r="AL4802" s="17"/>
    </row>
    <row r="4803" spans="37:38">
      <c r="AK4803" s="17"/>
      <c r="AL4803" s="17"/>
    </row>
    <row r="4804" spans="37:38">
      <c r="AK4804" s="17"/>
      <c r="AL4804" s="17"/>
    </row>
    <row r="4805" spans="37:38">
      <c r="AK4805" s="17"/>
      <c r="AL4805" s="17"/>
    </row>
    <row r="4806" spans="37:38">
      <c r="AK4806" s="17"/>
      <c r="AL4806" s="17"/>
    </row>
    <row r="4807" spans="37:38">
      <c r="AK4807" s="17"/>
      <c r="AL4807" s="17"/>
    </row>
    <row r="4808" spans="37:38">
      <c r="AK4808" s="17"/>
      <c r="AL4808" s="17"/>
    </row>
    <row r="4809" spans="37:38">
      <c r="AK4809" s="17"/>
      <c r="AL4809" s="17"/>
    </row>
    <row r="4810" spans="37:38">
      <c r="AK4810" s="17"/>
      <c r="AL4810" s="17"/>
    </row>
    <row r="4811" spans="37:38">
      <c r="AK4811" s="17"/>
      <c r="AL4811" s="17"/>
    </row>
    <row r="4812" spans="37:38">
      <c r="AK4812" s="17"/>
      <c r="AL4812" s="17"/>
    </row>
    <row r="4813" spans="37:38">
      <c r="AK4813" s="17"/>
      <c r="AL4813" s="17"/>
    </row>
    <row r="4814" spans="37:38">
      <c r="AK4814" s="17"/>
      <c r="AL4814" s="17"/>
    </row>
    <row r="4815" spans="37:38">
      <c r="AK4815" s="17"/>
      <c r="AL4815" s="17"/>
    </row>
    <row r="4816" spans="37:38">
      <c r="AK4816" s="17"/>
      <c r="AL4816" s="17"/>
    </row>
    <row r="4817" spans="37:38">
      <c r="AK4817" s="17"/>
      <c r="AL4817" s="17"/>
    </row>
    <row r="4818" spans="37:38">
      <c r="AK4818" s="17"/>
      <c r="AL4818" s="17"/>
    </row>
    <row r="4819" spans="37:38">
      <c r="AK4819" s="17"/>
      <c r="AL4819" s="17"/>
    </row>
    <row r="4820" spans="37:38">
      <c r="AK4820" s="17"/>
      <c r="AL4820" s="17"/>
    </row>
    <row r="4821" spans="37:38">
      <c r="AK4821" s="17"/>
      <c r="AL4821" s="17"/>
    </row>
    <row r="4822" spans="37:38">
      <c r="AK4822" s="17"/>
      <c r="AL4822" s="17"/>
    </row>
    <row r="4823" spans="37:38">
      <c r="AK4823" s="17"/>
      <c r="AL4823" s="17"/>
    </row>
    <row r="4824" spans="37:38">
      <c r="AK4824" s="17"/>
      <c r="AL4824" s="17"/>
    </row>
    <row r="4825" spans="37:38">
      <c r="AK4825" s="17"/>
      <c r="AL4825" s="17"/>
    </row>
    <row r="4826" spans="37:38">
      <c r="AK4826" s="17"/>
      <c r="AL4826" s="17"/>
    </row>
    <row r="4827" spans="37:38">
      <c r="AK4827" s="17"/>
      <c r="AL4827" s="17"/>
    </row>
    <row r="4828" spans="37:38">
      <c r="AK4828" s="17"/>
      <c r="AL4828" s="17"/>
    </row>
    <row r="4829" spans="37:38">
      <c r="AK4829" s="17"/>
      <c r="AL4829" s="17"/>
    </row>
    <row r="4830" spans="37:38">
      <c r="AK4830" s="17"/>
      <c r="AL4830" s="17"/>
    </row>
    <row r="4831" spans="37:38">
      <c r="AK4831" s="17"/>
      <c r="AL4831" s="17"/>
    </row>
    <row r="4832" spans="37:38">
      <c r="AK4832" s="17"/>
      <c r="AL4832" s="17"/>
    </row>
    <row r="4833" spans="37:38">
      <c r="AK4833" s="17"/>
      <c r="AL4833" s="17"/>
    </row>
    <row r="4834" spans="37:38">
      <c r="AK4834" s="17"/>
      <c r="AL4834" s="17"/>
    </row>
    <row r="4835" spans="37:38">
      <c r="AK4835" s="17"/>
      <c r="AL4835" s="17"/>
    </row>
    <row r="4836" spans="37:38">
      <c r="AK4836" s="17"/>
      <c r="AL4836" s="17"/>
    </row>
    <row r="4837" spans="37:38">
      <c r="AK4837" s="17"/>
      <c r="AL4837" s="17"/>
    </row>
    <row r="4838" spans="37:38">
      <c r="AK4838" s="17"/>
      <c r="AL4838" s="17"/>
    </row>
    <row r="4839" spans="37:38">
      <c r="AK4839" s="17"/>
      <c r="AL4839" s="17"/>
    </row>
    <row r="4840" spans="37:38">
      <c r="AK4840" s="17"/>
      <c r="AL4840" s="17"/>
    </row>
    <row r="4841" spans="37:38">
      <c r="AK4841" s="17"/>
      <c r="AL4841" s="17"/>
    </row>
    <row r="4842" spans="37:38">
      <c r="AK4842" s="17"/>
      <c r="AL4842" s="17"/>
    </row>
    <row r="4843" spans="37:38">
      <c r="AK4843" s="17"/>
      <c r="AL4843" s="17"/>
    </row>
    <row r="4844" spans="37:38">
      <c r="AK4844" s="17"/>
      <c r="AL4844" s="17"/>
    </row>
    <row r="4845" spans="37:38">
      <c r="AK4845" s="17"/>
      <c r="AL4845" s="17"/>
    </row>
    <row r="4846" spans="37:38">
      <c r="AK4846" s="17"/>
      <c r="AL4846" s="17"/>
    </row>
    <row r="4847" spans="37:38">
      <c r="AK4847" s="17"/>
      <c r="AL4847" s="17"/>
    </row>
    <row r="4848" spans="37:38">
      <c r="AK4848" s="17"/>
      <c r="AL4848" s="17"/>
    </row>
    <row r="4849" spans="37:38">
      <c r="AK4849" s="17"/>
      <c r="AL4849" s="17"/>
    </row>
    <row r="4850" spans="37:38">
      <c r="AK4850" s="17"/>
      <c r="AL4850" s="17"/>
    </row>
    <row r="4851" spans="37:38">
      <c r="AK4851" s="17"/>
      <c r="AL4851" s="17"/>
    </row>
    <row r="4852" spans="37:38">
      <c r="AK4852" s="17"/>
      <c r="AL4852" s="17"/>
    </row>
    <row r="4853" spans="37:38">
      <c r="AK4853" s="17"/>
      <c r="AL4853" s="17"/>
    </row>
    <row r="4854" spans="37:38">
      <c r="AK4854" s="17"/>
      <c r="AL4854" s="17"/>
    </row>
    <row r="4855" spans="37:38">
      <c r="AK4855" s="17"/>
      <c r="AL4855" s="17"/>
    </row>
    <row r="4856" spans="37:38">
      <c r="AK4856" s="17"/>
      <c r="AL4856" s="17"/>
    </row>
    <row r="4857" spans="37:38">
      <c r="AK4857" s="17"/>
      <c r="AL4857" s="17"/>
    </row>
    <row r="4858" spans="37:38">
      <c r="AK4858" s="17"/>
      <c r="AL4858" s="17"/>
    </row>
    <row r="4859" spans="37:38">
      <c r="AK4859" s="17"/>
      <c r="AL4859" s="17"/>
    </row>
    <row r="4860" spans="37:38">
      <c r="AK4860" s="17"/>
      <c r="AL4860" s="17"/>
    </row>
    <row r="4861" spans="37:38">
      <c r="AK4861" s="17"/>
      <c r="AL4861" s="17"/>
    </row>
    <row r="4862" spans="37:38">
      <c r="AK4862" s="17"/>
      <c r="AL4862" s="17"/>
    </row>
    <row r="4863" spans="37:38">
      <c r="AK4863" s="17"/>
      <c r="AL4863" s="17"/>
    </row>
    <row r="4864" spans="37:38">
      <c r="AK4864" s="17"/>
      <c r="AL4864" s="17"/>
    </row>
    <row r="4865" spans="37:38">
      <c r="AK4865" s="17"/>
      <c r="AL4865" s="17"/>
    </row>
    <row r="4866" spans="37:38">
      <c r="AK4866" s="17"/>
      <c r="AL4866" s="17"/>
    </row>
    <row r="4867" spans="37:38">
      <c r="AK4867" s="17"/>
      <c r="AL4867" s="17"/>
    </row>
    <row r="4868" spans="37:38">
      <c r="AK4868" s="17"/>
      <c r="AL4868" s="17"/>
    </row>
    <row r="4869" spans="37:38">
      <c r="AK4869" s="17"/>
      <c r="AL4869" s="17"/>
    </row>
    <row r="4870" spans="37:38">
      <c r="AK4870" s="17"/>
      <c r="AL4870" s="17"/>
    </row>
    <row r="4871" spans="37:38">
      <c r="AK4871" s="17"/>
      <c r="AL4871" s="17"/>
    </row>
    <row r="4872" spans="37:38">
      <c r="AK4872" s="17"/>
      <c r="AL4872" s="17"/>
    </row>
    <row r="4873" spans="37:38">
      <c r="AK4873" s="17"/>
      <c r="AL4873" s="17"/>
    </row>
    <row r="4874" spans="37:38">
      <c r="AK4874" s="17"/>
      <c r="AL4874" s="17"/>
    </row>
    <row r="4875" spans="37:38">
      <c r="AK4875" s="17"/>
      <c r="AL4875" s="17"/>
    </row>
    <row r="4876" spans="37:38">
      <c r="AK4876" s="17"/>
      <c r="AL4876" s="17"/>
    </row>
    <row r="4877" spans="37:38">
      <c r="AK4877" s="17"/>
      <c r="AL4877" s="17"/>
    </row>
    <row r="4878" spans="37:38">
      <c r="AK4878" s="17"/>
      <c r="AL4878" s="17"/>
    </row>
    <row r="4879" spans="37:38">
      <c r="AK4879" s="17"/>
      <c r="AL4879" s="17"/>
    </row>
    <row r="4880" spans="37:38">
      <c r="AK4880" s="17"/>
      <c r="AL4880" s="17"/>
    </row>
    <row r="4881" spans="37:38">
      <c r="AK4881" s="17"/>
      <c r="AL4881" s="17"/>
    </row>
    <row r="4882" spans="37:38">
      <c r="AK4882" s="17"/>
      <c r="AL4882" s="17"/>
    </row>
    <row r="4883" spans="37:38">
      <c r="AK4883" s="17"/>
      <c r="AL4883" s="17"/>
    </row>
    <row r="4884" spans="37:38">
      <c r="AK4884" s="17"/>
      <c r="AL4884" s="17"/>
    </row>
    <row r="4885" spans="37:38">
      <c r="AK4885" s="17"/>
      <c r="AL4885" s="17"/>
    </row>
    <row r="4886" spans="37:38">
      <c r="AK4886" s="17"/>
      <c r="AL4886" s="17"/>
    </row>
    <row r="4887" spans="37:38">
      <c r="AK4887" s="17"/>
      <c r="AL4887" s="17"/>
    </row>
    <row r="4888" spans="37:38">
      <c r="AK4888" s="17"/>
      <c r="AL4888" s="17"/>
    </row>
    <row r="4889" spans="37:38">
      <c r="AK4889" s="17"/>
      <c r="AL4889" s="17"/>
    </row>
    <row r="4890" spans="37:38">
      <c r="AK4890" s="17"/>
      <c r="AL4890" s="17"/>
    </row>
    <row r="4891" spans="37:38">
      <c r="AK4891" s="17"/>
      <c r="AL4891" s="17"/>
    </row>
    <row r="4892" spans="37:38">
      <c r="AK4892" s="17"/>
      <c r="AL4892" s="17"/>
    </row>
    <row r="4893" spans="37:38">
      <c r="AK4893" s="17"/>
      <c r="AL4893" s="17"/>
    </row>
    <row r="4894" spans="37:38">
      <c r="AK4894" s="17"/>
      <c r="AL4894" s="17"/>
    </row>
    <row r="4895" spans="37:38">
      <c r="AK4895" s="17"/>
      <c r="AL4895" s="17"/>
    </row>
    <row r="4896" spans="37:38">
      <c r="AK4896" s="17"/>
      <c r="AL4896" s="17"/>
    </row>
    <row r="4897" spans="37:38">
      <c r="AK4897" s="17"/>
      <c r="AL4897" s="17"/>
    </row>
    <row r="4898" spans="37:38">
      <c r="AK4898" s="17"/>
      <c r="AL4898" s="17"/>
    </row>
    <row r="4899" spans="37:38">
      <c r="AK4899" s="17"/>
      <c r="AL4899" s="17"/>
    </row>
    <row r="4900" spans="37:38">
      <c r="AK4900" s="17"/>
      <c r="AL4900" s="17"/>
    </row>
    <row r="4901" spans="37:38">
      <c r="AK4901" s="17"/>
      <c r="AL4901" s="17"/>
    </row>
    <row r="4902" spans="37:38">
      <c r="AK4902" s="17"/>
      <c r="AL4902" s="17"/>
    </row>
    <row r="4903" spans="37:38">
      <c r="AK4903" s="17"/>
      <c r="AL4903" s="17"/>
    </row>
    <row r="4904" spans="37:38">
      <c r="AK4904" s="17"/>
      <c r="AL4904" s="17"/>
    </row>
    <row r="4905" spans="37:38">
      <c r="AK4905" s="17"/>
      <c r="AL4905" s="17"/>
    </row>
    <row r="4906" spans="37:38">
      <c r="AK4906" s="17"/>
      <c r="AL4906" s="17"/>
    </row>
    <row r="4907" spans="37:38">
      <c r="AK4907" s="17"/>
      <c r="AL4907" s="17"/>
    </row>
    <row r="4908" spans="37:38">
      <c r="AK4908" s="17"/>
      <c r="AL4908" s="17"/>
    </row>
    <row r="4909" spans="37:38">
      <c r="AK4909" s="17"/>
      <c r="AL4909" s="17"/>
    </row>
    <row r="4910" spans="37:38">
      <c r="AK4910" s="17"/>
      <c r="AL4910" s="17"/>
    </row>
    <row r="4911" spans="37:38">
      <c r="AK4911" s="17"/>
      <c r="AL4911" s="17"/>
    </row>
    <row r="4912" spans="37:38">
      <c r="AK4912" s="17"/>
      <c r="AL4912" s="17"/>
    </row>
    <row r="4913" spans="37:38">
      <c r="AK4913" s="17"/>
      <c r="AL4913" s="17"/>
    </row>
    <row r="4914" spans="37:38">
      <c r="AK4914" s="17"/>
      <c r="AL4914" s="17"/>
    </row>
    <row r="4915" spans="37:38">
      <c r="AK4915" s="17"/>
      <c r="AL4915" s="17"/>
    </row>
    <row r="4916" spans="37:38">
      <c r="AK4916" s="17"/>
      <c r="AL4916" s="17"/>
    </row>
    <row r="4917" spans="37:38">
      <c r="AK4917" s="17"/>
      <c r="AL4917" s="17"/>
    </row>
    <row r="4918" spans="37:38">
      <c r="AK4918" s="17"/>
      <c r="AL4918" s="17"/>
    </row>
    <row r="4919" spans="37:38">
      <c r="AK4919" s="17"/>
      <c r="AL4919" s="17"/>
    </row>
    <row r="4920" spans="37:38">
      <c r="AK4920" s="17"/>
      <c r="AL4920" s="17"/>
    </row>
    <row r="4921" spans="37:38">
      <c r="AK4921" s="17"/>
      <c r="AL4921" s="17"/>
    </row>
    <row r="4922" spans="37:38">
      <c r="AK4922" s="17"/>
      <c r="AL4922" s="17"/>
    </row>
    <row r="4923" spans="37:38">
      <c r="AK4923" s="17"/>
      <c r="AL4923" s="17"/>
    </row>
    <row r="4924" spans="37:38">
      <c r="AK4924" s="17"/>
      <c r="AL4924" s="17"/>
    </row>
    <row r="4925" spans="37:38">
      <c r="AK4925" s="17"/>
      <c r="AL4925" s="17"/>
    </row>
    <row r="4926" spans="37:38">
      <c r="AK4926" s="17"/>
      <c r="AL4926" s="17"/>
    </row>
    <row r="4927" spans="37:38">
      <c r="AK4927" s="17"/>
      <c r="AL4927" s="17"/>
    </row>
    <row r="4928" spans="37:38">
      <c r="AK4928" s="17"/>
      <c r="AL4928" s="17"/>
    </row>
    <row r="4929" spans="37:38">
      <c r="AK4929" s="17"/>
      <c r="AL4929" s="17"/>
    </row>
    <row r="4930" spans="37:38">
      <c r="AK4930" s="17"/>
      <c r="AL4930" s="17"/>
    </row>
    <row r="4931" spans="37:38">
      <c r="AK4931" s="17"/>
      <c r="AL4931" s="17"/>
    </row>
    <row r="4932" spans="37:38">
      <c r="AK4932" s="17"/>
      <c r="AL4932" s="17"/>
    </row>
    <row r="4933" spans="37:38">
      <c r="AK4933" s="17"/>
      <c r="AL4933" s="17"/>
    </row>
    <row r="4934" spans="37:38">
      <c r="AK4934" s="17"/>
      <c r="AL4934" s="17"/>
    </row>
    <row r="4935" spans="37:38">
      <c r="AK4935" s="17"/>
      <c r="AL4935" s="17"/>
    </row>
    <row r="4936" spans="37:38">
      <c r="AK4936" s="17"/>
      <c r="AL4936" s="17"/>
    </row>
    <row r="4937" spans="37:38">
      <c r="AK4937" s="17"/>
      <c r="AL4937" s="17"/>
    </row>
    <row r="4938" spans="37:38">
      <c r="AK4938" s="17"/>
      <c r="AL4938" s="17"/>
    </row>
    <row r="4939" spans="37:38">
      <c r="AK4939" s="17"/>
      <c r="AL4939" s="17"/>
    </row>
    <row r="4940" spans="37:38">
      <c r="AK4940" s="17"/>
      <c r="AL4940" s="17"/>
    </row>
    <row r="4941" spans="37:38">
      <c r="AK4941" s="17"/>
      <c r="AL4941" s="17"/>
    </row>
    <row r="4942" spans="37:38">
      <c r="AK4942" s="17"/>
      <c r="AL4942" s="17"/>
    </row>
    <row r="4943" spans="37:38">
      <c r="AK4943" s="17"/>
      <c r="AL4943" s="17"/>
    </row>
    <row r="4944" spans="37:38">
      <c r="AK4944" s="17"/>
      <c r="AL4944" s="17"/>
    </row>
    <row r="4945" spans="37:38">
      <c r="AK4945" s="17"/>
      <c r="AL4945" s="17"/>
    </row>
    <row r="4946" spans="37:38">
      <c r="AK4946" s="17"/>
      <c r="AL4946" s="17"/>
    </row>
    <row r="4947" spans="37:38">
      <c r="AK4947" s="17"/>
      <c r="AL4947" s="17"/>
    </row>
    <row r="4948" spans="37:38">
      <c r="AK4948" s="17"/>
      <c r="AL4948" s="17"/>
    </row>
    <row r="4949" spans="37:38">
      <c r="AK4949" s="17"/>
      <c r="AL4949" s="17"/>
    </row>
    <row r="4950" spans="37:38">
      <c r="AK4950" s="17"/>
      <c r="AL4950" s="17"/>
    </row>
    <row r="4951" spans="37:38">
      <c r="AK4951" s="17"/>
      <c r="AL4951" s="17"/>
    </row>
    <row r="4952" spans="37:38">
      <c r="AK4952" s="17"/>
      <c r="AL4952" s="17"/>
    </row>
    <row r="4953" spans="37:38">
      <c r="AK4953" s="17"/>
      <c r="AL4953" s="17"/>
    </row>
    <row r="4954" spans="37:38">
      <c r="AK4954" s="17"/>
      <c r="AL4954" s="17"/>
    </row>
    <row r="4955" spans="37:38">
      <c r="AK4955" s="17"/>
      <c r="AL4955" s="17"/>
    </row>
    <row r="4956" spans="37:38">
      <c r="AK4956" s="17"/>
      <c r="AL4956" s="17"/>
    </row>
    <row r="4957" spans="37:38">
      <c r="AK4957" s="17"/>
      <c r="AL4957" s="17"/>
    </row>
    <row r="4958" spans="37:38">
      <c r="AK4958" s="17"/>
      <c r="AL4958" s="17"/>
    </row>
    <row r="4959" spans="37:38">
      <c r="AK4959" s="17"/>
      <c r="AL4959" s="17"/>
    </row>
    <row r="4960" spans="37:38">
      <c r="AK4960" s="17"/>
      <c r="AL4960" s="17"/>
    </row>
    <row r="4961" spans="37:38">
      <c r="AK4961" s="17"/>
      <c r="AL4961" s="17"/>
    </row>
    <row r="4962" spans="37:38">
      <c r="AK4962" s="17"/>
      <c r="AL4962" s="17"/>
    </row>
    <row r="4963" spans="37:38">
      <c r="AK4963" s="17"/>
      <c r="AL4963" s="17"/>
    </row>
    <row r="4964" spans="37:38">
      <c r="AK4964" s="17"/>
      <c r="AL4964" s="17"/>
    </row>
    <row r="4965" spans="37:38">
      <c r="AK4965" s="17"/>
      <c r="AL4965" s="17"/>
    </row>
    <row r="4966" spans="37:38">
      <c r="AK4966" s="17"/>
      <c r="AL4966" s="17"/>
    </row>
    <row r="4967" spans="37:38">
      <c r="AK4967" s="17"/>
      <c r="AL4967" s="17"/>
    </row>
    <row r="4968" spans="37:38">
      <c r="AK4968" s="17"/>
      <c r="AL4968" s="17"/>
    </row>
    <row r="4969" spans="37:38">
      <c r="AK4969" s="17"/>
      <c r="AL4969" s="17"/>
    </row>
    <row r="4970" spans="37:38">
      <c r="AK4970" s="17"/>
      <c r="AL4970" s="17"/>
    </row>
    <row r="4971" spans="37:38">
      <c r="AK4971" s="17"/>
      <c r="AL4971" s="17"/>
    </row>
    <row r="4972" spans="37:38">
      <c r="AK4972" s="17"/>
      <c r="AL4972" s="17"/>
    </row>
    <row r="4973" spans="37:38">
      <c r="AK4973" s="17"/>
      <c r="AL4973" s="17"/>
    </row>
    <row r="4974" spans="37:38">
      <c r="AK4974" s="17"/>
      <c r="AL4974" s="17"/>
    </row>
    <row r="4975" spans="37:38">
      <c r="AK4975" s="17"/>
      <c r="AL4975" s="17"/>
    </row>
    <row r="4976" spans="37:38">
      <c r="AK4976" s="17"/>
      <c r="AL4976" s="17"/>
    </row>
    <row r="4977" spans="37:38">
      <c r="AK4977" s="17"/>
      <c r="AL4977" s="17"/>
    </row>
    <row r="4978" spans="37:38">
      <c r="AK4978" s="17"/>
      <c r="AL4978" s="17"/>
    </row>
    <row r="4979" spans="37:38">
      <c r="AK4979" s="17"/>
      <c r="AL4979" s="17"/>
    </row>
    <row r="4980" spans="37:38">
      <c r="AK4980" s="17"/>
      <c r="AL4980" s="17"/>
    </row>
    <row r="4981" spans="37:38">
      <c r="AK4981" s="17"/>
      <c r="AL4981" s="17"/>
    </row>
    <row r="4982" spans="37:38">
      <c r="AK4982" s="17"/>
      <c r="AL4982" s="17"/>
    </row>
    <row r="4983" spans="37:38">
      <c r="AK4983" s="17"/>
      <c r="AL4983" s="17"/>
    </row>
    <row r="4984" spans="37:38">
      <c r="AK4984" s="17"/>
      <c r="AL4984" s="17"/>
    </row>
    <row r="4985" spans="37:38">
      <c r="AK4985" s="17"/>
      <c r="AL4985" s="17"/>
    </row>
    <row r="4986" spans="37:38">
      <c r="AK4986" s="17"/>
      <c r="AL4986" s="17"/>
    </row>
    <row r="4987" spans="37:38">
      <c r="AK4987" s="17"/>
      <c r="AL4987" s="17"/>
    </row>
    <row r="4988" spans="37:38">
      <c r="AK4988" s="17"/>
      <c r="AL4988" s="17"/>
    </row>
    <row r="4989" spans="37:38">
      <c r="AK4989" s="17"/>
      <c r="AL4989" s="17"/>
    </row>
    <row r="4990" spans="37:38">
      <c r="AK4990" s="17"/>
      <c r="AL4990" s="17"/>
    </row>
    <row r="4991" spans="37:38">
      <c r="AK4991" s="17"/>
      <c r="AL4991" s="17"/>
    </row>
    <row r="4992" spans="37:38">
      <c r="AK4992" s="17"/>
      <c r="AL4992" s="17"/>
    </row>
    <row r="4993" spans="37:38">
      <c r="AK4993" s="17"/>
      <c r="AL4993" s="17"/>
    </row>
    <row r="4994" spans="37:38">
      <c r="AK4994" s="17"/>
      <c r="AL4994" s="17"/>
    </row>
    <row r="4995" spans="37:38">
      <c r="AK4995" s="17"/>
      <c r="AL4995" s="17"/>
    </row>
    <row r="4996" spans="37:38">
      <c r="AK4996" s="17"/>
      <c r="AL4996" s="17"/>
    </row>
    <row r="4997" spans="37:38">
      <c r="AK4997" s="17"/>
      <c r="AL4997" s="17"/>
    </row>
  </sheetData>
  <autoFilter ref="A19:AI21">
    <filterColumn colId="14" showButton="0"/>
    <filterColumn colId="15" showButton="0"/>
    <filterColumn colId="18" showButton="0"/>
    <filterColumn colId="19" showButton="0"/>
    <filterColumn colId="20" showButton="0"/>
    <filterColumn colId="24" showButton="0"/>
    <filterColumn colId="25" showButton="0"/>
  </autoFilter>
  <mergeCells count="113">
    <mergeCell ref="AF8:AI8"/>
    <mergeCell ref="AF9:AI9"/>
    <mergeCell ref="AF10:AI10"/>
    <mergeCell ref="AF11:AI11"/>
    <mergeCell ref="AF7:AI7"/>
    <mergeCell ref="AE19:AE21"/>
    <mergeCell ref="AI19:AI21"/>
    <mergeCell ref="O19:Q20"/>
    <mergeCell ref="R19:R21"/>
    <mergeCell ref="S19:V19"/>
    <mergeCell ref="W19:W21"/>
    <mergeCell ref="X19:X21"/>
    <mergeCell ref="Y19:AA20"/>
    <mergeCell ref="S20:U20"/>
    <mergeCell ref="V20:V21"/>
    <mergeCell ref="AH19:AH21"/>
    <mergeCell ref="AF19:AF21"/>
    <mergeCell ref="AE12:AI12"/>
    <mergeCell ref="AE13:AI14"/>
    <mergeCell ref="R13:R14"/>
    <mergeCell ref="U9:W12"/>
    <mergeCell ref="Z9:AC9"/>
    <mergeCell ref="A16:AC16"/>
    <mergeCell ref="A17:AC17"/>
    <mergeCell ref="A19:A21"/>
    <mergeCell ref="B19:B21"/>
    <mergeCell ref="C19:C21"/>
    <mergeCell ref="D19:D21"/>
    <mergeCell ref="E19:E21"/>
    <mergeCell ref="F19:F21"/>
    <mergeCell ref="I19:I21"/>
    <mergeCell ref="A25:AB25"/>
    <mergeCell ref="AC25:AD25"/>
    <mergeCell ref="AB19:AB21"/>
    <mergeCell ref="AC19:AC21"/>
    <mergeCell ref="AD19:AD21"/>
    <mergeCell ref="G19:G21"/>
    <mergeCell ref="H19:H21"/>
    <mergeCell ref="J19:J21"/>
    <mergeCell ref="K19:K21"/>
    <mergeCell ref="L19:L21"/>
    <mergeCell ref="N19:N21"/>
    <mergeCell ref="M19:M21"/>
    <mergeCell ref="D10:E10"/>
    <mergeCell ref="F10:G10"/>
    <mergeCell ref="Z10:AC10"/>
    <mergeCell ref="D11:E11"/>
    <mergeCell ref="F11:G11"/>
    <mergeCell ref="Z11:AC11"/>
    <mergeCell ref="S13:W14"/>
    <mergeCell ref="Z13:AC14"/>
    <mergeCell ref="B14:G14"/>
    <mergeCell ref="M9:P12"/>
    <mergeCell ref="A7:G7"/>
    <mergeCell ref="J7:P7"/>
    <mergeCell ref="R7:W7"/>
    <mergeCell ref="Y7:AC7"/>
    <mergeCell ref="A8:A12"/>
    <mergeCell ref="B8:C12"/>
    <mergeCell ref="D8:E8"/>
    <mergeCell ref="F8:G8"/>
    <mergeCell ref="K8:P8"/>
    <mergeCell ref="S8:W8"/>
    <mergeCell ref="Z8:AC8"/>
    <mergeCell ref="D9:E9"/>
    <mergeCell ref="F9:G9"/>
    <mergeCell ref="J9:J12"/>
    <mergeCell ref="K9:L12"/>
    <mergeCell ref="R9:R12"/>
    <mergeCell ref="S9:T12"/>
    <mergeCell ref="D12:E12"/>
    <mergeCell ref="F12:G12"/>
    <mergeCell ref="Y12:Y14"/>
    <mergeCell ref="Z12:AC12"/>
    <mergeCell ref="B13:G13"/>
    <mergeCell ref="J13:J14"/>
    <mergeCell ref="K13:P14"/>
    <mergeCell ref="Y1:AA1"/>
    <mergeCell ref="AB1:AD1"/>
    <mergeCell ref="V4:X4"/>
    <mergeCell ref="Y4:AA4"/>
    <mergeCell ref="AB4:AD4"/>
    <mergeCell ref="D5:E5"/>
    <mergeCell ref="F5:G5"/>
    <mergeCell ref="S5:U5"/>
    <mergeCell ref="V5:X5"/>
    <mergeCell ref="Y5:AA5"/>
    <mergeCell ref="AB5:AD5"/>
    <mergeCell ref="H2:N5"/>
    <mergeCell ref="A2:C5"/>
    <mergeCell ref="A1:C1"/>
    <mergeCell ref="AE1:AI5"/>
    <mergeCell ref="D2:E2"/>
    <mergeCell ref="F2:G2"/>
    <mergeCell ref="S2:U2"/>
    <mergeCell ref="V2:X2"/>
    <mergeCell ref="Y2:AA2"/>
    <mergeCell ref="D1:E1"/>
    <mergeCell ref="F1:G1"/>
    <mergeCell ref="H1:N1"/>
    <mergeCell ref="P1:R5"/>
    <mergeCell ref="S1:U1"/>
    <mergeCell ref="D4:E4"/>
    <mergeCell ref="F4:G4"/>
    <mergeCell ref="S4:U4"/>
    <mergeCell ref="AB2:AD2"/>
    <mergeCell ref="D3:E3"/>
    <mergeCell ref="F3:G3"/>
    <mergeCell ref="S3:U3"/>
    <mergeCell ref="V3:X3"/>
    <mergeCell ref="Y3:AA3"/>
    <mergeCell ref="AB3:AD3"/>
    <mergeCell ref="V1:X1"/>
  </mergeCells>
  <pageMargins left="0" right="0" top="0.23622047244094491" bottom="0.23622047244094491" header="0" footer="0"/>
  <pageSetup paperSize="9" scale="18" fitToHeight="0" orientation="landscape" r:id="rId1"/>
  <headerFooter alignWithMargins="0">
    <oddFooter>Page &amp;P of &amp;N</oddFooter>
  </headerFooter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Overview</vt:lpstr>
      <vt:lpstr>Overview!Print_Area</vt:lpstr>
      <vt:lpstr>Overview!Print_Titles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mynt</dc:creator>
  <cp:lastModifiedBy>Quang</cp:lastModifiedBy>
  <cp:lastPrinted>2015-09-30T06:51:45Z</cp:lastPrinted>
  <dcterms:created xsi:type="dcterms:W3CDTF">2011-06-02T03:49:45Z</dcterms:created>
  <dcterms:modified xsi:type="dcterms:W3CDTF">2016-12-12T03:01:32Z</dcterms:modified>
</cp:coreProperties>
</file>