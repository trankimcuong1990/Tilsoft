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v1\TilsoftService\Reports\"/>
    </mc:Choice>
  </mc:AlternateContent>
  <bookViews>
    <workbookView xWindow="0" yWindow="135" windowWidth="19440" windowHeight="9780" tabRatio="691"/>
  </bookViews>
  <sheets>
    <sheet name="StockListOverview" sheetId="127" r:id="rId1"/>
    <sheet name="ParamTable" sheetId="128" state="hidden" r:id="rId2"/>
  </sheets>
  <functionGroups builtInGroupCount="18"/>
  <calcPr calcId="152511"/>
</workbook>
</file>

<file path=xl/calcChain.xml><?xml version="1.0" encoding="utf-8"?>
<calcChain xmlns="http://schemas.openxmlformats.org/spreadsheetml/2006/main">
  <c r="O6" i="127" l="1"/>
  <c r="G4" i="127" l="1"/>
  <c r="J4" i="127"/>
  <c r="K4" i="127"/>
  <c r="L4" i="127"/>
  <c r="M4" i="127"/>
  <c r="F4" i="127"/>
  <c r="G3" i="127"/>
  <c r="J3" i="127"/>
  <c r="K3" i="127"/>
  <c r="L3" i="127"/>
  <c r="M3" i="127"/>
  <c r="F3" i="127"/>
  <c r="N6" i="127"/>
  <c r="N3" i="127" s="1"/>
  <c r="N4" i="127" l="1"/>
</calcChain>
</file>

<file path=xl/connections.xml><?xml version="1.0" encoding="utf-8"?>
<connections xmlns="http://schemas.openxmlformats.org/spreadsheetml/2006/main">
  <connection id="1" name="Offer2" type="4" refreshedVersion="0" background="1">
    <webPr xml="1" sourceData="1" url="C:\Users\lvanwell\AppData\Local\Temp\0001-2012-EUROFAR INTERNATIONAL BV-1-LW.xml" htmlTables="1" htmlFormat="all"/>
  </connection>
  <connection id="2" name="XMLData" type="4" refreshedVersion="0" background="1">
    <webPr xml="1" sourceData="1" url="C:\Users\mynt\Desktop\XMLData.xml" htmlTables="1" htmlFormat="all"/>
  </connection>
</connections>
</file>

<file path=xl/sharedStrings.xml><?xml version="1.0" encoding="utf-8"?>
<sst xmlns="http://schemas.openxmlformats.org/spreadsheetml/2006/main" count="37" uniqueCount="37">
  <si>
    <t>ns2:ArticleCode</t>
  </si>
  <si>
    <t>ns2:Description</t>
  </si>
  <si>
    <t>ns2:ProductStatusNM</t>
  </si>
  <si>
    <t>ns2:Qnt40HC</t>
  </si>
  <si>
    <t>ns2:PhysicalQnt</t>
  </si>
  <si>
    <t>ns2:PhysicalQntIn40HC</t>
  </si>
  <si>
    <t>ns2:OnSeaQnt</t>
  </si>
  <si>
    <t>ns2:TobeShippedQnt</t>
  </si>
  <si>
    <t>ns2:ReservationQnt</t>
  </si>
  <si>
    <t>ns2:IsActiveFreeToSale</t>
  </si>
  <si>
    <t>ns2:FreeToSaleCategoryNM</t>
  </si>
  <si>
    <t>Pro Status</t>
  </si>
  <si>
    <t>ArticleCode</t>
  </si>
  <si>
    <t>Description</t>
  </si>
  <si>
    <t>Qnt 40HC</t>
  </si>
  <si>
    <t>On Sea</t>
  </si>
  <si>
    <t>To be ship</t>
  </si>
  <si>
    <t>Reservation</t>
  </si>
  <si>
    <t>Category</t>
  </si>
  <si>
    <t>STOCK LIST OVER VIEW</t>
  </si>
  <si>
    <t>Physical 
Qnt</t>
  </si>
  <si>
    <t>Physical Qnt 
In 40HC</t>
  </si>
  <si>
    <t>FTS Qnt</t>
  </si>
  <si>
    <t>Column2</t>
  </si>
  <si>
    <t>FTS In 40HC</t>
  </si>
  <si>
    <t>ns2:FTSQnt</t>
  </si>
  <si>
    <t>Total</t>
  </si>
  <si>
    <t>Sub Total</t>
  </si>
  <si>
    <t>Column3</t>
  </si>
  <si>
    <t>Enable FTS</t>
  </si>
  <si>
    <t>Column1</t>
  </si>
  <si>
    <t>Column4</t>
  </si>
  <si>
    <t>Location</t>
  </si>
  <si>
    <t>Qnt/
Location</t>
  </si>
  <si>
    <t>Column5</t>
  </si>
  <si>
    <t>Column6</t>
  </si>
  <si>
    <t>EAN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</si>
</sst>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.00_-;_-* #,##0.00\-;_-* &quot;-&quot;??_-;_-@_-"/>
    <numFmt numFmtId="165" formatCode="_-* #,##0\ _B_F_-;\-* #,##0\ _B_F_-;_-* &quot;-&quot;\ _B_F_-;_-@_-"/>
    <numFmt numFmtId="166" formatCode="_-* #,##0\ _B_F_-;\-* #,##0\ _B_F_-;_-* &quot;- &quot;_B_F_-;_-@_-"/>
  </numFmts>
  <fonts count="10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63"/>
      <scheme val="minor"/>
    </font>
    <font>
      <b/>
      <sz val="18"/>
      <color rgb="FFFF0000"/>
      <name val="Calibri"/>
      <family val="2"/>
      <charset val="163"/>
      <scheme val="minor"/>
    </font>
    <font>
      <b/>
      <sz val="10"/>
      <color theme="1"/>
      <name val="Calibri"/>
      <family val="2"/>
      <charset val="163"/>
      <scheme val="minor"/>
    </font>
    <font>
      <sz val="10"/>
      <color theme="1"/>
      <name val="Calibri"/>
      <family val="2"/>
      <charset val="163"/>
      <scheme val="minor"/>
    </font>
    <font>
      <sz val="10"/>
      <color theme="0"/>
      <name val="Calibri"/>
      <family val="2"/>
      <charset val="163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0" fontId="1" fillId="0" borderId="0"/>
    <xf numFmtId="165" fontId="3" fillId="0" borderId="0" applyFont="0" applyFill="0" applyBorder="0" applyAlignment="0" applyProtection="0"/>
    <xf numFmtId="0" fontId="2" fillId="0" borderId="0"/>
    <xf numFmtId="0" fontId="2" fillId="0" borderId="0"/>
  </cellStyleXfs>
  <cellXfs count="16">
    <xf numFmtId="0" fontId="0" fillId="0" borderId="0" xfId="0"/>
    <xf numFmtId="0" fontId="0" fillId="0" borderId="0" xfId="0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center" vertical="center" wrapText="1"/>
    </xf>
    <xf numFmtId="4" fontId="7" fillId="3" borderId="1" xfId="0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" fontId="8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left" vertical="center"/>
    </xf>
    <xf numFmtId="49" fontId="8" fillId="0" borderId="1" xfId="0" applyNumberFormat="1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49" fontId="8" fillId="0" borderId="1" xfId="0" applyNumberFormat="1" applyFont="1" applyBorder="1" applyAlignment="1">
      <alignment horizontal="center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heet1" xfId="8"/>
    <cellStyle name="Style 1" xfId="9"/>
  </cellStyles>
  <dxfs count="23"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numFmt numFmtId="4" formatCode="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7693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Mng_StockList_View" minOccurs="0" maxOccurs="unbounded">
              <xs:complexType>
                <xs:sequence>
                  <xs:element name="ProductStatusNM" type="xs:string" minOccurs="0"/>
                  <xs:element name="SelectedThumbnailImage" type="xs:string" minOccurs="0"/>
                  <xs:element name="ArticleCode" type="xs:string" minOccurs="0"/>
                  <xs:element name="Description" type="xs:string" minOccurs="0"/>
                  <xs:element name="Qnt40HC" type="xs:int" minOccurs="0"/>
                  <xs:element name="PhysicalQnt" type="xs:int" minOccurs="0"/>
                  <xs:element name="PhysicalQntIn40HC" type="xs:decimal" minOccurs="0"/>
                  <xs:element name="WarehouseAreaUD" type="xs:string" minOccurs="0"/>
                  <xs:element name="QntPerWarehouseArea" type="xs:string" minOccurs="0"/>
                  <xs:element name="OnSeaQnt" type="xs:int" minOccurs="0"/>
                  <xs:element name="TobeShippedQnt" type="xs:int" minOccurs="0"/>
                  <xs:element name="ReservationQnt" type="xs:int" minOccurs="0"/>
                  <xs:element name="FTSQnt" type="xs:int" minOccurs="0"/>
                  <xs:element name="IsActiveFreeToSale" type="xs:boolean" minOccurs="0"/>
                  <xs:element name="EANCode" type="xs:string" minOccurs="0"/>
                  <xs:element name="FreeToSaleCategoryNM" type="xs:string" minOccurs="0"/>
                </xs:sequence>
              </xs:complexType>
            </xs:element>
            <xs:element name="ParamTable">
              <xs:complexType>
                <xs:sequence>
                  <xs:element name="IsIncludeImage" type="xs:boolean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3" name="Table3" displayName="Table3" ref="A5:R6" tableType="xml" totalsRowShown="0" headerRowDxfId="22" dataDxfId="20" headerRowBorderDxfId="21" tableBorderDxfId="19" totalsRowBorderDxfId="18">
  <autoFilter ref="A5:R6"/>
  <tableColumns count="18">
    <tableColumn id="2" uniqueName="ns2:ProductStatusNM" name="ns2:ProductStatusNM" dataDxfId="17">
      <xmlColumnPr mapId="3" xpath="/ns2:ReportDataObject/ns2:ReportMng_StockList_View/ns2:ProductStatusNM" xmlDataType="string"/>
    </tableColumn>
    <tableColumn id="9" uniqueName="ns2:SelectedThumbnailImage" name="Column5" dataDxfId="16">
      <xmlColumnPr mapId="3" xpath="/ns2:ReportDataObject/ns2:ReportMng_StockList_View/ns2:SelectedThumbnailImage" xmlDataType="string"/>
    </tableColumn>
    <tableColumn id="3" uniqueName="ns2:ArticleCode" name="ns2:ArticleCode" dataDxfId="15">
      <xmlColumnPr mapId="3" xpath="/ns2:ReportDataObject/ns2:ReportMng_StockList_View/ns2:ArticleCode" xmlDataType="string"/>
    </tableColumn>
    <tableColumn id="5" uniqueName="ns2:Description" name="ns2:Description" dataDxfId="14">
      <xmlColumnPr mapId="3" xpath="/ns2:ReportDataObject/ns2:ReportMng_StockList_View/ns2:Description" xmlDataType="string"/>
    </tableColumn>
    <tableColumn id="17" uniqueName="ns2:Qnt40HC" name="ns2:Qnt40HC" dataDxfId="13">
      <xmlColumnPr mapId="3" xpath="/ns2:ReportDataObject/ns2:ReportMng_StockList_View/ns2:Qnt40HC" xmlDataType="int"/>
    </tableColumn>
    <tableColumn id="25" uniqueName="ns2:PhysicalQnt" name="ns2:PhysicalQnt" dataDxfId="12">
      <xmlColumnPr mapId="3" xpath="/ns2:ReportDataObject/ns2:ReportMng_StockList_View/ns2:PhysicalQnt" xmlDataType="int"/>
    </tableColumn>
    <tableColumn id="26" uniqueName="ns2:PhysicalQntIn40HC" name="ns2:PhysicalQntIn40HC" dataDxfId="11">
      <xmlColumnPr mapId="3" xpath="/ns2:ReportDataObject/ns2:ReportMng_StockList_View/ns2:PhysicalQntIn40HC" xmlDataType="decimal"/>
    </tableColumn>
    <tableColumn id="8" uniqueName="ns2:WarehouseAreaUD" name="Column4" dataDxfId="10">
      <xmlColumnPr mapId="3" xpath="/ns2:ReportDataObject/ns2:ReportMng_StockList_View/ns2:WarehouseAreaUD" xmlDataType="string"/>
    </tableColumn>
    <tableColumn id="7" uniqueName="ns2:QntPerWarehouseArea" name="Column1" dataDxfId="9">
      <xmlColumnPr mapId="3" xpath="/ns2:ReportDataObject/ns2:ReportMng_StockList_View/ns2:QntPerWarehouseArea" xmlDataType="string"/>
    </tableColumn>
    <tableColumn id="27" uniqueName="ns2:OnSeaQnt" name="ns2:OnSeaQnt" dataDxfId="8">
      <xmlColumnPr mapId="3" xpath="/ns2:ReportDataObject/ns2:ReportMng_StockList_View/ns2:OnSeaQnt" xmlDataType="int"/>
    </tableColumn>
    <tableColumn id="28" uniqueName="ns2:TobeShippedQnt" name="ns2:TobeShippedQnt" dataDxfId="7">
      <xmlColumnPr mapId="3" xpath="/ns2:ReportDataObject/ns2:ReportMng_StockList_View/ns2:TobeShippedQnt" xmlDataType="int"/>
    </tableColumn>
    <tableColumn id="29" uniqueName="ns2:ReservationQnt" name="ns2:ReservationQnt" dataDxfId="6">
      <xmlColumnPr mapId="3" xpath="/ns2:ReportDataObject/ns2:ReportMng_StockList_View/ns2:ReservationQnt" xmlDataType="int"/>
    </tableColumn>
    <tableColumn id="1" uniqueName="ns2:FTSQnt" name="ns2:FTSQnt" dataDxfId="5">
      <xmlColumnPr mapId="3" xpath="/ns2:ReportDataObject/ns2:ReportMng_StockList_View/ns2:FTSQnt" xmlDataType="int"/>
    </tableColumn>
    <tableColumn id="6" uniqueName="6" name="Column2" dataDxfId="4">
      <calculatedColumnFormula>ROUND(IFERROR(Table3[ns2:FTSQnt]/Table3[ns2:Qnt40HC],0),2)</calculatedColumnFormula>
    </tableColumn>
    <tableColumn id="4" uniqueName="4" name="Column3" dataDxfId="3">
      <calculatedColumnFormula>IF(Table3[[#This Row],[ns2:IsActiveFreeToSale]]=TRUE,"YES","NO")</calculatedColumnFormula>
    </tableColumn>
    <tableColumn id="30" uniqueName="ns2:IsActiveFreeToSale" name="ns2:IsActiveFreeToSale" dataDxfId="2">
      <xmlColumnPr mapId="3" xpath="/ns2:ReportDataObject/ns2:ReportMng_StockList_View/ns2:IsActiveFreeToSale" xmlDataType="boolean"/>
    </tableColumn>
    <tableColumn id="10" uniqueName="ns2:EANCode" name="Column6" dataDxfId="1">
      <xmlColumnPr mapId="3" xpath="/ns2:ReportDataObject/ns2:ReportMng_StockList_View/ns2:EANCode" xmlDataType="string"/>
    </tableColumn>
    <tableColumn id="32" uniqueName="ns2:FreeToSaleCategoryNM" name="ns2:FreeToSaleCategoryNM" dataDxfId="0">
      <xmlColumnPr mapId="3" xpath="/ns2:ReportDataObject/ns2:ReportMng_StockList_View/ns2:FreeToSaleCategoryNM" xmlDataType="string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A1" connectionId="0">
    <xmlCellPr id="1" uniqueName="ns2:IsIncludeImage">
      <xmlPr mapId="3" xpath="/ns2:ReportDataObject/ns2:ParamTable/ns2:IsIncludeImage" xmlDataType="boolean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"/>
  <sheetViews>
    <sheetView showZeros="0" tabSelected="1" view="pageBreakPreview" zoomScaleNormal="100" zoomScaleSheetLayoutView="100" workbookViewId="0">
      <pane xSplit="7" ySplit="5" topLeftCell="L6" activePane="bottomRight" state="frozen"/>
      <selection pane="topRight" activeCell="H1" sqref="H1"/>
      <selection pane="bottomLeft" activeCell="A6" sqref="A6"/>
      <selection pane="bottomRight" activeCell="Q6" sqref="Q6"/>
    </sheetView>
  </sheetViews>
  <sheetFormatPr defaultRowHeight="15"/>
  <cols>
    <col min="1" max="1" width="11.5703125" customWidth="1"/>
    <col min="2" max="2" width="13.7109375" customWidth="1"/>
    <col min="3" max="3" width="14.5703125" customWidth="1"/>
    <col min="4" max="4" width="44.42578125" customWidth="1"/>
    <col min="5" max="5" width="9.140625" customWidth="1"/>
    <col min="6" max="7" width="10.5703125" customWidth="1"/>
    <col min="8" max="8" width="12.28515625" customWidth="1"/>
    <col min="9" max="9" width="7.5703125" customWidth="1"/>
    <col min="10" max="14" width="10.5703125" customWidth="1"/>
    <col min="15" max="15" width="9.140625" customWidth="1"/>
    <col min="16" max="16" width="15.85546875" hidden="1" customWidth="1"/>
    <col min="17" max="17" width="15.42578125" customWidth="1"/>
    <col min="18" max="18" width="21.85546875" customWidth="1"/>
    <col min="19" max="19" width="0.7109375" customWidth="1"/>
  </cols>
  <sheetData>
    <row r="1" spans="1:19" ht="33.75" customHeight="1">
      <c r="A1" s="3" t="s">
        <v>19</v>
      </c>
      <c r="B1" s="3"/>
    </row>
    <row r="2" spans="1:19" ht="45.75" customHeight="1">
      <c r="A2" s="2" t="s">
        <v>11</v>
      </c>
      <c r="B2" s="2"/>
      <c r="C2" s="2" t="s">
        <v>12</v>
      </c>
      <c r="D2" s="2" t="s">
        <v>13</v>
      </c>
      <c r="E2" s="2" t="s">
        <v>14</v>
      </c>
      <c r="F2" s="2" t="s">
        <v>20</v>
      </c>
      <c r="G2" s="2" t="s">
        <v>21</v>
      </c>
      <c r="H2" s="2" t="s">
        <v>32</v>
      </c>
      <c r="I2" s="2" t="s">
        <v>33</v>
      </c>
      <c r="J2" s="2" t="s">
        <v>15</v>
      </c>
      <c r="K2" s="2" t="s">
        <v>16</v>
      </c>
      <c r="L2" s="2" t="s">
        <v>17</v>
      </c>
      <c r="M2" s="2" t="s">
        <v>22</v>
      </c>
      <c r="N2" s="2" t="s">
        <v>24</v>
      </c>
      <c r="O2" s="2" t="s">
        <v>29</v>
      </c>
      <c r="P2" s="2"/>
      <c r="Q2" s="2" t="s">
        <v>36</v>
      </c>
      <c r="R2" s="2" t="s">
        <v>18</v>
      </c>
      <c r="S2" s="1"/>
    </row>
    <row r="3" spans="1:19" ht="14.25" customHeight="1">
      <c r="A3" s="14" t="s">
        <v>26</v>
      </c>
      <c r="B3" s="14"/>
      <c r="C3" s="14"/>
      <c r="D3" s="14"/>
      <c r="E3" s="4"/>
      <c r="F3" s="5">
        <f>SUM(Table3[ns2:PhysicalQnt])</f>
        <v>0</v>
      </c>
      <c r="G3" s="6">
        <f>SUM(Table3[ns2:PhysicalQntIn40HC])</f>
        <v>0</v>
      </c>
      <c r="H3" s="6"/>
      <c r="I3" s="6"/>
      <c r="J3" s="5">
        <f>SUM(Table3[ns2:OnSeaQnt])</f>
        <v>0</v>
      </c>
      <c r="K3" s="5">
        <f>SUM(Table3[ns2:TobeShippedQnt])</f>
        <v>0</v>
      </c>
      <c r="L3" s="5">
        <f>SUM(Table3[ns2:ReservationQnt])</f>
        <v>0</v>
      </c>
      <c r="M3" s="5">
        <f>SUM(Table3[ns2:FTSQnt])</f>
        <v>0</v>
      </c>
      <c r="N3" s="6">
        <f>SUM(Table3[Column2])</f>
        <v>0</v>
      </c>
      <c r="O3" s="6"/>
      <c r="P3" s="7"/>
      <c r="Q3" s="7"/>
      <c r="R3" s="7"/>
      <c r="S3" s="1"/>
    </row>
    <row r="4" spans="1:19" ht="14.25" customHeight="1">
      <c r="A4" s="14" t="s">
        <v>27</v>
      </c>
      <c r="B4" s="14"/>
      <c r="C4" s="14"/>
      <c r="D4" s="14"/>
      <c r="E4" s="4"/>
      <c r="F4" s="5">
        <f>SUBTOTAL(9,Table3[ns2:PhysicalQnt])</f>
        <v>0</v>
      </c>
      <c r="G4" s="6">
        <f>SUBTOTAL(9,Table3[ns2:PhysicalQntIn40HC])</f>
        <v>0</v>
      </c>
      <c r="H4" s="6"/>
      <c r="I4" s="6"/>
      <c r="J4" s="5">
        <f>SUBTOTAL(9,Table3[ns2:OnSeaQnt])</f>
        <v>0</v>
      </c>
      <c r="K4" s="5">
        <f>SUBTOTAL(9,Table3[ns2:TobeShippedQnt])</f>
        <v>0</v>
      </c>
      <c r="L4" s="5">
        <f>SUBTOTAL(9,Table3[ns2:ReservationQnt])</f>
        <v>0</v>
      </c>
      <c r="M4" s="5">
        <f>SUBTOTAL(9,Table3[ns2:FTSQnt])</f>
        <v>0</v>
      </c>
      <c r="N4" s="6">
        <f>SUBTOTAL(9,Table3[Column2])</f>
        <v>0</v>
      </c>
      <c r="O4" s="6"/>
      <c r="P4" s="7"/>
      <c r="Q4" s="7"/>
      <c r="R4" s="7"/>
      <c r="S4" s="1"/>
    </row>
    <row r="5" spans="1:19">
      <c r="A5" s="8" t="s">
        <v>2</v>
      </c>
      <c r="B5" s="8" t="s">
        <v>34</v>
      </c>
      <c r="C5" s="8" t="s">
        <v>0</v>
      </c>
      <c r="D5" s="8" t="s">
        <v>1</v>
      </c>
      <c r="E5" s="8" t="s">
        <v>3</v>
      </c>
      <c r="F5" s="8" t="s">
        <v>4</v>
      </c>
      <c r="G5" s="8" t="s">
        <v>5</v>
      </c>
      <c r="H5" s="8" t="s">
        <v>31</v>
      </c>
      <c r="I5" s="8" t="s">
        <v>30</v>
      </c>
      <c r="J5" s="8" t="s">
        <v>6</v>
      </c>
      <c r="K5" s="8" t="s">
        <v>7</v>
      </c>
      <c r="L5" s="8" t="s">
        <v>8</v>
      </c>
      <c r="M5" s="8" t="s">
        <v>25</v>
      </c>
      <c r="N5" s="8" t="s">
        <v>23</v>
      </c>
      <c r="O5" s="8" t="s">
        <v>28</v>
      </c>
      <c r="P5" s="8" t="s">
        <v>9</v>
      </c>
      <c r="Q5" s="8" t="s">
        <v>35</v>
      </c>
      <c r="R5" s="8" t="s">
        <v>10</v>
      </c>
    </row>
    <row r="6" spans="1:19">
      <c r="A6" s="9"/>
      <c r="B6" s="9"/>
      <c r="C6" s="12"/>
      <c r="D6" s="12"/>
      <c r="E6" s="10"/>
      <c r="F6" s="10"/>
      <c r="G6" s="10"/>
      <c r="H6" s="13"/>
      <c r="I6" s="13"/>
      <c r="J6" s="10"/>
      <c r="K6" s="10"/>
      <c r="L6" s="10"/>
      <c r="M6" s="10"/>
      <c r="N6" s="11">
        <f>ROUND(IFERROR(Table3[ns2:FTSQnt]/Table3[ns2:Qnt40HC],0),2)</f>
        <v>0</v>
      </c>
      <c r="O6" s="11" t="str">
        <f>IF(Table3[[#This Row],[ns2:IsActiveFreeToSale]]=TRUE,"YES","NO")</f>
        <v>NO</v>
      </c>
      <c r="P6" s="10"/>
      <c r="Q6" s="15"/>
      <c r="R6" s="12"/>
    </row>
  </sheetData>
  <pageMargins left="0.7" right="0.7" top="0.75" bottom="0.75" header="0.3" footer="0.3"/>
  <pageSetup paperSize="9" scale="3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9" sqref="E9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StockListOverview</vt:lpstr>
      <vt:lpstr>ParamTable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Laurens van Well</dc:creator>
  <cp:lastModifiedBy>van quang ho</cp:lastModifiedBy>
  <cp:lastPrinted>2013-04-05T09:06:26Z</cp:lastPrinted>
  <dcterms:created xsi:type="dcterms:W3CDTF">2012-02-10T05:04:20Z</dcterms:created>
  <dcterms:modified xsi:type="dcterms:W3CDTF">2017-07-07T07:32:41Z</dcterms:modified>
</cp:coreProperties>
</file>