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SingleCells1.xml" ContentType="application/vnd.openxmlformats-officedocument.spreadsheetml.tableSingleCell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DOWNPAYMENT" sheetId="1" r:id="rId1"/>
    <sheet name="BALANCE" sheetId="2" r:id="rId2"/>
  </sheets>
  <calcPr calcId="152511"/>
</workbook>
</file>

<file path=xl/calcChain.xml><?xml version="1.0" encoding="utf-8"?>
<calcChain xmlns="http://schemas.openxmlformats.org/spreadsheetml/2006/main">
  <c r="N2" i="2" l="1"/>
  <c r="M2" i="2"/>
  <c r="O3" i="2" l="1"/>
  <c r="O2" i="2"/>
  <c r="S7" i="2"/>
  <c r="S6" i="2"/>
  <c r="R7" i="2"/>
  <c r="R6" i="2"/>
  <c r="N3" i="2" l="1"/>
  <c r="M3" i="2"/>
  <c r="N7" i="2" l="1"/>
  <c r="N6" i="2"/>
  <c r="M7" i="2"/>
  <c r="M6" i="2"/>
  <c r="M1" i="1" l="1"/>
  <c r="L1" i="1"/>
  <c r="L7" i="2" l="1"/>
  <c r="L6" i="2"/>
  <c r="K7" i="2"/>
  <c r="K6" i="2"/>
  <c r="J7" i="2"/>
  <c r="J6" i="2"/>
  <c r="I7" i="2"/>
  <c r="I6" i="2"/>
  <c r="H7" i="2"/>
  <c r="H6" i="2"/>
  <c r="G7" i="2"/>
  <c r="G6" i="2"/>
  <c r="M5" i="1"/>
  <c r="M4" i="1"/>
  <c r="L5" i="1"/>
  <c r="L4" i="1"/>
  <c r="K5" i="1"/>
  <c r="K4" i="1"/>
  <c r="J5" i="1"/>
  <c r="J4" i="1"/>
  <c r="I5" i="1"/>
  <c r="I4" i="1"/>
  <c r="H5" i="1"/>
  <c r="H4" i="1"/>
  <c r="G5" i="1"/>
  <c r="G4" i="1"/>
  <c r="F5" i="1"/>
  <c r="F4" i="1"/>
</calcChain>
</file>

<file path=xl/sharedStrings.xml><?xml version="1.0" encoding="utf-8"?>
<sst xmlns="http://schemas.openxmlformats.org/spreadsheetml/2006/main" count="88" uniqueCount="58">
  <si>
    <t>CLIENT
 NAME</t>
  </si>
  <si>
    <t>CLIENT 
CODE</t>
  </si>
  <si>
    <t>PI DATE</t>
  </si>
  <si>
    <t>PROFORMA
INVOICE</t>
  </si>
  <si>
    <t>PAYMENT 
CONDITIONS</t>
  </si>
  <si>
    <t xml:space="preserve">TOTAL SALES 
</t>
  </si>
  <si>
    <t>DP AS PAYMENT CONDITION</t>
  </si>
  <si>
    <t>DP RECEIVED</t>
  </si>
  <si>
    <t>DP DEDUCT</t>
  </si>
  <si>
    <t>Date Payment Received</t>
  </si>
  <si>
    <t>%</t>
  </si>
  <si>
    <t>in USD</t>
  </si>
  <si>
    <t>in Euro</t>
  </si>
  <si>
    <t>BL . No.</t>
  </si>
  <si>
    <t>Invoice No.</t>
  </si>
  <si>
    <t>Amount</t>
  </si>
  <si>
    <t>DEDUCTED FROM DP</t>
  </si>
  <si>
    <t>ns1:ClientNM</t>
  </si>
  <si>
    <t>ns1:ClientUD</t>
  </si>
  <si>
    <t>ns1:InvoiceDate</t>
  </si>
  <si>
    <t>ns1:ProformaInvoiceNo</t>
  </si>
  <si>
    <t>ns1:PaymentTermNM</t>
  </si>
  <si>
    <t>ns1:TotalSaleUSD</t>
  </si>
  <si>
    <t>ns1:TotalSaleEUR</t>
  </si>
  <si>
    <t>ns1:DPAmountUSD</t>
  </si>
  <si>
    <t>ns1:DPAmountEUR</t>
  </si>
  <si>
    <t>ns1:DPReceiveUSD</t>
  </si>
  <si>
    <t>ns1:DPReceiveEUR</t>
  </si>
  <si>
    <t>ns1:DeductedAmountUSD</t>
  </si>
  <si>
    <t>ns1:DeductedAmountEUR</t>
  </si>
  <si>
    <t>ns1:PaidDate</t>
  </si>
  <si>
    <t>ns1:DPPercent</t>
  </si>
  <si>
    <t>TOTAL</t>
  </si>
  <si>
    <t>SUB-TOTAL</t>
  </si>
  <si>
    <t>ns1:BLNo</t>
  </si>
  <si>
    <t>ns1:ContainerNo</t>
  </si>
  <si>
    <t>ns1:InvoiceNo</t>
  </si>
  <si>
    <t>Invoice Date</t>
  </si>
  <si>
    <t>ns1:InvoiceAmountUSD</t>
  </si>
  <si>
    <t>ns1:InvoiceAmountEUR</t>
  </si>
  <si>
    <t>ns1:PaidAmountUSD</t>
  </si>
  <si>
    <t>ns1:PaidAmountEUR</t>
  </si>
  <si>
    <t>CONTAINER No</t>
  </si>
  <si>
    <t>ns1:ClientPaymentUD</t>
  </si>
  <si>
    <t>ns1:ClientPaymentBallanceUD</t>
  </si>
  <si>
    <t>Payment Ref No</t>
  </si>
  <si>
    <t>Balance Ref No</t>
  </si>
  <si>
    <t>ns1:USDBallanceAmount</t>
  </si>
  <si>
    <t>ns1:EURBallanceAmount</t>
  </si>
  <si>
    <t>Paid Amount</t>
  </si>
  <si>
    <t>Total Outstanding Balance</t>
  </si>
  <si>
    <t>Balance DP</t>
  </si>
  <si>
    <t>Ex.Rate</t>
  </si>
  <si>
    <t>ns1:USDInvoiceBallanceAmount</t>
  </si>
  <si>
    <t>ns1:EURInvoiceBallanceAmount</t>
  </si>
  <si>
    <t>Outstanding Balance Invoices</t>
  </si>
  <si>
    <t>Rest payment</t>
  </si>
  <si>
    <t>Total in 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</si>
</sst>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[$$-409]* #,##0.00_ ;_-[$$-409]* \-#,##0.00\ ;_-[$$-409]* &quot;-&quot;??_ ;_-@_ "/>
    <numFmt numFmtId="165" formatCode="_-[$€-2]\ * #,##0.00_-;\-[$€-2]\ * #,##0.00_-;_-[$€-2]\ * &quot;-&quot;??_-;_-@_-"/>
    <numFmt numFmtId="166" formatCode="[$-1010000]d/m/yyyy;@"/>
    <numFmt numFmtId="167" formatCode="_ [$€-2]\ * #,##0.00_ ;_ [$€-2]\ * \-#,##0.00_ ;_ [$€-2]\ * &quot;-&quot;??_ ;_ @_ 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Verdan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2" borderId="1" xfId="0" applyFill="1" applyBorder="1"/>
    <xf numFmtId="0" fontId="4" fillId="0" borderId="5" xfId="0" applyFont="1" applyBorder="1"/>
    <xf numFmtId="0" fontId="4" fillId="0" borderId="6" xfId="0" applyFont="1" applyBorder="1"/>
    <xf numFmtId="0" fontId="4" fillId="0" borderId="0" xfId="0" applyFont="1"/>
    <xf numFmtId="164" fontId="0" fillId="0" borderId="4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164" fontId="1" fillId="2" borderId="6" xfId="0" applyNumberFormat="1" applyFont="1" applyFill="1" applyBorder="1" applyAlignment="1">
      <alignment horizontal="center" vertical="center" wrapText="1"/>
    </xf>
    <xf numFmtId="164" fontId="1" fillId="2" borderId="6" xfId="0" applyNumberFormat="1" applyFont="1" applyFill="1" applyBorder="1" applyAlignment="1">
      <alignment horizontal="center" vertical="center"/>
    </xf>
    <xf numFmtId="164" fontId="1" fillId="3" borderId="6" xfId="0" applyNumberFormat="1" applyFont="1" applyFill="1" applyBorder="1" applyAlignment="1">
      <alignment horizontal="center" vertical="center" wrapText="1"/>
    </xf>
    <xf numFmtId="14" fontId="1" fillId="3" borderId="6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right" vertical="center" wrapText="1"/>
    </xf>
    <xf numFmtId="0" fontId="1" fillId="2" borderId="6" xfId="0" applyFont="1" applyFill="1" applyBorder="1" applyAlignment="1">
      <alignment horizontal="right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165" fontId="1" fillId="2" borderId="6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/>
    </xf>
    <xf numFmtId="165" fontId="1" fillId="2" borderId="6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 wrapText="1"/>
    </xf>
    <xf numFmtId="165" fontId="1" fillId="3" borderId="6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4" fillId="0" borderId="1" xfId="0" applyFont="1" applyBorder="1"/>
    <xf numFmtId="0" fontId="2" fillId="2" borderId="1" xfId="0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right" vertical="center" wrapText="1"/>
    </xf>
    <xf numFmtId="0" fontId="4" fillId="0" borderId="6" xfId="0" applyFont="1" applyBorder="1" applyAlignment="1">
      <alignment horizontal="right"/>
    </xf>
    <xf numFmtId="0" fontId="4" fillId="0" borderId="1" xfId="0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165" fontId="1" fillId="2" borderId="1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/>
    </xf>
    <xf numFmtId="165" fontId="2" fillId="2" borderId="1" xfId="0" applyNumberFormat="1" applyFont="1" applyFill="1" applyBorder="1" applyAlignment="1">
      <alignment horizontal="right" wrapText="1"/>
    </xf>
    <xf numFmtId="164" fontId="2" fillId="2" borderId="1" xfId="0" applyNumberFormat="1" applyFont="1" applyFill="1" applyBorder="1" applyAlignment="1">
      <alignment horizontal="right"/>
    </xf>
    <xf numFmtId="49" fontId="0" fillId="0" borderId="7" xfId="0" applyNumberFormat="1" applyBorder="1" applyAlignment="1">
      <alignment horizontal="left"/>
    </xf>
    <xf numFmtId="49" fontId="0" fillId="0" borderId="4" xfId="0" applyNumberFormat="1" applyBorder="1" applyAlignment="1">
      <alignment horizontal="center"/>
    </xf>
    <xf numFmtId="49" fontId="0" fillId="0" borderId="4" xfId="0" applyNumberFormat="1" applyBorder="1" applyAlignment="1">
      <alignment horizontal="left"/>
    </xf>
    <xf numFmtId="166" fontId="0" fillId="0" borderId="4" xfId="0" applyNumberFormat="1" applyBorder="1" applyAlignment="1">
      <alignment horizontal="center"/>
    </xf>
    <xf numFmtId="9" fontId="0" fillId="0" borderId="1" xfId="1" applyFont="1" applyBorder="1" applyAlignment="1">
      <alignment horizontal="right"/>
    </xf>
    <xf numFmtId="0" fontId="5" fillId="0" borderId="1" xfId="0" applyFont="1" applyBorder="1"/>
    <xf numFmtId="0" fontId="0" fillId="4" borderId="1" xfId="0" applyFill="1" applyBorder="1"/>
    <xf numFmtId="0" fontId="2" fillId="4" borderId="1" xfId="0" applyFont="1" applyFill="1" applyBorder="1"/>
    <xf numFmtId="164" fontId="2" fillId="4" borderId="1" xfId="0" applyNumberFormat="1" applyFont="1" applyFill="1" applyBorder="1"/>
    <xf numFmtId="167" fontId="2" fillId="4" borderId="1" xfId="0" applyNumberFormat="1" applyFont="1" applyFill="1" applyBorder="1"/>
    <xf numFmtId="0" fontId="2" fillId="4" borderId="1" xfId="0" applyFont="1" applyFill="1" applyBorder="1" applyAlignment="1">
      <alignment horizontal="center"/>
    </xf>
    <xf numFmtId="165" fontId="0" fillId="0" borderId="8" xfId="0" applyNumberFormat="1" applyBorder="1" applyAlignment="1">
      <alignment horizontal="right"/>
    </xf>
    <xf numFmtId="0" fontId="5" fillId="0" borderId="6" xfId="0" applyFont="1" applyBorder="1" applyAlignment="1">
      <alignment horizontal="right"/>
    </xf>
    <xf numFmtId="164" fontId="2" fillId="2" borderId="1" xfId="0" applyNumberFormat="1" applyFont="1" applyFill="1" applyBorder="1" applyAlignment="1">
      <alignment horizontal="right" wrapText="1"/>
    </xf>
    <xf numFmtId="164" fontId="0" fillId="0" borderId="8" xfId="0" applyNumberFormat="1" applyBorder="1" applyAlignment="1">
      <alignment horizontal="right"/>
    </xf>
    <xf numFmtId="164" fontId="2" fillId="4" borderId="1" xfId="0" applyNumberFormat="1" applyFont="1" applyFill="1" applyBorder="1" applyAlignment="1">
      <alignment horizontal="right"/>
    </xf>
    <xf numFmtId="165" fontId="2" fillId="4" borderId="1" xfId="0" applyNumberFormat="1" applyFont="1" applyFill="1" applyBorder="1" applyAlignment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6" fillId="4" borderId="1" xfId="0" applyFont="1" applyFill="1" applyBorder="1"/>
    <xf numFmtId="165" fontId="6" fillId="4" borderId="1" xfId="0" applyNumberFormat="1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center" vertical="center" wrapText="1"/>
    </xf>
    <xf numFmtId="164" fontId="1" fillId="2" borderId="3" xfId="0" applyNumberFormat="1" applyFont="1" applyFill="1" applyBorder="1" applyAlignment="1">
      <alignment horizontal="center" vertical="center" wrapText="1"/>
    </xf>
    <xf numFmtId="164" fontId="1" fillId="3" borderId="2" xfId="0" applyNumberFormat="1" applyFont="1" applyFill="1" applyBorder="1" applyAlignment="1">
      <alignment horizontal="center" vertical="center" wrapText="1"/>
    </xf>
    <xf numFmtId="164" fontId="1" fillId="3" borderId="3" xfId="0" applyNumberFormat="1" applyFont="1" applyFill="1" applyBorder="1" applyAlignment="1">
      <alignment horizontal="center" vertical="center" wrapText="1"/>
    </xf>
    <xf numFmtId="164" fontId="1" fillId="3" borderId="2" xfId="0" applyNumberFormat="1" applyFont="1" applyFill="1" applyBorder="1" applyAlignment="1">
      <alignment horizontal="center" vertical="center"/>
    </xf>
    <xf numFmtId="164" fontId="1" fillId="3" borderId="3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42">
    <dxf>
      <numFmt numFmtId="165" formatCode="_-[$€-2]\ * #,##0.00_-;\-[$€-2]\ * #,##0.00_-;_-[$€-2]\ * &quot;-&quot;??_-;_-@_-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[$-1010000]d/m/yy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€-2]\ * #,##0.00_-;\-[$€-2]\ * #,##0.00_-;_-[$€-2]\ * &quot;-&quot;??_-;_-@_-"/>
      <alignment horizontal="righ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righ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€-2]\ * #,##0.00_-;\-[$€-2]\ * #,##0.00_-;_-[$€-2]\ * &quot;-&quot;??_-;_-@_-"/>
      <alignment horizontal="righ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righ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€-2]\ * #,##0.00_-;\-[$€-2]\ * #,##0.00_-;_-[$€-2]\ * &quot;-&quot;??_-;_-@_-"/>
      <alignment horizontal="righ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righ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€-2]\ * #,##0.00_-;\-[$€-2]\ * #,##0.00_-;_-[$€-2]\ * &quot;-&quot;??_-;_-@_-"/>
      <alignment horizontal="righ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righ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$-1010000]d/m/yy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[$-1010000]d/m/yy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€-2]\ * #,##0.00_-;\-[$€-2]\ * #,##0.00_-;_-[$€-2]\ * &quot;-&quot;??_-;_-@_-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€-2]\ * #,##0.00_-;\-[$€-2]\ * #,##0.00_-;_-[$€-2]\ * &quot;-&quot;??_-;_-@_-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€-2]\ * #,##0.00_-;\-[$€-2]\ * #,##0.00_-;_-[$€-2]\ * &quot;-&quot;??_-;_-@_-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€-2]\ * #,##0.00_-;\-[$€-2]\ * #,##0.00_-;_-[$€-2]\ * &quot;-&quot;??_-;_-@_-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$-1010000]d/m/yy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ClientPaymentOverviewRpt_Invoice_View" minOccurs="0" maxOccurs="unbounded">
              <xs:complexType>
                <xs:sequence>
                  <xs:element name="ECommercialInvoiceID" type="xs:int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ClientID" type="xs:int" minOccurs="0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LNo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inerNo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InvoiceDate" type="xs:dateTime" minOccurs="0"/>
                  <xs:element name="InvoiceAmountUSD" msdata:ReadOnly="true" type="xs:decimal" minOccurs="0"/>
                  <xs:element name="InvoiceAmountEUR" msdata:ReadOnly="true" type="xs:decimal" minOccurs="0"/>
                  <xs:element name="PaidAmountUSD" msdata:ReadOnly="true" type="xs:decimal" minOccurs="0"/>
                  <xs:element name="PaidAmountEUR" msdata:ReadOnly="true" type="xs:decimal" minOccurs="0"/>
                  <xs:element name="DeductedAmountUSD" msdata:ReadOnly="true" type="xs:decimal" minOccurs="0"/>
                  <xs:element name="DeductedAmountEUR" msdata:ReadOnly="true" type="xs:decimal" minOccurs="0"/>
                  <xs:element name="USDInvoiceBallanceAmount" type="xs:decimal" minOccurs="0"/>
                  <xs:element name="EURInvoiceBallanceAmount" type="xs:decimal" minOccurs="0"/>
                  <xs:element name="USDBallanceAmount" type="xs:decimal" minOccurs="0"/>
                  <xs:element name="EURBallanceAmount" type="xs:decimal" minOccurs="0"/>
                  <xs:element name="PaidDate" type="xs:dateTime" minOccurs="0"/>
                  <xs:element name="ClientPayment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PaymentBallance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</xs:sequence>
              </xs:complexType>
            </xs:element>
            <xs:element name="ClientPaymentOverviewRpt_DownPayment_View" minOccurs="0" maxOccurs="unbounded">
              <xs:complexType>
                <xs:sequence>
                  <xs:element name="SaleOrderID" type="xs:int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InvoiceDate" type="xs:dateTime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TotalSaleUSD" msdata:ReadOnly="true" type="xs:decimal" minOccurs="0"/>
                  <xs:element name="TotalSaleEUR" msdata:ReadOnly="true" type="xs:decimal" minOccurs="0"/>
                  <xs:element name="DPAmountUSD" msdata:ReadOnly="true" type="xs:decimal" minOccurs="0"/>
                  <xs:element name="DPAmountEUR" msdata:ReadOnly="true" type="xs:decimal" minOccurs="0"/>
                  <xs:element name="DPReceiveUSD" msdata:ReadOnly="true" type="xs:decimal" minOccurs="0"/>
                  <xs:element name="DPReceiveEUR" msdata:ReadOnly="true" type="xs:decimal" minOccurs="0"/>
                  <xs:element name="DeductedAmountUSD" msdata:ReadOnly="true" type="xs:decimal" minOccurs="0"/>
                  <xs:element name="DeductedAmountEUR" msdata:ReadOnly="true" type="xs:decimal" minOccurs="0"/>
                  <xs:element name="PaidDate" msdata:ReadOnly="true" type="xs:dateTime" minOccurs="0"/>
                  <xs:element name="DPPercent" msdata:ReadOnly="true" type="xs:decimal" minOccurs="0"/>
                  <xs:element name="ClientID" type="xs:int" minOccurs="0"/>
                </xs:sequence>
              </xs:complexType>
            </xs:element>
            <xs:element name="ReportHeader">
              <xs:complexType>
                <xs:sequence>
                  <xs:element name="ClientNM" type="xs:string" minOccurs="0"/>
                  <xs:element name="Season" type="xs:string" minOccurs="0"/>
                  <xs:element name="ExRate" type="xs:decimal" minOccurs="0"/>
                </xs:sequence>
              </xs:complexType>
            </xs:element>
          </xs:sequence>
        </xs:complexType>
        <xs:unique name="Constraint1" msdata:PrimaryKey="true">
          <xs:selector xpath=".//mstns:ClientPaymentOverviewRpt_Invoice_View"/>
          <xs:field xpath="mstns:ECommercialInvoiceID"/>
        </xs:unique>
        <xs:unique name="ClientPaymentOverviewRpt_DownPayment_View_Constraint1" msdata:ConstraintName="Constraint1" msdata:PrimaryKey="true">
          <xs:selector xpath=".//mstns:ClientPaymentOverviewRpt_DownPayment_View"/>
          <xs:field xpath="mstns:SaleOrderID"/>
        </xs:unique>
      </xs:element>
    </xs:schema>
  </Schema>
  <Map ID="1" Name="ReportDataObject_Map" RootElement="ReportDataObject" SchemaID="Schema1" ShowImportExportValidationErrors="false" AutoFit="false" Append="false" PreserveSortAFLayout="tru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6:O7" tableType="xml" insertRow="1" totalsRowShown="0" headerRowDxfId="41" headerRowBorderDxfId="40" tableBorderDxfId="39" totalsRowBorderDxfId="38">
  <autoFilter ref="A6:O7"/>
  <tableColumns count="15">
    <tableColumn id="1" uniqueName="ns1:ClientNM" name="ns1:ClientNM" dataDxfId="37">
      <xmlColumnPr mapId="1" xpath="/ns1:ReportDataObject/ns1:ClientPaymentOverviewRpt_DownPayment_View/ns1:ClientNM" xmlDataType="string"/>
    </tableColumn>
    <tableColumn id="2" uniqueName="ns1:ClientUD" name="ns1:ClientUD" dataDxfId="36">
      <xmlColumnPr mapId="1" xpath="/ns1:ReportDataObject/ns1:ClientPaymentOverviewRpt_DownPayment_View/ns1:ClientUD" xmlDataType="string"/>
    </tableColumn>
    <tableColumn id="3" uniqueName="ns1:InvoiceDate" name="ns1:InvoiceDate" dataDxfId="35">
      <xmlColumnPr mapId="1" xpath="/ns1:ReportDataObject/ns1:ClientPaymentOverviewRpt_DownPayment_View/ns1:InvoiceDate" xmlDataType="dateTime"/>
    </tableColumn>
    <tableColumn id="4" uniqueName="ns1:ProformaInvoiceNo" name="ns1:ProformaInvoiceNo" dataDxfId="34">
      <xmlColumnPr mapId="1" xpath="/ns1:ReportDataObject/ns1:ClientPaymentOverviewRpt_DownPayment_View/ns1:ProformaInvoiceNo" xmlDataType="string"/>
    </tableColumn>
    <tableColumn id="5" uniqueName="ns1:PaymentTermNM" name="ns1:PaymentTermNM" dataDxfId="33">
      <xmlColumnPr mapId="1" xpath="/ns1:ReportDataObject/ns1:ClientPaymentOverviewRpt_DownPayment_View/ns1:PaymentTermNM" xmlDataType="string"/>
    </tableColumn>
    <tableColumn id="6" uniqueName="ns1:TotalSaleUSD" name="ns1:TotalSaleUSD" dataDxfId="32">
      <xmlColumnPr mapId="1" xpath="/ns1:ReportDataObject/ns1:ClientPaymentOverviewRpt_DownPayment_View/ns1:TotalSaleUSD" xmlDataType="decimal"/>
    </tableColumn>
    <tableColumn id="7" uniqueName="ns1:TotalSaleEUR" name="ns1:TotalSaleEUR" dataDxfId="31">
      <xmlColumnPr mapId="1" xpath="/ns1:ReportDataObject/ns1:ClientPaymentOverviewRpt_DownPayment_View/ns1:TotalSaleEUR" xmlDataType="decimal"/>
    </tableColumn>
    <tableColumn id="8" uniqueName="ns1:DPAmountUSD" name="ns1:DPAmountUSD" dataDxfId="30">
      <xmlColumnPr mapId="1" xpath="/ns1:ReportDataObject/ns1:ClientPaymentOverviewRpt_DownPayment_View/ns1:DPAmountUSD" xmlDataType="decimal"/>
    </tableColumn>
    <tableColumn id="9" uniqueName="ns1:DPAmountEUR" name="ns1:DPAmountEUR" dataDxfId="29">
      <xmlColumnPr mapId="1" xpath="/ns1:ReportDataObject/ns1:ClientPaymentOverviewRpt_DownPayment_View/ns1:DPAmountEUR" xmlDataType="decimal"/>
    </tableColumn>
    <tableColumn id="10" uniqueName="ns1:DPReceiveUSD" name="ns1:DPReceiveUSD" dataDxfId="28">
      <xmlColumnPr mapId="1" xpath="/ns1:ReportDataObject/ns1:ClientPaymentOverviewRpt_DownPayment_View/ns1:DPReceiveUSD" xmlDataType="decimal"/>
    </tableColumn>
    <tableColumn id="11" uniqueName="ns1:DPReceiveEUR" name="ns1:DPReceiveEUR" dataDxfId="27">
      <xmlColumnPr mapId="1" xpath="/ns1:ReportDataObject/ns1:ClientPaymentOverviewRpt_DownPayment_View/ns1:DPReceiveEUR" xmlDataType="decimal"/>
    </tableColumn>
    <tableColumn id="12" uniqueName="ns1:DeductedAmountUSD" name="ns1:DeductedAmountUSD" dataDxfId="26">
      <xmlColumnPr mapId="1" xpath="/ns1:ReportDataObject/ns1:ClientPaymentOverviewRpt_DownPayment_View/ns1:DeductedAmountUSD" xmlDataType="decimal"/>
    </tableColumn>
    <tableColumn id="13" uniqueName="ns1:DeductedAmountEUR" name="ns1:DeductedAmountEUR" dataDxfId="25">
      <xmlColumnPr mapId="1" xpath="/ns1:ReportDataObject/ns1:ClientPaymentOverviewRpt_DownPayment_View/ns1:DeductedAmountEUR" xmlDataType="decimal"/>
    </tableColumn>
    <tableColumn id="14" uniqueName="ns1:PaidDate" name="ns1:PaidDate" dataDxfId="24">
      <xmlColumnPr mapId="1" xpath="/ns1:ReportDataObject/ns1:ClientPaymentOverviewRpt_DownPayment_View/ns1:PaidDate" xmlDataType="dateTime"/>
    </tableColumn>
    <tableColumn id="15" uniqueName="ns1:DPPercent" name="ns1:DPPercent" dataDxfId="23" dataCellStyle="Percent">
      <xmlColumnPr mapId="1" xpath="/ns1:ReportDataObject/ns1:ClientPaymentOverviewRpt_DownPayment_View/ns1:DPPercent" xmlDataType="decimal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8:S9" tableType="xml" insertRow="1" totalsRowShown="0" headerRowDxfId="22" headerRowBorderDxfId="21" tableBorderDxfId="20" totalsRowBorderDxfId="19">
  <autoFilter ref="A8:S9"/>
  <tableColumns count="19">
    <tableColumn id="1" uniqueName="ns1:ClientNM" name="ns1:ClientNM" dataDxfId="18">
      <xmlColumnPr mapId="1" xpath="/ns1:ReportDataObject/ns1:ClientPaymentOverviewRpt_Invoice_View/ns1:ClientNM" xmlDataType="string"/>
    </tableColumn>
    <tableColumn id="2" uniqueName="ns1:ClientUD" name="ns1:ClientUD" dataDxfId="17">
      <xmlColumnPr mapId="1" xpath="/ns1:ReportDataObject/ns1:ClientPaymentOverviewRpt_Invoice_View/ns1:ClientUD" xmlDataType="string"/>
    </tableColumn>
    <tableColumn id="3" uniqueName="ns1:BLNo" name="ns1:BLNo" dataDxfId="16">
      <xmlColumnPr mapId="1" xpath="/ns1:ReportDataObject/ns1:ClientPaymentOverviewRpt_Invoice_View/ns1:BLNo" xmlDataType="string"/>
    </tableColumn>
    <tableColumn id="4" uniqueName="ns1:ContainerNo" name="ns1:ContainerNo" dataDxfId="15">
      <xmlColumnPr mapId="1" xpath="/ns1:ReportDataObject/ns1:ClientPaymentOverviewRpt_Invoice_View/ns1:ContainerNo" xmlDataType="string"/>
    </tableColumn>
    <tableColumn id="5" uniqueName="ns1:InvoiceNo" name="ns1:InvoiceNo" dataDxfId="14">
      <xmlColumnPr mapId="1" xpath="/ns1:ReportDataObject/ns1:ClientPaymentOverviewRpt_Invoice_View/ns1:InvoiceNo" xmlDataType="string"/>
    </tableColumn>
    <tableColumn id="6" uniqueName="ns1:InvoiceDate" name="ns1:InvoiceDate" dataDxfId="13">
      <xmlColumnPr mapId="1" xpath="/ns1:ReportDataObject/ns1:ClientPaymentOverviewRpt_Invoice_View/ns1:InvoiceDate" xmlDataType="dateTime"/>
    </tableColumn>
    <tableColumn id="7" uniqueName="ns1:InvoiceAmountUSD" name="ns1:InvoiceAmountUSD" dataDxfId="12">
      <xmlColumnPr mapId="1" xpath="/ns1:ReportDataObject/ns1:ClientPaymentOverviewRpt_Invoice_View/ns1:InvoiceAmountUSD" xmlDataType="decimal"/>
    </tableColumn>
    <tableColumn id="8" uniqueName="ns1:InvoiceAmountEUR" name="ns1:InvoiceAmountEUR" dataDxfId="11">
      <xmlColumnPr mapId="1" xpath="/ns1:ReportDataObject/ns1:ClientPaymentOverviewRpt_Invoice_View/ns1:InvoiceAmountEUR" xmlDataType="decimal"/>
    </tableColumn>
    <tableColumn id="9" uniqueName="ns1:DeductedAmountUSD" name="ns1:DeductedAmountUSD" dataDxfId="10">
      <xmlColumnPr mapId="1" xpath="/ns1:ReportDataObject/ns1:ClientPaymentOverviewRpt_Invoice_View/ns1:DeductedAmountUSD" xmlDataType="decimal"/>
    </tableColumn>
    <tableColumn id="10" uniqueName="ns1:DeductedAmountEUR" name="ns1:DeductedAmountEUR" dataDxfId="9">
      <xmlColumnPr mapId="1" xpath="/ns1:ReportDataObject/ns1:ClientPaymentOverviewRpt_Invoice_View/ns1:DeductedAmountEUR" xmlDataType="decimal"/>
    </tableColumn>
    <tableColumn id="11" uniqueName="ns1:PaidAmountUSD" name="ns1:PaidAmountUSD" dataDxfId="8">
      <xmlColumnPr mapId="1" xpath="/ns1:ReportDataObject/ns1:ClientPaymentOverviewRpt_Invoice_View/ns1:PaidAmountUSD" xmlDataType="decimal"/>
    </tableColumn>
    <tableColumn id="12" uniqueName="ns1:PaidAmountEUR" name="ns1:PaidAmountEUR" dataDxfId="7">
      <xmlColumnPr mapId="1" xpath="/ns1:ReportDataObject/ns1:ClientPaymentOverviewRpt_Invoice_View/ns1:PaidAmountEUR" xmlDataType="decimal"/>
    </tableColumn>
    <tableColumn id="18" uniqueName="ns1:USDInvoiceBallanceAmount" name="ns1:USDInvoiceBallanceAmount" dataDxfId="6">
      <xmlColumnPr mapId="1" xpath="/ns1:ReportDataObject/ns1:ClientPaymentOverviewRpt_Invoice_View/ns1:USDInvoiceBallanceAmount" xmlDataType="decimal"/>
    </tableColumn>
    <tableColumn id="19" uniqueName="ns1:EURInvoiceBallanceAmount" name="ns1:EURInvoiceBallanceAmount" dataDxfId="5">
      <xmlColumnPr mapId="1" xpath="/ns1:ReportDataObject/ns1:ClientPaymentOverviewRpt_Invoice_View/ns1:EURInvoiceBallanceAmount" xmlDataType="decimal"/>
    </tableColumn>
    <tableColumn id="22" uniqueName="ns1:PaidDate" name="ns1:PaidDate" dataDxfId="4">
      <xmlColumnPr mapId="1" xpath="/ns1:ReportDataObject/ns1:ClientPaymentOverviewRpt_Invoice_View/ns1:PaidDate" xmlDataType="dateTime"/>
    </tableColumn>
    <tableColumn id="23" uniqueName="ns1:ClientPaymentUD" name="ns1:ClientPaymentUD" dataDxfId="3">
      <xmlColumnPr mapId="1" xpath="/ns1:ReportDataObject/ns1:ClientPaymentOverviewRpt_Invoice_View/ns1:ClientPaymentUD" xmlDataType="string"/>
    </tableColumn>
    <tableColumn id="24" uniqueName="ns1:ClientPaymentBallanceUD" name="ns1:ClientPaymentBallanceUD" dataDxfId="2">
      <xmlColumnPr mapId="1" xpath="/ns1:ReportDataObject/ns1:ClientPaymentOverviewRpt_Invoice_View/ns1:ClientPaymentBallanceUD" xmlDataType="string"/>
    </tableColumn>
    <tableColumn id="14" uniqueName="ns1:USDBallanceAmount" name="ns1:USDBallanceAmount" dataDxfId="1">
      <xmlColumnPr mapId="1" xpath="/ns1:ReportDataObject/ns1:ClientPaymentOverviewRpt_Invoice_View/ns1:USDBallanceAmount" xmlDataType="decimal"/>
    </tableColumn>
    <tableColumn id="15" uniqueName="ns1:EURBallanceAmount" name="ns1:EURBallanceAmount" dataDxfId="0">
      <xmlColumnPr mapId="1" xpath="/ns1:ReportDataObject/ns1:ClientPaymentOverviewRpt_Invoice_View/ns1:EURBallanceAmount" xmlDataType="decimal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" r="L1" connectionId="0">
    <xmlCellPr id="1" uniqueName="ns1:ExRate">
      <xmlPr mapId="1" xpath="/ns1:ReportDataObject/ns1:ReportHeader/ns1:ExRate" xmlDataType="decimal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"/>
  <sheetViews>
    <sheetView zoomScale="85" zoomScaleNormal="85"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RowHeight="15" x14ac:dyDescent="0.25"/>
  <cols>
    <col min="1" max="1" width="45.5703125" customWidth="1"/>
    <col min="2" max="4" width="14.7109375" customWidth="1"/>
    <col min="5" max="5" width="31.42578125" customWidth="1"/>
    <col min="6" max="15" width="14.7109375" customWidth="1"/>
  </cols>
  <sheetData>
    <row r="1" spans="1:15" x14ac:dyDescent="0.25">
      <c r="K1" s="48" t="s">
        <v>51</v>
      </c>
      <c r="L1" s="49">
        <f>J4-L4</f>
        <v>0</v>
      </c>
      <c r="M1" s="50">
        <f>K4-M4</f>
        <v>0</v>
      </c>
    </row>
    <row r="2" spans="1:15" ht="33.75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63" t="s">
        <v>5</v>
      </c>
      <c r="G2" s="64"/>
      <c r="H2" s="63" t="s">
        <v>6</v>
      </c>
      <c r="I2" s="64"/>
      <c r="J2" s="65" t="s">
        <v>7</v>
      </c>
      <c r="K2" s="66"/>
      <c r="L2" s="67" t="s">
        <v>8</v>
      </c>
      <c r="M2" s="68"/>
      <c r="N2" s="2" t="s">
        <v>9</v>
      </c>
      <c r="O2" s="3" t="s">
        <v>10</v>
      </c>
    </row>
    <row r="3" spans="1:15" x14ac:dyDescent="0.25">
      <c r="A3" s="1"/>
      <c r="B3" s="1"/>
      <c r="C3" s="1"/>
      <c r="D3" s="1"/>
      <c r="E3" s="1"/>
      <c r="F3" s="4" t="s">
        <v>11</v>
      </c>
      <c r="G3" s="4" t="s">
        <v>12</v>
      </c>
      <c r="H3" s="3" t="s">
        <v>11</v>
      </c>
      <c r="I3" s="3" t="s">
        <v>12</v>
      </c>
      <c r="J3" s="2" t="s">
        <v>11</v>
      </c>
      <c r="K3" s="2" t="s">
        <v>12</v>
      </c>
      <c r="L3" s="2" t="s">
        <v>11</v>
      </c>
      <c r="M3" s="2" t="s">
        <v>12</v>
      </c>
      <c r="N3" s="5"/>
      <c r="O3" s="3"/>
    </row>
    <row r="4" spans="1:15" x14ac:dyDescent="0.25">
      <c r="A4" s="1"/>
      <c r="B4" s="1"/>
      <c r="C4" s="1"/>
      <c r="D4" s="1"/>
      <c r="E4" s="20" t="s">
        <v>32</v>
      </c>
      <c r="F4" s="4">
        <f>SUM(Table2[ns1:TotalSaleUSD])</f>
        <v>0</v>
      </c>
      <c r="G4" s="22">
        <f>SUM(Table2[ns1:TotalSaleEUR])</f>
        <v>0</v>
      </c>
      <c r="H4" s="3">
        <f>SUM(Table2[ns1:DPAmountUSD])</f>
        <v>0</v>
      </c>
      <c r="I4" s="24">
        <f>SUM(Table2[ns1:DPAmountEUR])</f>
        <v>0</v>
      </c>
      <c r="J4" s="2">
        <f>SUM(Table2[ns1:DPReceiveUSD])</f>
        <v>0</v>
      </c>
      <c r="K4" s="26">
        <f>SUM(Table2[ns1:DPReceiveEUR])</f>
        <v>0</v>
      </c>
      <c r="L4" s="2">
        <f>SUM(Table2[ns1:DeductedAmountUSD])</f>
        <v>0</v>
      </c>
      <c r="M4" s="26">
        <f>SUM(Table2[ns1:DeductedAmountEUR])</f>
        <v>0</v>
      </c>
      <c r="N4" s="5"/>
      <c r="O4" s="3"/>
    </row>
    <row r="5" spans="1:15" x14ac:dyDescent="0.25">
      <c r="A5" s="14"/>
      <c r="B5" s="15"/>
      <c r="C5" s="15"/>
      <c r="D5" s="15"/>
      <c r="E5" s="21" t="s">
        <v>33</v>
      </c>
      <c r="F5" s="16">
        <f>SUBTOTAL(9,Table2[ns1:TotalSaleUSD])</f>
        <v>0</v>
      </c>
      <c r="G5" s="23">
        <f>SUBTOTAL(9,Table2[ns1:TotalSaleEUR])</f>
        <v>0</v>
      </c>
      <c r="H5" s="17">
        <f>SUBTOTAL(9,Table2[ns1:DPAmountUSD])</f>
        <v>0</v>
      </c>
      <c r="I5" s="25">
        <f>SUBTOTAL(9,Table2[ns1:DPAmountEUR])</f>
        <v>0</v>
      </c>
      <c r="J5" s="18">
        <f>SUBTOTAL(9,Table2[ns1:DPReceiveUSD])</f>
        <v>0</v>
      </c>
      <c r="K5" s="27">
        <f>SUBTOTAL(9,Table2[ns1:DPReceiveEUR])</f>
        <v>0</v>
      </c>
      <c r="L5" s="18">
        <f>SUBTOTAL(9,Table2[ns1:DeductedAmountUSD])</f>
        <v>0</v>
      </c>
      <c r="M5" s="27">
        <f>SUBTOTAL(9,Table2[ns1:DeductedAmountEUR])</f>
        <v>0</v>
      </c>
      <c r="N5" s="19"/>
      <c r="O5" s="3"/>
    </row>
    <row r="6" spans="1:15" s="11" customFormat="1" x14ac:dyDescent="0.25">
      <c r="A6" s="9" t="s">
        <v>17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10" t="s">
        <v>26</v>
      </c>
      <c r="K6" s="10" t="s">
        <v>27</v>
      </c>
      <c r="L6" s="10" t="s">
        <v>28</v>
      </c>
      <c r="M6" s="10" t="s">
        <v>29</v>
      </c>
      <c r="N6" s="10" t="s">
        <v>30</v>
      </c>
      <c r="O6" s="30" t="s">
        <v>31</v>
      </c>
    </row>
    <row r="7" spans="1:15" x14ac:dyDescent="0.25">
      <c r="A7" s="41"/>
      <c r="B7" s="42"/>
      <c r="C7" s="44"/>
      <c r="D7" s="42"/>
      <c r="E7" s="43"/>
      <c r="F7" s="12"/>
      <c r="G7" s="13"/>
      <c r="H7" s="12"/>
      <c r="I7" s="13"/>
      <c r="J7" s="12"/>
      <c r="K7" s="13"/>
      <c r="L7" s="12"/>
      <c r="M7" s="13"/>
      <c r="N7" s="44"/>
      <c r="O7" s="45"/>
    </row>
  </sheetData>
  <mergeCells count="4">
    <mergeCell ref="F2:G2"/>
    <mergeCell ref="H2:I2"/>
    <mergeCell ref="J2:K2"/>
    <mergeCell ref="L2:M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9"/>
  <sheetViews>
    <sheetView tabSelected="1" zoomScale="85" zoomScaleNormal="85" workbookViewId="0">
      <pane xSplit="6" ySplit="7" topLeftCell="G8" activePane="bottomRight" state="frozen"/>
      <selection pane="topRight" activeCell="G1" sqref="G1"/>
      <selection pane="bottomLeft" activeCell="A6" sqref="A6"/>
      <selection pane="bottomRight"/>
    </sheetView>
  </sheetViews>
  <sheetFormatPr defaultRowHeight="15" x14ac:dyDescent="0.25"/>
  <cols>
    <col min="1" max="1" width="29.28515625" customWidth="1"/>
    <col min="2" max="19" width="14.7109375" customWidth="1"/>
  </cols>
  <sheetData>
    <row r="1" spans="1:19" ht="15.75" x14ac:dyDescent="0.25">
      <c r="K1" s="48" t="s">
        <v>52</v>
      </c>
      <c r="L1" s="47"/>
      <c r="M1" s="51" t="s">
        <v>11</v>
      </c>
      <c r="N1" s="51" t="s">
        <v>12</v>
      </c>
      <c r="O1" s="61" t="s">
        <v>57</v>
      </c>
    </row>
    <row r="2" spans="1:19" ht="15.75" x14ac:dyDescent="0.25">
      <c r="K2" s="69" t="s">
        <v>50</v>
      </c>
      <c r="L2" s="69"/>
      <c r="M2" s="56">
        <f>M6-M3-R6</f>
        <v>0</v>
      </c>
      <c r="N2" s="57">
        <f>N6-N3-S6</f>
        <v>0</v>
      </c>
      <c r="O2" s="62" t="e">
        <f>M2/L1+N2</f>
        <v>#DIV/0!</v>
      </c>
    </row>
    <row r="3" spans="1:19" ht="15.75" x14ac:dyDescent="0.25">
      <c r="K3" s="69" t="s">
        <v>51</v>
      </c>
      <c r="L3" s="69"/>
      <c r="M3" s="56">
        <f>DOWNPAYMENT!L1</f>
        <v>0</v>
      </c>
      <c r="N3" s="57">
        <f>DOWNPAYMENT!M1</f>
        <v>0</v>
      </c>
      <c r="O3" s="62" t="e">
        <f>M3/L1+N3</f>
        <v>#DIV/0!</v>
      </c>
    </row>
    <row r="4" spans="1:19" ht="30" x14ac:dyDescent="0.25">
      <c r="A4" s="1" t="s">
        <v>0</v>
      </c>
      <c r="B4" s="1" t="s">
        <v>1</v>
      </c>
      <c r="C4" s="28" t="s">
        <v>13</v>
      </c>
      <c r="D4" s="28" t="s">
        <v>42</v>
      </c>
      <c r="E4" s="28" t="s">
        <v>14</v>
      </c>
      <c r="F4" s="29" t="s">
        <v>37</v>
      </c>
      <c r="G4" s="71" t="s">
        <v>15</v>
      </c>
      <c r="H4" s="72"/>
      <c r="I4" s="71" t="s">
        <v>16</v>
      </c>
      <c r="J4" s="72"/>
      <c r="K4" s="70" t="s">
        <v>49</v>
      </c>
      <c r="L4" s="70"/>
      <c r="M4" s="70" t="s">
        <v>55</v>
      </c>
      <c r="N4" s="70"/>
      <c r="O4" s="58" t="s">
        <v>9</v>
      </c>
      <c r="P4" s="58" t="s">
        <v>45</v>
      </c>
      <c r="Q4" s="58" t="s">
        <v>46</v>
      </c>
      <c r="R4" s="70" t="s">
        <v>56</v>
      </c>
      <c r="S4" s="70"/>
    </row>
    <row r="5" spans="1:19" x14ac:dyDescent="0.25">
      <c r="A5" s="1"/>
      <c r="B5" s="1"/>
      <c r="C5" s="6"/>
      <c r="D5" s="6"/>
      <c r="E5" s="6"/>
      <c r="F5" s="6"/>
      <c r="G5" s="4" t="s">
        <v>11</v>
      </c>
      <c r="H5" s="4" t="s">
        <v>12</v>
      </c>
      <c r="I5" s="6" t="s">
        <v>11</v>
      </c>
      <c r="J5" s="6" t="s">
        <v>12</v>
      </c>
      <c r="K5" s="6" t="s">
        <v>11</v>
      </c>
      <c r="L5" s="7" t="s">
        <v>12</v>
      </c>
      <c r="M5" s="6" t="s">
        <v>11</v>
      </c>
      <c r="N5" s="7" t="s">
        <v>12</v>
      </c>
      <c r="O5" s="8"/>
      <c r="P5" s="8"/>
      <c r="Q5" s="8"/>
      <c r="R5" s="6" t="s">
        <v>11</v>
      </c>
      <c r="S5" s="7" t="s">
        <v>12</v>
      </c>
    </row>
    <row r="6" spans="1:19" x14ac:dyDescent="0.25">
      <c r="A6" s="1"/>
      <c r="B6" s="1"/>
      <c r="C6" s="6"/>
      <c r="D6" s="6"/>
      <c r="E6" s="6"/>
      <c r="F6" s="31" t="s">
        <v>32</v>
      </c>
      <c r="G6" s="32">
        <f>SUM(Table3[ns1:InvoiceAmountUSD])</f>
        <v>0</v>
      </c>
      <c r="H6" s="37">
        <f>SUM(Table3[ns1:InvoiceAmountEUR])</f>
        <v>0</v>
      </c>
      <c r="I6" s="40">
        <f>SUM(Table3[ns1:DeductedAmountUSD])</f>
        <v>0</v>
      </c>
      <c r="J6" s="38">
        <f>SUM(Table3[ns1:DeductedAmountEUR])</f>
        <v>0</v>
      </c>
      <c r="K6" s="40">
        <f>SUM(Table3[ns1:PaidAmountUSD])</f>
        <v>0</v>
      </c>
      <c r="L6" s="39">
        <f>SUM(Table3[ns1:PaidAmountEUR])</f>
        <v>0</v>
      </c>
      <c r="M6" s="54">
        <f>SUM(Table3[ns1:USDInvoiceBallanceAmount])</f>
        <v>0</v>
      </c>
      <c r="N6" s="39">
        <f>SUM(Table3[ns1:EURInvoiceBallanceAmount])</f>
        <v>0</v>
      </c>
      <c r="O6" s="8"/>
      <c r="P6" s="8"/>
      <c r="Q6" s="8"/>
      <c r="R6" s="40">
        <f>SUM(Table3[ns1:USDBallanceAmount])</f>
        <v>0</v>
      </c>
      <c r="S6" s="39">
        <f>SUM(Table3[ns1:EURBallanceAmount])</f>
        <v>0</v>
      </c>
    </row>
    <row r="7" spans="1:19" x14ac:dyDescent="0.25">
      <c r="A7" s="1"/>
      <c r="B7" s="1"/>
      <c r="C7" s="6"/>
      <c r="D7" s="6"/>
      <c r="E7" s="6"/>
      <c r="F7" s="31" t="s">
        <v>33</v>
      </c>
      <c r="G7" s="32">
        <f>SUBTOTAL(9,Table3[ns1:InvoiceAmountUSD])</f>
        <v>0</v>
      </c>
      <c r="H7" s="37">
        <f>SUBTOTAL(9,Table3[ns1:InvoiceAmountEUR])</f>
        <v>0</v>
      </c>
      <c r="I7" s="40">
        <f>SUBTOTAL(9,Table3[ns1:DeductedAmountUSD])</f>
        <v>0</v>
      </c>
      <c r="J7" s="38">
        <f>SUBTOTAL(9,Table3[ns1:DeductedAmountEUR])</f>
        <v>0</v>
      </c>
      <c r="K7" s="40">
        <f>SUBTOTAL(9,Table3[ns1:PaidAmountUSD])</f>
        <v>0</v>
      </c>
      <c r="L7" s="39">
        <f>SUBTOTAL(9,Table3[ns1:PaidAmountEUR])</f>
        <v>0</v>
      </c>
      <c r="M7" s="54">
        <f>SUBTOTAL(9,Table3[ns1:USDInvoiceBallanceAmount])</f>
        <v>0</v>
      </c>
      <c r="N7" s="39">
        <f>SUBTOTAL(9,Table3[ns1:EURInvoiceBallanceAmount])</f>
        <v>0</v>
      </c>
      <c r="O7" s="8"/>
      <c r="P7" s="8"/>
      <c r="Q7" s="8"/>
      <c r="R7" s="40">
        <f>SUBTOTAL(9,Table3[ns1:USDBallanceAmount])</f>
        <v>0</v>
      </c>
      <c r="S7" s="39">
        <f>SUBTOTAL(9,Table3[ns1:EURBallanceAmount])</f>
        <v>0</v>
      </c>
    </row>
    <row r="8" spans="1:19" s="11" customFormat="1" x14ac:dyDescent="0.25">
      <c r="A8" s="9" t="s">
        <v>17</v>
      </c>
      <c r="B8" s="10" t="s">
        <v>18</v>
      </c>
      <c r="C8" s="10" t="s">
        <v>34</v>
      </c>
      <c r="D8" s="10" t="s">
        <v>35</v>
      </c>
      <c r="E8" s="10" t="s">
        <v>36</v>
      </c>
      <c r="F8" s="10" t="s">
        <v>19</v>
      </c>
      <c r="G8" s="33" t="s">
        <v>38</v>
      </c>
      <c r="H8" s="33" t="s">
        <v>39</v>
      </c>
      <c r="I8" s="33" t="s">
        <v>28</v>
      </c>
      <c r="J8" s="33" t="s">
        <v>29</v>
      </c>
      <c r="K8" s="34" t="s">
        <v>40</v>
      </c>
      <c r="L8" s="34" t="s">
        <v>41</v>
      </c>
      <c r="M8" s="53" t="s">
        <v>53</v>
      </c>
      <c r="N8" s="53" t="s">
        <v>54</v>
      </c>
      <c r="O8" s="46" t="s">
        <v>30</v>
      </c>
      <c r="P8" s="46" t="s">
        <v>43</v>
      </c>
      <c r="Q8" s="46" t="s">
        <v>44</v>
      </c>
      <c r="R8" s="46" t="s">
        <v>47</v>
      </c>
      <c r="S8" s="46" t="s">
        <v>48</v>
      </c>
    </row>
    <row r="9" spans="1:19" x14ac:dyDescent="0.25">
      <c r="A9" s="41"/>
      <c r="B9" s="42"/>
      <c r="C9" s="42"/>
      <c r="D9" s="42"/>
      <c r="E9" s="42"/>
      <c r="F9" s="44"/>
      <c r="G9" s="12"/>
      <c r="H9" s="13"/>
      <c r="I9" s="12"/>
      <c r="J9" s="13"/>
      <c r="K9" s="35"/>
      <c r="L9" s="36"/>
      <c r="M9" s="55"/>
      <c r="N9" s="52"/>
      <c r="O9" s="59"/>
      <c r="P9" s="60"/>
      <c r="Q9" s="60"/>
      <c r="R9" s="35"/>
      <c r="S9" s="36"/>
    </row>
  </sheetData>
  <mergeCells count="7">
    <mergeCell ref="K2:L2"/>
    <mergeCell ref="K3:L3"/>
    <mergeCell ref="R4:S4"/>
    <mergeCell ref="M4:N4"/>
    <mergeCell ref="G4:H4"/>
    <mergeCell ref="I4:J4"/>
    <mergeCell ref="K4:L4"/>
  </mergeCells>
  <pageMargins left="0.7" right="0.7" top="0.75" bottom="0.75" header="0.3" footer="0.3"/>
  <pageSetup orientation="portrait" r:id="rId1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DOWNPAYMENT</vt:lpstr>
      <vt:lpstr>BALANCE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2017-02-08T03:54:37Z</dcterms:modified>
</cp:coreProperties>
</file>