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ILSOFT\SOLUTION\TilsoftService\Reports\"/>
    </mc:Choice>
  </mc:AlternateContent>
  <bookViews>
    <workbookView xWindow="120" yWindow="120" windowWidth="15480" windowHeight="8385"/>
  </bookViews>
  <sheets>
    <sheet name="Cong No- Invoice" sheetId="7" r:id="rId1"/>
    <sheet name="Detail-PT EURO" sheetId="2" state="hidden" r:id="rId2"/>
    <sheet name="DETAIL-EURO" sheetId="10" r:id="rId3"/>
    <sheet name="Total " sheetId="12" r:id="rId4"/>
  </sheets>
  <definedNames>
    <definedName name="_1">#N/A</definedName>
    <definedName name="_1000A01">#N/A</definedName>
    <definedName name="_2">#N/A</definedName>
    <definedName name="_20_40" localSheetId="3">#REF!</definedName>
    <definedName name="_20_40">#REF!</definedName>
    <definedName name="_CON1" localSheetId="3">#REF!</definedName>
    <definedName name="_CON1">#REF!</definedName>
    <definedName name="_CON2" localSheetId="3">#REF!</definedName>
    <definedName name="_CON2">#REF!</definedName>
    <definedName name="_Fill" hidden="1">#REF!</definedName>
    <definedName name="_xlnm._FilterDatabase" localSheetId="0" hidden="1">'Cong No- Invoice'!$A$3:$P$5</definedName>
    <definedName name="_xlnm._FilterDatabase" localSheetId="2" hidden="1">'DETAIL-EURO'!$A$7:$Q$8</definedName>
    <definedName name="_xlnm._FilterDatabase" localSheetId="1" hidden="1">'Detail-PT EURO'!$A$3:$L$3</definedName>
    <definedName name="_Key1" localSheetId="3" hidden="1">#REF!</definedName>
    <definedName name="_Key1" hidden="1">#REF!</definedName>
    <definedName name="_Key2" localSheetId="3" hidden="1">#REF!</definedName>
    <definedName name="_Key2" hidden="1">#REF!</definedName>
    <definedName name="_NET2" localSheetId="3">#REF!</definedName>
    <definedName name="_NET2">#REF!</definedName>
    <definedName name="_Order1" hidden="1">255</definedName>
    <definedName name="_Order2" hidden="1">255</definedName>
    <definedName name="_Sort" localSheetId="3" hidden="1">#REF!</definedName>
    <definedName name="_Sort" hidden="1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A" localSheetId="3">#REF!</definedName>
    <definedName name="AA">#REF!</definedName>
    <definedName name="All_Item" localSheetId="3">#REF!</definedName>
    <definedName name="All_Item">#REF!</definedName>
    <definedName name="ALPIN">#N/A</definedName>
    <definedName name="ALPJYOU">#N/A</definedName>
    <definedName name="ALPTOI">#N/A</definedName>
    <definedName name="BB" localSheetId="3">#REF!</definedName>
    <definedName name="BB">#REF!</definedName>
    <definedName name="BCAO1" localSheetId="3">#REF!</definedName>
    <definedName name="BCAO1">#REF!</definedName>
    <definedName name="bcao10" localSheetId="3">#REF!</definedName>
    <definedName name="bcao10">#REF!</definedName>
    <definedName name="Bcao11">#REF!</definedName>
    <definedName name="bcao3">#REF!</definedName>
    <definedName name="bcao4">#REF!</definedName>
    <definedName name="bcao5">#REF!</definedName>
    <definedName name="bcao6">#REF!</definedName>
    <definedName name="bcao7">#REF!</definedName>
    <definedName name="bcao8">#REF!</definedName>
    <definedName name="bcao9">#REF!</definedName>
    <definedName name="BOL_Nr">#REF!</definedName>
    <definedName name="BOQ">#REF!</definedName>
    <definedName name="BVCISUMMARY">#REF!</definedName>
    <definedName name="Category_All">#REF!</definedName>
    <definedName name="CATIN">#N/A</definedName>
    <definedName name="CATJYOU">#N/A</definedName>
    <definedName name="CATSYU">#N/A</definedName>
    <definedName name="CATREC">#N/A</definedName>
    <definedName name="Certficate_of_Origin" localSheetId="3">#REF!</definedName>
    <definedName name="Certficate_of_Origin">#REF!</definedName>
    <definedName name="COMMON" localSheetId="0">#REF!</definedName>
    <definedName name="COMMON">#REF!</definedName>
    <definedName name="CON_EQP_COS">#REF!</definedName>
    <definedName name="CON_EQP_COST">#REF!</definedName>
    <definedName name="CONST_EQ">#REF!</definedName>
    <definedName name="Cont_name">#REF!</definedName>
    <definedName name="Cont_Nr">#REF!</definedName>
    <definedName name="ContainerID">#REF!</definedName>
    <definedName name="COVER">#REF!</definedName>
    <definedName name="CPT">#REF!</definedName>
    <definedName name="CRITINST">#REF!</definedName>
    <definedName name="CRITPURC">#REF!</definedName>
    <definedName name="CS_10" localSheetId="0">#REF!</definedName>
    <definedName name="CS_10">#REF!</definedName>
    <definedName name="CS_100" localSheetId="0">#REF!</definedName>
    <definedName name="CS_100">#REF!</definedName>
    <definedName name="CS_10S" localSheetId="0">#REF!</definedName>
    <definedName name="CS_10S">#REF!</definedName>
    <definedName name="CS_120" localSheetId="0">#REF!</definedName>
    <definedName name="CS_120">#REF!</definedName>
    <definedName name="CS_140" localSheetId="0">#REF!</definedName>
    <definedName name="CS_140">#REF!</definedName>
    <definedName name="CS_160" localSheetId="0">#REF!</definedName>
    <definedName name="CS_160">#REF!</definedName>
    <definedName name="CS_20" localSheetId="0">#REF!</definedName>
    <definedName name="CS_20">#REF!</definedName>
    <definedName name="CS_30" localSheetId="0">#REF!</definedName>
    <definedName name="CS_30">#REF!</definedName>
    <definedName name="CS_40" localSheetId="0">#REF!</definedName>
    <definedName name="CS_40">#REF!</definedName>
    <definedName name="CS_40S" localSheetId="0">#REF!</definedName>
    <definedName name="CS_40S">#REF!</definedName>
    <definedName name="CS_5S" localSheetId="0">#REF!</definedName>
    <definedName name="CS_5S">#REF!</definedName>
    <definedName name="CS_60" localSheetId="0">#REF!</definedName>
    <definedName name="CS_60">#REF!</definedName>
    <definedName name="CS_80" localSheetId="0">#REF!</definedName>
    <definedName name="CS_80">#REF!</definedName>
    <definedName name="CS_80S" localSheetId="0">#REF!</definedName>
    <definedName name="CS_80S">#REF!</definedName>
    <definedName name="CS_STD" localSheetId="0">#REF!</definedName>
    <definedName name="CS_STD">#REF!</definedName>
    <definedName name="CS_XS" localSheetId="0">#REF!</definedName>
    <definedName name="CS_XS">#REF!</definedName>
    <definedName name="CS_XXS" localSheetId="0">#REF!</definedName>
    <definedName name="CS_XXS">#REF!</definedName>
    <definedName name="cttm">#REF!</definedName>
    <definedName name="CURRENCY">#REF!</definedName>
    <definedName name="chi" localSheetId="3">#REF!</definedName>
    <definedName name="chi">#REF!</definedName>
    <definedName name="D_7101A_B">#REF!</definedName>
    <definedName name="_xlnm.Database">#REF!</definedName>
    <definedName name="Date_Arrived">#REF!</definedName>
    <definedName name="Date_on_Board">#REF!</definedName>
    <definedName name="Date_sent">#REF!</definedName>
    <definedName name="DHL_Nr">#REF!</definedName>
    <definedName name="Document_array" localSheetId="3">{"com.xls","Sheet1"}</definedName>
    <definedName name="Document_array">{"com.xls","Sheet1"}</definedName>
    <definedName name="DSUMDATA" localSheetId="3">#REF!</definedName>
    <definedName name="DSUMDATA">#REF!</definedName>
    <definedName name="DVI" localSheetId="3">#REF!</definedName>
    <definedName name="DVI">#REF!</definedName>
    <definedName name="EMS_Nr" localSheetId="3">#REF!</definedName>
    <definedName name="EMS_Nr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FACTOR">#REF!</definedName>
    <definedName name="Freight">#REF!</definedName>
    <definedName name="HOME_MANP" localSheetId="0">#REF!</definedName>
    <definedName name="HOME_MANP">#REF!</definedName>
    <definedName name="HOMEOFFICE_COST" localSheetId="0">#REF!</definedName>
    <definedName name="HOMEOFFICE_COST">#REF!</definedName>
    <definedName name="HTML_CodePage" hidden="1">950</definedName>
    <definedName name="HTML_Control" localSheetId="0" hidden="1">{"'Sheet1'!$L$16"}</definedName>
    <definedName name="HTML_Control" localSheetId="3" hidden="1">{"'Sheet1'!$L$16"}</definedName>
    <definedName name="HTML_Control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Title" hidden="1">"00Q3961-SUM"</definedName>
    <definedName name="IDLAB_COST" localSheetId="3">#REF!</definedName>
    <definedName name="IDLAB_COST">#REF!</definedName>
    <definedName name="IND_LAB" localSheetId="3">#REF!</definedName>
    <definedName name="IND_LAB">#REF!</definedName>
    <definedName name="INDMANP" localSheetId="3">#REF!</definedName>
    <definedName name="INDMANP">#REF!</definedName>
    <definedName name="info">#REF!</definedName>
    <definedName name="INTBN">#REF!</definedName>
    <definedName name="ironprijsvergelijking_Prijslijst_Spog_CIF_List">#REF!</definedName>
    <definedName name="lang">#REF!</definedName>
    <definedName name="langvl">#REF!</definedName>
    <definedName name="LYDO">#REF!</definedName>
    <definedName name="mahang_d">#REF!</definedName>
    <definedName name="mahang_n">#REF!</definedName>
    <definedName name="mahang_x">#REF!</definedName>
    <definedName name="MAJ_CON_EQP">#REF!</definedName>
    <definedName name="Method">#REF!</definedName>
    <definedName name="MG_A">#REF!</definedName>
    <definedName name="Missc._Costs">#REF!</definedName>
    <definedName name="Name_Feeder">#REF!</definedName>
    <definedName name="Name_Vessel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NOP">#REF!</definedName>
    <definedName name="NGAYCT">#REF!</definedName>
    <definedName name="nh">#REF!</definedName>
    <definedName name="nhap">#REF!</definedName>
    <definedName name="pivot">#REF!</definedName>
    <definedName name="Port_of_Discharge">#REF!</definedName>
    <definedName name="Port_of_Loading">#REF!</definedName>
    <definedName name="PRICE">#REF!</definedName>
    <definedName name="PRICE1">#REF!</definedName>
    <definedName name="_xlnm.Print_Area" localSheetId="0">'Cong No- Invoice'!$A$1:$P$7</definedName>
    <definedName name="_xlnm.Print_Area" localSheetId="2">'DETAIL-EURO'!$A$1:$Q$9</definedName>
    <definedName name="_xlnm.Print_Area" localSheetId="3">'Total '!$A$1:$G$13</definedName>
    <definedName name="_xlnm.Print_Area">#REF!</definedName>
    <definedName name="_xlnm.Print_Titles">#REF!</definedName>
    <definedName name="Print_Titles_MI">#REF!</definedName>
    <definedName name="PRINTA" localSheetId="0">#REF!</definedName>
    <definedName name="PRINTA">#REF!</definedName>
    <definedName name="PRINTB" localSheetId="0">#REF!</definedName>
    <definedName name="PRINTB">#REF!</definedName>
    <definedName name="PRINTC" localSheetId="0">#REF!</definedName>
    <definedName name="PRINTC">#REF!</definedName>
    <definedName name="PROPOSAL">#REF!</definedName>
    <definedName name="qtty40">#REF!</definedName>
    <definedName name="RECOUT">#N/A</definedName>
    <definedName name="RFP003A" localSheetId="3">#REF!</definedName>
    <definedName name="RFP003A">#REF!</definedName>
    <definedName name="RFP003B" localSheetId="3">#REF!</definedName>
    <definedName name="RFP003B">#REF!</definedName>
    <definedName name="RFP003C" localSheetId="3">#REF!</definedName>
    <definedName name="RFP003C">#REF!</definedName>
    <definedName name="RFP003D">#REF!</definedName>
    <definedName name="RFP003E">#REF!</definedName>
    <definedName name="RFP003F">#REF!</definedName>
    <definedName name="SCH">#REF!</definedName>
    <definedName name="SIZE">#REF!</definedName>
    <definedName name="slg_n">#REF!</definedName>
    <definedName name="slg_x">#REF!</definedName>
    <definedName name="SOCT">#REF!</definedName>
    <definedName name="SORT" localSheetId="0">#REF!</definedName>
    <definedName name="SORT">#REF!</definedName>
    <definedName name="sotien_n">#REF!</definedName>
    <definedName name="sotien_x">#REF!</definedName>
    <definedName name="SPEC">#REF!</definedName>
    <definedName name="SPECSUMMARY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IEN">#REF!</definedName>
    <definedName name="SUMMARY" localSheetId="0">#REF!</definedName>
    <definedName name="SUMMARY">#REF!</definedName>
    <definedName name="Table1">Table3[]</definedName>
    <definedName name="TaxTV">10%</definedName>
    <definedName name="TaxXL">5%</definedName>
    <definedName name="TITAN">#REF!</definedName>
    <definedName name="TKGHIC">#REF!</definedName>
    <definedName name="TKGHIN">#REF!</definedName>
    <definedName name="TPLRP">#REF!</definedName>
    <definedName name="THANGCT" localSheetId="3">#REF!</definedName>
    <definedName name="THANGCT">#REF!</definedName>
    <definedName name="THI" localSheetId="3">#REF!</definedName>
    <definedName name="THI">#REF!</definedName>
    <definedName name="thm" localSheetId="3">#REF!</definedName>
    <definedName name="thm">#REF!</definedName>
    <definedName name="thu">#REF!</definedName>
    <definedName name="THUCHI">#REF!</definedName>
    <definedName name="TRADE2">#REF!</definedName>
    <definedName name="VARIINST">#REF!</definedName>
    <definedName name="VARIPURC">#REF!</definedName>
    <definedName name="vudai">#REF!</definedName>
    <definedName name="W">#REF!</definedName>
    <definedName name="wrn.Total._.view._.of._.shipped._.products." localSheetId="0" hidden="1">{#N/A,#N/A,FALSE,"Container details"}</definedName>
    <definedName name="wrn.Total._.view._.of._.shipped._.products." localSheetId="3" hidden="1">{#N/A,#N/A,FALSE,"Container details"}</definedName>
    <definedName name="wrn.Total._.view._.of._.shipped._.products." hidden="1">{#N/A,#N/A,FALSE,"Container details"}</definedName>
    <definedName name="X" localSheetId="3">#REF!</definedName>
    <definedName name="X">#REF!</definedName>
    <definedName name="ZYX" localSheetId="0">#REF!</definedName>
    <definedName name="ZYX" localSheetId="3">#REF!</definedName>
    <definedName name="ZYX">#REF!</definedName>
    <definedName name="ZZZ" localSheetId="0">#REF!</definedName>
    <definedName name="ZZZ">#REF!</definedName>
  </definedNames>
  <calcPr calcId="152511"/>
</workbook>
</file>

<file path=xl/calcChain.xml><?xml version="1.0" encoding="utf-8"?>
<calcChain xmlns="http://schemas.openxmlformats.org/spreadsheetml/2006/main">
  <c r="B4" i="12" l="1"/>
  <c r="G12" i="12" l="1"/>
  <c r="E12" i="12"/>
  <c r="A2" i="7" l="1"/>
  <c r="H4" i="7" l="1"/>
  <c r="F4" i="7"/>
  <c r="D12" i="12" l="1"/>
  <c r="J9" i="10"/>
  <c r="J5" i="10"/>
  <c r="I5" i="10"/>
  <c r="J6" i="10"/>
  <c r="Q6" i="10"/>
  <c r="Q5" i="10"/>
  <c r="N6" i="10"/>
  <c r="N5" i="10"/>
  <c r="L6" i="10"/>
  <c r="L5" i="10"/>
  <c r="I6" i="10"/>
  <c r="G6" i="10"/>
  <c r="G5" i="10"/>
  <c r="G9" i="10"/>
  <c r="I9" i="10"/>
  <c r="L9" i="10"/>
  <c r="N9" i="10"/>
  <c r="Q9" i="10"/>
  <c r="O7" i="7"/>
  <c r="P7" i="7"/>
  <c r="J7" i="7"/>
  <c r="F4" i="12" s="1"/>
  <c r="H7" i="7"/>
  <c r="C4" i="12" s="1"/>
  <c r="C12" i="12" s="1"/>
  <c r="F7" i="7" l="1"/>
  <c r="F12" i="12" l="1"/>
  <c r="H3" i="2"/>
  <c r="H10" i="2" s="1"/>
  <c r="K10" i="2"/>
  <c r="N10" i="2"/>
</calcChain>
</file>

<file path=xl/sharedStrings.xml><?xml version="1.0" encoding="utf-8"?>
<sst xmlns="http://schemas.openxmlformats.org/spreadsheetml/2006/main" count="101" uniqueCount="82">
  <si>
    <t>No.</t>
  </si>
  <si>
    <t>Total Amount
( USD )</t>
  </si>
  <si>
    <t>Paid day</t>
  </si>
  <si>
    <t>Deposits Paid
( USD )</t>
  </si>
  <si>
    <t>Order
 No.</t>
  </si>
  <si>
    <t>Naam 
Client</t>
  </si>
  <si>
    <t>Art. Code</t>
  </si>
  <si>
    <t>Art. Description</t>
  </si>
  <si>
    <t>Range</t>
  </si>
  <si>
    <t>Cont 
Nr</t>
  </si>
  <si>
    <t>Order 
qnt</t>
  </si>
  <si>
    <t>Cost-price
( USD )</t>
  </si>
  <si>
    <t>Amount
( USD )</t>
  </si>
  <si>
    <t>INSERT ROW:</t>
  </si>
  <si>
    <t>TOTAL:</t>
  </si>
  <si>
    <t>CHI TIET</t>
  </si>
  <si>
    <t>TONG TIEN HANG</t>
  </si>
  <si>
    <t>TONG 
CONG NO</t>
  </si>
  <si>
    <t xml:space="preserve">DA THANH TOAN </t>
  </si>
  <si>
    <t>CON LAI</t>
  </si>
  <si>
    <t>TONG CONG</t>
  </si>
  <si>
    <t>COMPANAY</t>
  </si>
  <si>
    <t>So Hoa
Don Rose</t>
  </si>
  <si>
    <t xml:space="preserve"> </t>
  </si>
  <si>
    <t>Invoice No.</t>
  </si>
  <si>
    <t>28/03/2012</t>
  </si>
  <si>
    <t>EUROFURNINDO CHECK</t>
  </si>
  <si>
    <t>ELVIS UPDATED</t>
  </si>
  <si>
    <t>Name 
Client</t>
  </si>
  <si>
    <t>DA THANH TOAN</t>
  </si>
  <si>
    <t>EUROFURNINDO PRICE</t>
  </si>
  <si>
    <t>Deposit Amount
USD</t>
  </si>
  <si>
    <t>SUM</t>
  </si>
  <si>
    <t>SUBTOTAL:</t>
  </si>
  <si>
    <t>EUROFURNINDO HK</t>
  </si>
  <si>
    <t>FACTORY/ INVOICE PRICE</t>
  </si>
  <si>
    <t>SAMPLE</t>
  </si>
  <si>
    <t>CHI PHI KHAC</t>
  </si>
  <si>
    <t>ns1:No</t>
  </si>
  <si>
    <t>ns1:FactoryInvoiceUD</t>
  </si>
  <si>
    <t>ns1:InvoiceDate</t>
  </si>
  <si>
    <t>ns1:Company</t>
  </si>
  <si>
    <t>ns1:BuyerUD</t>
  </si>
  <si>
    <t>ns1:InvoiceAmount</t>
  </si>
  <si>
    <t>ns1:CumulationInvoiceAmount</t>
  </si>
  <si>
    <t>ns1:EuroFurnidoInvoiceAmount</t>
  </si>
  <si>
    <t>ns1:PaymentReceiptNo</t>
  </si>
  <si>
    <t>ns1:PaymentDate</t>
  </si>
  <si>
    <t>ns1:USDAmount</t>
  </si>
  <si>
    <t>ns1:ELVISUpdated</t>
  </si>
  <si>
    <t>ns1:CumulationPaid</t>
  </si>
  <si>
    <t>ns1:OutstandingBalance</t>
  </si>
  <si>
    <t>Update:</t>
  </si>
  <si>
    <t>Total</t>
  </si>
  <si>
    <t>ns1:ProformaInvoiceNo</t>
  </si>
  <si>
    <t>ns1:ArticleCode</t>
  </si>
  <si>
    <t>ns1:Description</t>
  </si>
  <si>
    <t>ns1:ContainerNo</t>
  </si>
  <si>
    <t>ns1:Quantity</t>
  </si>
  <si>
    <t>ns1:PurchasingPrice</t>
  </si>
  <si>
    <t>ns1:Amount</t>
  </si>
  <si>
    <t>ns1:TotalAmount</t>
  </si>
  <si>
    <t>ns1:OrderQnt</t>
  </si>
  <si>
    <t>ns1:CostPrice</t>
  </si>
  <si>
    <t>ns1:CostAmount</t>
  </si>
  <si>
    <t>Payment Receipt No</t>
  </si>
  <si>
    <t>Date Payment</t>
  </si>
  <si>
    <t>Column1</t>
  </si>
  <si>
    <t>EUROFAR</t>
  </si>
  <si>
    <t>TON CU 2013-2014</t>
  </si>
  <si>
    <t>Column2</t>
  </si>
  <si>
    <t>INVOICE NO</t>
  </si>
  <si>
    <t>INVOICE DATE</t>
  </si>
  <si>
    <t>NO.</t>
  </si>
  <si>
    <t>CLIENT</t>
  </si>
  <si>
    <t>FACTORY AMOUNT</t>
  </si>
  <si>
    <t xml:space="preserve">  CUMULATION INVIOCES AMOUNT</t>
  </si>
  <si>
    <t>PAYMENT DATE</t>
  </si>
  <si>
    <t>PAYMENT AMOUNT</t>
  </si>
  <si>
    <t>PAYMENT RECEIPT NO</t>
  </si>
  <si>
    <t>CUMULATION PAID (USD)</t>
  </si>
  <si>
    <t>OUTSTANDING BALANCE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</si>
</sst>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6">
    <numFmt numFmtId="164" formatCode="_-* #,##0_-;\-* #,##0_-;_-* &quot;-&quot;_-;_-@_-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000"/>
    <numFmt numFmtId="169" formatCode="[$-409]d\-mmm\-yy;@"/>
    <numFmt numFmtId="170" formatCode="_-* #,##0\ _B_F_-;\-* #,##0\ _B_F_-;_-* &quot;-&quot;\ _B_F_-;_-@_-"/>
    <numFmt numFmtId="171" formatCode="_(* #,##0_);_(* \(#,##0\);_(* &quot;-&quot;??_);_(@_)"/>
    <numFmt numFmtId="172" formatCode="_-* #,##0_-;\-* #,##0_-;_-* &quot;-&quot;??_-;_-@_-"/>
    <numFmt numFmtId="173" formatCode="dd/mm/yyyy;@"/>
    <numFmt numFmtId="174" formatCode="_-[$$-409]* #,##0.00_ ;_-[$$-409]* \-#,##0.00\ ;_-[$$-409]* &quot;-&quot;??_ ;_-@_ "/>
    <numFmt numFmtId="175" formatCode="d/mm/yy;@"/>
    <numFmt numFmtId="176" formatCode="\$#,##0\ ;\(\$#,##0\)"/>
    <numFmt numFmtId="177" formatCode="&quot;$&quot;#,##0;\-&quot;$&quot;#,##0"/>
    <numFmt numFmtId="178" formatCode="#,##0\ &quot;DM&quot;;\-#,##0\ &quot;DM&quot;"/>
    <numFmt numFmtId="179" formatCode="0.000%"/>
    <numFmt numFmtId="180" formatCode="&quot;￥&quot;#,##0;&quot;￥&quot;\-#,##0"/>
    <numFmt numFmtId="181" formatCode="00.000"/>
    <numFmt numFmtId="182" formatCode="_-&quot;F&quot;* #,##0_-;\-&quot;F&quot;* #,##0_-;_-&quot;F&quot;* &quot;-&quot;_-;_-@_-"/>
    <numFmt numFmtId="183" formatCode="#,##0\ &quot;F&quot;;[Red]\-#,##0\ &quot;F&quot;"/>
    <numFmt numFmtId="184" formatCode="_-&quot;F&quot;* #,##0.00_-;\-&quot;F&quot;* #,##0.00_-;_-&quot;F&quot;* &quot;-&quot;??_-;_-@_-"/>
    <numFmt numFmtId="185" formatCode="00"/>
    <numFmt numFmtId="186" formatCode="000000"/>
    <numFmt numFmtId="187" formatCode="00000000"/>
    <numFmt numFmtId="188" formatCode="_-* #,##0.00_-;_-* #,##0.00\-;_-* &quot;-&quot;??_-;_-@_-"/>
    <numFmt numFmtId="189" formatCode="00000"/>
  </numFmts>
  <fonts count="57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name val="VNtimes new roman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b/>
      <sz val="9"/>
      <name val="Arial"/>
      <family val="2"/>
    </font>
    <font>
      <sz val="12"/>
      <name val="新細明體"/>
      <charset val="136"/>
    </font>
    <font>
      <sz val="12"/>
      <name val="Courier"/>
      <family val="3"/>
    </font>
    <font>
      <sz val="11"/>
      <name val="돋움"/>
      <family val="3"/>
    </font>
    <font>
      <sz val="10"/>
      <name val="굴림체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9"/>
      <name val="VNI-Times"/>
    </font>
    <font>
      <b/>
      <sz val="9"/>
      <name val="VNI-Times"/>
    </font>
    <font>
      <b/>
      <sz val="9"/>
      <color indexed="12"/>
      <name val="VNI-Times"/>
    </font>
    <font>
      <sz val="11"/>
      <color indexed="8"/>
      <name val="Calibri"/>
      <family val="2"/>
    </font>
    <font>
      <b/>
      <sz val="9"/>
      <color indexed="13"/>
      <name val="VNI-Times"/>
    </font>
    <font>
      <b/>
      <sz val="9"/>
      <color indexed="30"/>
      <name val="VNI-Times"/>
    </font>
    <font>
      <sz val="9"/>
      <color indexed="30"/>
      <name val="VNI-Times"/>
    </font>
    <font>
      <sz val="9"/>
      <color indexed="13"/>
      <name val="VNI-Times"/>
    </font>
    <font>
      <b/>
      <sz val="9"/>
      <color indexed="56"/>
      <name val="VNI-Times"/>
    </font>
    <font>
      <sz val="9"/>
      <color indexed="8"/>
      <name val="VNI-Times"/>
    </font>
    <font>
      <b/>
      <sz val="9"/>
      <color indexed="8"/>
      <name val="VNI-Times"/>
    </font>
    <font>
      <b/>
      <u/>
      <sz val="9"/>
      <color indexed="56"/>
      <name val="VNI-Times"/>
    </font>
    <font>
      <sz val="10"/>
      <name val="VNI-Times"/>
    </font>
    <font>
      <b/>
      <sz val="10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b/>
      <sz val="10"/>
      <color indexed="10"/>
      <name val="Arial"/>
      <family val="2"/>
    </font>
    <font>
      <sz val="12"/>
      <color indexed="8"/>
      <name val="Arial"/>
      <family val="2"/>
    </font>
    <font>
      <b/>
      <sz val="12"/>
      <color rgb="FFFF0000"/>
      <name val="Arial"/>
      <family val="2"/>
    </font>
    <font>
      <b/>
      <sz val="12"/>
      <color indexed="8"/>
      <name val="Arial"/>
      <family val="2"/>
    </font>
    <font>
      <b/>
      <sz val="12"/>
      <color rgb="FF002060"/>
      <name val="Arial"/>
      <family val="2"/>
    </font>
    <font>
      <b/>
      <sz val="12"/>
      <color rgb="FFC0000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color rgb="FF002060"/>
      <name val="Arial"/>
      <family val="2"/>
    </font>
    <font>
      <b/>
      <sz val="10"/>
      <color rgb="FF00206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2"/>
      <color theme="0"/>
      <name val="Arial"/>
      <family val="2"/>
    </font>
    <font>
      <sz val="12"/>
      <color rgb="FF002060"/>
      <name val="Arial"/>
      <family val="2"/>
    </font>
    <font>
      <sz val="12"/>
      <color theme="0"/>
      <name val="Arial"/>
      <family val="2"/>
    </font>
    <font>
      <b/>
      <sz val="10"/>
      <color rgb="FF002060"/>
      <name val="Arial"/>
      <family val="2"/>
      <charset val="163"/>
    </font>
    <font>
      <b/>
      <sz val="10"/>
      <name val="Arial"/>
      <family val="2"/>
      <charset val="163"/>
    </font>
    <font>
      <b/>
      <sz val="12"/>
      <color rgb="FF002060"/>
      <name val="Arial"/>
      <family val="2"/>
      <charset val="163"/>
    </font>
    <font>
      <b/>
      <sz val="12"/>
      <name val="Arial"/>
      <family val="2"/>
      <charset val="163"/>
    </font>
    <font>
      <b/>
      <sz val="10"/>
      <name val="Arial"/>
    </font>
    <font>
      <sz val="10"/>
      <name val="Arial"/>
      <family val="2"/>
      <charset val="163"/>
    </font>
    <font>
      <sz val="12"/>
      <color rgb="FF002060"/>
      <name val="Arial"/>
      <family val="2"/>
      <charset val="163"/>
    </font>
    <font>
      <sz val="12"/>
      <name val="Arial"/>
      <family val="2"/>
      <charset val="163"/>
    </font>
  </fonts>
  <fills count="12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8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50">
    <xf numFmtId="170" fontId="0" fillId="0" borderId="0" applyFill="0" applyBorder="0" applyAlignment="0" applyProtection="0"/>
    <xf numFmtId="167" fontId="21" fillId="0" borderId="0" applyFont="0" applyFill="0" applyBorder="0" applyAlignment="0" applyProtection="0"/>
    <xf numFmtId="165" fontId="2" fillId="0" borderId="0" applyFont="0" applyFill="0" applyBorder="0" applyAlignment="0" applyProtection="0"/>
    <xf numFmtId="188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3" fontId="3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4" fillId="0" borderId="0" applyFont="0" applyFill="0" applyBorder="0" applyAlignment="0" applyProtection="0"/>
    <xf numFmtId="176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2" fontId="3" fillId="0" borderId="0" applyFont="0" applyFill="0" applyBorder="0" applyAlignment="0" applyProtection="0"/>
    <xf numFmtId="0" fontId="5" fillId="0" borderId="1" applyNumberFormat="0" applyAlignment="0" applyProtection="0">
      <alignment horizontal="left" vertical="center"/>
    </xf>
    <xf numFmtId="0" fontId="5" fillId="0" borderId="2">
      <alignment horizontal="left" vertical="center"/>
    </xf>
    <xf numFmtId="167" fontId="3" fillId="0" borderId="0" applyFont="0" applyFill="0" applyBorder="0" applyAlignment="0" applyProtection="0"/>
    <xf numFmtId="0" fontId="6" fillId="0" borderId="0" applyNumberFormat="0" applyFont="0" applyFill="0" applyAlignment="0"/>
    <xf numFmtId="177" fontId="7" fillId="0" borderId="0"/>
    <xf numFmtId="0" fontId="4" fillId="0" borderId="0"/>
    <xf numFmtId="0" fontId="2" fillId="0" borderId="0" applyFill="0" applyBorder="0" applyAlignment="0" applyProtection="0"/>
    <xf numFmtId="169" fontId="3" fillId="0" borderId="0" applyFont="0" applyFill="0" applyBorder="0" applyAlignment="0" applyProtection="0"/>
    <xf numFmtId="0" fontId="3" fillId="0" borderId="0"/>
    <xf numFmtId="0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0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0" fontId="17" fillId="0" borderId="0">
      <alignment vertical="center"/>
    </xf>
    <xf numFmtId="40" fontId="8" fillId="0" borderId="0" applyFont="0" applyFill="0" applyBorder="0" applyAlignment="0" applyProtection="0"/>
    <xf numFmtId="38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0" fillId="0" borderId="0"/>
    <xf numFmtId="178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181" fontId="14" fillId="0" borderId="0" applyFont="0" applyFill="0" applyBorder="0" applyAlignment="0" applyProtection="0"/>
    <xf numFmtId="0" fontId="15" fillId="0" borderId="0"/>
    <xf numFmtId="0" fontId="11" fillId="0" borderId="0" applyProtection="0"/>
    <xf numFmtId="164" fontId="12" fillId="0" borderId="0" applyFont="0" applyFill="0" applyBorder="0" applyAlignment="0" applyProtection="0"/>
    <xf numFmtId="40" fontId="13" fillId="0" borderId="0" applyFont="0" applyFill="0" applyBorder="0" applyAlignment="0" applyProtection="0"/>
    <xf numFmtId="182" fontId="12" fillId="0" borderId="0" applyFont="0" applyFill="0" applyBorder="0" applyAlignment="0" applyProtection="0"/>
    <xf numFmtId="183" fontId="13" fillId="0" borderId="0" applyFont="0" applyFill="0" applyBorder="0" applyAlignment="0" applyProtection="0"/>
    <xf numFmtId="184" fontId="12" fillId="0" borderId="0" applyFont="0" applyFill="0" applyBorder="0" applyAlignment="0" applyProtection="0"/>
    <xf numFmtId="166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30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0" fillId="0" borderId="0"/>
    <xf numFmtId="0" fontId="1" fillId="0" borderId="0"/>
  </cellStyleXfs>
  <cellXfs count="289">
    <xf numFmtId="0" fontId="0" fillId="0" borderId="0" xfId="0" applyNumberFormat="1"/>
    <xf numFmtId="168" fontId="22" fillId="2" borderId="7" xfId="0" applyNumberFormat="1" applyFont="1" applyFill="1" applyBorder="1" applyAlignment="1">
      <alignment horizontal="center" vertical="center"/>
    </xf>
    <xf numFmtId="170" fontId="22" fillId="2" borderId="7" xfId="0" applyNumberFormat="1" applyFont="1" applyFill="1" applyBorder="1" applyAlignment="1">
      <alignment horizontal="center" vertical="center"/>
    </xf>
    <xf numFmtId="170" fontId="22" fillId="2" borderId="7" xfId="0" applyNumberFormat="1" applyFont="1" applyFill="1" applyBorder="1" applyAlignment="1">
      <alignment horizontal="center" vertical="center" wrapText="1"/>
    </xf>
    <xf numFmtId="170" fontId="22" fillId="2" borderId="7" xfId="0" applyNumberFormat="1" applyFont="1" applyFill="1" applyBorder="1" applyAlignment="1">
      <alignment horizontal="left" vertical="center"/>
    </xf>
    <xf numFmtId="0" fontId="22" fillId="2" borderId="7" xfId="0" applyNumberFormat="1" applyFont="1" applyFill="1" applyBorder="1" applyAlignment="1">
      <alignment horizontal="center" vertical="center" wrapText="1"/>
    </xf>
    <xf numFmtId="166" fontId="22" fillId="2" borderId="7" xfId="6" applyFont="1" applyFill="1" applyBorder="1" applyAlignment="1">
      <alignment horizontal="center" vertical="center" wrapText="1"/>
    </xf>
    <xf numFmtId="166" fontId="22" fillId="2" borderId="7" xfId="1" applyNumberFormat="1" applyFont="1" applyFill="1" applyBorder="1" applyAlignment="1">
      <alignment horizontal="center" vertical="center" wrapText="1"/>
    </xf>
    <xf numFmtId="166" fontId="22" fillId="2" borderId="7" xfId="0" applyNumberFormat="1" applyFont="1" applyFill="1" applyBorder="1" applyAlignment="1">
      <alignment horizontal="center" vertical="center" wrapText="1"/>
    </xf>
    <xf numFmtId="167" fontId="22" fillId="2" borderId="7" xfId="1" applyNumberFormat="1" applyFont="1" applyFill="1" applyBorder="1" applyAlignment="1">
      <alignment horizontal="center" vertical="center" wrapText="1"/>
    </xf>
    <xf numFmtId="168" fontId="18" fillId="0" borderId="7" xfId="0" applyNumberFormat="1" applyFont="1" applyFill="1" applyBorder="1" applyAlignment="1">
      <alignment horizontal="center" vertical="center"/>
    </xf>
    <xf numFmtId="166" fontId="18" fillId="0" borderId="7" xfId="6" applyFont="1" applyFill="1" applyBorder="1" applyAlignment="1">
      <alignment horizontal="center" vertical="center" wrapText="1"/>
    </xf>
    <xf numFmtId="166" fontId="23" fillId="0" borderId="7" xfId="1" applyNumberFormat="1" applyFont="1" applyFill="1" applyBorder="1" applyAlignment="1">
      <alignment horizontal="center" vertical="center" wrapText="1"/>
    </xf>
    <xf numFmtId="166" fontId="18" fillId="0" borderId="9" xfId="0" applyNumberFormat="1" applyFont="1" applyFill="1" applyBorder="1" applyAlignment="1">
      <alignment horizontal="center" vertical="center" wrapText="1"/>
    </xf>
    <xf numFmtId="167" fontId="18" fillId="0" borderId="7" xfId="1" applyNumberFormat="1" applyFont="1" applyFill="1" applyBorder="1" applyAlignment="1">
      <alignment horizontal="center" vertical="center" wrapText="1"/>
    </xf>
    <xf numFmtId="170" fontId="18" fillId="0" borderId="7" xfId="0" applyNumberFormat="1" applyFont="1" applyBorder="1" applyAlignment="1">
      <alignment vertical="center" wrapText="1"/>
    </xf>
    <xf numFmtId="170" fontId="18" fillId="0" borderId="7" xfId="0" applyNumberFormat="1" applyFont="1" applyFill="1" applyBorder="1" applyAlignment="1">
      <alignment vertical="center" wrapText="1"/>
    </xf>
    <xf numFmtId="0" fontId="18" fillId="0" borderId="7" xfId="0" applyNumberFormat="1" applyFont="1" applyFill="1" applyBorder="1" applyAlignment="1">
      <alignment horizontal="left" vertical="center" wrapText="1"/>
    </xf>
    <xf numFmtId="170" fontId="19" fillId="0" borderId="7" xfId="0" applyNumberFormat="1" applyFont="1" applyBorder="1" applyAlignment="1">
      <alignment horizontal="center" vertical="center" wrapText="1"/>
    </xf>
    <xf numFmtId="172" fontId="24" fillId="0" borderId="7" xfId="4" applyNumberFormat="1" applyFont="1" applyBorder="1" applyAlignment="1">
      <alignment horizontal="center" vertical="center" wrapText="1"/>
    </xf>
    <xf numFmtId="166" fontId="18" fillId="0" borderId="7" xfId="6" applyFont="1" applyFill="1" applyBorder="1" applyAlignment="1">
      <alignment horizontal="right" vertical="center"/>
    </xf>
    <xf numFmtId="166" fontId="18" fillId="0" borderId="7" xfId="0" applyNumberFormat="1" applyFont="1" applyFill="1" applyBorder="1" applyAlignment="1">
      <alignment horizontal="left" vertical="center"/>
    </xf>
    <xf numFmtId="0" fontId="18" fillId="0" borderId="7" xfId="0" applyNumberFormat="1" applyFont="1" applyFill="1" applyBorder="1" applyAlignment="1">
      <alignment horizontal="left" vertical="center"/>
    </xf>
    <xf numFmtId="0" fontId="18" fillId="0" borderId="7" xfId="0" applyNumberFormat="1" applyFont="1" applyFill="1" applyBorder="1" applyAlignment="1">
      <alignment horizontal="center" vertical="center"/>
    </xf>
    <xf numFmtId="0" fontId="19" fillId="0" borderId="7" xfId="0" applyNumberFormat="1" applyFont="1" applyFill="1" applyBorder="1" applyAlignment="1">
      <alignment horizontal="center" vertical="center"/>
    </xf>
    <xf numFmtId="0" fontId="24" fillId="0" borderId="7" xfId="0" applyNumberFormat="1" applyFont="1" applyFill="1" applyBorder="1" applyAlignment="1">
      <alignment horizontal="center" vertical="center"/>
    </xf>
    <xf numFmtId="166" fontId="23" fillId="0" borderId="7" xfId="1" applyNumberFormat="1" applyFont="1" applyFill="1" applyBorder="1" applyAlignment="1">
      <alignment horizontal="left" vertical="center"/>
    </xf>
    <xf numFmtId="172" fontId="25" fillId="4" borderId="7" xfId="0" applyNumberFormat="1" applyFont="1" applyFill="1" applyBorder="1" applyAlignment="1">
      <alignment horizontal="center" vertical="center"/>
    </xf>
    <xf numFmtId="166" fontId="25" fillId="0" borderId="7" xfId="6" applyFont="1" applyFill="1" applyBorder="1" applyAlignment="1">
      <alignment horizontal="right" vertical="center"/>
    </xf>
    <xf numFmtId="166" fontId="22" fillId="0" borderId="7" xfId="1" applyNumberFormat="1" applyFont="1" applyFill="1" applyBorder="1" applyAlignment="1">
      <alignment horizontal="left" vertical="center"/>
    </xf>
    <xf numFmtId="166" fontId="22" fillId="4" borderId="7" xfId="0" applyNumberFormat="1" applyFont="1" applyFill="1" applyBorder="1" applyAlignment="1">
      <alignment horizontal="left" vertical="center"/>
    </xf>
    <xf numFmtId="0" fontId="22" fillId="0" borderId="7" xfId="0" applyNumberFormat="1" applyFont="1" applyFill="1" applyBorder="1" applyAlignment="1">
      <alignment horizontal="left" vertical="center"/>
    </xf>
    <xf numFmtId="169" fontId="22" fillId="2" borderId="7" xfId="0" applyNumberFormat="1" applyFont="1" applyFill="1" applyBorder="1" applyAlignment="1">
      <alignment vertical="center"/>
    </xf>
    <xf numFmtId="166" fontId="22" fillId="2" borderId="7" xfId="0" applyNumberFormat="1" applyFont="1" applyFill="1" applyBorder="1" applyAlignment="1">
      <alignment vertical="center"/>
    </xf>
    <xf numFmtId="168" fontId="18" fillId="0" borderId="0" xfId="0" applyNumberFormat="1" applyFont="1" applyFill="1" applyBorder="1" applyAlignment="1">
      <alignment horizontal="center" vertical="center"/>
    </xf>
    <xf numFmtId="0" fontId="18" fillId="0" borderId="0" xfId="0" applyNumberFormat="1" applyFont="1" applyFill="1" applyBorder="1" applyAlignment="1">
      <alignment horizontal="left" vertical="center"/>
    </xf>
    <xf numFmtId="0" fontId="18" fillId="0" borderId="0" xfId="0" applyNumberFormat="1" applyFont="1" applyFill="1" applyBorder="1" applyAlignment="1">
      <alignment vertical="center"/>
    </xf>
    <xf numFmtId="0" fontId="18" fillId="0" borderId="0" xfId="0" applyNumberFormat="1" applyFont="1" applyFill="1" applyBorder="1" applyAlignment="1">
      <alignment horizontal="center" vertical="center"/>
    </xf>
    <xf numFmtId="0" fontId="20" fillId="0" borderId="0" xfId="0" applyNumberFormat="1" applyFont="1" applyFill="1" applyBorder="1" applyAlignment="1">
      <alignment horizontal="center" vertical="center"/>
    </xf>
    <xf numFmtId="0" fontId="24" fillId="0" borderId="0" xfId="0" applyNumberFormat="1" applyFont="1" applyFill="1" applyBorder="1" applyAlignment="1">
      <alignment horizontal="center" vertical="center"/>
    </xf>
    <xf numFmtId="166" fontId="24" fillId="0" borderId="0" xfId="6" applyFont="1" applyFill="1" applyBorder="1" applyAlignment="1">
      <alignment horizontal="right" vertical="center"/>
    </xf>
    <xf numFmtId="166" fontId="23" fillId="0" borderId="0" xfId="1" applyNumberFormat="1" applyFont="1" applyFill="1" applyBorder="1" applyAlignment="1">
      <alignment horizontal="left" vertical="center"/>
    </xf>
    <xf numFmtId="166" fontId="26" fillId="0" borderId="0" xfId="0" applyNumberFormat="1" applyFont="1" applyFill="1" applyBorder="1" applyAlignment="1">
      <alignment horizontal="left" vertical="center"/>
    </xf>
    <xf numFmtId="166" fontId="24" fillId="0" borderId="0" xfId="1" applyNumberFormat="1" applyFont="1" applyFill="1" applyBorder="1" applyAlignment="1">
      <alignment horizontal="right" vertical="center"/>
    </xf>
    <xf numFmtId="169" fontId="22" fillId="2" borderId="7" xfId="0" applyNumberFormat="1" applyFont="1" applyFill="1" applyBorder="1" applyAlignment="1">
      <alignment horizontal="center" vertical="center"/>
    </xf>
    <xf numFmtId="166" fontId="22" fillId="2" borderId="7" xfId="6" applyNumberFormat="1" applyFont="1" applyFill="1" applyBorder="1" applyAlignment="1">
      <alignment horizontal="center" vertical="center" wrapText="1"/>
    </xf>
    <xf numFmtId="173" fontId="27" fillId="2" borderId="7" xfId="0" applyNumberFormat="1" applyFont="1" applyFill="1" applyBorder="1" applyAlignment="1">
      <alignment horizontal="center" vertical="center"/>
    </xf>
    <xf numFmtId="174" fontId="18" fillId="2" borderId="7" xfId="1" applyNumberFormat="1" applyFont="1" applyFill="1" applyBorder="1" applyAlignment="1">
      <alignment horizontal="center" vertical="center"/>
    </xf>
    <xf numFmtId="0" fontId="27" fillId="0" borderId="0" xfId="0" applyNumberFormat="1" applyFont="1" applyAlignment="1">
      <alignment vertical="center"/>
    </xf>
    <xf numFmtId="0" fontId="28" fillId="0" borderId="0" xfId="0" applyNumberFormat="1" applyFont="1" applyAlignment="1">
      <alignment vertical="center"/>
    </xf>
    <xf numFmtId="0" fontId="24" fillId="0" borderId="0" xfId="0" applyNumberFormat="1" applyFont="1" applyAlignment="1">
      <alignment vertical="center"/>
    </xf>
    <xf numFmtId="0" fontId="23" fillId="0" borderId="0" xfId="0" applyNumberFormat="1" applyFont="1" applyAlignment="1">
      <alignment vertical="center"/>
    </xf>
    <xf numFmtId="0" fontId="27" fillId="0" borderId="0" xfId="0" applyNumberFormat="1" applyFont="1" applyFill="1" applyAlignment="1">
      <alignment vertical="center"/>
    </xf>
    <xf numFmtId="0" fontId="22" fillId="0" borderId="0" xfId="0" applyNumberFormat="1" applyFont="1" applyFill="1" applyAlignment="1">
      <alignment vertical="center"/>
    </xf>
    <xf numFmtId="171" fontId="22" fillId="2" borderId="7" xfId="1" applyNumberFormat="1" applyFont="1" applyFill="1" applyBorder="1" applyAlignment="1">
      <alignment horizontal="center" vertical="center" wrapText="1"/>
    </xf>
    <xf numFmtId="0" fontId="18" fillId="0" borderId="0" xfId="0" applyNumberFormat="1" applyFont="1" applyFill="1" applyAlignment="1">
      <alignment vertical="center"/>
    </xf>
    <xf numFmtId="170" fontId="27" fillId="0" borderId="7" xfId="20" applyNumberFormat="1" applyFont="1" applyFill="1" applyBorder="1" applyAlignment="1">
      <alignment vertical="center" wrapText="1"/>
    </xf>
    <xf numFmtId="0" fontId="27" fillId="0" borderId="7" xfId="0" applyNumberFormat="1" applyFont="1" applyBorder="1" applyAlignment="1">
      <alignment vertical="center"/>
    </xf>
    <xf numFmtId="0" fontId="24" fillId="0" borderId="7" xfId="0" applyNumberFormat="1" applyFont="1" applyBorder="1" applyAlignment="1">
      <alignment vertical="center"/>
    </xf>
    <xf numFmtId="0" fontId="25" fillId="0" borderId="0" xfId="0" applyNumberFormat="1" applyFont="1" applyFill="1" applyAlignment="1">
      <alignment vertical="center"/>
    </xf>
    <xf numFmtId="170" fontId="28" fillId="0" borderId="7" xfId="20" applyNumberFormat="1" applyFont="1" applyFill="1" applyBorder="1" applyAlignment="1">
      <alignment horizontal="center" vertical="center" wrapText="1" shrinkToFit="1"/>
    </xf>
    <xf numFmtId="172" fontId="19" fillId="0" borderId="7" xfId="1" applyNumberFormat="1" applyFont="1" applyFill="1" applyBorder="1" applyAlignment="1">
      <alignment vertical="center" wrapText="1"/>
    </xf>
    <xf numFmtId="0" fontId="27" fillId="0" borderId="7" xfId="0" applyNumberFormat="1" applyFont="1" applyFill="1" applyBorder="1" applyAlignment="1">
      <alignment vertical="center"/>
    </xf>
    <xf numFmtId="0" fontId="24" fillId="0" borderId="7" xfId="0" applyNumberFormat="1" applyFont="1" applyFill="1" applyBorder="1" applyAlignment="1">
      <alignment vertical="center"/>
    </xf>
    <xf numFmtId="172" fontId="24" fillId="0" borderId="0" xfId="0" applyNumberFormat="1" applyFont="1" applyFill="1" applyBorder="1" applyAlignment="1">
      <alignment horizontal="center" vertical="center"/>
    </xf>
    <xf numFmtId="185" fontId="3" fillId="0" borderId="0" xfId="16" applyNumberFormat="1" applyFont="1" applyAlignment="1">
      <alignment horizontal="center" vertical="center"/>
    </xf>
    <xf numFmtId="187" fontId="3" fillId="0" borderId="0" xfId="16" applyNumberFormat="1" applyFont="1" applyAlignment="1">
      <alignment horizontal="center" vertical="center"/>
    </xf>
    <xf numFmtId="14" fontId="3" fillId="3" borderId="0" xfId="16" applyNumberFormat="1" applyFont="1" applyFill="1" applyAlignment="1">
      <alignment horizontal="left" vertical="center"/>
    </xf>
    <xf numFmtId="175" fontId="3" fillId="3" borderId="0" xfId="16" applyNumberFormat="1" applyFont="1" applyFill="1" applyAlignment="1">
      <alignment horizontal="left" vertical="center"/>
    </xf>
    <xf numFmtId="189" fontId="3" fillId="0" borderId="0" xfId="16" applyNumberFormat="1" applyFont="1" applyAlignment="1">
      <alignment horizontal="center" vertical="center"/>
    </xf>
    <xf numFmtId="165" fontId="31" fillId="0" borderId="0" xfId="2" applyFont="1" applyAlignment="1">
      <alignment vertical="center"/>
    </xf>
    <xf numFmtId="0" fontId="3" fillId="0" borderId="0" xfId="16" applyFont="1" applyAlignment="1">
      <alignment horizontal="right" vertical="center"/>
    </xf>
    <xf numFmtId="166" fontId="31" fillId="0" borderId="0" xfId="6" applyFont="1" applyFill="1" applyAlignment="1">
      <alignment vertical="center"/>
    </xf>
    <xf numFmtId="14" fontId="3" fillId="0" borderId="0" xfId="16" applyNumberFormat="1" applyFont="1" applyAlignment="1">
      <alignment vertical="center"/>
    </xf>
    <xf numFmtId="0" fontId="31" fillId="0" borderId="0" xfId="16" applyFont="1" applyAlignment="1">
      <alignment vertical="center"/>
    </xf>
    <xf numFmtId="0" fontId="3" fillId="0" borderId="0" xfId="16" applyFont="1" applyAlignment="1">
      <alignment vertical="center"/>
    </xf>
    <xf numFmtId="0" fontId="3" fillId="0" borderId="0" xfId="16" applyFont="1" applyFill="1" applyAlignment="1">
      <alignment vertical="center"/>
    </xf>
    <xf numFmtId="0" fontId="33" fillId="0" borderId="0" xfId="16" applyFont="1" applyFill="1" applyAlignment="1"/>
    <xf numFmtId="185" fontId="31" fillId="7" borderId="7" xfId="16" applyNumberFormat="1" applyFont="1" applyFill="1" applyBorder="1" applyAlignment="1">
      <alignment horizontal="center" vertical="center" wrapText="1"/>
    </xf>
    <xf numFmtId="187" fontId="31" fillId="7" borderId="7" xfId="16" applyNumberFormat="1" applyFont="1" applyFill="1" applyBorder="1" applyAlignment="1">
      <alignment horizontal="center" vertical="center" wrapText="1" shrinkToFit="1"/>
    </xf>
    <xf numFmtId="175" fontId="31" fillId="7" borderId="7" xfId="16" applyNumberFormat="1" applyFont="1" applyFill="1" applyBorder="1" applyAlignment="1">
      <alignment horizontal="center" vertical="center" wrapText="1" shrinkToFit="1"/>
    </xf>
    <xf numFmtId="189" fontId="31" fillId="7" borderId="7" xfId="16" applyNumberFormat="1" applyFont="1" applyFill="1" applyBorder="1" applyAlignment="1">
      <alignment horizontal="center" vertical="center" wrapText="1" shrinkToFit="1"/>
    </xf>
    <xf numFmtId="165" fontId="31" fillId="7" borderId="7" xfId="2" applyFont="1" applyFill="1" applyBorder="1" applyAlignment="1">
      <alignment horizontal="center" vertical="center" wrapText="1" shrinkToFit="1"/>
    </xf>
    <xf numFmtId="0" fontId="31" fillId="7" borderId="7" xfId="16" applyFont="1" applyFill="1" applyBorder="1" applyAlignment="1">
      <alignment horizontal="center" vertical="center" wrapText="1" shrinkToFit="1"/>
    </xf>
    <xf numFmtId="166" fontId="31" fillId="7" borderId="7" xfId="6" applyFont="1" applyFill="1" applyBorder="1" applyAlignment="1">
      <alignment horizontal="center" vertical="center" wrapText="1" shrinkToFit="1"/>
    </xf>
    <xf numFmtId="14" fontId="31" fillId="7" borderId="7" xfId="16" applyNumberFormat="1" applyFont="1" applyFill="1" applyBorder="1" applyAlignment="1">
      <alignment horizontal="center" vertical="center" wrapText="1" shrinkToFit="1"/>
    </xf>
    <xf numFmtId="174" fontId="31" fillId="7" borderId="7" xfId="16" applyNumberFormat="1" applyFont="1" applyFill="1" applyBorder="1" applyAlignment="1">
      <alignment horizontal="center" vertical="center" wrapText="1" shrinkToFit="1"/>
    </xf>
    <xf numFmtId="0" fontId="31" fillId="0" borderId="0" xfId="16" applyFont="1" applyFill="1" applyAlignment="1">
      <alignment horizontal="center" vertical="center"/>
    </xf>
    <xf numFmtId="185" fontId="3" fillId="7" borderId="7" xfId="16" applyNumberFormat="1" applyFont="1" applyFill="1" applyBorder="1" applyAlignment="1">
      <alignment vertical="center"/>
    </xf>
    <xf numFmtId="189" fontId="31" fillId="7" borderId="7" xfId="19" applyNumberFormat="1" applyFont="1" applyFill="1" applyBorder="1" applyAlignment="1">
      <alignment horizontal="center" vertical="center" wrapText="1"/>
    </xf>
    <xf numFmtId="167" fontId="31" fillId="7" borderId="7" xfId="19" applyNumberFormat="1" applyFont="1" applyFill="1" applyBorder="1" applyAlignment="1">
      <alignment vertical="center" wrapText="1"/>
    </xf>
    <xf numFmtId="0" fontId="31" fillId="7" borderId="7" xfId="19" applyFont="1" applyFill="1" applyBorder="1" applyAlignment="1">
      <alignment vertical="center" wrapText="1"/>
    </xf>
    <xf numFmtId="14" fontId="31" fillId="7" borderId="7" xfId="19" applyNumberFormat="1" applyFont="1" applyFill="1" applyBorder="1" applyAlignment="1">
      <alignment vertical="center" wrapText="1"/>
    </xf>
    <xf numFmtId="0" fontId="31" fillId="7" borderId="7" xfId="16" applyFont="1" applyFill="1" applyBorder="1" applyAlignment="1">
      <alignment vertical="center" wrapText="1"/>
    </xf>
    <xf numFmtId="185" fontId="3" fillId="0" borderId="0" xfId="16" applyNumberFormat="1" applyFont="1" applyFill="1" applyBorder="1" applyAlignment="1">
      <alignment vertical="center"/>
    </xf>
    <xf numFmtId="187" fontId="3" fillId="0" borderId="0" xfId="16" applyNumberFormat="1" applyFont="1" applyFill="1" applyBorder="1" applyAlignment="1">
      <alignment horizontal="center" vertical="center"/>
    </xf>
    <xf numFmtId="14" fontId="3" fillId="0" borderId="0" xfId="16" applyNumberFormat="1" applyFont="1" applyFill="1" applyBorder="1" applyAlignment="1">
      <alignment horizontal="left" vertical="center"/>
    </xf>
    <xf numFmtId="0" fontId="3" fillId="0" borderId="0" xfId="16" applyFont="1" applyFill="1" applyBorder="1" applyAlignment="1">
      <alignment vertical="center"/>
    </xf>
    <xf numFmtId="189" fontId="3" fillId="0" borderId="0" xfId="16" applyNumberFormat="1" applyFont="1" applyFill="1" applyBorder="1" applyAlignment="1">
      <alignment horizontal="center" vertical="center"/>
    </xf>
    <xf numFmtId="14" fontId="3" fillId="0" borderId="0" xfId="16" applyNumberFormat="1" applyFont="1" applyFill="1" applyBorder="1" applyAlignment="1">
      <alignment vertical="center"/>
    </xf>
    <xf numFmtId="185" fontId="3" fillId="0" borderId="0" xfId="16" applyNumberFormat="1" applyFont="1" applyAlignment="1">
      <alignment vertical="center"/>
    </xf>
    <xf numFmtId="14" fontId="3" fillId="0" borderId="0" xfId="16" applyNumberFormat="1" applyFont="1" applyAlignment="1">
      <alignment horizontal="left" vertical="center"/>
    </xf>
    <xf numFmtId="185" fontId="3" fillId="0" borderId="0" xfId="16" applyNumberFormat="1" applyFont="1" applyFill="1" applyAlignment="1">
      <alignment vertical="center"/>
    </xf>
    <xf numFmtId="187" fontId="3" fillId="0" borderId="0" xfId="16" applyNumberFormat="1" applyFont="1" applyFill="1" applyAlignment="1">
      <alignment horizontal="center" vertical="center"/>
    </xf>
    <xf numFmtId="14" fontId="3" fillId="0" borderId="0" xfId="16" applyNumberFormat="1" applyFont="1" applyFill="1" applyAlignment="1">
      <alignment horizontal="left" vertical="center"/>
    </xf>
    <xf numFmtId="189" fontId="3" fillId="0" borderId="0" xfId="16" applyNumberFormat="1" applyFont="1" applyFill="1" applyAlignment="1">
      <alignment horizontal="center" vertical="center"/>
    </xf>
    <xf numFmtId="0" fontId="31" fillId="0" borderId="0" xfId="16" applyFont="1" applyFill="1" applyAlignment="1">
      <alignment vertical="center"/>
    </xf>
    <xf numFmtId="14" fontId="3" fillId="0" borderId="0" xfId="16" applyNumberFormat="1" applyFont="1" applyFill="1" applyAlignment="1">
      <alignment vertical="center"/>
    </xf>
    <xf numFmtId="185" fontId="34" fillId="0" borderId="0" xfId="16" applyNumberFormat="1" applyFont="1" applyAlignment="1">
      <alignment vertical="center"/>
    </xf>
    <xf numFmtId="187" fontId="34" fillId="0" borderId="0" xfId="16" applyNumberFormat="1" applyFont="1" applyAlignment="1">
      <alignment horizontal="center" vertical="center"/>
    </xf>
    <xf numFmtId="14" fontId="34" fillId="0" borderId="0" xfId="16" applyNumberFormat="1" applyFont="1" applyAlignment="1">
      <alignment horizontal="left" vertical="center"/>
    </xf>
    <xf numFmtId="0" fontId="34" fillId="0" borderId="0" xfId="16" applyFont="1" applyAlignment="1">
      <alignment vertical="center"/>
    </xf>
    <xf numFmtId="189" fontId="34" fillId="0" borderId="0" xfId="16" applyNumberFormat="1" applyFont="1" applyAlignment="1">
      <alignment horizontal="center" vertical="center"/>
    </xf>
    <xf numFmtId="14" fontId="34" fillId="0" borderId="0" xfId="16" applyNumberFormat="1" applyFont="1" applyAlignment="1">
      <alignment vertical="center"/>
    </xf>
    <xf numFmtId="0" fontId="34" fillId="0" borderId="0" xfId="16" applyFont="1" applyFill="1" applyAlignment="1">
      <alignment vertical="center"/>
    </xf>
    <xf numFmtId="185" fontId="3" fillId="0" borderId="0" xfId="16" applyNumberFormat="1" applyFont="1" applyFill="1" applyAlignment="1">
      <alignment horizontal="center" vertical="center"/>
    </xf>
    <xf numFmtId="175" fontId="3" fillId="0" borderId="0" xfId="16" applyNumberFormat="1" applyFont="1" applyFill="1" applyAlignment="1">
      <alignment horizontal="left" vertical="center"/>
    </xf>
    <xf numFmtId="165" fontId="31" fillId="0" borderId="0" xfId="2" applyFont="1" applyFill="1" applyAlignment="1">
      <alignment vertical="center"/>
    </xf>
    <xf numFmtId="0" fontId="3" fillId="0" borderId="0" xfId="16" applyFont="1" applyFill="1" applyAlignment="1">
      <alignment horizontal="right" vertical="center"/>
    </xf>
    <xf numFmtId="0" fontId="35" fillId="0" borderId="9" xfId="0" applyNumberFormat="1" applyFont="1" applyBorder="1"/>
    <xf numFmtId="187" fontId="35" fillId="0" borderId="9" xfId="0" applyNumberFormat="1" applyFont="1" applyBorder="1" applyAlignment="1">
      <alignment horizontal="center" vertical="center"/>
    </xf>
    <xf numFmtId="186" fontId="35" fillId="0" borderId="9" xfId="0" applyNumberFormat="1" applyFont="1" applyBorder="1" applyAlignment="1">
      <alignment horizontal="center"/>
    </xf>
    <xf numFmtId="0" fontId="35" fillId="0" borderId="9" xfId="0" applyNumberFormat="1" applyFont="1" applyBorder="1" applyAlignment="1">
      <alignment horizontal="left"/>
    </xf>
    <xf numFmtId="171" fontId="35" fillId="0" borderId="9" xfId="1" applyNumberFormat="1" applyFont="1" applyBorder="1"/>
    <xf numFmtId="0" fontId="36" fillId="0" borderId="9" xfId="0" applyNumberFormat="1" applyFont="1" applyBorder="1"/>
    <xf numFmtId="167" fontId="35" fillId="0" borderId="9" xfId="1" applyFont="1" applyBorder="1"/>
    <xf numFmtId="167" fontId="35" fillId="0" borderId="9" xfId="1" applyFont="1" applyBorder="1" applyAlignment="1">
      <alignment vertical="center"/>
    </xf>
    <xf numFmtId="0" fontId="6" fillId="0" borderId="9" xfId="0" applyNumberFormat="1" applyFont="1" applyBorder="1" applyAlignment="1">
      <alignment horizontal="left"/>
    </xf>
    <xf numFmtId="0" fontId="37" fillId="0" borderId="9" xfId="0" applyNumberFormat="1" applyFont="1" applyBorder="1"/>
    <xf numFmtId="166" fontId="35" fillId="0" borderId="9" xfId="6" applyFont="1" applyBorder="1"/>
    <xf numFmtId="0" fontId="35" fillId="0" borderId="0" xfId="0" applyNumberFormat="1" applyFont="1" applyFill="1" applyBorder="1"/>
    <xf numFmtId="0" fontId="35" fillId="0" borderId="7" xfId="0" applyNumberFormat="1" applyFont="1" applyBorder="1"/>
    <xf numFmtId="187" fontId="35" fillId="0" borderId="7" xfId="0" applyNumberFormat="1" applyFont="1" applyBorder="1" applyAlignment="1">
      <alignment horizontal="center" vertical="center"/>
    </xf>
    <xf numFmtId="186" fontId="35" fillId="0" borderId="7" xfId="0" applyNumberFormat="1" applyFont="1" applyBorder="1" applyAlignment="1">
      <alignment horizontal="center"/>
    </xf>
    <xf numFmtId="0" fontId="35" fillId="0" borderId="7" xfId="0" applyNumberFormat="1" applyFont="1" applyBorder="1" applyAlignment="1">
      <alignment horizontal="left"/>
    </xf>
    <xf numFmtId="171" fontId="35" fillId="0" borderId="7" xfId="1" applyNumberFormat="1" applyFont="1" applyBorder="1"/>
    <xf numFmtId="0" fontId="36" fillId="0" borderId="7" xfId="0" applyNumberFormat="1" applyFont="1" applyBorder="1"/>
    <xf numFmtId="167" fontId="35" fillId="0" borderId="7" xfId="1" applyFont="1" applyBorder="1"/>
    <xf numFmtId="167" fontId="35" fillId="0" borderId="7" xfId="1" applyFont="1" applyBorder="1" applyAlignment="1">
      <alignment vertical="center"/>
    </xf>
    <xf numFmtId="0" fontId="6" fillId="0" borderId="7" xfId="0" applyNumberFormat="1" applyFont="1" applyBorder="1" applyAlignment="1">
      <alignment horizontal="left"/>
    </xf>
    <xf numFmtId="0" fontId="37" fillId="0" borderId="7" xfId="0" applyNumberFormat="1" applyFont="1" applyBorder="1"/>
    <xf numFmtId="166" fontId="35" fillId="0" borderId="7" xfId="6" applyFont="1" applyBorder="1"/>
    <xf numFmtId="166" fontId="37" fillId="0" borderId="7" xfId="6" applyFont="1" applyBorder="1"/>
    <xf numFmtId="0" fontId="38" fillId="9" borderId="7" xfId="0" applyNumberFormat="1" applyFont="1" applyFill="1" applyBorder="1" applyAlignment="1">
      <alignment horizontal="center" vertical="center"/>
    </xf>
    <xf numFmtId="187" fontId="38" fillId="9" borderId="7" xfId="0" applyNumberFormat="1" applyFont="1" applyFill="1" applyBorder="1" applyAlignment="1">
      <alignment horizontal="center" vertical="center" wrapText="1"/>
    </xf>
    <xf numFmtId="186" fontId="38" fillId="9" borderId="7" xfId="0" applyNumberFormat="1" applyFont="1" applyFill="1" applyBorder="1" applyAlignment="1">
      <alignment horizontal="center" vertical="center" wrapText="1"/>
    </xf>
    <xf numFmtId="0" fontId="38" fillId="9" borderId="7" xfId="0" applyNumberFormat="1" applyFont="1" applyFill="1" applyBorder="1" applyAlignment="1">
      <alignment horizontal="left" vertical="center"/>
    </xf>
    <xf numFmtId="171" fontId="38" fillId="9" borderId="7" xfId="1" applyNumberFormat="1" applyFont="1" applyFill="1" applyBorder="1" applyAlignment="1">
      <alignment horizontal="center" vertical="center" wrapText="1"/>
    </xf>
    <xf numFmtId="0" fontId="38" fillId="9" borderId="7" xfId="0" applyNumberFormat="1" applyFont="1" applyFill="1" applyBorder="1" applyAlignment="1">
      <alignment horizontal="center" vertical="center" wrapText="1"/>
    </xf>
    <xf numFmtId="167" fontId="38" fillId="9" borderId="7" xfId="1" applyFont="1" applyFill="1" applyBorder="1" applyAlignment="1">
      <alignment horizontal="center" vertical="center" wrapText="1"/>
    </xf>
    <xf numFmtId="166" fontId="38" fillId="9" borderId="7" xfId="6" applyFont="1" applyFill="1" applyBorder="1" applyAlignment="1">
      <alignment horizontal="center" vertical="center" wrapText="1"/>
    </xf>
    <xf numFmtId="0" fontId="38" fillId="0" borderId="0" xfId="0" applyNumberFormat="1" applyFont="1" applyFill="1" applyBorder="1" applyAlignment="1">
      <alignment horizontal="center" vertical="center"/>
    </xf>
    <xf numFmtId="0" fontId="38" fillId="9" borderId="7" xfId="0" applyNumberFormat="1" applyFont="1" applyFill="1" applyBorder="1" applyAlignment="1"/>
    <xf numFmtId="186" fontId="38" fillId="9" borderId="7" xfId="0" applyNumberFormat="1" applyFont="1" applyFill="1" applyBorder="1" applyAlignment="1"/>
    <xf numFmtId="0" fontId="38" fillId="9" borderId="7" xfId="0" applyNumberFormat="1" applyFont="1" applyFill="1" applyBorder="1" applyAlignment="1">
      <alignment horizontal="left"/>
    </xf>
    <xf numFmtId="166" fontId="38" fillId="9" borderId="7" xfId="6" applyFont="1" applyFill="1" applyBorder="1"/>
    <xf numFmtId="0" fontId="38" fillId="0" borderId="0" xfId="0" applyNumberFormat="1" applyFont="1" applyFill="1" applyBorder="1"/>
    <xf numFmtId="0" fontId="38" fillId="9" borderId="7" xfId="0" applyNumberFormat="1" applyFont="1" applyFill="1" applyBorder="1" applyAlignment="1">
      <alignment horizontal="center"/>
    </xf>
    <xf numFmtId="187" fontId="38" fillId="9" borderId="7" xfId="0" applyNumberFormat="1" applyFont="1" applyFill="1" applyBorder="1" applyAlignment="1">
      <alignment horizontal="center" vertical="center"/>
    </xf>
    <xf numFmtId="186" fontId="38" fillId="9" borderId="7" xfId="0" applyNumberFormat="1" applyFont="1" applyFill="1" applyBorder="1" applyAlignment="1">
      <alignment horizontal="center"/>
    </xf>
    <xf numFmtId="0" fontId="38" fillId="0" borderId="0" xfId="0" applyNumberFormat="1" applyFont="1" applyFill="1" applyBorder="1" applyAlignment="1">
      <alignment horizontal="center"/>
    </xf>
    <xf numFmtId="0" fontId="35" fillId="0" borderId="0" xfId="0" applyNumberFormat="1" applyFont="1" applyFill="1"/>
    <xf numFmtId="187" fontId="35" fillId="0" borderId="0" xfId="0" applyNumberFormat="1" applyFont="1" applyFill="1" applyAlignment="1">
      <alignment horizontal="center" vertical="center"/>
    </xf>
    <xf numFmtId="186" fontId="35" fillId="0" borderId="0" xfId="0" applyNumberFormat="1" applyFont="1" applyFill="1" applyAlignment="1">
      <alignment horizontal="center"/>
    </xf>
    <xf numFmtId="0" fontId="35" fillId="0" borderId="0" xfId="0" applyNumberFormat="1" applyFont="1" applyFill="1" applyAlignment="1">
      <alignment horizontal="left"/>
    </xf>
    <xf numFmtId="171" fontId="35" fillId="0" borderId="0" xfId="1" applyNumberFormat="1" applyFont="1" applyFill="1"/>
    <xf numFmtId="0" fontId="36" fillId="0" borderId="0" xfId="0" applyNumberFormat="1" applyFont="1" applyFill="1"/>
    <xf numFmtId="167" fontId="35" fillId="0" borderId="0" xfId="1" applyFont="1" applyFill="1"/>
    <xf numFmtId="167" fontId="35" fillId="0" borderId="0" xfId="1" applyFont="1" applyFill="1" applyAlignment="1">
      <alignment vertical="center"/>
    </xf>
    <xf numFmtId="0" fontId="6" fillId="0" borderId="0" xfId="0" applyNumberFormat="1" applyFont="1" applyFill="1" applyAlignment="1">
      <alignment horizontal="left"/>
    </xf>
    <xf numFmtId="0" fontId="37" fillId="0" borderId="0" xfId="0" applyNumberFormat="1" applyFont="1" applyFill="1"/>
    <xf numFmtId="166" fontId="35" fillId="0" borderId="0" xfId="6" applyFont="1" applyFill="1"/>
    <xf numFmtId="166" fontId="37" fillId="0" borderId="0" xfId="6" applyFont="1" applyFill="1"/>
    <xf numFmtId="0" fontId="39" fillId="0" borderId="0" xfId="0" applyNumberFormat="1" applyFont="1" applyFill="1"/>
    <xf numFmtId="0" fontId="40" fillId="0" borderId="0" xfId="0" applyNumberFormat="1" applyFont="1" applyAlignment="1">
      <alignment vertical="center"/>
    </xf>
    <xf numFmtId="0" fontId="40" fillId="0" borderId="0" xfId="0" applyNumberFormat="1" applyFont="1"/>
    <xf numFmtId="0" fontId="40" fillId="0" borderId="6" xfId="0" applyNumberFormat="1" applyFont="1" applyBorder="1" applyAlignment="1">
      <alignment vertical="center"/>
    </xf>
    <xf numFmtId="166" fontId="40" fillId="0" borderId="7" xfId="0" applyNumberFormat="1" applyFont="1" applyBorder="1" applyAlignment="1">
      <alignment vertical="center"/>
    </xf>
    <xf numFmtId="166" fontId="40" fillId="0" borderId="7" xfId="42" applyFont="1" applyBorder="1" applyAlignment="1">
      <alignment vertical="center"/>
    </xf>
    <xf numFmtId="0" fontId="3" fillId="0" borderId="0" xfId="0" applyNumberFormat="1" applyFont="1" applyAlignment="1">
      <alignment vertical="center"/>
    </xf>
    <xf numFmtId="166" fontId="40" fillId="0" borderId="0" xfId="0" applyNumberFormat="1" applyFont="1" applyAlignment="1">
      <alignment vertical="center"/>
    </xf>
    <xf numFmtId="166" fontId="40" fillId="0" borderId="0" xfId="0" applyNumberFormat="1" applyFont="1"/>
    <xf numFmtId="166" fontId="41" fillId="0" borderId="0" xfId="0" applyNumberFormat="1" applyFont="1"/>
    <xf numFmtId="171" fontId="40" fillId="0" borderId="0" xfId="43" applyNumberFormat="1" applyFont="1"/>
    <xf numFmtId="0" fontId="42" fillId="0" borderId="6" xfId="0" applyNumberFormat="1" applyFont="1" applyBorder="1" applyAlignment="1">
      <alignment vertical="center"/>
    </xf>
    <xf numFmtId="1" fontId="43" fillId="0" borderId="7" xfId="0" applyNumberFormat="1" applyFont="1" applyBorder="1" applyAlignment="1">
      <alignment vertical="center"/>
    </xf>
    <xf numFmtId="166" fontId="42" fillId="0" borderId="7" xfId="0" applyNumberFormat="1" applyFont="1" applyBorder="1" applyAlignment="1">
      <alignment vertical="center"/>
    </xf>
    <xf numFmtId="166" fontId="42" fillId="0" borderId="7" xfId="42" applyFont="1" applyBorder="1" applyAlignment="1">
      <alignment vertical="center"/>
    </xf>
    <xf numFmtId="0" fontId="42" fillId="0" borderId="7" xfId="0" applyNumberFormat="1" applyFont="1" applyBorder="1" applyAlignment="1">
      <alignment vertical="center"/>
    </xf>
    <xf numFmtId="0" fontId="40" fillId="7" borderId="7" xfId="0" applyNumberFormat="1" applyFont="1" applyFill="1" applyBorder="1" applyAlignment="1">
      <alignment vertical="center"/>
    </xf>
    <xf numFmtId="0" fontId="42" fillId="7" borderId="7" xfId="0" applyNumberFormat="1" applyFont="1" applyFill="1" applyBorder="1" applyAlignment="1">
      <alignment vertical="center"/>
    </xf>
    <xf numFmtId="0" fontId="40" fillId="8" borderId="8" xfId="0" applyNumberFormat="1" applyFont="1" applyFill="1" applyBorder="1" applyAlignment="1">
      <alignment vertical="center"/>
    </xf>
    <xf numFmtId="166" fontId="42" fillId="8" borderId="8" xfId="0" applyNumberFormat="1" applyFont="1" applyFill="1" applyBorder="1" applyAlignment="1">
      <alignment vertical="center"/>
    </xf>
    <xf numFmtId="0" fontId="42" fillId="8" borderId="8" xfId="0" applyNumberFormat="1" applyFont="1" applyFill="1" applyBorder="1" applyAlignment="1">
      <alignment vertical="center"/>
    </xf>
    <xf numFmtId="0" fontId="43" fillId="9" borderId="4" xfId="0" applyNumberFormat="1" applyFont="1" applyFill="1" applyBorder="1" applyAlignment="1">
      <alignment horizontal="center" vertical="center"/>
    </xf>
    <xf numFmtId="0" fontId="43" fillId="9" borderId="3" xfId="0" applyNumberFormat="1" applyFont="1" applyFill="1" applyBorder="1" applyAlignment="1">
      <alignment horizontal="center" vertical="center"/>
    </xf>
    <xf numFmtId="0" fontId="43" fillId="7" borderId="3" xfId="0" applyNumberFormat="1" applyFont="1" applyFill="1" applyBorder="1" applyAlignment="1">
      <alignment horizontal="center" vertical="center" wrapText="1"/>
    </xf>
    <xf numFmtId="0" fontId="43" fillId="8" borderId="5" xfId="0" applyNumberFormat="1" applyFont="1" applyFill="1" applyBorder="1" applyAlignment="1">
      <alignment horizontal="center" vertical="center"/>
    </xf>
    <xf numFmtId="185" fontId="44" fillId="0" borderId="9" xfId="16" applyNumberFormat="1" applyFont="1" applyFill="1" applyBorder="1" applyAlignment="1">
      <alignment horizontal="center" vertical="center"/>
    </xf>
    <xf numFmtId="187" fontId="45" fillId="0" borderId="9" xfId="16" applyNumberFormat="1" applyFont="1" applyFill="1" applyBorder="1" applyAlignment="1">
      <alignment horizontal="center" vertical="center"/>
    </xf>
    <xf numFmtId="14" fontId="44" fillId="0" borderId="9" xfId="16" applyNumberFormat="1" applyFont="1" applyFill="1" applyBorder="1" applyAlignment="1">
      <alignment horizontal="left" vertical="center"/>
    </xf>
    <xf numFmtId="166" fontId="45" fillId="0" borderId="9" xfId="42" applyFont="1" applyFill="1" applyBorder="1" applyAlignment="1">
      <alignment horizontal="right" vertical="center"/>
    </xf>
    <xf numFmtId="174" fontId="44" fillId="0" borderId="9" xfId="16" applyNumberFormat="1" applyFont="1" applyFill="1" applyBorder="1" applyAlignment="1">
      <alignment vertical="center"/>
    </xf>
    <xf numFmtId="166" fontId="45" fillId="0" borderId="9" xfId="42" applyFont="1" applyFill="1" applyBorder="1" applyAlignment="1">
      <alignment vertical="center"/>
    </xf>
    <xf numFmtId="14" fontId="44" fillId="0" borderId="9" xfId="16" applyNumberFormat="1" applyFont="1" applyFill="1" applyBorder="1" applyAlignment="1">
      <alignment horizontal="center" vertical="center"/>
    </xf>
    <xf numFmtId="166" fontId="44" fillId="0" borderId="9" xfId="42" applyFont="1" applyFill="1" applyBorder="1" applyAlignment="1">
      <alignment vertical="center"/>
    </xf>
    <xf numFmtId="167" fontId="45" fillId="0" borderId="9" xfId="43" applyFont="1" applyFill="1" applyBorder="1" applyAlignment="1">
      <alignment vertical="center"/>
    </xf>
    <xf numFmtId="166" fontId="45" fillId="0" borderId="9" xfId="16" applyNumberFormat="1" applyFont="1" applyFill="1" applyBorder="1" applyAlignment="1">
      <alignment vertical="center"/>
    </xf>
    <xf numFmtId="0" fontId="46" fillId="0" borderId="16" xfId="0" applyNumberFormat="1" applyFont="1" applyFill="1" applyBorder="1" applyAlignment="1">
      <alignment horizontal="center"/>
    </xf>
    <xf numFmtId="187" fontId="46" fillId="0" borderId="12" xfId="0" applyNumberFormat="1" applyFont="1" applyFill="1" applyBorder="1" applyAlignment="1">
      <alignment horizontal="center" vertical="center"/>
    </xf>
    <xf numFmtId="186" fontId="46" fillId="0" borderId="12" xfId="0" applyNumberFormat="1" applyFont="1" applyFill="1" applyBorder="1" applyAlignment="1">
      <alignment horizontal="center"/>
    </xf>
    <xf numFmtId="0" fontId="46" fillId="0" borderId="12" xfId="0" applyNumberFormat="1" applyFont="1" applyFill="1" applyBorder="1" applyAlignment="1">
      <alignment horizontal="center"/>
    </xf>
    <xf numFmtId="0" fontId="46" fillId="0" borderId="12" xfId="0" applyNumberFormat="1" applyFont="1" applyFill="1" applyBorder="1" applyAlignment="1">
      <alignment horizontal="left"/>
    </xf>
    <xf numFmtId="171" fontId="46" fillId="0" borderId="12" xfId="1" applyNumberFormat="1" applyFont="1" applyFill="1" applyBorder="1" applyAlignment="1">
      <alignment horizontal="right" vertical="center"/>
    </xf>
    <xf numFmtId="167" fontId="46" fillId="0" borderId="12" xfId="1" applyFont="1" applyFill="1" applyBorder="1" applyAlignment="1">
      <alignment horizontal="right" vertical="center"/>
    </xf>
    <xf numFmtId="171" fontId="46" fillId="0" borderId="12" xfId="1" applyNumberFormat="1" applyFont="1" applyFill="1" applyBorder="1" applyAlignment="1">
      <alignment horizontal="center"/>
    </xf>
    <xf numFmtId="166" fontId="46" fillId="0" borderId="12" xfId="6" applyFont="1" applyFill="1" applyBorder="1" applyAlignment="1">
      <alignment horizontal="center"/>
    </xf>
    <xf numFmtId="166" fontId="46" fillId="0" borderId="17" xfId="6" applyFont="1" applyFill="1" applyBorder="1" applyAlignment="1">
      <alignment horizontal="center"/>
    </xf>
    <xf numFmtId="166" fontId="31" fillId="0" borderId="0" xfId="16" applyNumberFormat="1" applyFont="1" applyFill="1" applyBorder="1" applyAlignment="1">
      <alignment vertical="center"/>
    </xf>
    <xf numFmtId="166" fontId="31" fillId="0" borderId="0" xfId="6" applyNumberFormat="1" applyFont="1" applyFill="1" applyBorder="1" applyAlignment="1">
      <alignment vertical="center"/>
    </xf>
    <xf numFmtId="166" fontId="31" fillId="0" borderId="0" xfId="6" applyNumberFormat="1" applyFont="1" applyFill="1" applyAlignment="1">
      <alignment vertical="center"/>
    </xf>
    <xf numFmtId="166" fontId="3" fillId="0" borderId="0" xfId="16" applyNumberFormat="1" applyFont="1" applyFill="1" applyBorder="1" applyAlignment="1">
      <alignment vertical="center"/>
    </xf>
    <xf numFmtId="166" fontId="3" fillId="0" borderId="0" xfId="16" applyNumberFormat="1" applyFont="1" applyAlignment="1">
      <alignment vertical="center"/>
    </xf>
    <xf numFmtId="166" fontId="3" fillId="0" borderId="0" xfId="16" applyNumberFormat="1" applyFont="1" applyFill="1" applyAlignment="1">
      <alignment vertical="center"/>
    </xf>
    <xf numFmtId="166" fontId="34" fillId="0" borderId="0" xfId="16" applyNumberFormat="1" applyFont="1" applyAlignment="1">
      <alignment vertical="center"/>
    </xf>
    <xf numFmtId="166" fontId="3" fillId="0" borderId="0" xfId="16" applyNumberFormat="1" applyFont="1" applyFill="1" applyAlignment="1">
      <alignment horizontal="right" vertical="center"/>
    </xf>
    <xf numFmtId="166" fontId="31" fillId="0" borderId="0" xfId="16" applyNumberFormat="1" applyFont="1" applyAlignment="1">
      <alignment vertical="center"/>
    </xf>
    <xf numFmtId="166" fontId="31" fillId="0" borderId="0" xfId="16" applyNumberFormat="1" applyFont="1" applyFill="1" applyAlignment="1">
      <alignment vertical="center"/>
    </xf>
    <xf numFmtId="166" fontId="31" fillId="0" borderId="0" xfId="2" applyNumberFormat="1" applyFont="1" applyFill="1" applyAlignment="1">
      <alignment vertical="center"/>
    </xf>
    <xf numFmtId="189" fontId="44" fillId="0" borderId="9" xfId="16" applyNumberFormat="1" applyFont="1" applyFill="1" applyBorder="1" applyAlignment="1">
      <alignment horizontal="left" vertical="center" wrapText="1" shrinkToFit="1"/>
    </xf>
    <xf numFmtId="0" fontId="6" fillId="0" borderId="9" xfId="0" applyNumberFormat="1" applyFont="1" applyBorder="1" applyAlignment="1">
      <alignment horizontal="center" vertical="center"/>
    </xf>
    <xf numFmtId="0" fontId="6" fillId="0" borderId="7" xfId="0" applyNumberFormat="1" applyFont="1" applyBorder="1" applyAlignment="1">
      <alignment horizontal="center" vertical="center"/>
    </xf>
    <xf numFmtId="0" fontId="47" fillId="9" borderId="7" xfId="0" applyNumberFormat="1" applyFont="1" applyFill="1" applyBorder="1" applyAlignment="1">
      <alignment horizontal="center" vertical="center"/>
    </xf>
    <xf numFmtId="0" fontId="47" fillId="9" borderId="7" xfId="0" applyNumberFormat="1" applyFont="1" applyFill="1" applyBorder="1" applyAlignment="1"/>
    <xf numFmtId="0" fontId="48" fillId="0" borderId="12" xfId="0" applyNumberFormat="1" applyFont="1" applyFill="1" applyBorder="1" applyAlignment="1">
      <alignment horizontal="center" vertical="center"/>
    </xf>
    <xf numFmtId="0" fontId="6" fillId="0" borderId="0" xfId="0" applyNumberFormat="1" applyFont="1" applyFill="1" applyAlignment="1">
      <alignment horizontal="center" vertical="center"/>
    </xf>
    <xf numFmtId="167" fontId="6" fillId="0" borderId="0" xfId="1" applyFont="1" applyFill="1"/>
    <xf numFmtId="0" fontId="6" fillId="0" borderId="0" xfId="0" applyNumberFormat="1" applyFont="1" applyFill="1"/>
    <xf numFmtId="166" fontId="49" fillId="9" borderId="10" xfId="42" applyFont="1" applyFill="1" applyBorder="1" applyAlignment="1">
      <alignment vertical="center"/>
    </xf>
    <xf numFmtId="166" fontId="49" fillId="7" borderId="10" xfId="42" applyFont="1" applyFill="1" applyBorder="1" applyAlignment="1">
      <alignment vertical="center"/>
    </xf>
    <xf numFmtId="166" fontId="49" fillId="8" borderId="11" xfId="42" applyFont="1" applyFill="1" applyBorder="1" applyAlignment="1">
      <alignment vertical="center"/>
    </xf>
    <xf numFmtId="0" fontId="50" fillId="10" borderId="12" xfId="0" applyNumberFormat="1" applyFont="1" applyFill="1" applyBorder="1" applyAlignment="1" applyProtection="1">
      <alignment horizontal="center" vertical="center"/>
    </xf>
    <xf numFmtId="0" fontId="50" fillId="10" borderId="12" xfId="0" applyNumberFormat="1" applyFont="1" applyFill="1" applyBorder="1" applyAlignment="1" applyProtection="1">
      <alignment horizontal="left" vertical="center"/>
    </xf>
    <xf numFmtId="166" fontId="50" fillId="10" borderId="12" xfId="0" applyNumberFormat="1" applyFont="1" applyFill="1" applyBorder="1" applyAlignment="1">
      <alignment horizontal="right" vertical="center"/>
    </xf>
    <xf numFmtId="166" fontId="50" fillId="10" borderId="12" xfId="0" applyNumberFormat="1" applyFont="1" applyFill="1" applyBorder="1" applyAlignment="1" applyProtection="1">
      <alignment horizontal="right" vertical="center"/>
    </xf>
    <xf numFmtId="171" fontId="51" fillId="10" borderId="9" xfId="0" applyNumberFormat="1" applyFont="1" applyFill="1" applyBorder="1" applyAlignment="1">
      <alignment horizontal="right" vertical="center"/>
    </xf>
    <xf numFmtId="167" fontId="51" fillId="10" borderId="9" xfId="0" applyNumberFormat="1" applyFont="1" applyFill="1" applyBorder="1" applyAlignment="1">
      <alignment horizontal="right" vertical="center"/>
    </xf>
    <xf numFmtId="0" fontId="51" fillId="10" borderId="9" xfId="0" applyNumberFormat="1" applyFont="1" applyFill="1" applyBorder="1" applyAlignment="1">
      <alignment horizontal="right" vertical="center"/>
    </xf>
    <xf numFmtId="0" fontId="52" fillId="10" borderId="9" xfId="0" applyNumberFormat="1" applyFont="1" applyFill="1" applyBorder="1" applyAlignment="1">
      <alignment horizontal="right" vertical="center"/>
    </xf>
    <xf numFmtId="166" fontId="51" fillId="10" borderId="9" xfId="0" applyNumberFormat="1" applyFont="1" applyFill="1" applyBorder="1" applyAlignment="1">
      <alignment horizontal="right" vertical="center"/>
    </xf>
    <xf numFmtId="171" fontId="51" fillId="6" borderId="7" xfId="1" applyNumberFormat="1" applyFont="1" applyFill="1" applyBorder="1" applyAlignment="1">
      <alignment horizontal="right" vertical="center"/>
    </xf>
    <xf numFmtId="0" fontId="51" fillId="6" borderId="7" xfId="0" applyNumberFormat="1" applyFont="1" applyFill="1" applyBorder="1" applyAlignment="1">
      <alignment horizontal="center"/>
    </xf>
    <xf numFmtId="167" fontId="51" fillId="6" borderId="7" xfId="1" applyFont="1" applyFill="1" applyBorder="1" applyAlignment="1">
      <alignment horizontal="right" vertical="center"/>
    </xf>
    <xf numFmtId="0" fontId="51" fillId="6" borderId="7" xfId="0" applyNumberFormat="1" applyFont="1" applyFill="1" applyBorder="1" applyAlignment="1">
      <alignment horizontal="left"/>
    </xf>
    <xf numFmtId="171" fontId="51" fillId="8" borderId="7" xfId="1" applyNumberFormat="1" applyFont="1" applyFill="1" applyBorder="1" applyAlignment="1">
      <alignment horizontal="right" vertical="center"/>
    </xf>
    <xf numFmtId="0" fontId="51" fillId="8" borderId="7" xfId="0" applyNumberFormat="1" applyFont="1" applyFill="1" applyBorder="1" applyAlignment="1">
      <alignment horizontal="center"/>
    </xf>
    <xf numFmtId="167" fontId="51" fillId="8" borderId="7" xfId="1" applyFont="1" applyFill="1" applyBorder="1" applyAlignment="1">
      <alignment horizontal="right" vertical="center"/>
    </xf>
    <xf numFmtId="0" fontId="51" fillId="9" borderId="7" xfId="0" applyNumberFormat="1" applyFont="1" applyFill="1" applyBorder="1" applyAlignment="1">
      <alignment horizontal="left"/>
    </xf>
    <xf numFmtId="167" fontId="51" fillId="9" borderId="7" xfId="1" applyFont="1" applyFill="1" applyBorder="1" applyAlignment="1">
      <alignment horizontal="right" vertical="center"/>
    </xf>
    <xf numFmtId="0" fontId="53" fillId="10" borderId="12" xfId="0" applyNumberFormat="1" applyFont="1" applyFill="1" applyBorder="1" applyAlignment="1" applyProtection="1">
      <alignment horizontal="left" vertical="center"/>
    </xf>
    <xf numFmtId="0" fontId="54" fillId="0" borderId="7" xfId="16" applyNumberFormat="1" applyFont="1" applyFill="1" applyBorder="1" applyAlignment="1">
      <alignment horizontal="right" vertical="center"/>
    </xf>
    <xf numFmtId="49" fontId="54" fillId="0" borderId="7" xfId="16" applyNumberFormat="1" applyFont="1" applyBorder="1" applyAlignment="1">
      <alignment horizontal="left" vertical="center"/>
    </xf>
    <xf numFmtId="166" fontId="54" fillId="0" borderId="7" xfId="2" applyNumberFormat="1" applyFont="1" applyBorder="1" applyAlignment="1">
      <alignment horizontal="right" vertical="center"/>
    </xf>
    <xf numFmtId="166" fontId="54" fillId="0" borderId="7" xfId="16" applyNumberFormat="1" applyFont="1" applyFill="1" applyBorder="1" applyAlignment="1">
      <alignment horizontal="right" vertical="center"/>
    </xf>
    <xf numFmtId="166" fontId="54" fillId="0" borderId="7" xfId="6" applyFont="1" applyFill="1" applyBorder="1" applyAlignment="1">
      <alignment horizontal="right" vertical="center"/>
    </xf>
    <xf numFmtId="49" fontId="54" fillId="0" borderId="7" xfId="16" applyNumberFormat="1" applyFont="1" applyFill="1" applyBorder="1" applyAlignment="1">
      <alignment horizontal="center" vertical="center"/>
    </xf>
    <xf numFmtId="49" fontId="54" fillId="0" borderId="7" xfId="16" applyNumberFormat="1" applyFont="1" applyFill="1" applyBorder="1" applyAlignment="1">
      <alignment horizontal="left" vertical="center"/>
    </xf>
    <xf numFmtId="0" fontId="55" fillId="0" borderId="7" xfId="0" applyNumberFormat="1" applyFont="1" applyFill="1" applyBorder="1" applyAlignment="1">
      <alignment horizontal="right"/>
    </xf>
    <xf numFmtId="49" fontId="55" fillId="0" borderId="7" xfId="0" applyNumberFormat="1" applyFont="1" applyFill="1" applyBorder="1" applyAlignment="1">
      <alignment horizontal="center" vertical="center"/>
    </xf>
    <xf numFmtId="49" fontId="55" fillId="0" borderId="7" xfId="0" applyNumberFormat="1" applyFont="1" applyFill="1" applyBorder="1" applyAlignment="1">
      <alignment horizontal="left"/>
    </xf>
    <xf numFmtId="171" fontId="55" fillId="0" borderId="7" xfId="1" applyNumberFormat="1" applyFont="1" applyFill="1" applyBorder="1" applyAlignment="1">
      <alignment horizontal="right" vertical="center"/>
    </xf>
    <xf numFmtId="0" fontId="56" fillId="0" borderId="7" xfId="0" applyNumberFormat="1" applyFont="1" applyFill="1" applyBorder="1" applyAlignment="1">
      <alignment horizontal="right" vertical="center"/>
    </xf>
    <xf numFmtId="167" fontId="55" fillId="0" borderId="7" xfId="1" applyFont="1" applyFill="1" applyBorder="1" applyAlignment="1">
      <alignment horizontal="right" vertical="center"/>
    </xf>
    <xf numFmtId="171" fontId="55" fillId="0" borderId="7" xfId="1" applyNumberFormat="1" applyFont="1" applyFill="1" applyBorder="1" applyAlignment="1">
      <alignment horizontal="center"/>
    </xf>
    <xf numFmtId="0" fontId="55" fillId="0" borderId="7" xfId="0" applyNumberFormat="1" applyFont="1" applyFill="1" applyBorder="1" applyAlignment="1">
      <alignment horizontal="center"/>
    </xf>
    <xf numFmtId="166" fontId="55" fillId="0" borderId="7" xfId="6" applyFont="1" applyFill="1" applyBorder="1" applyAlignment="1">
      <alignment horizontal="center"/>
    </xf>
    <xf numFmtId="0" fontId="32" fillId="5" borderId="7" xfId="16" applyFont="1" applyFill="1" applyBorder="1" applyAlignment="1">
      <alignment horizontal="center" wrapText="1"/>
    </xf>
    <xf numFmtId="0" fontId="31" fillId="11" borderId="7" xfId="19" applyFont="1" applyFill="1" applyBorder="1" applyAlignment="1">
      <alignment horizontal="center" vertical="center" wrapText="1"/>
    </xf>
    <xf numFmtId="168" fontId="18" fillId="4" borderId="13" xfId="0" applyNumberFormat="1" applyFont="1" applyFill="1" applyBorder="1" applyAlignment="1">
      <alignment horizontal="right" vertical="center"/>
    </xf>
    <xf numFmtId="168" fontId="18" fillId="4" borderId="2" xfId="0" applyNumberFormat="1" applyFont="1" applyFill="1" applyBorder="1" applyAlignment="1">
      <alignment horizontal="right" vertical="center"/>
    </xf>
    <xf numFmtId="168" fontId="18" fillId="4" borderId="14" xfId="0" applyNumberFormat="1" applyFont="1" applyFill="1" applyBorder="1" applyAlignment="1">
      <alignment horizontal="right" vertical="center"/>
    </xf>
    <xf numFmtId="168" fontId="29" fillId="0" borderId="13" xfId="0" applyNumberFormat="1" applyFont="1" applyFill="1" applyBorder="1" applyAlignment="1">
      <alignment horizontal="right" vertical="center"/>
    </xf>
    <xf numFmtId="168" fontId="29" fillId="0" borderId="2" xfId="0" applyNumberFormat="1" applyFont="1" applyFill="1" applyBorder="1" applyAlignment="1">
      <alignment horizontal="right" vertical="center"/>
    </xf>
    <xf numFmtId="168" fontId="29" fillId="0" borderId="2" xfId="0" applyNumberFormat="1" applyFont="1" applyFill="1" applyBorder="1" applyAlignment="1">
      <alignment vertical="center"/>
    </xf>
    <xf numFmtId="168" fontId="29" fillId="0" borderId="14" xfId="0" applyNumberFormat="1" applyFont="1" applyFill="1" applyBorder="1" applyAlignment="1">
      <alignment horizontal="right" vertical="center"/>
    </xf>
    <xf numFmtId="0" fontId="38" fillId="8" borderId="7" xfId="0" applyNumberFormat="1" applyFont="1" applyFill="1" applyBorder="1" applyAlignment="1">
      <alignment horizontal="center"/>
    </xf>
    <xf numFmtId="0" fontId="38" fillId="6" borderId="7" xfId="0" applyNumberFormat="1" applyFont="1" applyFill="1" applyBorder="1" applyAlignment="1">
      <alignment horizontal="center"/>
    </xf>
    <xf numFmtId="0" fontId="49" fillId="9" borderId="15" xfId="0" applyNumberFormat="1" applyFont="1" applyFill="1" applyBorder="1" applyAlignment="1">
      <alignment horizontal="center" vertical="center"/>
    </xf>
    <xf numFmtId="0" fontId="49" fillId="9" borderId="10" xfId="0" applyNumberFormat="1" applyFont="1" applyFill="1" applyBorder="1" applyAlignment="1">
      <alignment horizontal="center" vertical="center"/>
    </xf>
  </cellXfs>
  <cellStyles count="50">
    <cellStyle name="Comma" xfId="1" builtinId="3"/>
    <cellStyle name="Comma [0]" xfId="2" builtinId="6"/>
    <cellStyle name="Comma 2" xfId="3"/>
    <cellStyle name="Comma 2 2" xfId="44"/>
    <cellStyle name="Comma 3" xfId="43"/>
    <cellStyle name="Comma 4" xfId="4"/>
    <cellStyle name="Comma 5" xfId="45"/>
    <cellStyle name="Comma 6" xfId="46"/>
    <cellStyle name="Comma0" xfId="5"/>
    <cellStyle name="Currency" xfId="6" builtinId="4"/>
    <cellStyle name="Currency 2" xfId="7"/>
    <cellStyle name="Currency 3" xfId="42"/>
    <cellStyle name="Currency0" xfId="8"/>
    <cellStyle name="Date" xfId="9"/>
    <cellStyle name="Fixed" xfId="10"/>
    <cellStyle name="Header1" xfId="11"/>
    <cellStyle name="Header2" xfId="12"/>
    <cellStyle name="Komma 2" xfId="13"/>
    <cellStyle name="Komma 2 2" xfId="47"/>
    <cellStyle name="n" xfId="14"/>
    <cellStyle name="Normal" xfId="0" builtinId="0"/>
    <cellStyle name="Normal - Style1" xfId="15"/>
    <cellStyle name="Normal 2" xfId="16"/>
    <cellStyle name="Normal 3" xfId="48"/>
    <cellStyle name="Normal 4" xfId="17"/>
    <cellStyle name="Normal 5" xfId="49"/>
    <cellStyle name="Standaard 2" xfId="18"/>
    <cellStyle name="Standaard 3" xfId="19"/>
    <cellStyle name="Style 1" xfId="20"/>
    <cellStyle name="Valuta 2" xfId="21"/>
    <cellStyle name=" [0.00]_ Att. 1- Cover" xfId="22"/>
    <cellStyle name="_ Att. 1- Cover" xfId="23"/>
    <cellStyle name="?_ Att. 1- Cover" xfId="24"/>
    <cellStyle name="똿뗦먛귟 [0.00]_PRODUCT DETAIL Q1" xfId="25"/>
    <cellStyle name="똿뗦먛귟_PRODUCT DETAIL Q1" xfId="26"/>
    <cellStyle name="믅됞 [0.00]_PRODUCT DETAIL Q1" xfId="27"/>
    <cellStyle name="믅됞_PRODUCT DETAIL Q1" xfId="28"/>
    <cellStyle name="백분율_95" xfId="29"/>
    <cellStyle name="뷭?_BOOKSHIP" xfId="30"/>
    <cellStyle name="콤마 [0]_1202" xfId="31"/>
    <cellStyle name="콤마_1202" xfId="32"/>
    <cellStyle name="통화 [0]_1202" xfId="33"/>
    <cellStyle name="통화_1202" xfId="34"/>
    <cellStyle name="표준_(정보부문)월별인원계획" xfId="35"/>
    <cellStyle name="一般_99Q3647-ALL-CAS2" xfId="36"/>
    <cellStyle name="千分位[0]_Book1" xfId="37"/>
    <cellStyle name="千分位_99Q3647-ALL-CAS2" xfId="38"/>
    <cellStyle name="貨幣 [0]_Book1" xfId="39"/>
    <cellStyle name="貨幣[0]_BRE" xfId="40"/>
    <cellStyle name="貨幣_Book1" xfId="41"/>
  </cellStyles>
  <dxfs count="78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"/>
        <scheme val="none"/>
      </font>
      <numFmt numFmtId="0" formatCode="General"/>
      <fill>
        <patternFill patternType="solid">
          <fgColor indexed="64"/>
          <bgColor rgb="FF00B0F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"/>
        <scheme val="none"/>
      </font>
      <fill>
        <patternFill patternType="solid">
          <fgColor indexed="64"/>
          <bgColor rgb="FF00B0F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"/>
        <scheme val="none"/>
      </font>
      <fill>
        <patternFill patternType="solid">
          <fgColor indexed="64"/>
          <bgColor rgb="FF00B0F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"/>
        <scheme val="none"/>
      </font>
      <numFmt numFmtId="0" formatCode="General"/>
      <fill>
        <patternFill patternType="solid">
          <fgColor indexed="64"/>
          <bgColor rgb="FF00B0F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"/>
        <scheme val="none"/>
      </font>
      <fill>
        <patternFill patternType="solid">
          <fgColor indexed="64"/>
          <bgColor rgb="FF00B0F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"/>
        <scheme val="none"/>
      </font>
      <numFmt numFmtId="0" formatCode="General"/>
      <fill>
        <patternFill patternType="solid">
          <fgColor indexed="64"/>
          <bgColor rgb="FF00B0F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"/>
        <scheme val="none"/>
      </font>
      <fill>
        <patternFill patternType="solid">
          <fgColor indexed="64"/>
          <bgColor rgb="FF00B0F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"/>
        <scheme val="none"/>
      </font>
      <numFmt numFmtId="0" formatCode="General"/>
      <fill>
        <patternFill patternType="solid">
          <fgColor indexed="64"/>
          <bgColor rgb="FF00B0F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"/>
        <scheme val="none"/>
      </font>
      <numFmt numFmtId="0" formatCode="General"/>
      <fill>
        <patternFill patternType="solid">
          <fgColor indexed="64"/>
          <bgColor rgb="FF00B0F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"/>
        <scheme val="none"/>
      </font>
      <fill>
        <patternFill patternType="solid">
          <fgColor indexed="64"/>
          <bgColor rgb="FF00B0F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2"/>
        <color auto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"/>
        <scheme val="none"/>
      </font>
      <numFmt numFmtId="0" formatCode="General"/>
      <fill>
        <patternFill patternType="solid">
          <fgColor indexed="64"/>
          <bgColor rgb="FF00B0F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"/>
        <scheme val="none"/>
      </font>
      <fill>
        <patternFill patternType="solid">
          <fgColor indexed="64"/>
          <bgColor rgb="FF00B0F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"/>
        <scheme val="none"/>
      </font>
      <fill>
        <patternFill patternType="solid">
          <fgColor indexed="64"/>
          <bgColor rgb="FF00B0F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"/>
        <scheme val="none"/>
      </font>
      <fill>
        <patternFill patternType="solid">
          <fgColor indexed="64"/>
          <bgColor rgb="FF00B0F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"/>
        <scheme val="none"/>
      </font>
      <fill>
        <patternFill patternType="solid">
          <fgColor indexed="64"/>
          <bgColor rgb="FF00B0F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"/>
        <scheme val="none"/>
      </font>
      <fill>
        <patternFill patternType="solid">
          <fgColor indexed="64"/>
          <bgColor rgb="FF00B0F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"/>
        <scheme val="none"/>
      </font>
      <fill>
        <patternFill patternType="solid">
          <fgColor indexed="64"/>
          <bgColor rgb="FF00B0F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/>
      </font>
      <fill>
        <patternFill patternType="solid">
          <fgColor indexed="64"/>
          <bgColor rgb="FF00B0F0"/>
        </patternFill>
      </fill>
      <alignment horizontal="right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00B0F0"/>
        </patternFill>
      </fill>
      <alignment horizontal="righ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00B0F0"/>
        </patternFill>
      </fill>
      <alignment horizontal="righ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00B0F0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00B0F0"/>
        </patternFill>
      </fill>
      <alignment horizontal="lef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00B0F0"/>
        </patternFill>
      </fill>
      <alignment horizontal="lef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00B0F0"/>
        </patternFill>
      </fill>
      <alignment horizontal="lef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&quot;$&quot;* #,##0.00_);_(&quot;$&quot;* \(#,##0.00\);_(&quot;$&quot;* &quot;-&quot;??_);_(@_)"/>
      <fill>
        <patternFill patternType="solid">
          <fgColor indexed="64"/>
          <bgColor rgb="FF00B0F0"/>
        </patternFill>
      </fill>
      <alignment horizontal="righ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00B0F0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&quot;$&quot;* #,##0.00_);_(&quot;$&quot;* \(#,##0.00\);_(&quot;$&quot;* &quot;-&quot;??_);_(@_)"/>
      <fill>
        <patternFill patternType="solid">
          <fgColor indexed="64"/>
          <bgColor rgb="FF00B0F0"/>
        </patternFill>
      </fill>
      <alignment horizontal="righ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00B0F0"/>
        </patternFill>
      </fill>
      <alignment horizontal="righ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&quot;$&quot;* #,##0.00_);_(&quot;$&quot;* \(#,##0.00\);_(&quot;$&quot;* &quot;-&quot;??_);_(@_)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_);_(* \(#,##0\);_(* &quot;-&quot;_);_(@_)"/>
      <fill>
        <patternFill patternType="solid">
          <fgColor indexed="64"/>
          <bgColor rgb="FF00B0F0"/>
        </patternFill>
      </fill>
      <alignment horizontal="righ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&quot;$&quot;* #,##0.00_);_(&quot;$&quot;* \(#,##0.00\);_(&quot;$&quot;* &quot;-&quot;??_);_(@_)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00B0F0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00B0F0"/>
        </patternFill>
      </fill>
      <alignment horizontal="lef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00B0F0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00B0F0"/>
        </patternFill>
      </fill>
      <alignment horizontal="left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00B0F0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font>
        <b/>
      </font>
      <fill>
        <patternFill patternType="solid">
          <fgColor indexed="64"/>
          <bgColor rgb="FF00B0F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relativeIndent="0" justifyLastLine="0" shrinkToFit="0" readingOrder="0"/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tempuri.org/ReportDataObject.xsd'">
  <Schema ID="Schema2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Invoice" minOccurs="0" maxOccurs="unbounded">
              <xs:complexType>
                <xs:sequence>
                  <xs:element name="No" type="xs:int" minOccurs="0"/>
                  <xs:element name="FactoryInvoiceNo" type="xs:string" minOccurs="0"/>
                  <xs:element name="InvoiceDate" type="xs:string" minOccurs="0"/>
                  <xs:element name="Company" type="xs:string" minOccurs="0"/>
                  <xs:element name="ClientUD" type="xs:string" minOccurs="0"/>
                  <xs:element name="InvoiceAmount" type="xs:decimal" minOccurs="0"/>
                  <xs:element name="CumulationInvoiceAmount" type="xs:decimal" minOccurs="0"/>
                  <xs:element name="EuroFurnidoInvoiceAmount" type="xs:decimal" minOccurs="0"/>
                  <xs:element name="PaymentDate" type="xs:string" minOccurs="0"/>
                  <xs:element name="USDAmount" type="xs:decimal" minOccurs="0"/>
                  <xs:element name="PaymentReceiptNo" type="xs:string" minOccurs="0"/>
                  <xs:element name="Season" type="xs:string" minOccurs="0"/>
                  <xs:element name="SupplierUD" type="xs:string" minOccurs="0"/>
                </xs:sequence>
              </xs:complexType>
            </xs:element>
            <xs:element name="InvoiceDetail" minOccurs="0" maxOccurs="unbounded">
              <xs:complexType>
                <xs:sequence>
                  <xs:element name="No" type="xs:int" minOccurs="0"/>
                  <xs:element name="Proforma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ClientUD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00"/>
                      </xs:restriction>
                    </xs:simpleType>
                  </xs:element>
                  <xs:element name="ContainerNo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Quantity" type="xs:int" minOccurs="0"/>
                  <xs:element name="PurchasingPrice" msdata:ReadOnly="true" type="xs:decimal" minOccurs="0"/>
                  <xs:element name="Amount" msdata:ReadOnly="true" type="xs:decimal" minOccurs="0"/>
                  <xs:element name="TotalAmount" msdata:ReadOnly="true" type="xs:decimal" minOccurs="0"/>
                  <xs:element name="FactoryInvoiceNo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OrderQnt" msdata:ReadOnly="true" type="xs:int" minOccurs="0"/>
                  <xs:element name="CostPrice" msdata:ReadOnly="true" type="xs:decimal" minOccurs="0"/>
                  <xs:element name="CostAmount" msdata:ReadOnly="true" type="xs:decimal" minOccurs="0"/>
                  <xs:element name="PaymentReceipt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PaymentDate" type="xs:string" minOccurs="0"/>
                  <xs:element name="USDAmount" type="xs:decimal" minOccurs="0"/>
                </xs:sequence>
              </xs:complexType>
            </xs:element>
          </xs:sequence>
        </xs:complexType>
      </xs:element>
    </xs:schema>
  </Schema>
  <Map ID="2" Name="ReportDataObject_Map" RootElement="ReportDataObject" SchemaID="Schema2" ShowImportExportValidationErrors="false" AutoFit="false" Append="false" PreserveSortAFLayout="false" PreserveFormat="fals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6</xdr:row>
      <xdr:rowOff>0</xdr:rowOff>
    </xdr:from>
    <xdr:to>
      <xdr:col>4</xdr:col>
      <xdr:colOff>47625</xdr:colOff>
      <xdr:row>6</xdr:row>
      <xdr:rowOff>57150</xdr:rowOff>
    </xdr:to>
    <xdr:pic>
      <xdr:nvPicPr>
        <xdr:cNvPr id="2237" name="Picture 1" descr="s?diy&amp;LIVE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67025" y="1524000"/>
          <a:ext cx="47625" cy="57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0</xdr:colOff>
      <xdr:row>6</xdr:row>
      <xdr:rowOff>0</xdr:rowOff>
    </xdr:from>
    <xdr:to>
      <xdr:col>4</xdr:col>
      <xdr:colOff>47625</xdr:colOff>
      <xdr:row>6</xdr:row>
      <xdr:rowOff>57150</xdr:rowOff>
    </xdr:to>
    <xdr:pic>
      <xdr:nvPicPr>
        <xdr:cNvPr id="2238" name="Picture 2" descr="s?diy&amp;LIVE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67025" y="1524000"/>
          <a:ext cx="47625" cy="57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0</xdr:colOff>
      <xdr:row>6</xdr:row>
      <xdr:rowOff>0</xdr:rowOff>
    </xdr:from>
    <xdr:to>
      <xdr:col>4</xdr:col>
      <xdr:colOff>47625</xdr:colOff>
      <xdr:row>6</xdr:row>
      <xdr:rowOff>57150</xdr:rowOff>
    </xdr:to>
    <xdr:pic>
      <xdr:nvPicPr>
        <xdr:cNvPr id="2239" name="Picture 3" descr="s?diy&amp;LIVE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67025" y="1524000"/>
          <a:ext cx="47625" cy="57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0</xdr:colOff>
      <xdr:row>6</xdr:row>
      <xdr:rowOff>0</xdr:rowOff>
    </xdr:from>
    <xdr:to>
      <xdr:col>4</xdr:col>
      <xdr:colOff>47625</xdr:colOff>
      <xdr:row>6</xdr:row>
      <xdr:rowOff>57150</xdr:rowOff>
    </xdr:to>
    <xdr:pic>
      <xdr:nvPicPr>
        <xdr:cNvPr id="2240" name="Picture 4" descr="s?diy&amp;LIVE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67025" y="1524000"/>
          <a:ext cx="47625" cy="57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0</xdr:colOff>
      <xdr:row>6</xdr:row>
      <xdr:rowOff>0</xdr:rowOff>
    </xdr:from>
    <xdr:to>
      <xdr:col>4</xdr:col>
      <xdr:colOff>47625</xdr:colOff>
      <xdr:row>6</xdr:row>
      <xdr:rowOff>57150</xdr:rowOff>
    </xdr:to>
    <xdr:pic>
      <xdr:nvPicPr>
        <xdr:cNvPr id="2241" name="Picture 3" descr="s?diy&amp;LIVE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67025" y="1524000"/>
          <a:ext cx="47625" cy="57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0</xdr:colOff>
      <xdr:row>6</xdr:row>
      <xdr:rowOff>0</xdr:rowOff>
    </xdr:from>
    <xdr:to>
      <xdr:col>4</xdr:col>
      <xdr:colOff>47625</xdr:colOff>
      <xdr:row>6</xdr:row>
      <xdr:rowOff>57150</xdr:rowOff>
    </xdr:to>
    <xdr:pic>
      <xdr:nvPicPr>
        <xdr:cNvPr id="2242" name="Picture 4" descr="s?diy&amp;LIVE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67025" y="1524000"/>
          <a:ext cx="47625" cy="57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0</xdr:colOff>
      <xdr:row>6</xdr:row>
      <xdr:rowOff>0</xdr:rowOff>
    </xdr:from>
    <xdr:to>
      <xdr:col>4</xdr:col>
      <xdr:colOff>47625</xdr:colOff>
      <xdr:row>6</xdr:row>
      <xdr:rowOff>57150</xdr:rowOff>
    </xdr:to>
    <xdr:pic>
      <xdr:nvPicPr>
        <xdr:cNvPr id="2243" name="Picture 1" descr="s?diy&amp;LIVE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67025" y="1524000"/>
          <a:ext cx="47625" cy="57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0</xdr:colOff>
      <xdr:row>6</xdr:row>
      <xdr:rowOff>0</xdr:rowOff>
    </xdr:from>
    <xdr:to>
      <xdr:col>4</xdr:col>
      <xdr:colOff>47625</xdr:colOff>
      <xdr:row>6</xdr:row>
      <xdr:rowOff>57150</xdr:rowOff>
    </xdr:to>
    <xdr:pic>
      <xdr:nvPicPr>
        <xdr:cNvPr id="2244" name="Picture 2" descr="s?diy&amp;LIVE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67025" y="1524000"/>
          <a:ext cx="47625" cy="57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id="3" name="Table3" displayName="Table3" ref="A5:P7" tableType="xml" totalsRowCount="1" headerRowDxfId="77" dataDxfId="75" totalsRowDxfId="73" headerRowBorderDxfId="76" tableBorderDxfId="74" totalsRowBorderDxfId="72" headerRowCellStyle="Currency 3" dataCellStyle="Normal 2">
  <autoFilter ref="A5:P6"/>
  <tableColumns count="16">
    <tableColumn id="1" uniqueName="ns1:No" name="ns1:No" totalsRowLabel="Total" dataDxfId="71" totalsRowDxfId="70" dataCellStyle="Normal 2">
      <xmlColumnPr mapId="2" xpath="/ns1:ReportDataObject/ns1:Invoice/ns1:No" xmlDataType="int"/>
    </tableColumn>
    <tableColumn id="4" uniqueName="ns1:FactoryInvoiceNo" name="ns1:FactoryInvoiceUD" dataDxfId="69" totalsRowDxfId="68" dataCellStyle="Normal 2">
      <xmlColumnPr mapId="2" xpath="/ns1:ReportDataObject/ns1:Invoice/ns1:FactoryInvoiceNo" xmlDataType="string"/>
    </tableColumn>
    <tableColumn id="5" uniqueName="ns1:InvoiceDate" name="ns1:InvoiceDate" dataDxfId="67" totalsRowDxfId="66" dataCellStyle="Normal 2">
      <xmlColumnPr mapId="2" xpath="/ns1:ReportDataObject/ns1:Invoice/ns1:InvoiceDate" xmlDataType="string"/>
    </tableColumn>
    <tableColumn id="6" uniqueName="ns1:Company" name="ns1:Company" dataDxfId="65" totalsRowDxfId="64" dataCellStyle="Normal 2">
      <xmlColumnPr mapId="2" xpath="/ns1:ReportDataObject/ns1:Invoice/ns1:Company" xmlDataType="string"/>
    </tableColumn>
    <tableColumn id="7" uniqueName="ns1:ClientUD" name="ns1:BuyerUD" dataDxfId="63" totalsRowDxfId="62" dataCellStyle="Normal 2">
      <xmlColumnPr mapId="2" xpath="/ns1:ReportDataObject/ns1:Invoice/ns1:ClientUD" xmlDataType="string"/>
    </tableColumn>
    <tableColumn id="8" uniqueName="ns1:InvoiceAmount" name="ns1:InvoiceAmount" totalsRowFunction="sum" dataDxfId="61" totalsRowDxfId="60" dataCellStyle="Comma [0]">
      <xmlColumnPr mapId="2" xpath="/ns1:ReportDataObject/ns1:Invoice/ns1:InvoiceAmount" xmlDataType="decimal"/>
    </tableColumn>
    <tableColumn id="9" uniqueName="ns1:CumulationInvoiceAmount" name="ns1:CumulationInvoiceAmount" dataDxfId="59" totalsRowDxfId="58" dataCellStyle="Normal 2">
      <xmlColumnPr mapId="2" xpath="/ns1:ReportDataObject/ns1:Invoice/ns1:CumulationInvoiceAmount" xmlDataType="decimal"/>
    </tableColumn>
    <tableColumn id="10" uniqueName="ns1:EuroFurnidoInvoiceAmount" name="ns1:EuroFurnidoInvoiceAmount" totalsRowFunction="sum" dataDxfId="57" totalsRowDxfId="56" dataCellStyle="Currency">
      <xmlColumnPr mapId="2" xpath="/ns1:ReportDataObject/ns1:Invoice/ns1:EuroFurnidoInvoiceAmount" xmlDataType="decimal"/>
    </tableColumn>
    <tableColumn id="11" uniqueName="ns1:PaymentDate" name="ns1:PaymentDate" dataDxfId="55" totalsRowDxfId="54" dataCellStyle="Normal 2">
      <xmlColumnPr mapId="2" xpath="/ns1:ReportDataObject/ns1:Invoice/ns1:PaymentDate" xmlDataType="string"/>
    </tableColumn>
    <tableColumn id="12" uniqueName="ns1:USDAmount" name="ns1:USDAmount" totalsRowFunction="sum" dataDxfId="53" totalsRowDxfId="52" dataCellStyle="Currency">
      <xmlColumnPr mapId="2" xpath="/ns1:ReportDataObject/ns1:Invoice/ns1:USDAmount" xmlDataType="decimal"/>
    </tableColumn>
    <tableColumn id="13" uniqueName="ns1:PaymentReceiptNo" name="ns1:PaymentReceiptNo" dataDxfId="51" totalsRowDxfId="50" dataCellStyle="Normal 2">
      <xmlColumnPr mapId="2" xpath="/ns1:ReportDataObject/ns1:Invoice/ns1:PaymentReceiptNo" xmlDataType="string"/>
    </tableColumn>
    <tableColumn id="3" uniqueName="ns1:Season" name="Column2" dataDxfId="49" totalsRowDxfId="48" dataCellStyle="Normal 2">
      <xmlColumnPr mapId="2" xpath="/ns1:ReportDataObject/ns1:Invoice/ns1:Season" xmlDataType="string"/>
    </tableColumn>
    <tableColumn id="2" uniqueName="ns1:SupplierUD" name="Column1" dataDxfId="47" totalsRowDxfId="46" dataCellStyle="Normal 2">
      <xmlColumnPr mapId="2" xpath="/ns1:ReportDataObject/ns1:Invoice/ns1:SupplierUD" xmlDataType="string"/>
    </tableColumn>
    <tableColumn id="14" uniqueName="0" name="ns1:ELVISUpdated" dataDxfId="45" totalsRowDxfId="44" dataCellStyle="Normal 2"/>
    <tableColumn id="15" uniqueName="0" name="ns1:CumulationPaid" totalsRowFunction="sum" dataDxfId="43" totalsRowDxfId="42" dataCellStyle="Currency"/>
    <tableColumn id="16" uniqueName="0" name="ns1:OutstandingBalance" totalsRowFunction="sum" dataDxfId="41" totalsRowDxfId="40" dataCellStyle="Currency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7:Q9" tableType="xml" insertRow="1" insertRowShift="1" totalsRowCount="1" headerRowDxfId="39" dataDxfId="37" totalsRowDxfId="35" headerRowBorderDxfId="38" tableBorderDxfId="36" totalsRowBorderDxfId="34">
  <autoFilter ref="A7:Q8"/>
  <tableColumns count="17">
    <tableColumn id="1" uniqueName="ns1:No" name="ns1:No" totalsRowLabel="Total" dataDxfId="33" totalsRowDxfId="32">
      <xmlColumnPr mapId="2" xpath="/ns1:ReportDataObject/ns1:InvoiceDetail/ns1:No" xmlDataType="int"/>
    </tableColumn>
    <tableColumn id="2" uniqueName="ns1:ProformaInvoiceNo" name="ns1:ProformaInvoiceNo" dataDxfId="31" totalsRowDxfId="30">
      <xmlColumnPr mapId="2" xpath="/ns1:ReportDataObject/ns1:InvoiceDetail/ns1:ProformaInvoiceNo" xmlDataType="string"/>
    </tableColumn>
    <tableColumn id="3" uniqueName="ns1:ClientUD" name="ns1:BuyerUD" dataDxfId="29" totalsRowDxfId="28">
      <xmlColumnPr mapId="2" xpath="/ns1:ReportDataObject/ns1:InvoiceDetail/ns1:ClientUD" xmlDataType="string"/>
    </tableColumn>
    <tableColumn id="4" uniqueName="ns1:ArticleCode" name="ns1:ArticleCode" dataDxfId="27" totalsRowDxfId="26">
      <xmlColumnPr mapId="2" xpath="/ns1:ReportDataObject/ns1:InvoiceDetail/ns1:ArticleCode" xmlDataType="string"/>
    </tableColumn>
    <tableColumn id="5" uniqueName="ns1:Description" name="ns1:Description" dataDxfId="25" totalsRowDxfId="24">
      <xmlColumnPr mapId="2" xpath="/ns1:ReportDataObject/ns1:InvoiceDetail/ns1:Description" xmlDataType="string"/>
    </tableColumn>
    <tableColumn id="6" uniqueName="ns1:ContainerNo" name="ns1:ContainerNo" dataDxfId="23" totalsRowDxfId="22">
      <xmlColumnPr mapId="2" xpath="/ns1:ReportDataObject/ns1:InvoiceDetail/ns1:ContainerNo" xmlDataType="string"/>
    </tableColumn>
    <tableColumn id="7" uniqueName="ns1:Quantity" name="ns1:Quantity" totalsRowFunction="sum" dataDxfId="21" totalsRowDxfId="20" dataCellStyle="Comma">
      <xmlColumnPr mapId="2" xpath="/ns1:ReportDataObject/ns1:InvoiceDetail/ns1:Quantity" xmlDataType="int"/>
    </tableColumn>
    <tableColumn id="8" uniqueName="ns1:PurchasingPrice" name="ns1:PurchasingPrice" dataDxfId="19" totalsRowDxfId="18">
      <xmlColumnPr mapId="2" xpath="/ns1:ReportDataObject/ns1:InvoiceDetail/ns1:PurchasingPrice" xmlDataType="decimal"/>
    </tableColumn>
    <tableColumn id="9" uniqueName="ns1:Amount" name="ns1:Amount" totalsRowFunction="sum" dataDxfId="17" totalsRowDxfId="16" dataCellStyle="Comma">
      <xmlColumnPr mapId="2" xpath="/ns1:ReportDataObject/ns1:InvoiceDetail/ns1:Amount" xmlDataType="decimal"/>
    </tableColumn>
    <tableColumn id="10" uniqueName="ns1:TotalAmount" name="ns1:TotalAmount" totalsRowFunction="sum" dataDxfId="15" totalsRowDxfId="14" dataCellStyle="Comma">
      <xmlColumnPr mapId="2" xpath="/ns1:ReportDataObject/ns1:InvoiceDetail/ns1:TotalAmount" xmlDataType="decimal"/>
    </tableColumn>
    <tableColumn id="11" uniqueName="ns1:FactoryInvoiceNo" name="ns1:FactoryInvoiceUD" dataDxfId="13" totalsRowDxfId="12">
      <xmlColumnPr mapId="2" xpath="/ns1:ReportDataObject/ns1:InvoiceDetail/ns1:FactoryInvoiceNo" xmlDataType="string"/>
    </tableColumn>
    <tableColumn id="12" uniqueName="ns1:OrderQnt" name="ns1:OrderQnt" totalsRowFunction="sum" dataDxfId="11" totalsRowDxfId="10" dataCellStyle="Comma">
      <xmlColumnPr mapId="2" xpath="/ns1:ReportDataObject/ns1:InvoiceDetail/ns1:OrderQnt" xmlDataType="int"/>
    </tableColumn>
    <tableColumn id="13" uniqueName="ns1:CostPrice" name="ns1:CostPrice" dataDxfId="9" totalsRowDxfId="8">
      <xmlColumnPr mapId="2" xpath="/ns1:ReportDataObject/ns1:InvoiceDetail/ns1:CostPrice" xmlDataType="decimal"/>
    </tableColumn>
    <tableColumn id="14" uniqueName="ns1:CostAmount" name="ns1:CostAmount" totalsRowFunction="sum" dataDxfId="7" totalsRowDxfId="6" dataCellStyle="Currency">
      <xmlColumnPr mapId="2" xpath="/ns1:ReportDataObject/ns1:InvoiceDetail/ns1:CostAmount" xmlDataType="decimal"/>
    </tableColumn>
    <tableColumn id="15" uniqueName="ns1:PaymentReceiptNo" name="ns1:PaymentReceiptNo" dataDxfId="5" totalsRowDxfId="4">
      <xmlColumnPr mapId="2" xpath="/ns1:ReportDataObject/ns1:InvoiceDetail/ns1:PaymentReceiptNo" xmlDataType="string"/>
    </tableColumn>
    <tableColumn id="16" uniqueName="ns1:PaymentDate" name="ns1:PaymentDate" dataDxfId="3" totalsRowDxfId="2">
      <xmlColumnPr mapId="2" xpath="/ns1:ReportDataObject/ns1:InvoiceDetail/ns1:PaymentDate" xmlDataType="string"/>
    </tableColumn>
    <tableColumn id="17" uniqueName="ns1:USDAmount" name="ns1:USDAmount" totalsRowFunction="sum" dataDxfId="1" totalsRowDxfId="0" dataCellStyle="Currency">
      <xmlColumnPr mapId="2" xpath="/ns1:ReportDataObject/ns1:InvoiceDetail/ns1:USDAmount" xmlDataType="decimal"/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P2000"/>
  <sheetViews>
    <sheetView tabSelected="1" view="pageBreakPreview" zoomScale="80" zoomScaleNormal="100" zoomScaleSheetLayoutView="80" workbookViewId="0">
      <pane xSplit="4" ySplit="5" topLeftCell="E6" activePane="bottomRight" state="frozen"/>
      <selection pane="topRight" activeCell="G1" sqref="G1"/>
      <selection pane="bottomLeft" activeCell="A6" sqref="A6"/>
      <selection pane="bottomRight" activeCell="F37" sqref="F37"/>
    </sheetView>
  </sheetViews>
  <sheetFormatPr defaultRowHeight="12.75"/>
  <cols>
    <col min="1" max="1" width="5.7109375" style="115" customWidth="1"/>
    <col min="2" max="2" width="27.42578125" style="103" customWidth="1"/>
    <col min="3" max="3" width="12" style="104" customWidth="1"/>
    <col min="4" max="4" width="16.7109375" style="116" customWidth="1"/>
    <col min="5" max="5" width="17.7109375" style="105" customWidth="1"/>
    <col min="6" max="6" width="18.28515625" style="117" customWidth="1"/>
    <col min="7" max="7" width="18.140625" style="118" customWidth="1"/>
    <col min="8" max="8" width="19.7109375" style="72" customWidth="1"/>
    <col min="9" max="9" width="11.140625" style="107" customWidth="1"/>
    <col min="10" max="10" width="17.7109375" style="106" customWidth="1"/>
    <col min="11" max="11" width="20.42578125" style="106" customWidth="1"/>
    <col min="12" max="13" width="16.140625" style="106" hidden="1" customWidth="1"/>
    <col min="14" max="14" width="14.7109375" style="106" customWidth="1"/>
    <col min="15" max="15" width="18.7109375" style="76" customWidth="1"/>
    <col min="16" max="16" width="20.5703125" style="76" customWidth="1"/>
    <col min="17" max="17" width="8.28515625" style="76" customWidth="1"/>
    <col min="18" max="16384" width="9.140625" style="76"/>
  </cols>
  <sheetData>
    <row r="1" spans="1:16">
      <c r="A1" s="65"/>
      <c r="B1" s="66" t="s">
        <v>52</v>
      </c>
      <c r="C1" s="67" t="s">
        <v>25</v>
      </c>
      <c r="D1" s="68"/>
      <c r="E1" s="69"/>
      <c r="F1" s="70"/>
      <c r="G1" s="71"/>
      <c r="I1" s="73"/>
      <c r="J1" s="74"/>
      <c r="K1" s="74"/>
      <c r="L1" s="74"/>
      <c r="M1" s="74"/>
      <c r="N1" s="74"/>
      <c r="O1" s="75"/>
      <c r="P1" s="75"/>
    </row>
    <row r="2" spans="1:16" s="77" customFormat="1" ht="24" customHeight="1">
      <c r="A2" s="276" t="str">
        <f>"Financial year " &amp; L6 &amp; " - " &amp; M6</f>
        <v xml:space="preserve">Financial year  - </v>
      </c>
      <c r="B2" s="276"/>
      <c r="C2" s="276"/>
      <c r="D2" s="276"/>
      <c r="E2" s="276"/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</row>
    <row r="3" spans="1:16" s="87" customFormat="1" ht="42.75" customHeight="1">
      <c r="A3" s="78" t="s">
        <v>73</v>
      </c>
      <c r="B3" s="79" t="s">
        <v>71</v>
      </c>
      <c r="C3" s="85" t="s">
        <v>72</v>
      </c>
      <c r="D3" s="80" t="s">
        <v>21</v>
      </c>
      <c r="E3" s="81" t="s">
        <v>74</v>
      </c>
      <c r="F3" s="82" t="s">
        <v>75</v>
      </c>
      <c r="G3" s="83" t="s">
        <v>76</v>
      </c>
      <c r="H3" s="84" t="s">
        <v>26</v>
      </c>
      <c r="I3" s="85" t="s">
        <v>77</v>
      </c>
      <c r="J3" s="86" t="s">
        <v>78</v>
      </c>
      <c r="K3" s="86" t="s">
        <v>79</v>
      </c>
      <c r="L3" s="86"/>
      <c r="M3" s="86"/>
      <c r="N3" s="86" t="s">
        <v>27</v>
      </c>
      <c r="O3" s="83" t="s">
        <v>80</v>
      </c>
      <c r="P3" s="86" t="s">
        <v>81</v>
      </c>
    </row>
    <row r="4" spans="1:16" ht="21" customHeight="1">
      <c r="A4" s="88"/>
      <c r="B4" s="277" t="s">
        <v>68</v>
      </c>
      <c r="C4" s="277"/>
      <c r="D4" s="277"/>
      <c r="E4" s="89"/>
      <c r="F4" s="90">
        <f>SUBTOTAL(9,F6:F6)</f>
        <v>0</v>
      </c>
      <c r="G4" s="91"/>
      <c r="H4" s="90">
        <f>SUBTOTAL(9,H6:H6)</f>
        <v>0</v>
      </c>
      <c r="I4" s="92"/>
      <c r="J4" s="90"/>
      <c r="K4" s="90"/>
      <c r="L4" s="90"/>
      <c r="M4" s="90"/>
      <c r="N4" s="90"/>
      <c r="O4" s="90"/>
      <c r="P4" s="93"/>
    </row>
    <row r="5" spans="1:16" ht="16.5" customHeight="1">
      <c r="A5" s="198" t="s">
        <v>38</v>
      </c>
      <c r="B5" s="199" t="s">
        <v>39</v>
      </c>
      <c r="C5" s="200" t="s">
        <v>40</v>
      </c>
      <c r="D5" s="200" t="s">
        <v>41</v>
      </c>
      <c r="E5" s="229" t="s">
        <v>42</v>
      </c>
      <c r="F5" s="201" t="s">
        <v>43</v>
      </c>
      <c r="G5" s="202" t="s">
        <v>44</v>
      </c>
      <c r="H5" s="203" t="s">
        <v>45</v>
      </c>
      <c r="I5" s="204" t="s">
        <v>47</v>
      </c>
      <c r="J5" s="205" t="s">
        <v>48</v>
      </c>
      <c r="K5" s="205" t="s">
        <v>46</v>
      </c>
      <c r="L5" s="205" t="s">
        <v>70</v>
      </c>
      <c r="M5" s="205" t="s">
        <v>67</v>
      </c>
      <c r="N5" s="205" t="s">
        <v>49</v>
      </c>
      <c r="O5" s="206" t="s">
        <v>50</v>
      </c>
      <c r="P5" s="207" t="s">
        <v>51</v>
      </c>
    </row>
    <row r="6" spans="1:16" ht="12.75" customHeight="1">
      <c r="A6" s="260"/>
      <c r="B6" s="261"/>
      <c r="C6" s="261"/>
      <c r="D6" s="261"/>
      <c r="E6" s="261"/>
      <c r="F6" s="262"/>
      <c r="G6" s="263"/>
      <c r="H6" s="264"/>
      <c r="I6" s="265"/>
      <c r="J6" s="264"/>
      <c r="K6" s="266"/>
      <c r="L6" s="266"/>
      <c r="M6" s="266"/>
      <c r="N6" s="265"/>
      <c r="O6" s="264"/>
      <c r="P6" s="264"/>
    </row>
    <row r="7" spans="1:16" s="97" customFormat="1" ht="12.75" customHeight="1">
      <c r="A7" s="241" t="s">
        <v>53</v>
      </c>
      <c r="B7" s="242"/>
      <c r="C7" s="241"/>
      <c r="D7" s="242"/>
      <c r="E7" s="241"/>
      <c r="F7" s="243">
        <f>SUBTOTAL(109,Table3[ns1:InvoiceAmount])</f>
        <v>0</v>
      </c>
      <c r="G7" s="244"/>
      <c r="H7" s="243">
        <f>SUBTOTAL(109,Table3[ns1:EuroFurnidoInvoiceAmount])</f>
        <v>0</v>
      </c>
      <c r="I7" s="241"/>
      <c r="J7" s="244">
        <f>SUBTOTAL(109,Table3[ns1:USDAmount])</f>
        <v>0</v>
      </c>
      <c r="K7" s="242"/>
      <c r="L7" s="259"/>
      <c r="M7" s="259"/>
      <c r="N7" s="241"/>
      <c r="O7" s="244">
        <f>SUBTOTAL(109,Table3[ns1:CumulationPaid])</f>
        <v>0</v>
      </c>
      <c r="P7" s="244">
        <f>SUBTOTAL(109,Table3[ns1:OutstandingBalance])</f>
        <v>0</v>
      </c>
    </row>
    <row r="8" spans="1:16" s="97" customFormat="1" ht="12.75" customHeight="1">
      <c r="A8" s="94"/>
      <c r="B8" s="95"/>
      <c r="C8" s="96"/>
      <c r="E8" s="98"/>
      <c r="F8" s="218"/>
      <c r="G8" s="221"/>
      <c r="H8" s="218"/>
    </row>
    <row r="9" spans="1:16" s="97" customFormat="1" ht="12.75" customHeight="1">
      <c r="A9" s="94"/>
      <c r="B9" s="95"/>
      <c r="C9" s="96"/>
      <c r="E9" s="98"/>
      <c r="F9" s="218"/>
      <c r="G9" s="221"/>
      <c r="H9" s="218"/>
    </row>
    <row r="10" spans="1:16" s="97" customFormat="1" ht="12.75" customHeight="1">
      <c r="A10" s="94"/>
      <c r="B10" s="95"/>
      <c r="C10" s="96"/>
      <c r="E10" s="98"/>
      <c r="F10" s="218"/>
      <c r="G10" s="221"/>
      <c r="H10" s="218"/>
    </row>
    <row r="11" spans="1:16" s="97" customFormat="1" ht="12.75" customHeight="1">
      <c r="A11" s="94"/>
      <c r="B11" s="95"/>
      <c r="C11" s="96"/>
      <c r="E11" s="98"/>
      <c r="F11" s="218"/>
      <c r="G11" s="221"/>
      <c r="H11" s="218"/>
    </row>
    <row r="12" spans="1:16" s="97" customFormat="1" ht="12.75" customHeight="1">
      <c r="A12" s="94"/>
      <c r="B12" s="95"/>
      <c r="C12" s="96"/>
      <c r="E12" s="98"/>
      <c r="F12" s="218"/>
      <c r="G12" s="221"/>
      <c r="H12" s="218"/>
    </row>
    <row r="13" spans="1:16" s="97" customFormat="1" ht="12.75" customHeight="1">
      <c r="A13" s="94"/>
      <c r="B13" s="95"/>
      <c r="C13" s="96"/>
      <c r="E13" s="98"/>
      <c r="F13" s="218"/>
      <c r="G13" s="221"/>
      <c r="H13" s="218"/>
    </row>
    <row r="14" spans="1:16" s="97" customFormat="1" ht="12.75" customHeight="1">
      <c r="A14" s="94"/>
      <c r="B14" s="95"/>
      <c r="C14" s="96"/>
      <c r="E14" s="98"/>
      <c r="F14" s="218"/>
      <c r="G14" s="221"/>
      <c r="H14" s="218"/>
    </row>
    <row r="15" spans="1:16" s="97" customFormat="1" ht="12.75" customHeight="1">
      <c r="A15" s="94"/>
      <c r="B15" s="95"/>
      <c r="C15" s="96"/>
      <c r="E15" s="98"/>
      <c r="F15" s="218"/>
      <c r="G15" s="221"/>
      <c r="H15" s="219"/>
      <c r="I15" s="99"/>
    </row>
    <row r="16" spans="1:16" s="97" customFormat="1" ht="12.75" customHeight="1">
      <c r="A16" s="94"/>
      <c r="B16" s="95"/>
      <c r="C16" s="96"/>
      <c r="E16" s="98"/>
      <c r="F16" s="218"/>
      <c r="G16" s="221"/>
      <c r="H16" s="219"/>
      <c r="I16" s="99"/>
    </row>
    <row r="17" spans="1:16" ht="12.75" customHeight="1">
      <c r="A17" s="94"/>
      <c r="B17" s="95"/>
      <c r="C17" s="96"/>
      <c r="D17" s="97"/>
      <c r="E17" s="98"/>
      <c r="F17" s="218"/>
      <c r="G17" s="221"/>
      <c r="H17" s="219"/>
      <c r="I17" s="99"/>
      <c r="J17" s="97"/>
      <c r="K17" s="97"/>
      <c r="L17" s="97"/>
      <c r="M17" s="97"/>
      <c r="N17" s="97"/>
      <c r="O17" s="97"/>
      <c r="P17" s="97"/>
    </row>
    <row r="18" spans="1:16" ht="12.75" customHeight="1">
      <c r="A18" s="100"/>
      <c r="B18" s="66"/>
      <c r="C18" s="101"/>
      <c r="D18" s="75"/>
      <c r="E18" s="69"/>
      <c r="F18" s="226"/>
      <c r="G18" s="222"/>
      <c r="H18" s="220"/>
      <c r="I18" s="73"/>
      <c r="J18" s="75"/>
      <c r="K18" s="75"/>
      <c r="L18" s="75"/>
      <c r="M18" s="75"/>
      <c r="N18" s="75"/>
      <c r="O18" s="75"/>
      <c r="P18" s="75"/>
    </row>
    <row r="19" spans="1:16" ht="12.75" customHeight="1">
      <c r="A19" s="100"/>
      <c r="B19" s="66"/>
      <c r="C19" s="101"/>
      <c r="D19" s="75"/>
      <c r="E19" s="69"/>
      <c r="F19" s="226"/>
      <c r="G19" s="222"/>
      <c r="H19" s="220"/>
      <c r="I19" s="73"/>
      <c r="J19" s="75"/>
      <c r="K19" s="75"/>
      <c r="L19" s="75"/>
      <c r="M19" s="75"/>
      <c r="N19" s="75"/>
      <c r="O19" s="75"/>
      <c r="P19" s="75"/>
    </row>
    <row r="20" spans="1:16" ht="12.75" customHeight="1">
      <c r="A20" s="100"/>
      <c r="B20" s="66"/>
      <c r="C20" s="101"/>
      <c r="D20" s="75"/>
      <c r="E20" s="69"/>
      <c r="F20" s="226"/>
      <c r="G20" s="222"/>
      <c r="H20" s="220"/>
      <c r="I20" s="73"/>
      <c r="J20" s="75"/>
      <c r="K20" s="75"/>
      <c r="L20" s="75"/>
      <c r="M20" s="75"/>
      <c r="N20" s="75"/>
      <c r="O20" s="75"/>
      <c r="P20" s="75"/>
    </row>
    <row r="21" spans="1:16" ht="12.75" customHeight="1">
      <c r="A21" s="100"/>
      <c r="B21" s="66"/>
      <c r="C21" s="101"/>
      <c r="D21" s="75"/>
      <c r="E21" s="69"/>
      <c r="F21" s="226"/>
      <c r="G21" s="222"/>
      <c r="H21" s="220"/>
      <c r="I21" s="73"/>
      <c r="J21" s="75"/>
      <c r="K21" s="75"/>
      <c r="L21" s="75"/>
      <c r="M21" s="75"/>
      <c r="N21" s="75"/>
      <c r="O21" s="75"/>
      <c r="P21" s="75"/>
    </row>
    <row r="22" spans="1:16" ht="12.75" customHeight="1">
      <c r="A22" s="100"/>
      <c r="B22" s="66"/>
      <c r="C22" s="101"/>
      <c r="D22" s="75"/>
      <c r="E22" s="69"/>
      <c r="F22" s="226"/>
      <c r="G22" s="222"/>
      <c r="H22" s="220"/>
      <c r="I22" s="73"/>
      <c r="J22" s="75"/>
      <c r="K22" s="75"/>
      <c r="L22" s="75"/>
      <c r="M22" s="75"/>
      <c r="N22" s="75"/>
      <c r="O22" s="75"/>
      <c r="P22" s="75"/>
    </row>
    <row r="23" spans="1:16" ht="12.75" customHeight="1">
      <c r="A23" s="100"/>
      <c r="B23" s="66"/>
      <c r="C23" s="101"/>
      <c r="D23" s="75"/>
      <c r="E23" s="69"/>
      <c r="F23" s="226"/>
      <c r="G23" s="222"/>
      <c r="H23" s="220"/>
      <c r="I23" s="73"/>
      <c r="J23" s="75"/>
      <c r="K23" s="75"/>
      <c r="L23" s="75"/>
      <c r="M23" s="75"/>
      <c r="N23" s="75"/>
      <c r="O23" s="75"/>
      <c r="P23" s="75"/>
    </row>
    <row r="24" spans="1:16" ht="12.75" customHeight="1">
      <c r="A24" s="100"/>
      <c r="B24" s="66"/>
      <c r="C24" s="101"/>
      <c r="D24" s="75"/>
      <c r="E24" s="69"/>
      <c r="F24" s="226"/>
      <c r="G24" s="222"/>
      <c r="H24" s="220"/>
      <c r="I24" s="73"/>
      <c r="J24" s="75"/>
      <c r="K24" s="75"/>
      <c r="L24" s="75"/>
      <c r="M24" s="75"/>
      <c r="N24" s="75"/>
      <c r="O24" s="75"/>
      <c r="P24" s="75"/>
    </row>
    <row r="25" spans="1:16" ht="12.75" customHeight="1">
      <c r="A25" s="100"/>
      <c r="B25" s="66"/>
      <c r="C25" s="101"/>
      <c r="D25" s="75"/>
      <c r="E25" s="69"/>
      <c r="F25" s="226"/>
      <c r="G25" s="222"/>
      <c r="H25" s="220"/>
      <c r="I25" s="73"/>
      <c r="J25" s="75"/>
      <c r="K25" s="75"/>
      <c r="L25" s="75"/>
      <c r="M25" s="75"/>
      <c r="N25" s="75"/>
      <c r="O25" s="75"/>
      <c r="P25" s="75"/>
    </row>
    <row r="26" spans="1:16" ht="12.75" customHeight="1">
      <c r="A26" s="100"/>
      <c r="B26" s="66"/>
      <c r="C26" s="101"/>
      <c r="D26" s="75"/>
      <c r="E26" s="69"/>
      <c r="F26" s="226"/>
      <c r="G26" s="222"/>
      <c r="H26" s="220"/>
      <c r="I26" s="73"/>
      <c r="J26" s="75"/>
      <c r="K26" s="75"/>
      <c r="L26" s="75"/>
      <c r="M26" s="75"/>
      <c r="N26" s="75"/>
      <c r="O26" s="75"/>
      <c r="P26" s="75"/>
    </row>
    <row r="27" spans="1:16" ht="12.75" customHeight="1">
      <c r="A27" s="100"/>
      <c r="B27" s="66"/>
      <c r="C27" s="101"/>
      <c r="D27" s="75"/>
      <c r="E27" s="69"/>
      <c r="F27" s="226"/>
      <c r="G27" s="222"/>
      <c r="H27" s="220"/>
      <c r="I27" s="73"/>
      <c r="J27" s="75"/>
      <c r="K27" s="75"/>
      <c r="L27" s="75"/>
      <c r="M27" s="75"/>
      <c r="N27" s="75"/>
      <c r="O27" s="75"/>
      <c r="P27" s="75"/>
    </row>
    <row r="28" spans="1:16" ht="12.75" customHeight="1">
      <c r="A28" s="100"/>
      <c r="B28" s="66"/>
      <c r="C28" s="101"/>
      <c r="D28" s="75"/>
      <c r="E28" s="69"/>
      <c r="F28" s="226"/>
      <c r="G28" s="222"/>
      <c r="H28" s="220"/>
      <c r="I28" s="73"/>
      <c r="J28" s="75"/>
      <c r="K28" s="75"/>
      <c r="L28" s="75"/>
      <c r="M28" s="75"/>
      <c r="N28" s="75"/>
      <c r="O28" s="75"/>
      <c r="P28" s="75"/>
    </row>
    <row r="29" spans="1:16" ht="12.75" customHeight="1">
      <c r="A29" s="100"/>
      <c r="B29" s="66"/>
      <c r="C29" s="101"/>
      <c r="D29" s="75"/>
      <c r="E29" s="69"/>
      <c r="F29" s="226"/>
      <c r="G29" s="222"/>
      <c r="H29" s="220"/>
      <c r="I29" s="73"/>
      <c r="J29" s="75"/>
      <c r="K29" s="75"/>
      <c r="L29" s="75"/>
      <c r="M29" s="75"/>
      <c r="N29" s="75"/>
      <c r="O29" s="75"/>
      <c r="P29" s="75"/>
    </row>
    <row r="30" spans="1:16" ht="12.75" customHeight="1">
      <c r="A30" s="100"/>
      <c r="B30" s="66"/>
      <c r="C30" s="101"/>
      <c r="D30" s="75"/>
      <c r="E30" s="69"/>
      <c r="F30" s="226"/>
      <c r="G30" s="222"/>
      <c r="H30" s="220"/>
      <c r="I30" s="73"/>
      <c r="J30" s="75"/>
      <c r="K30" s="75"/>
      <c r="L30" s="75"/>
      <c r="M30" s="75"/>
      <c r="N30" s="75"/>
      <c r="O30" s="75"/>
      <c r="P30" s="75"/>
    </row>
    <row r="31" spans="1:16" ht="12.75" customHeight="1">
      <c r="A31" s="100"/>
      <c r="B31" s="66"/>
      <c r="C31" s="101"/>
      <c r="D31" s="75"/>
      <c r="E31" s="69"/>
      <c r="F31" s="226"/>
      <c r="G31" s="222"/>
      <c r="H31" s="220"/>
      <c r="I31" s="73"/>
      <c r="J31" s="75"/>
      <c r="K31" s="75"/>
      <c r="L31" s="75"/>
      <c r="M31" s="75"/>
      <c r="N31" s="75"/>
      <c r="O31" s="75"/>
      <c r="P31" s="75"/>
    </row>
    <row r="32" spans="1:16" ht="12.75" customHeight="1">
      <c r="A32" s="102"/>
      <c r="D32" s="76"/>
      <c r="F32" s="227"/>
      <c r="G32" s="223"/>
      <c r="H32" s="220"/>
      <c r="J32" s="76"/>
      <c r="K32" s="76"/>
      <c r="L32" s="76"/>
      <c r="M32" s="76"/>
      <c r="N32" s="76"/>
    </row>
    <row r="33" spans="1:16" ht="12.75" customHeight="1">
      <c r="A33" s="100"/>
      <c r="B33" s="66"/>
      <c r="C33" s="101"/>
      <c r="D33" s="75"/>
      <c r="E33" s="69"/>
      <c r="F33" s="226"/>
      <c r="G33" s="222"/>
      <c r="H33" s="220"/>
      <c r="I33" s="73"/>
      <c r="J33" s="75"/>
      <c r="K33" s="75"/>
      <c r="L33" s="75"/>
      <c r="M33" s="75"/>
      <c r="N33" s="75"/>
      <c r="O33" s="75"/>
      <c r="P33" s="75"/>
    </row>
    <row r="34" spans="1:16" ht="12.75" customHeight="1">
      <c r="A34" s="100"/>
      <c r="B34" s="66"/>
      <c r="C34" s="101"/>
      <c r="D34" s="75"/>
      <c r="E34" s="69"/>
      <c r="F34" s="226"/>
      <c r="G34" s="222"/>
      <c r="H34" s="220"/>
      <c r="I34" s="73"/>
      <c r="J34" s="75"/>
      <c r="K34" s="75"/>
      <c r="L34" s="75"/>
      <c r="M34" s="75"/>
      <c r="N34" s="75"/>
      <c r="O34" s="75"/>
      <c r="P34" s="75"/>
    </row>
    <row r="35" spans="1:16" ht="12.75" customHeight="1">
      <c r="A35" s="102"/>
      <c r="D35" s="76"/>
      <c r="F35" s="227"/>
      <c r="G35" s="223"/>
      <c r="H35" s="220"/>
      <c r="J35" s="76"/>
      <c r="K35" s="76"/>
      <c r="L35" s="76"/>
      <c r="M35" s="76"/>
      <c r="N35" s="76"/>
    </row>
    <row r="36" spans="1:16" s="114" customFormat="1" ht="12.75" customHeight="1">
      <c r="A36" s="100"/>
      <c r="B36" s="66"/>
      <c r="C36" s="101"/>
      <c r="D36" s="75"/>
      <c r="E36" s="69"/>
      <c r="F36" s="226"/>
      <c r="G36" s="222"/>
      <c r="H36" s="220"/>
      <c r="I36" s="73"/>
      <c r="J36" s="75"/>
      <c r="K36" s="75"/>
      <c r="L36" s="75"/>
      <c r="M36" s="75"/>
      <c r="N36" s="75"/>
      <c r="O36" s="75"/>
      <c r="P36" s="75"/>
    </row>
    <row r="37" spans="1:16" ht="12.75" customHeight="1">
      <c r="A37" s="108"/>
      <c r="B37" s="109"/>
      <c r="C37" s="110"/>
      <c r="D37" s="111"/>
      <c r="E37" s="112"/>
      <c r="F37" s="226"/>
      <c r="G37" s="224"/>
      <c r="H37" s="220"/>
      <c r="I37" s="113"/>
      <c r="J37" s="111"/>
      <c r="K37" s="111"/>
      <c r="L37" s="111"/>
      <c r="M37" s="111"/>
      <c r="N37" s="111"/>
      <c r="O37" s="111"/>
      <c r="P37" s="111"/>
    </row>
    <row r="38" spans="1:16">
      <c r="A38" s="100"/>
      <c r="B38" s="66"/>
      <c r="C38" s="101"/>
      <c r="D38" s="75"/>
      <c r="E38" s="69"/>
      <c r="F38" s="226"/>
      <c r="G38" s="222"/>
      <c r="H38" s="220"/>
      <c r="I38" s="73"/>
      <c r="J38" s="75"/>
      <c r="K38" s="75"/>
      <c r="L38" s="75"/>
      <c r="M38" s="75"/>
      <c r="N38" s="75"/>
      <c r="O38" s="75"/>
      <c r="P38" s="75"/>
    </row>
    <row r="39" spans="1:16">
      <c r="A39" s="102"/>
      <c r="D39" s="76"/>
      <c r="F39" s="227"/>
      <c r="G39" s="223"/>
      <c r="H39" s="220"/>
      <c r="J39" s="76"/>
      <c r="K39" s="76"/>
      <c r="L39" s="76"/>
      <c r="M39" s="76"/>
      <c r="N39" s="76"/>
    </row>
    <row r="40" spans="1:16">
      <c r="A40" s="102"/>
      <c r="D40" s="76"/>
      <c r="F40" s="227"/>
      <c r="G40" s="223"/>
      <c r="H40" s="220"/>
      <c r="J40" s="76"/>
      <c r="K40" s="76"/>
      <c r="L40" s="76"/>
      <c r="M40" s="76"/>
      <c r="N40" s="76"/>
    </row>
    <row r="41" spans="1:16">
      <c r="A41" s="102"/>
      <c r="D41" s="76"/>
      <c r="F41" s="227"/>
      <c r="G41" s="223"/>
      <c r="H41" s="220"/>
      <c r="J41" s="76"/>
      <c r="K41" s="76"/>
      <c r="L41" s="76"/>
      <c r="M41" s="76"/>
      <c r="N41" s="76"/>
    </row>
    <row r="42" spans="1:16">
      <c r="A42" s="102"/>
      <c r="D42" s="76"/>
      <c r="F42" s="227"/>
      <c r="G42" s="223"/>
      <c r="H42" s="220"/>
      <c r="J42" s="76"/>
      <c r="K42" s="76"/>
      <c r="L42" s="76"/>
      <c r="M42" s="76"/>
      <c r="N42" s="76"/>
    </row>
    <row r="43" spans="1:16">
      <c r="A43" s="102"/>
      <c r="D43" s="76"/>
      <c r="F43" s="227"/>
      <c r="G43" s="223"/>
      <c r="H43" s="220"/>
      <c r="J43" s="76"/>
      <c r="K43" s="76"/>
      <c r="L43" s="76"/>
      <c r="M43" s="76"/>
      <c r="N43" s="76"/>
    </row>
    <row r="44" spans="1:16">
      <c r="A44" s="102"/>
      <c r="D44" s="76"/>
      <c r="F44" s="227"/>
      <c r="G44" s="223"/>
      <c r="H44" s="220"/>
      <c r="J44" s="76"/>
      <c r="K44" s="76"/>
      <c r="L44" s="76"/>
      <c r="M44" s="76"/>
      <c r="N44" s="76"/>
    </row>
    <row r="45" spans="1:16">
      <c r="A45" s="102"/>
      <c r="D45" s="76"/>
      <c r="F45" s="227"/>
      <c r="G45" s="223"/>
      <c r="H45" s="220"/>
      <c r="J45" s="76"/>
      <c r="K45" s="76"/>
      <c r="L45" s="76"/>
      <c r="M45" s="76"/>
      <c r="N45" s="76"/>
    </row>
    <row r="46" spans="1:16">
      <c r="A46" s="102"/>
      <c r="D46" s="76"/>
      <c r="F46" s="227"/>
      <c r="G46" s="223"/>
      <c r="H46" s="220"/>
      <c r="J46" s="76"/>
      <c r="K46" s="76"/>
      <c r="L46" s="76"/>
      <c r="M46" s="76"/>
      <c r="N46" s="76"/>
    </row>
    <row r="47" spans="1:16">
      <c r="A47" s="102"/>
      <c r="D47" s="76"/>
      <c r="F47" s="227"/>
      <c r="G47" s="223"/>
      <c r="H47" s="220"/>
      <c r="J47" s="76"/>
      <c r="K47" s="76"/>
      <c r="L47" s="76"/>
      <c r="M47" s="76"/>
      <c r="N47" s="76"/>
    </row>
    <row r="48" spans="1:16">
      <c r="A48" s="102"/>
      <c r="D48" s="76"/>
      <c r="F48" s="227"/>
      <c r="G48" s="223"/>
      <c r="H48" s="220"/>
      <c r="J48" s="76"/>
      <c r="K48" s="76"/>
      <c r="L48" s="76"/>
      <c r="M48" s="76"/>
      <c r="N48" s="76"/>
    </row>
    <row r="49" spans="1:14">
      <c r="A49" s="102"/>
      <c r="D49" s="76"/>
      <c r="F49" s="227"/>
      <c r="G49" s="223"/>
      <c r="H49" s="220"/>
      <c r="J49" s="76"/>
      <c r="K49" s="76"/>
      <c r="L49" s="76"/>
      <c r="M49" s="76"/>
      <c r="N49" s="76"/>
    </row>
    <row r="50" spans="1:14">
      <c r="A50" s="102"/>
      <c r="D50" s="76"/>
      <c r="F50" s="227"/>
      <c r="G50" s="223"/>
      <c r="H50" s="220"/>
      <c r="J50" s="76"/>
      <c r="K50" s="76"/>
      <c r="L50" s="76"/>
      <c r="M50" s="76"/>
      <c r="N50" s="76"/>
    </row>
    <row r="51" spans="1:14">
      <c r="A51" s="102"/>
      <c r="D51" s="76"/>
      <c r="F51" s="227"/>
      <c r="G51" s="223"/>
      <c r="H51" s="220"/>
      <c r="J51" s="76"/>
      <c r="K51" s="76"/>
      <c r="L51" s="76"/>
      <c r="M51" s="76"/>
      <c r="N51" s="76"/>
    </row>
    <row r="52" spans="1:14">
      <c r="A52" s="102"/>
      <c r="D52" s="76"/>
      <c r="F52" s="227"/>
      <c r="G52" s="223"/>
      <c r="H52" s="220"/>
      <c r="J52" s="76"/>
      <c r="K52" s="76"/>
      <c r="L52" s="76"/>
      <c r="M52" s="76"/>
      <c r="N52" s="76"/>
    </row>
    <row r="53" spans="1:14">
      <c r="A53" s="102"/>
      <c r="D53" s="76"/>
      <c r="F53" s="227"/>
      <c r="G53" s="223"/>
      <c r="H53" s="220"/>
      <c r="J53" s="76"/>
      <c r="K53" s="76"/>
      <c r="L53" s="76"/>
      <c r="M53" s="76"/>
      <c r="N53" s="76"/>
    </row>
    <row r="54" spans="1:14">
      <c r="A54" s="102"/>
      <c r="D54" s="76"/>
      <c r="F54" s="227"/>
      <c r="G54" s="223"/>
      <c r="H54" s="220"/>
      <c r="J54" s="76"/>
      <c r="K54" s="76"/>
      <c r="L54" s="76"/>
      <c r="M54" s="76"/>
      <c r="N54" s="76"/>
    </row>
    <row r="55" spans="1:14">
      <c r="A55" s="102"/>
      <c r="D55" s="76"/>
      <c r="F55" s="227"/>
      <c r="G55" s="223"/>
      <c r="H55" s="220"/>
      <c r="J55" s="76"/>
      <c r="K55" s="76"/>
      <c r="L55" s="76"/>
      <c r="M55" s="76"/>
      <c r="N55" s="76"/>
    </row>
    <row r="56" spans="1:14">
      <c r="A56" s="102"/>
      <c r="D56" s="76"/>
      <c r="F56" s="227"/>
      <c r="G56" s="223"/>
      <c r="H56" s="220"/>
      <c r="J56" s="76"/>
      <c r="K56" s="76"/>
      <c r="L56" s="76"/>
      <c r="M56" s="76"/>
      <c r="N56" s="76"/>
    </row>
    <row r="57" spans="1:14">
      <c r="A57" s="102"/>
      <c r="D57" s="76"/>
      <c r="F57" s="227"/>
      <c r="G57" s="223"/>
      <c r="H57" s="220"/>
      <c r="J57" s="76"/>
      <c r="K57" s="76"/>
      <c r="L57" s="76"/>
      <c r="M57" s="76"/>
      <c r="N57" s="76"/>
    </row>
    <row r="58" spans="1:14">
      <c r="A58" s="102"/>
      <c r="D58" s="76"/>
      <c r="F58" s="227"/>
      <c r="G58" s="223"/>
      <c r="H58" s="220"/>
      <c r="J58" s="76"/>
      <c r="K58" s="76"/>
      <c r="L58" s="76"/>
      <c r="M58" s="76"/>
      <c r="N58" s="76"/>
    </row>
    <row r="59" spans="1:14">
      <c r="A59" s="102"/>
      <c r="D59" s="76"/>
      <c r="F59" s="227"/>
      <c r="G59" s="223"/>
      <c r="H59" s="220"/>
      <c r="J59" s="76"/>
      <c r="K59" s="76"/>
      <c r="L59" s="76"/>
      <c r="M59" s="76"/>
      <c r="N59" s="76"/>
    </row>
    <row r="60" spans="1:14">
      <c r="A60" s="102"/>
      <c r="D60" s="76"/>
      <c r="F60" s="227"/>
      <c r="G60" s="223"/>
      <c r="H60" s="220"/>
      <c r="J60" s="76"/>
      <c r="K60" s="76"/>
      <c r="L60" s="76"/>
      <c r="M60" s="76"/>
      <c r="N60" s="76"/>
    </row>
    <row r="61" spans="1:14">
      <c r="A61" s="102"/>
      <c r="D61" s="76"/>
      <c r="F61" s="227"/>
      <c r="G61" s="223"/>
      <c r="H61" s="220"/>
      <c r="J61" s="76"/>
      <c r="K61" s="76"/>
      <c r="L61" s="76"/>
      <c r="M61" s="76"/>
      <c r="N61" s="76"/>
    </row>
    <row r="62" spans="1:14">
      <c r="A62" s="102"/>
      <c r="D62" s="76"/>
      <c r="F62" s="227"/>
      <c r="G62" s="223"/>
      <c r="H62" s="220"/>
      <c r="J62" s="76"/>
      <c r="K62" s="76"/>
      <c r="L62" s="76"/>
      <c r="M62" s="76"/>
      <c r="N62" s="76"/>
    </row>
    <row r="63" spans="1:14">
      <c r="A63" s="102"/>
      <c r="D63" s="76"/>
      <c r="F63" s="227"/>
      <c r="G63" s="223"/>
      <c r="H63" s="220"/>
      <c r="J63" s="76"/>
      <c r="K63" s="76"/>
      <c r="L63" s="76"/>
      <c r="M63" s="76"/>
      <c r="N63" s="76"/>
    </row>
    <row r="64" spans="1:14">
      <c r="A64" s="102"/>
      <c r="D64" s="76"/>
      <c r="F64" s="227"/>
      <c r="G64" s="223"/>
      <c r="H64" s="220"/>
      <c r="J64" s="76"/>
      <c r="K64" s="76"/>
      <c r="L64" s="76"/>
      <c r="M64" s="76"/>
      <c r="N64" s="76"/>
    </row>
    <row r="65" spans="1:14">
      <c r="A65" s="102"/>
      <c r="D65" s="76"/>
      <c r="F65" s="227"/>
      <c r="G65" s="223"/>
      <c r="H65" s="220"/>
      <c r="J65" s="76"/>
      <c r="K65" s="76"/>
      <c r="L65" s="76"/>
      <c r="M65" s="76"/>
      <c r="N65" s="76"/>
    </row>
    <row r="66" spans="1:14">
      <c r="F66" s="228"/>
      <c r="G66" s="225"/>
      <c r="H66" s="220"/>
    </row>
    <row r="67" spans="1:14">
      <c r="F67" s="228"/>
      <c r="G67" s="225"/>
      <c r="H67" s="220"/>
    </row>
    <row r="68" spans="1:14">
      <c r="F68" s="228"/>
      <c r="G68" s="225"/>
      <c r="H68" s="220"/>
    </row>
    <row r="69" spans="1:14">
      <c r="F69" s="228"/>
      <c r="G69" s="225"/>
      <c r="H69" s="220"/>
    </row>
    <row r="70" spans="1:14">
      <c r="F70" s="228"/>
      <c r="G70" s="225"/>
      <c r="H70" s="220"/>
    </row>
    <row r="71" spans="1:14">
      <c r="F71" s="228"/>
      <c r="G71" s="225"/>
      <c r="H71" s="220"/>
    </row>
    <row r="72" spans="1:14">
      <c r="F72" s="228"/>
      <c r="G72" s="225"/>
      <c r="H72" s="220"/>
    </row>
    <row r="73" spans="1:14">
      <c r="F73" s="228"/>
      <c r="G73" s="225"/>
      <c r="H73" s="220"/>
    </row>
    <row r="74" spans="1:14">
      <c r="F74" s="228"/>
      <c r="G74" s="225"/>
      <c r="H74" s="220"/>
    </row>
    <row r="75" spans="1:14">
      <c r="F75" s="228"/>
      <c r="G75" s="225"/>
      <c r="H75" s="220"/>
    </row>
    <row r="76" spans="1:14">
      <c r="F76" s="228"/>
      <c r="G76" s="225"/>
      <c r="H76" s="220"/>
    </row>
    <row r="77" spans="1:14">
      <c r="F77" s="228"/>
      <c r="G77" s="225"/>
      <c r="H77" s="220"/>
    </row>
    <row r="78" spans="1:14">
      <c r="F78" s="228"/>
      <c r="G78" s="225"/>
      <c r="H78" s="220"/>
    </row>
    <row r="79" spans="1:14">
      <c r="F79" s="228"/>
      <c r="G79" s="225"/>
      <c r="H79" s="220"/>
    </row>
    <row r="80" spans="1:14">
      <c r="F80" s="228"/>
      <c r="G80" s="225"/>
      <c r="H80" s="220"/>
    </row>
    <row r="81" spans="6:8">
      <c r="F81" s="228"/>
      <c r="G81" s="225"/>
      <c r="H81" s="220"/>
    </row>
    <row r="82" spans="6:8">
      <c r="F82" s="228"/>
      <c r="G82" s="225"/>
      <c r="H82" s="220"/>
    </row>
    <row r="83" spans="6:8">
      <c r="F83" s="228"/>
      <c r="G83" s="225"/>
      <c r="H83" s="220"/>
    </row>
    <row r="84" spans="6:8">
      <c r="F84" s="228"/>
      <c r="G84" s="225"/>
      <c r="H84" s="220"/>
    </row>
    <row r="85" spans="6:8">
      <c r="F85" s="228"/>
      <c r="G85" s="225"/>
      <c r="H85" s="220"/>
    </row>
    <row r="86" spans="6:8">
      <c r="F86" s="228"/>
      <c r="G86" s="225"/>
      <c r="H86" s="220"/>
    </row>
    <row r="87" spans="6:8">
      <c r="F87" s="228"/>
      <c r="G87" s="225"/>
      <c r="H87" s="220"/>
    </row>
    <row r="88" spans="6:8">
      <c r="F88" s="228"/>
      <c r="G88" s="225"/>
      <c r="H88" s="220"/>
    </row>
    <row r="89" spans="6:8">
      <c r="F89" s="228"/>
      <c r="G89" s="225"/>
      <c r="H89" s="220"/>
    </row>
    <row r="90" spans="6:8">
      <c r="F90" s="228"/>
      <c r="G90" s="225"/>
      <c r="H90" s="220"/>
    </row>
    <row r="91" spans="6:8">
      <c r="F91" s="228"/>
      <c r="G91" s="225"/>
      <c r="H91" s="220"/>
    </row>
    <row r="92" spans="6:8">
      <c r="F92" s="228"/>
      <c r="G92" s="225"/>
      <c r="H92" s="220"/>
    </row>
    <row r="93" spans="6:8">
      <c r="F93" s="228"/>
      <c r="G93" s="225"/>
      <c r="H93" s="220"/>
    </row>
    <row r="94" spans="6:8">
      <c r="F94" s="228"/>
      <c r="G94" s="225"/>
      <c r="H94" s="220"/>
    </row>
    <row r="95" spans="6:8">
      <c r="F95" s="228"/>
      <c r="G95" s="225"/>
      <c r="H95" s="220"/>
    </row>
    <row r="96" spans="6:8">
      <c r="F96" s="228"/>
      <c r="G96" s="225"/>
      <c r="H96" s="220"/>
    </row>
    <row r="97" spans="6:8">
      <c r="F97" s="228"/>
      <c r="G97" s="225"/>
      <c r="H97" s="220"/>
    </row>
    <row r="98" spans="6:8">
      <c r="F98" s="228"/>
      <c r="G98" s="225"/>
      <c r="H98" s="220"/>
    </row>
    <row r="99" spans="6:8">
      <c r="F99" s="228"/>
      <c r="G99" s="225"/>
      <c r="H99" s="220"/>
    </row>
    <row r="100" spans="6:8">
      <c r="F100" s="228"/>
      <c r="G100" s="225"/>
      <c r="H100" s="220"/>
    </row>
    <row r="101" spans="6:8">
      <c r="F101" s="228"/>
      <c r="G101" s="225"/>
      <c r="H101" s="220"/>
    </row>
    <row r="102" spans="6:8">
      <c r="F102" s="228"/>
      <c r="G102" s="225"/>
      <c r="H102" s="220"/>
    </row>
    <row r="103" spans="6:8">
      <c r="F103" s="228"/>
      <c r="G103" s="225"/>
      <c r="H103" s="220"/>
    </row>
    <row r="104" spans="6:8">
      <c r="F104" s="228"/>
      <c r="G104" s="225"/>
      <c r="H104" s="220"/>
    </row>
    <row r="105" spans="6:8">
      <c r="F105" s="228"/>
      <c r="G105" s="225"/>
      <c r="H105" s="220"/>
    </row>
    <row r="106" spans="6:8">
      <c r="F106" s="228"/>
      <c r="G106" s="225"/>
      <c r="H106" s="220"/>
    </row>
    <row r="107" spans="6:8">
      <c r="F107" s="228"/>
      <c r="G107" s="225"/>
      <c r="H107" s="220"/>
    </row>
    <row r="108" spans="6:8">
      <c r="F108" s="228"/>
      <c r="G108" s="225"/>
      <c r="H108" s="220"/>
    </row>
    <row r="109" spans="6:8">
      <c r="F109" s="228"/>
      <c r="G109" s="225"/>
      <c r="H109" s="220"/>
    </row>
    <row r="110" spans="6:8">
      <c r="F110" s="228"/>
      <c r="G110" s="225"/>
      <c r="H110" s="220"/>
    </row>
    <row r="111" spans="6:8">
      <c r="F111" s="228"/>
      <c r="G111" s="225"/>
      <c r="H111" s="220"/>
    </row>
    <row r="112" spans="6:8">
      <c r="F112" s="228"/>
      <c r="G112" s="225"/>
      <c r="H112" s="220"/>
    </row>
    <row r="113" spans="6:8">
      <c r="F113" s="228"/>
      <c r="G113" s="225"/>
      <c r="H113" s="220"/>
    </row>
    <row r="114" spans="6:8">
      <c r="F114" s="228"/>
      <c r="G114" s="225"/>
      <c r="H114" s="220"/>
    </row>
    <row r="115" spans="6:8">
      <c r="F115" s="228"/>
      <c r="G115" s="225"/>
      <c r="H115" s="220"/>
    </row>
    <row r="116" spans="6:8">
      <c r="F116" s="228"/>
      <c r="G116" s="225"/>
      <c r="H116" s="220"/>
    </row>
    <row r="117" spans="6:8">
      <c r="F117" s="228"/>
      <c r="G117" s="225"/>
      <c r="H117" s="220"/>
    </row>
    <row r="118" spans="6:8">
      <c r="F118" s="228"/>
      <c r="G118" s="225"/>
      <c r="H118" s="220"/>
    </row>
    <row r="119" spans="6:8">
      <c r="F119" s="228"/>
      <c r="G119" s="225"/>
      <c r="H119" s="220"/>
    </row>
    <row r="120" spans="6:8">
      <c r="F120" s="228"/>
      <c r="G120" s="225"/>
      <c r="H120" s="220"/>
    </row>
    <row r="121" spans="6:8">
      <c r="F121" s="228"/>
      <c r="G121" s="225"/>
      <c r="H121" s="220"/>
    </row>
    <row r="122" spans="6:8">
      <c r="F122" s="228"/>
      <c r="G122" s="225"/>
      <c r="H122" s="220"/>
    </row>
    <row r="123" spans="6:8">
      <c r="F123" s="228"/>
      <c r="G123" s="225"/>
      <c r="H123" s="220"/>
    </row>
    <row r="124" spans="6:8">
      <c r="F124" s="228"/>
      <c r="G124" s="225"/>
      <c r="H124" s="220"/>
    </row>
    <row r="125" spans="6:8">
      <c r="F125" s="228"/>
      <c r="G125" s="225"/>
      <c r="H125" s="220"/>
    </row>
    <row r="126" spans="6:8">
      <c r="F126" s="228"/>
      <c r="G126" s="225"/>
      <c r="H126" s="220"/>
    </row>
    <row r="127" spans="6:8">
      <c r="F127" s="228"/>
      <c r="G127" s="225"/>
      <c r="H127" s="220"/>
    </row>
    <row r="128" spans="6:8">
      <c r="F128" s="228"/>
      <c r="G128" s="225"/>
      <c r="H128" s="220"/>
    </row>
    <row r="129" spans="6:8">
      <c r="F129" s="228"/>
      <c r="G129" s="225"/>
      <c r="H129" s="220"/>
    </row>
    <row r="130" spans="6:8">
      <c r="F130" s="228"/>
      <c r="G130" s="225"/>
      <c r="H130" s="220"/>
    </row>
    <row r="131" spans="6:8">
      <c r="F131" s="228"/>
      <c r="G131" s="225"/>
      <c r="H131" s="220"/>
    </row>
    <row r="132" spans="6:8">
      <c r="F132" s="228"/>
      <c r="G132" s="225"/>
      <c r="H132" s="220"/>
    </row>
    <row r="133" spans="6:8">
      <c r="F133" s="228"/>
      <c r="G133" s="225"/>
      <c r="H133" s="220"/>
    </row>
    <row r="134" spans="6:8">
      <c r="F134" s="228"/>
      <c r="G134" s="225"/>
      <c r="H134" s="220"/>
    </row>
    <row r="135" spans="6:8">
      <c r="F135" s="228"/>
      <c r="G135" s="225"/>
      <c r="H135" s="220"/>
    </row>
    <row r="136" spans="6:8">
      <c r="F136" s="228"/>
      <c r="G136" s="225"/>
      <c r="H136" s="220"/>
    </row>
    <row r="137" spans="6:8">
      <c r="F137" s="228"/>
      <c r="G137" s="225"/>
      <c r="H137" s="220"/>
    </row>
    <row r="138" spans="6:8">
      <c r="F138" s="228"/>
      <c r="G138" s="225"/>
      <c r="H138" s="220"/>
    </row>
    <row r="139" spans="6:8">
      <c r="F139" s="228"/>
      <c r="G139" s="225"/>
      <c r="H139" s="220"/>
    </row>
    <row r="140" spans="6:8">
      <c r="F140" s="228"/>
      <c r="G140" s="225"/>
      <c r="H140" s="220"/>
    </row>
    <row r="141" spans="6:8">
      <c r="F141" s="228"/>
      <c r="G141" s="225"/>
      <c r="H141" s="220"/>
    </row>
    <row r="142" spans="6:8">
      <c r="F142" s="228"/>
      <c r="G142" s="225"/>
      <c r="H142" s="220"/>
    </row>
    <row r="143" spans="6:8">
      <c r="F143" s="228"/>
      <c r="G143" s="225"/>
      <c r="H143" s="220"/>
    </row>
    <row r="144" spans="6:8">
      <c r="F144" s="228"/>
      <c r="G144" s="225"/>
      <c r="H144" s="220"/>
    </row>
    <row r="145" spans="6:8">
      <c r="F145" s="228"/>
      <c r="G145" s="225"/>
      <c r="H145" s="220"/>
    </row>
    <row r="146" spans="6:8">
      <c r="F146" s="228"/>
      <c r="G146" s="225"/>
      <c r="H146" s="220"/>
    </row>
    <row r="147" spans="6:8">
      <c r="F147" s="228"/>
      <c r="G147" s="225"/>
      <c r="H147" s="220"/>
    </row>
    <row r="148" spans="6:8">
      <c r="F148" s="228"/>
      <c r="G148" s="225"/>
      <c r="H148" s="220"/>
    </row>
    <row r="149" spans="6:8">
      <c r="F149" s="228"/>
      <c r="G149" s="225"/>
      <c r="H149" s="220"/>
    </row>
    <row r="150" spans="6:8">
      <c r="F150" s="228"/>
      <c r="G150" s="225"/>
      <c r="H150" s="220"/>
    </row>
    <row r="151" spans="6:8">
      <c r="F151" s="228"/>
      <c r="G151" s="225"/>
      <c r="H151" s="220"/>
    </row>
    <row r="152" spans="6:8">
      <c r="F152" s="228"/>
      <c r="G152" s="225"/>
      <c r="H152" s="220"/>
    </row>
    <row r="153" spans="6:8">
      <c r="F153" s="228"/>
      <c r="G153" s="225"/>
      <c r="H153" s="220"/>
    </row>
    <row r="154" spans="6:8">
      <c r="F154" s="228"/>
      <c r="G154" s="225"/>
      <c r="H154" s="220"/>
    </row>
    <row r="155" spans="6:8">
      <c r="F155" s="228"/>
      <c r="G155" s="225"/>
      <c r="H155" s="220"/>
    </row>
    <row r="156" spans="6:8">
      <c r="F156" s="228"/>
      <c r="G156" s="225"/>
      <c r="H156" s="220"/>
    </row>
    <row r="157" spans="6:8">
      <c r="F157" s="228"/>
      <c r="G157" s="225"/>
      <c r="H157" s="220"/>
    </row>
    <row r="158" spans="6:8">
      <c r="F158" s="228"/>
      <c r="G158" s="225"/>
      <c r="H158" s="220"/>
    </row>
    <row r="159" spans="6:8">
      <c r="F159" s="228"/>
      <c r="G159" s="225"/>
      <c r="H159" s="220"/>
    </row>
    <row r="160" spans="6:8">
      <c r="F160" s="228"/>
      <c r="G160" s="225"/>
      <c r="H160" s="220"/>
    </row>
    <row r="161" spans="6:8">
      <c r="F161" s="228"/>
      <c r="G161" s="225"/>
      <c r="H161" s="220"/>
    </row>
    <row r="162" spans="6:8">
      <c r="F162" s="228"/>
      <c r="G162" s="225"/>
      <c r="H162" s="220"/>
    </row>
    <row r="163" spans="6:8">
      <c r="F163" s="228"/>
      <c r="G163" s="225"/>
      <c r="H163" s="220"/>
    </row>
    <row r="164" spans="6:8">
      <c r="F164" s="228"/>
      <c r="G164" s="225"/>
      <c r="H164" s="220"/>
    </row>
    <row r="165" spans="6:8">
      <c r="F165" s="228"/>
      <c r="G165" s="225"/>
      <c r="H165" s="220"/>
    </row>
    <row r="166" spans="6:8">
      <c r="F166" s="228"/>
      <c r="G166" s="225"/>
      <c r="H166" s="220"/>
    </row>
    <row r="167" spans="6:8">
      <c r="F167" s="228"/>
      <c r="G167" s="225"/>
      <c r="H167" s="220"/>
    </row>
    <row r="168" spans="6:8">
      <c r="F168" s="228"/>
      <c r="G168" s="225"/>
      <c r="H168" s="220"/>
    </row>
    <row r="169" spans="6:8">
      <c r="F169" s="228"/>
      <c r="G169" s="225"/>
      <c r="H169" s="220"/>
    </row>
    <row r="170" spans="6:8">
      <c r="F170" s="228"/>
      <c r="G170" s="225"/>
      <c r="H170" s="220"/>
    </row>
    <row r="171" spans="6:8">
      <c r="F171" s="228"/>
      <c r="G171" s="225"/>
      <c r="H171" s="220"/>
    </row>
    <row r="172" spans="6:8">
      <c r="F172" s="228"/>
      <c r="G172" s="225"/>
      <c r="H172" s="220"/>
    </row>
    <row r="173" spans="6:8">
      <c r="F173" s="228"/>
      <c r="G173" s="225"/>
      <c r="H173" s="220"/>
    </row>
    <row r="174" spans="6:8">
      <c r="F174" s="228"/>
      <c r="G174" s="225"/>
      <c r="H174" s="220"/>
    </row>
    <row r="175" spans="6:8">
      <c r="F175" s="228"/>
      <c r="G175" s="225"/>
      <c r="H175" s="220"/>
    </row>
    <row r="176" spans="6:8">
      <c r="F176" s="228"/>
      <c r="G176" s="225"/>
      <c r="H176" s="220"/>
    </row>
    <row r="177" spans="6:8">
      <c r="F177" s="228"/>
      <c r="G177" s="225"/>
      <c r="H177" s="220"/>
    </row>
    <row r="178" spans="6:8">
      <c r="F178" s="228"/>
      <c r="G178" s="225"/>
      <c r="H178" s="220"/>
    </row>
    <row r="179" spans="6:8">
      <c r="F179" s="228"/>
      <c r="G179" s="225"/>
      <c r="H179" s="220"/>
    </row>
    <row r="180" spans="6:8">
      <c r="F180" s="228"/>
      <c r="G180" s="225"/>
      <c r="H180" s="220"/>
    </row>
    <row r="181" spans="6:8">
      <c r="F181" s="228"/>
      <c r="G181" s="225"/>
      <c r="H181" s="220"/>
    </row>
    <row r="182" spans="6:8">
      <c r="F182" s="228"/>
      <c r="G182" s="225"/>
      <c r="H182" s="220"/>
    </row>
    <row r="183" spans="6:8">
      <c r="F183" s="228"/>
      <c r="G183" s="225"/>
      <c r="H183" s="220"/>
    </row>
    <row r="184" spans="6:8">
      <c r="F184" s="228"/>
      <c r="G184" s="225"/>
      <c r="H184" s="220"/>
    </row>
    <row r="185" spans="6:8">
      <c r="F185" s="228"/>
      <c r="G185" s="225"/>
      <c r="H185" s="220"/>
    </row>
    <row r="186" spans="6:8">
      <c r="F186" s="228"/>
      <c r="G186" s="225"/>
      <c r="H186" s="220"/>
    </row>
    <row r="187" spans="6:8">
      <c r="F187" s="228"/>
      <c r="G187" s="225"/>
      <c r="H187" s="220"/>
    </row>
    <row r="188" spans="6:8">
      <c r="F188" s="228"/>
      <c r="G188" s="225"/>
      <c r="H188" s="220"/>
    </row>
    <row r="189" spans="6:8">
      <c r="F189" s="228"/>
      <c r="G189" s="225"/>
      <c r="H189" s="220"/>
    </row>
    <row r="190" spans="6:8">
      <c r="F190" s="228"/>
      <c r="G190" s="225"/>
      <c r="H190" s="220"/>
    </row>
    <row r="191" spans="6:8">
      <c r="F191" s="228"/>
      <c r="G191" s="225"/>
      <c r="H191" s="220"/>
    </row>
    <row r="192" spans="6:8">
      <c r="F192" s="228"/>
      <c r="G192" s="225"/>
      <c r="H192" s="220"/>
    </row>
    <row r="193" spans="6:8">
      <c r="F193" s="228"/>
      <c r="G193" s="225"/>
      <c r="H193" s="220"/>
    </row>
    <row r="194" spans="6:8">
      <c r="F194" s="228"/>
      <c r="G194" s="225"/>
      <c r="H194" s="220"/>
    </row>
    <row r="195" spans="6:8">
      <c r="F195" s="228"/>
      <c r="G195" s="225"/>
      <c r="H195" s="220"/>
    </row>
    <row r="196" spans="6:8">
      <c r="F196" s="228"/>
      <c r="G196" s="225"/>
      <c r="H196" s="220"/>
    </row>
    <row r="197" spans="6:8">
      <c r="F197" s="228"/>
      <c r="G197" s="225"/>
      <c r="H197" s="220"/>
    </row>
    <row r="198" spans="6:8">
      <c r="F198" s="228"/>
      <c r="G198" s="225"/>
      <c r="H198" s="220"/>
    </row>
    <row r="199" spans="6:8">
      <c r="F199" s="228"/>
      <c r="G199" s="225"/>
      <c r="H199" s="220"/>
    </row>
    <row r="200" spans="6:8">
      <c r="F200" s="228"/>
      <c r="G200" s="225"/>
      <c r="H200" s="220"/>
    </row>
    <row r="201" spans="6:8">
      <c r="F201" s="228"/>
      <c r="G201" s="225"/>
      <c r="H201" s="220"/>
    </row>
    <row r="202" spans="6:8">
      <c r="F202" s="228"/>
      <c r="G202" s="225"/>
      <c r="H202" s="220"/>
    </row>
    <row r="203" spans="6:8">
      <c r="F203" s="228"/>
      <c r="G203" s="225"/>
      <c r="H203" s="220"/>
    </row>
    <row r="204" spans="6:8">
      <c r="F204" s="228"/>
      <c r="G204" s="225"/>
      <c r="H204" s="220"/>
    </row>
    <row r="205" spans="6:8">
      <c r="F205" s="228"/>
      <c r="G205" s="225"/>
      <c r="H205" s="220"/>
    </row>
    <row r="206" spans="6:8">
      <c r="F206" s="228"/>
      <c r="G206" s="225"/>
      <c r="H206" s="220"/>
    </row>
    <row r="207" spans="6:8">
      <c r="F207" s="228"/>
      <c r="G207" s="225"/>
      <c r="H207" s="220"/>
    </row>
    <row r="208" spans="6:8">
      <c r="F208" s="228"/>
      <c r="G208" s="225"/>
      <c r="H208" s="220"/>
    </row>
    <row r="209" spans="6:8">
      <c r="F209" s="228"/>
      <c r="G209" s="225"/>
      <c r="H209" s="220"/>
    </row>
    <row r="210" spans="6:8">
      <c r="F210" s="228"/>
      <c r="G210" s="225"/>
      <c r="H210" s="220"/>
    </row>
    <row r="211" spans="6:8">
      <c r="F211" s="228"/>
      <c r="G211" s="225"/>
      <c r="H211" s="220"/>
    </row>
    <row r="212" spans="6:8">
      <c r="F212" s="228"/>
      <c r="G212" s="225"/>
      <c r="H212" s="220"/>
    </row>
    <row r="213" spans="6:8">
      <c r="F213" s="228"/>
      <c r="G213" s="225"/>
      <c r="H213" s="220"/>
    </row>
    <row r="214" spans="6:8">
      <c r="F214" s="228"/>
      <c r="G214" s="225"/>
      <c r="H214" s="220"/>
    </row>
    <row r="215" spans="6:8">
      <c r="F215" s="228"/>
      <c r="G215" s="225"/>
      <c r="H215" s="220"/>
    </row>
    <row r="216" spans="6:8">
      <c r="F216" s="228"/>
      <c r="G216" s="225"/>
      <c r="H216" s="220"/>
    </row>
    <row r="217" spans="6:8">
      <c r="F217" s="228"/>
      <c r="G217" s="225"/>
      <c r="H217" s="220"/>
    </row>
    <row r="218" spans="6:8">
      <c r="F218" s="228"/>
      <c r="G218" s="225"/>
      <c r="H218" s="220"/>
    </row>
    <row r="219" spans="6:8">
      <c r="F219" s="228"/>
      <c r="G219" s="225"/>
      <c r="H219" s="220"/>
    </row>
    <row r="220" spans="6:8">
      <c r="F220" s="228"/>
      <c r="G220" s="225"/>
      <c r="H220" s="220"/>
    </row>
    <row r="221" spans="6:8">
      <c r="F221" s="228"/>
      <c r="G221" s="225"/>
      <c r="H221" s="220"/>
    </row>
    <row r="222" spans="6:8">
      <c r="F222" s="228"/>
      <c r="G222" s="225"/>
      <c r="H222" s="220"/>
    </row>
    <row r="223" spans="6:8">
      <c r="F223" s="228"/>
      <c r="G223" s="225"/>
      <c r="H223" s="220"/>
    </row>
    <row r="224" spans="6:8">
      <c r="F224" s="228"/>
      <c r="G224" s="225"/>
      <c r="H224" s="220"/>
    </row>
    <row r="225" spans="6:8">
      <c r="F225" s="228"/>
      <c r="G225" s="225"/>
      <c r="H225" s="220"/>
    </row>
    <row r="226" spans="6:8">
      <c r="F226" s="228"/>
      <c r="G226" s="225"/>
      <c r="H226" s="220"/>
    </row>
    <row r="227" spans="6:8">
      <c r="F227" s="228"/>
      <c r="G227" s="225"/>
      <c r="H227" s="220"/>
    </row>
    <row r="228" spans="6:8">
      <c r="F228" s="228"/>
      <c r="G228" s="225"/>
      <c r="H228" s="220"/>
    </row>
    <row r="229" spans="6:8">
      <c r="F229" s="228"/>
      <c r="G229" s="225"/>
      <c r="H229" s="220"/>
    </row>
    <row r="230" spans="6:8">
      <c r="F230" s="228"/>
      <c r="G230" s="225"/>
      <c r="H230" s="220"/>
    </row>
    <row r="231" spans="6:8">
      <c r="F231" s="228"/>
      <c r="G231" s="225"/>
      <c r="H231" s="220"/>
    </row>
    <row r="232" spans="6:8">
      <c r="F232" s="228"/>
      <c r="G232" s="225"/>
      <c r="H232" s="220"/>
    </row>
    <row r="233" spans="6:8">
      <c r="F233" s="228"/>
      <c r="G233" s="225"/>
      <c r="H233" s="220"/>
    </row>
    <row r="234" spans="6:8">
      <c r="F234" s="228"/>
      <c r="G234" s="225"/>
      <c r="H234" s="220"/>
    </row>
    <row r="235" spans="6:8">
      <c r="F235" s="228"/>
      <c r="G235" s="225"/>
      <c r="H235" s="220"/>
    </row>
    <row r="236" spans="6:8">
      <c r="F236" s="228"/>
      <c r="G236" s="225"/>
      <c r="H236" s="220"/>
    </row>
    <row r="237" spans="6:8">
      <c r="F237" s="228"/>
      <c r="G237" s="225"/>
      <c r="H237" s="220"/>
    </row>
    <row r="238" spans="6:8">
      <c r="F238" s="228"/>
      <c r="G238" s="225"/>
      <c r="H238" s="220"/>
    </row>
    <row r="239" spans="6:8">
      <c r="F239" s="228"/>
      <c r="G239" s="225"/>
      <c r="H239" s="220"/>
    </row>
    <row r="240" spans="6:8">
      <c r="F240" s="228"/>
      <c r="G240" s="225"/>
      <c r="H240" s="220"/>
    </row>
    <row r="241" spans="6:8">
      <c r="F241" s="228"/>
      <c r="G241" s="225"/>
      <c r="H241" s="220"/>
    </row>
    <row r="242" spans="6:8">
      <c r="F242" s="228"/>
      <c r="G242" s="225"/>
      <c r="H242" s="220"/>
    </row>
    <row r="243" spans="6:8">
      <c r="F243" s="228"/>
      <c r="G243" s="225"/>
      <c r="H243" s="220"/>
    </row>
    <row r="244" spans="6:8">
      <c r="F244" s="228"/>
      <c r="G244" s="225"/>
      <c r="H244" s="220"/>
    </row>
    <row r="245" spans="6:8">
      <c r="F245" s="228"/>
      <c r="G245" s="225"/>
      <c r="H245" s="220"/>
    </row>
    <row r="246" spans="6:8">
      <c r="F246" s="228"/>
      <c r="G246" s="225"/>
      <c r="H246" s="220"/>
    </row>
    <row r="247" spans="6:8">
      <c r="F247" s="228"/>
      <c r="G247" s="225"/>
      <c r="H247" s="220"/>
    </row>
    <row r="248" spans="6:8">
      <c r="F248" s="228"/>
      <c r="G248" s="225"/>
      <c r="H248" s="220"/>
    </row>
    <row r="249" spans="6:8">
      <c r="F249" s="228"/>
      <c r="G249" s="225"/>
      <c r="H249" s="220"/>
    </row>
    <row r="250" spans="6:8">
      <c r="F250" s="228"/>
      <c r="G250" s="225"/>
      <c r="H250" s="220"/>
    </row>
    <row r="251" spans="6:8">
      <c r="F251" s="228"/>
      <c r="G251" s="225"/>
      <c r="H251" s="220"/>
    </row>
    <row r="252" spans="6:8">
      <c r="F252" s="228"/>
      <c r="G252" s="225"/>
      <c r="H252" s="220"/>
    </row>
    <row r="253" spans="6:8">
      <c r="F253" s="228"/>
      <c r="G253" s="225"/>
      <c r="H253" s="220"/>
    </row>
    <row r="254" spans="6:8">
      <c r="F254" s="228"/>
      <c r="G254" s="225"/>
      <c r="H254" s="220"/>
    </row>
    <row r="255" spans="6:8">
      <c r="F255" s="228"/>
      <c r="G255" s="225"/>
      <c r="H255" s="220"/>
    </row>
    <row r="256" spans="6:8">
      <c r="F256" s="228"/>
      <c r="G256" s="225"/>
      <c r="H256" s="220"/>
    </row>
    <row r="257" spans="6:8">
      <c r="F257" s="228"/>
      <c r="G257" s="225"/>
      <c r="H257" s="220"/>
    </row>
    <row r="258" spans="6:8">
      <c r="F258" s="228"/>
      <c r="G258" s="225"/>
      <c r="H258" s="220"/>
    </row>
    <row r="259" spans="6:8">
      <c r="F259" s="228"/>
      <c r="G259" s="225"/>
      <c r="H259" s="220"/>
    </row>
    <row r="260" spans="6:8">
      <c r="F260" s="228"/>
      <c r="G260" s="225"/>
      <c r="H260" s="220"/>
    </row>
    <row r="261" spans="6:8">
      <c r="F261" s="228"/>
      <c r="G261" s="225"/>
      <c r="H261" s="220"/>
    </row>
    <row r="262" spans="6:8">
      <c r="F262" s="228"/>
      <c r="G262" s="225"/>
      <c r="H262" s="220"/>
    </row>
    <row r="263" spans="6:8">
      <c r="F263" s="228"/>
      <c r="G263" s="225"/>
      <c r="H263" s="220"/>
    </row>
    <row r="264" spans="6:8">
      <c r="F264" s="228"/>
      <c r="G264" s="225"/>
      <c r="H264" s="220"/>
    </row>
    <row r="265" spans="6:8">
      <c r="F265" s="228"/>
      <c r="G265" s="225"/>
      <c r="H265" s="220"/>
    </row>
    <row r="266" spans="6:8">
      <c r="F266" s="228"/>
      <c r="G266" s="225"/>
      <c r="H266" s="220"/>
    </row>
    <row r="267" spans="6:8">
      <c r="F267" s="228"/>
      <c r="G267" s="225"/>
      <c r="H267" s="220"/>
    </row>
    <row r="268" spans="6:8">
      <c r="F268" s="228"/>
      <c r="G268" s="225"/>
      <c r="H268" s="220"/>
    </row>
    <row r="269" spans="6:8">
      <c r="F269" s="228"/>
      <c r="G269" s="225"/>
      <c r="H269" s="220"/>
    </row>
    <row r="270" spans="6:8">
      <c r="F270" s="228"/>
      <c r="G270" s="225"/>
      <c r="H270" s="220"/>
    </row>
    <row r="271" spans="6:8">
      <c r="F271" s="228"/>
      <c r="G271" s="225"/>
      <c r="H271" s="220"/>
    </row>
    <row r="272" spans="6:8">
      <c r="F272" s="228"/>
      <c r="G272" s="225"/>
      <c r="H272" s="220"/>
    </row>
    <row r="273" spans="6:8">
      <c r="F273" s="228"/>
      <c r="G273" s="225"/>
      <c r="H273" s="220"/>
    </row>
    <row r="274" spans="6:8">
      <c r="F274" s="228"/>
      <c r="G274" s="225"/>
      <c r="H274" s="220"/>
    </row>
    <row r="275" spans="6:8">
      <c r="F275" s="228"/>
      <c r="G275" s="225"/>
      <c r="H275" s="220"/>
    </row>
    <row r="276" spans="6:8">
      <c r="F276" s="228"/>
      <c r="G276" s="225"/>
      <c r="H276" s="220"/>
    </row>
    <row r="277" spans="6:8">
      <c r="F277" s="228"/>
      <c r="G277" s="225"/>
      <c r="H277" s="220"/>
    </row>
    <row r="278" spans="6:8">
      <c r="F278" s="228"/>
      <c r="G278" s="225"/>
      <c r="H278" s="220"/>
    </row>
    <row r="279" spans="6:8">
      <c r="F279" s="228"/>
      <c r="G279" s="225"/>
      <c r="H279" s="220"/>
    </row>
    <row r="280" spans="6:8">
      <c r="F280" s="228"/>
      <c r="G280" s="225"/>
      <c r="H280" s="220"/>
    </row>
    <row r="281" spans="6:8">
      <c r="F281" s="228"/>
      <c r="G281" s="225"/>
      <c r="H281" s="220"/>
    </row>
    <row r="282" spans="6:8">
      <c r="F282" s="228"/>
      <c r="G282" s="225"/>
      <c r="H282" s="220"/>
    </row>
    <row r="283" spans="6:8">
      <c r="F283" s="228"/>
      <c r="G283" s="225"/>
      <c r="H283" s="220"/>
    </row>
    <row r="284" spans="6:8">
      <c r="F284" s="228"/>
      <c r="G284" s="225"/>
      <c r="H284" s="220"/>
    </row>
    <row r="285" spans="6:8">
      <c r="F285" s="228"/>
      <c r="G285" s="225"/>
      <c r="H285" s="220"/>
    </row>
    <row r="286" spans="6:8">
      <c r="F286" s="228"/>
      <c r="G286" s="225"/>
      <c r="H286" s="220"/>
    </row>
    <row r="287" spans="6:8">
      <c r="F287" s="228"/>
      <c r="G287" s="225"/>
      <c r="H287" s="220"/>
    </row>
    <row r="288" spans="6:8">
      <c r="F288" s="228"/>
      <c r="G288" s="225"/>
      <c r="H288" s="220"/>
    </row>
    <row r="289" spans="6:8">
      <c r="F289" s="228"/>
      <c r="G289" s="225"/>
      <c r="H289" s="220"/>
    </row>
    <row r="290" spans="6:8">
      <c r="F290" s="228"/>
      <c r="G290" s="225"/>
      <c r="H290" s="220"/>
    </row>
    <row r="291" spans="6:8">
      <c r="F291" s="228"/>
      <c r="G291" s="225"/>
      <c r="H291" s="220"/>
    </row>
    <row r="292" spans="6:8">
      <c r="F292" s="228"/>
      <c r="G292" s="225"/>
      <c r="H292" s="220"/>
    </row>
    <row r="293" spans="6:8">
      <c r="F293" s="228"/>
      <c r="G293" s="225"/>
      <c r="H293" s="220"/>
    </row>
    <row r="294" spans="6:8">
      <c r="F294" s="228"/>
      <c r="G294" s="225"/>
      <c r="H294" s="220"/>
    </row>
    <row r="295" spans="6:8">
      <c r="F295" s="228"/>
      <c r="G295" s="225"/>
      <c r="H295" s="220"/>
    </row>
    <row r="296" spans="6:8">
      <c r="F296" s="228"/>
      <c r="G296" s="225"/>
      <c r="H296" s="220"/>
    </row>
    <row r="297" spans="6:8">
      <c r="F297" s="228"/>
      <c r="G297" s="225"/>
      <c r="H297" s="220"/>
    </row>
    <row r="298" spans="6:8">
      <c r="F298" s="228"/>
      <c r="G298" s="225"/>
      <c r="H298" s="220"/>
    </row>
    <row r="299" spans="6:8">
      <c r="F299" s="228"/>
      <c r="G299" s="225"/>
      <c r="H299" s="220"/>
    </row>
    <row r="300" spans="6:8">
      <c r="F300" s="228"/>
      <c r="G300" s="225"/>
      <c r="H300" s="220"/>
    </row>
    <row r="301" spans="6:8">
      <c r="F301" s="228"/>
      <c r="G301" s="225"/>
      <c r="H301" s="220"/>
    </row>
    <row r="302" spans="6:8">
      <c r="F302" s="228"/>
      <c r="G302" s="225"/>
      <c r="H302" s="220"/>
    </row>
    <row r="303" spans="6:8">
      <c r="F303" s="228"/>
      <c r="G303" s="225"/>
      <c r="H303" s="220"/>
    </row>
    <row r="304" spans="6:8">
      <c r="F304" s="228"/>
      <c r="G304" s="225"/>
      <c r="H304" s="220"/>
    </row>
    <row r="305" spans="6:8">
      <c r="F305" s="228"/>
      <c r="G305" s="225"/>
      <c r="H305" s="220"/>
    </row>
    <row r="306" spans="6:8">
      <c r="F306" s="228"/>
      <c r="G306" s="225"/>
      <c r="H306" s="220"/>
    </row>
    <row r="307" spans="6:8">
      <c r="F307" s="228"/>
      <c r="G307" s="225"/>
      <c r="H307" s="220"/>
    </row>
    <row r="308" spans="6:8">
      <c r="F308" s="228"/>
      <c r="G308" s="225"/>
      <c r="H308" s="220"/>
    </row>
    <row r="309" spans="6:8">
      <c r="F309" s="228"/>
      <c r="G309" s="225"/>
      <c r="H309" s="220"/>
    </row>
    <row r="310" spans="6:8">
      <c r="F310" s="228"/>
      <c r="G310" s="225"/>
      <c r="H310" s="220"/>
    </row>
    <row r="311" spans="6:8">
      <c r="F311" s="228"/>
      <c r="G311" s="225"/>
      <c r="H311" s="220"/>
    </row>
    <row r="312" spans="6:8">
      <c r="F312" s="228"/>
      <c r="G312" s="225"/>
      <c r="H312" s="220"/>
    </row>
    <row r="313" spans="6:8">
      <c r="F313" s="228"/>
      <c r="G313" s="225"/>
      <c r="H313" s="220"/>
    </row>
    <row r="314" spans="6:8">
      <c r="F314" s="228"/>
      <c r="G314" s="225"/>
      <c r="H314" s="220"/>
    </row>
    <row r="315" spans="6:8">
      <c r="F315" s="228"/>
      <c r="G315" s="225"/>
      <c r="H315" s="220"/>
    </row>
    <row r="316" spans="6:8">
      <c r="F316" s="228"/>
      <c r="G316" s="225"/>
      <c r="H316" s="220"/>
    </row>
    <row r="317" spans="6:8">
      <c r="F317" s="228"/>
      <c r="G317" s="225"/>
      <c r="H317" s="220"/>
    </row>
    <row r="318" spans="6:8">
      <c r="F318" s="228"/>
      <c r="G318" s="225"/>
      <c r="H318" s="220"/>
    </row>
    <row r="319" spans="6:8">
      <c r="F319" s="228"/>
      <c r="G319" s="225"/>
      <c r="H319" s="220"/>
    </row>
    <row r="320" spans="6:8">
      <c r="F320" s="228"/>
      <c r="G320" s="225"/>
      <c r="H320" s="220"/>
    </row>
    <row r="321" spans="6:8">
      <c r="F321" s="228"/>
      <c r="G321" s="225"/>
      <c r="H321" s="220"/>
    </row>
    <row r="322" spans="6:8">
      <c r="F322" s="228"/>
      <c r="G322" s="225"/>
      <c r="H322" s="220"/>
    </row>
    <row r="323" spans="6:8">
      <c r="F323" s="228"/>
      <c r="G323" s="225"/>
      <c r="H323" s="220"/>
    </row>
    <row r="324" spans="6:8">
      <c r="F324" s="228"/>
      <c r="G324" s="225"/>
      <c r="H324" s="220"/>
    </row>
    <row r="325" spans="6:8">
      <c r="F325" s="228"/>
      <c r="G325" s="225"/>
      <c r="H325" s="220"/>
    </row>
    <row r="326" spans="6:8">
      <c r="F326" s="228"/>
      <c r="G326" s="225"/>
      <c r="H326" s="220"/>
    </row>
    <row r="327" spans="6:8">
      <c r="F327" s="228"/>
      <c r="G327" s="225"/>
      <c r="H327" s="220"/>
    </row>
    <row r="328" spans="6:8">
      <c r="F328" s="228"/>
      <c r="G328" s="225"/>
      <c r="H328" s="220"/>
    </row>
    <row r="329" spans="6:8">
      <c r="F329" s="228"/>
      <c r="G329" s="225"/>
      <c r="H329" s="220"/>
    </row>
    <row r="330" spans="6:8">
      <c r="F330" s="228"/>
      <c r="G330" s="225"/>
      <c r="H330" s="220"/>
    </row>
    <row r="331" spans="6:8">
      <c r="F331" s="228"/>
      <c r="G331" s="225"/>
      <c r="H331" s="220"/>
    </row>
    <row r="332" spans="6:8">
      <c r="F332" s="228"/>
      <c r="G332" s="225"/>
      <c r="H332" s="220"/>
    </row>
    <row r="333" spans="6:8">
      <c r="F333" s="228"/>
      <c r="G333" s="225"/>
      <c r="H333" s="220"/>
    </row>
    <row r="334" spans="6:8">
      <c r="F334" s="228"/>
      <c r="G334" s="225"/>
      <c r="H334" s="220"/>
    </row>
    <row r="335" spans="6:8">
      <c r="F335" s="228"/>
      <c r="G335" s="225"/>
      <c r="H335" s="220"/>
    </row>
    <row r="336" spans="6:8">
      <c r="F336" s="228"/>
      <c r="G336" s="225"/>
      <c r="H336" s="220"/>
    </row>
    <row r="337" spans="6:8">
      <c r="F337" s="228"/>
      <c r="G337" s="225"/>
      <c r="H337" s="220"/>
    </row>
    <row r="338" spans="6:8">
      <c r="F338" s="228"/>
      <c r="G338" s="225"/>
      <c r="H338" s="220"/>
    </row>
    <row r="339" spans="6:8">
      <c r="F339" s="228"/>
      <c r="G339" s="225"/>
      <c r="H339" s="220"/>
    </row>
    <row r="340" spans="6:8">
      <c r="F340" s="228"/>
      <c r="G340" s="225"/>
      <c r="H340" s="220"/>
    </row>
    <row r="341" spans="6:8">
      <c r="F341" s="228"/>
      <c r="G341" s="225"/>
      <c r="H341" s="220"/>
    </row>
    <row r="342" spans="6:8">
      <c r="F342" s="228"/>
      <c r="G342" s="225"/>
      <c r="H342" s="220"/>
    </row>
    <row r="343" spans="6:8">
      <c r="F343" s="228"/>
      <c r="G343" s="225"/>
      <c r="H343" s="220"/>
    </row>
    <row r="344" spans="6:8">
      <c r="F344" s="228"/>
      <c r="G344" s="225"/>
      <c r="H344" s="220"/>
    </row>
    <row r="345" spans="6:8">
      <c r="F345" s="228"/>
      <c r="G345" s="225"/>
      <c r="H345" s="220"/>
    </row>
    <row r="346" spans="6:8">
      <c r="F346" s="228"/>
      <c r="G346" s="225"/>
      <c r="H346" s="220"/>
    </row>
    <row r="347" spans="6:8">
      <c r="F347" s="228"/>
      <c r="G347" s="225"/>
      <c r="H347" s="220"/>
    </row>
    <row r="348" spans="6:8">
      <c r="F348" s="228"/>
      <c r="G348" s="225"/>
      <c r="H348" s="220"/>
    </row>
    <row r="349" spans="6:8">
      <c r="F349" s="228"/>
      <c r="G349" s="225"/>
      <c r="H349" s="220"/>
    </row>
    <row r="350" spans="6:8">
      <c r="F350" s="228"/>
      <c r="G350" s="225"/>
      <c r="H350" s="220"/>
    </row>
    <row r="351" spans="6:8">
      <c r="F351" s="228"/>
      <c r="G351" s="225"/>
      <c r="H351" s="220"/>
    </row>
    <row r="352" spans="6:8">
      <c r="F352" s="228"/>
      <c r="G352" s="225"/>
      <c r="H352" s="220"/>
    </row>
    <row r="353" spans="6:8">
      <c r="F353" s="228"/>
      <c r="G353" s="225"/>
      <c r="H353" s="220"/>
    </row>
    <row r="354" spans="6:8">
      <c r="F354" s="228"/>
      <c r="G354" s="225"/>
      <c r="H354" s="220"/>
    </row>
    <row r="355" spans="6:8">
      <c r="F355" s="228"/>
      <c r="G355" s="225"/>
      <c r="H355" s="220"/>
    </row>
    <row r="356" spans="6:8">
      <c r="F356" s="228"/>
      <c r="G356" s="225"/>
      <c r="H356" s="220"/>
    </row>
    <row r="357" spans="6:8">
      <c r="F357" s="228"/>
      <c r="G357" s="225"/>
      <c r="H357" s="220"/>
    </row>
    <row r="358" spans="6:8">
      <c r="F358" s="228"/>
      <c r="G358" s="225"/>
      <c r="H358" s="220"/>
    </row>
    <row r="359" spans="6:8">
      <c r="F359" s="228"/>
      <c r="G359" s="225"/>
      <c r="H359" s="220"/>
    </row>
    <row r="360" spans="6:8">
      <c r="F360" s="228"/>
      <c r="G360" s="225"/>
      <c r="H360" s="220"/>
    </row>
    <row r="361" spans="6:8">
      <c r="F361" s="228"/>
      <c r="G361" s="225"/>
      <c r="H361" s="220"/>
    </row>
    <row r="362" spans="6:8">
      <c r="F362" s="228"/>
      <c r="G362" s="225"/>
      <c r="H362" s="220"/>
    </row>
    <row r="363" spans="6:8">
      <c r="F363" s="228"/>
      <c r="G363" s="225"/>
      <c r="H363" s="220"/>
    </row>
    <row r="364" spans="6:8">
      <c r="F364" s="228"/>
      <c r="G364" s="225"/>
      <c r="H364" s="220"/>
    </row>
    <row r="365" spans="6:8">
      <c r="F365" s="228"/>
      <c r="G365" s="225"/>
      <c r="H365" s="220"/>
    </row>
    <row r="366" spans="6:8">
      <c r="F366" s="228"/>
      <c r="G366" s="225"/>
      <c r="H366" s="220"/>
    </row>
    <row r="367" spans="6:8">
      <c r="F367" s="228"/>
      <c r="G367" s="225"/>
      <c r="H367" s="220"/>
    </row>
    <row r="368" spans="6:8">
      <c r="F368" s="228"/>
      <c r="G368" s="225"/>
      <c r="H368" s="220"/>
    </row>
    <row r="369" spans="6:8">
      <c r="F369" s="228"/>
      <c r="G369" s="225"/>
      <c r="H369" s="220"/>
    </row>
    <row r="370" spans="6:8">
      <c r="F370" s="228"/>
      <c r="G370" s="225"/>
      <c r="H370" s="220"/>
    </row>
    <row r="371" spans="6:8">
      <c r="F371" s="228"/>
      <c r="G371" s="225"/>
      <c r="H371" s="220"/>
    </row>
    <row r="372" spans="6:8">
      <c r="F372" s="228"/>
      <c r="G372" s="225"/>
      <c r="H372" s="220"/>
    </row>
    <row r="373" spans="6:8">
      <c r="F373" s="228"/>
      <c r="G373" s="225"/>
      <c r="H373" s="220"/>
    </row>
    <row r="374" spans="6:8">
      <c r="F374" s="228"/>
      <c r="G374" s="225"/>
      <c r="H374" s="220"/>
    </row>
    <row r="375" spans="6:8">
      <c r="F375" s="228"/>
      <c r="G375" s="225"/>
      <c r="H375" s="220"/>
    </row>
    <row r="376" spans="6:8">
      <c r="F376" s="228"/>
      <c r="G376" s="225"/>
      <c r="H376" s="220"/>
    </row>
    <row r="377" spans="6:8">
      <c r="F377" s="228"/>
      <c r="G377" s="225"/>
      <c r="H377" s="220"/>
    </row>
    <row r="378" spans="6:8">
      <c r="F378" s="228"/>
      <c r="G378" s="225"/>
      <c r="H378" s="220"/>
    </row>
    <row r="379" spans="6:8">
      <c r="F379" s="228"/>
      <c r="G379" s="225"/>
      <c r="H379" s="220"/>
    </row>
    <row r="380" spans="6:8">
      <c r="F380" s="228"/>
      <c r="G380" s="225"/>
      <c r="H380" s="220"/>
    </row>
    <row r="381" spans="6:8">
      <c r="F381" s="228"/>
      <c r="G381" s="225"/>
      <c r="H381" s="220"/>
    </row>
    <row r="382" spans="6:8">
      <c r="F382" s="228"/>
      <c r="G382" s="225"/>
      <c r="H382" s="220"/>
    </row>
    <row r="383" spans="6:8">
      <c r="F383" s="228"/>
      <c r="G383" s="225"/>
      <c r="H383" s="220"/>
    </row>
    <row r="384" spans="6:8">
      <c r="F384" s="228"/>
      <c r="G384" s="225"/>
      <c r="H384" s="220"/>
    </row>
    <row r="385" spans="6:8">
      <c r="F385" s="228"/>
      <c r="G385" s="225"/>
      <c r="H385" s="220"/>
    </row>
    <row r="386" spans="6:8">
      <c r="F386" s="228"/>
      <c r="G386" s="225"/>
      <c r="H386" s="220"/>
    </row>
    <row r="387" spans="6:8">
      <c r="F387" s="228"/>
      <c r="G387" s="225"/>
      <c r="H387" s="220"/>
    </row>
    <row r="388" spans="6:8">
      <c r="F388" s="228"/>
      <c r="G388" s="225"/>
      <c r="H388" s="220"/>
    </row>
    <row r="389" spans="6:8">
      <c r="F389" s="228"/>
      <c r="G389" s="225"/>
      <c r="H389" s="220"/>
    </row>
    <row r="390" spans="6:8">
      <c r="F390" s="228"/>
      <c r="G390" s="225"/>
      <c r="H390" s="220"/>
    </row>
    <row r="391" spans="6:8">
      <c r="F391" s="228"/>
      <c r="G391" s="225"/>
      <c r="H391" s="220"/>
    </row>
    <row r="392" spans="6:8">
      <c r="F392" s="228"/>
      <c r="G392" s="225"/>
      <c r="H392" s="220"/>
    </row>
    <row r="393" spans="6:8">
      <c r="F393" s="228"/>
      <c r="G393" s="225"/>
      <c r="H393" s="220"/>
    </row>
    <row r="394" spans="6:8">
      <c r="F394" s="228"/>
      <c r="G394" s="225"/>
      <c r="H394" s="220"/>
    </row>
    <row r="395" spans="6:8">
      <c r="F395" s="228"/>
      <c r="G395" s="225"/>
      <c r="H395" s="220"/>
    </row>
    <row r="396" spans="6:8">
      <c r="F396" s="228"/>
      <c r="G396" s="225"/>
      <c r="H396" s="220"/>
    </row>
    <row r="397" spans="6:8">
      <c r="F397" s="228"/>
      <c r="G397" s="225"/>
      <c r="H397" s="220"/>
    </row>
    <row r="398" spans="6:8">
      <c r="F398" s="228"/>
      <c r="G398" s="225"/>
      <c r="H398" s="220"/>
    </row>
    <row r="399" spans="6:8">
      <c r="F399" s="228"/>
      <c r="G399" s="225"/>
      <c r="H399" s="220"/>
    </row>
    <row r="400" spans="6:8">
      <c r="F400" s="228"/>
      <c r="G400" s="225"/>
      <c r="H400" s="220"/>
    </row>
    <row r="401" spans="6:8">
      <c r="F401" s="228"/>
      <c r="G401" s="225"/>
      <c r="H401" s="220"/>
    </row>
    <row r="402" spans="6:8">
      <c r="F402" s="228"/>
      <c r="G402" s="225"/>
      <c r="H402" s="220"/>
    </row>
    <row r="403" spans="6:8">
      <c r="F403" s="228"/>
      <c r="G403" s="225"/>
      <c r="H403" s="220"/>
    </row>
    <row r="404" spans="6:8">
      <c r="F404" s="228"/>
      <c r="G404" s="225"/>
      <c r="H404" s="220"/>
    </row>
    <row r="405" spans="6:8">
      <c r="F405" s="228"/>
      <c r="G405" s="225"/>
      <c r="H405" s="220"/>
    </row>
    <row r="406" spans="6:8">
      <c r="F406" s="228"/>
      <c r="G406" s="225"/>
      <c r="H406" s="220"/>
    </row>
    <row r="407" spans="6:8">
      <c r="F407" s="228"/>
      <c r="G407" s="225"/>
      <c r="H407" s="220"/>
    </row>
    <row r="408" spans="6:8">
      <c r="F408" s="228"/>
      <c r="G408" s="225"/>
      <c r="H408" s="220"/>
    </row>
    <row r="409" spans="6:8">
      <c r="F409" s="228"/>
      <c r="G409" s="225"/>
      <c r="H409" s="220"/>
    </row>
    <row r="410" spans="6:8">
      <c r="F410" s="228"/>
      <c r="G410" s="225"/>
      <c r="H410" s="220"/>
    </row>
    <row r="411" spans="6:8">
      <c r="F411" s="228"/>
      <c r="G411" s="225"/>
      <c r="H411" s="220"/>
    </row>
    <row r="412" spans="6:8">
      <c r="F412" s="228"/>
      <c r="G412" s="225"/>
      <c r="H412" s="220"/>
    </row>
    <row r="413" spans="6:8">
      <c r="F413" s="228"/>
      <c r="G413" s="225"/>
      <c r="H413" s="220"/>
    </row>
    <row r="414" spans="6:8">
      <c r="F414" s="228"/>
      <c r="G414" s="225"/>
      <c r="H414" s="220"/>
    </row>
    <row r="415" spans="6:8">
      <c r="F415" s="228"/>
      <c r="G415" s="225"/>
      <c r="H415" s="220"/>
    </row>
    <row r="416" spans="6:8">
      <c r="F416" s="228"/>
      <c r="G416" s="225"/>
      <c r="H416" s="220"/>
    </row>
    <row r="417" spans="6:8">
      <c r="F417" s="228"/>
      <c r="G417" s="225"/>
      <c r="H417" s="220"/>
    </row>
    <row r="418" spans="6:8">
      <c r="F418" s="228"/>
      <c r="G418" s="225"/>
      <c r="H418" s="220"/>
    </row>
    <row r="419" spans="6:8">
      <c r="F419" s="228"/>
      <c r="G419" s="225"/>
      <c r="H419" s="220"/>
    </row>
    <row r="420" spans="6:8">
      <c r="F420" s="228"/>
      <c r="G420" s="225"/>
      <c r="H420" s="220"/>
    </row>
    <row r="421" spans="6:8">
      <c r="F421" s="228"/>
      <c r="G421" s="225"/>
      <c r="H421" s="220"/>
    </row>
    <row r="422" spans="6:8">
      <c r="F422" s="228"/>
      <c r="G422" s="225"/>
      <c r="H422" s="220"/>
    </row>
    <row r="423" spans="6:8">
      <c r="F423" s="228"/>
      <c r="G423" s="225"/>
      <c r="H423" s="220"/>
    </row>
    <row r="424" spans="6:8">
      <c r="F424" s="228"/>
      <c r="G424" s="225"/>
      <c r="H424" s="220"/>
    </row>
    <row r="425" spans="6:8">
      <c r="F425" s="228"/>
      <c r="G425" s="225"/>
      <c r="H425" s="220"/>
    </row>
    <row r="426" spans="6:8">
      <c r="F426" s="228"/>
      <c r="G426" s="225"/>
      <c r="H426" s="220"/>
    </row>
    <row r="427" spans="6:8">
      <c r="F427" s="228"/>
      <c r="G427" s="225"/>
      <c r="H427" s="220"/>
    </row>
    <row r="428" spans="6:8">
      <c r="F428" s="228"/>
      <c r="G428" s="225"/>
      <c r="H428" s="220"/>
    </row>
    <row r="429" spans="6:8">
      <c r="F429" s="228"/>
      <c r="G429" s="225"/>
      <c r="H429" s="220"/>
    </row>
    <row r="430" spans="6:8">
      <c r="F430" s="228"/>
      <c r="G430" s="225"/>
      <c r="H430" s="220"/>
    </row>
    <row r="431" spans="6:8">
      <c r="F431" s="228"/>
      <c r="G431" s="225"/>
      <c r="H431" s="220"/>
    </row>
    <row r="432" spans="6:8">
      <c r="F432" s="228"/>
      <c r="G432" s="225"/>
      <c r="H432" s="220"/>
    </row>
    <row r="433" spans="6:8">
      <c r="F433" s="228"/>
      <c r="G433" s="225"/>
      <c r="H433" s="220"/>
    </row>
    <row r="434" spans="6:8">
      <c r="F434" s="228"/>
      <c r="G434" s="225"/>
      <c r="H434" s="220"/>
    </row>
    <row r="435" spans="6:8">
      <c r="F435" s="228"/>
      <c r="G435" s="225"/>
      <c r="H435" s="220"/>
    </row>
    <row r="436" spans="6:8">
      <c r="F436" s="228"/>
      <c r="G436" s="225"/>
      <c r="H436" s="220"/>
    </row>
    <row r="437" spans="6:8">
      <c r="F437" s="228"/>
      <c r="G437" s="225"/>
      <c r="H437" s="220"/>
    </row>
    <row r="438" spans="6:8">
      <c r="F438" s="228"/>
      <c r="G438" s="225"/>
      <c r="H438" s="220"/>
    </row>
    <row r="439" spans="6:8">
      <c r="F439" s="228"/>
      <c r="G439" s="225"/>
      <c r="H439" s="220"/>
    </row>
    <row r="440" spans="6:8">
      <c r="F440" s="228"/>
      <c r="G440" s="225"/>
      <c r="H440" s="220"/>
    </row>
    <row r="441" spans="6:8">
      <c r="F441" s="228"/>
      <c r="G441" s="225"/>
      <c r="H441" s="220"/>
    </row>
    <row r="442" spans="6:8">
      <c r="F442" s="228"/>
      <c r="G442" s="225"/>
      <c r="H442" s="220"/>
    </row>
    <row r="443" spans="6:8">
      <c r="F443" s="228"/>
      <c r="G443" s="225"/>
      <c r="H443" s="220"/>
    </row>
    <row r="444" spans="6:8">
      <c r="F444" s="228"/>
      <c r="G444" s="225"/>
      <c r="H444" s="220"/>
    </row>
    <row r="445" spans="6:8">
      <c r="F445" s="228"/>
      <c r="G445" s="225"/>
      <c r="H445" s="220"/>
    </row>
    <row r="446" spans="6:8">
      <c r="F446" s="228"/>
      <c r="G446" s="225"/>
      <c r="H446" s="220"/>
    </row>
    <row r="447" spans="6:8">
      <c r="F447" s="228"/>
      <c r="G447" s="225"/>
      <c r="H447" s="220"/>
    </row>
    <row r="448" spans="6:8">
      <c r="F448" s="228"/>
      <c r="G448" s="225"/>
      <c r="H448" s="220"/>
    </row>
    <row r="449" spans="6:8">
      <c r="F449" s="228"/>
      <c r="G449" s="225"/>
      <c r="H449" s="220"/>
    </row>
    <row r="450" spans="6:8">
      <c r="F450" s="228"/>
      <c r="G450" s="225"/>
      <c r="H450" s="220"/>
    </row>
    <row r="451" spans="6:8">
      <c r="F451" s="228"/>
      <c r="G451" s="225"/>
      <c r="H451" s="220"/>
    </row>
    <row r="452" spans="6:8">
      <c r="F452" s="228"/>
      <c r="G452" s="225"/>
      <c r="H452" s="220"/>
    </row>
    <row r="453" spans="6:8">
      <c r="F453" s="228"/>
      <c r="G453" s="225"/>
      <c r="H453" s="220"/>
    </row>
    <row r="454" spans="6:8">
      <c r="F454" s="228"/>
      <c r="G454" s="225"/>
      <c r="H454" s="220"/>
    </row>
    <row r="455" spans="6:8">
      <c r="F455" s="228"/>
      <c r="G455" s="225"/>
      <c r="H455" s="220"/>
    </row>
    <row r="456" spans="6:8">
      <c r="F456" s="228"/>
      <c r="G456" s="225"/>
      <c r="H456" s="220"/>
    </row>
    <row r="457" spans="6:8">
      <c r="F457" s="228"/>
      <c r="G457" s="225"/>
      <c r="H457" s="220"/>
    </row>
    <row r="458" spans="6:8">
      <c r="F458" s="228"/>
      <c r="G458" s="225"/>
      <c r="H458" s="220"/>
    </row>
    <row r="459" spans="6:8">
      <c r="F459" s="228"/>
      <c r="G459" s="225"/>
      <c r="H459" s="220"/>
    </row>
    <row r="460" spans="6:8">
      <c r="F460" s="228"/>
      <c r="G460" s="225"/>
      <c r="H460" s="220"/>
    </row>
    <row r="461" spans="6:8">
      <c r="F461" s="228"/>
      <c r="G461" s="225"/>
      <c r="H461" s="220"/>
    </row>
    <row r="462" spans="6:8">
      <c r="F462" s="228"/>
      <c r="G462" s="225"/>
      <c r="H462" s="220"/>
    </row>
    <row r="463" spans="6:8">
      <c r="F463" s="228"/>
      <c r="G463" s="225"/>
      <c r="H463" s="220"/>
    </row>
    <row r="464" spans="6:8">
      <c r="F464" s="228"/>
      <c r="G464" s="225"/>
      <c r="H464" s="220"/>
    </row>
    <row r="465" spans="6:8">
      <c r="F465" s="228"/>
      <c r="G465" s="225"/>
      <c r="H465" s="220"/>
    </row>
    <row r="466" spans="6:8">
      <c r="F466" s="228"/>
      <c r="G466" s="225"/>
      <c r="H466" s="220"/>
    </row>
    <row r="467" spans="6:8">
      <c r="F467" s="228"/>
      <c r="G467" s="225"/>
      <c r="H467" s="220"/>
    </row>
    <row r="468" spans="6:8">
      <c r="F468" s="228"/>
      <c r="G468" s="225"/>
      <c r="H468" s="220"/>
    </row>
    <row r="469" spans="6:8">
      <c r="F469" s="228"/>
      <c r="G469" s="225"/>
      <c r="H469" s="220"/>
    </row>
    <row r="470" spans="6:8">
      <c r="F470" s="228"/>
      <c r="G470" s="225"/>
      <c r="H470" s="220"/>
    </row>
    <row r="471" spans="6:8">
      <c r="F471" s="228"/>
      <c r="G471" s="225"/>
      <c r="H471" s="220"/>
    </row>
    <row r="472" spans="6:8">
      <c r="F472" s="228"/>
      <c r="G472" s="225"/>
      <c r="H472" s="220"/>
    </row>
    <row r="473" spans="6:8">
      <c r="F473" s="228"/>
      <c r="G473" s="225"/>
      <c r="H473" s="220"/>
    </row>
    <row r="474" spans="6:8">
      <c r="F474" s="228"/>
      <c r="G474" s="225"/>
      <c r="H474" s="220"/>
    </row>
    <row r="475" spans="6:8">
      <c r="F475" s="228"/>
      <c r="G475" s="225"/>
      <c r="H475" s="220"/>
    </row>
    <row r="476" spans="6:8">
      <c r="F476" s="228"/>
      <c r="G476" s="225"/>
      <c r="H476" s="220"/>
    </row>
    <row r="477" spans="6:8">
      <c r="F477" s="228"/>
      <c r="G477" s="225"/>
      <c r="H477" s="220"/>
    </row>
    <row r="478" spans="6:8">
      <c r="F478" s="228"/>
      <c r="G478" s="225"/>
      <c r="H478" s="220"/>
    </row>
    <row r="479" spans="6:8">
      <c r="F479" s="228"/>
      <c r="G479" s="225"/>
      <c r="H479" s="220"/>
    </row>
    <row r="480" spans="6:8">
      <c r="F480" s="228"/>
      <c r="G480" s="225"/>
      <c r="H480" s="220"/>
    </row>
    <row r="481" spans="6:8">
      <c r="F481" s="228"/>
      <c r="G481" s="225"/>
      <c r="H481" s="220"/>
    </row>
    <row r="482" spans="6:8">
      <c r="F482" s="228"/>
      <c r="G482" s="225"/>
      <c r="H482" s="220"/>
    </row>
    <row r="483" spans="6:8">
      <c r="F483" s="228"/>
      <c r="G483" s="225"/>
      <c r="H483" s="220"/>
    </row>
    <row r="484" spans="6:8">
      <c r="F484" s="228"/>
      <c r="G484" s="225"/>
      <c r="H484" s="220"/>
    </row>
    <row r="485" spans="6:8">
      <c r="F485" s="228"/>
      <c r="G485" s="225"/>
      <c r="H485" s="220"/>
    </row>
    <row r="486" spans="6:8">
      <c r="F486" s="228"/>
      <c r="G486" s="225"/>
      <c r="H486" s="220"/>
    </row>
    <row r="487" spans="6:8">
      <c r="F487" s="228"/>
      <c r="G487" s="225"/>
      <c r="H487" s="220"/>
    </row>
    <row r="488" spans="6:8">
      <c r="F488" s="228"/>
      <c r="G488" s="225"/>
      <c r="H488" s="220"/>
    </row>
    <row r="489" spans="6:8">
      <c r="F489" s="228"/>
      <c r="G489" s="225"/>
      <c r="H489" s="220"/>
    </row>
    <row r="490" spans="6:8">
      <c r="F490" s="228"/>
      <c r="G490" s="225"/>
      <c r="H490" s="220"/>
    </row>
    <row r="491" spans="6:8">
      <c r="F491" s="228"/>
      <c r="G491" s="225"/>
      <c r="H491" s="220"/>
    </row>
    <row r="492" spans="6:8">
      <c r="F492" s="228"/>
      <c r="G492" s="225"/>
      <c r="H492" s="220"/>
    </row>
    <row r="493" spans="6:8">
      <c r="F493" s="228"/>
      <c r="G493" s="225"/>
      <c r="H493" s="220"/>
    </row>
    <row r="494" spans="6:8">
      <c r="F494" s="228"/>
      <c r="G494" s="225"/>
      <c r="H494" s="220"/>
    </row>
    <row r="495" spans="6:8">
      <c r="F495" s="228"/>
      <c r="G495" s="225"/>
      <c r="H495" s="220"/>
    </row>
    <row r="496" spans="6:8">
      <c r="F496" s="228"/>
      <c r="G496" s="225"/>
      <c r="H496" s="220"/>
    </row>
    <row r="497" spans="6:8">
      <c r="F497" s="228"/>
      <c r="G497" s="225"/>
      <c r="H497" s="220"/>
    </row>
    <row r="498" spans="6:8">
      <c r="F498" s="228"/>
      <c r="G498" s="225"/>
      <c r="H498" s="220"/>
    </row>
    <row r="499" spans="6:8">
      <c r="F499" s="228"/>
      <c r="G499" s="225"/>
      <c r="H499" s="220"/>
    </row>
    <row r="500" spans="6:8">
      <c r="F500" s="228"/>
      <c r="G500" s="225"/>
      <c r="H500" s="220"/>
    </row>
    <row r="501" spans="6:8">
      <c r="F501" s="228"/>
      <c r="G501" s="225"/>
      <c r="H501" s="220"/>
    </row>
    <row r="502" spans="6:8">
      <c r="F502" s="228"/>
      <c r="G502" s="225"/>
      <c r="H502" s="220"/>
    </row>
    <row r="503" spans="6:8">
      <c r="F503" s="228"/>
      <c r="G503" s="225"/>
      <c r="H503" s="220"/>
    </row>
    <row r="504" spans="6:8">
      <c r="F504" s="228"/>
      <c r="G504" s="225"/>
      <c r="H504" s="220"/>
    </row>
    <row r="505" spans="6:8">
      <c r="F505" s="228"/>
      <c r="G505" s="225"/>
      <c r="H505" s="220"/>
    </row>
    <row r="506" spans="6:8">
      <c r="F506" s="228"/>
      <c r="G506" s="225"/>
      <c r="H506" s="220"/>
    </row>
    <row r="507" spans="6:8">
      <c r="F507" s="228"/>
      <c r="G507" s="225"/>
      <c r="H507" s="220"/>
    </row>
    <row r="508" spans="6:8">
      <c r="F508" s="228"/>
      <c r="G508" s="225"/>
      <c r="H508" s="220"/>
    </row>
    <row r="509" spans="6:8">
      <c r="F509" s="228"/>
      <c r="G509" s="225"/>
      <c r="H509" s="220"/>
    </row>
    <row r="510" spans="6:8">
      <c r="F510" s="228"/>
      <c r="G510" s="225"/>
      <c r="H510" s="220"/>
    </row>
    <row r="511" spans="6:8">
      <c r="F511" s="228"/>
      <c r="G511" s="225"/>
      <c r="H511" s="220"/>
    </row>
    <row r="512" spans="6:8">
      <c r="F512" s="228"/>
      <c r="G512" s="225"/>
      <c r="H512" s="220"/>
    </row>
    <row r="513" spans="6:8">
      <c r="F513" s="228"/>
      <c r="G513" s="225"/>
      <c r="H513" s="220"/>
    </row>
    <row r="514" spans="6:8">
      <c r="F514" s="228"/>
      <c r="G514" s="225"/>
      <c r="H514" s="220"/>
    </row>
    <row r="515" spans="6:8">
      <c r="F515" s="228"/>
      <c r="G515" s="225"/>
      <c r="H515" s="220"/>
    </row>
    <row r="516" spans="6:8">
      <c r="F516" s="228"/>
      <c r="G516" s="225"/>
      <c r="H516" s="220"/>
    </row>
    <row r="517" spans="6:8">
      <c r="F517" s="228"/>
      <c r="G517" s="225"/>
      <c r="H517" s="220"/>
    </row>
    <row r="518" spans="6:8">
      <c r="F518" s="228"/>
      <c r="G518" s="225"/>
      <c r="H518" s="220"/>
    </row>
    <row r="519" spans="6:8">
      <c r="F519" s="228"/>
      <c r="G519" s="225"/>
      <c r="H519" s="220"/>
    </row>
    <row r="520" spans="6:8">
      <c r="F520" s="228"/>
      <c r="G520" s="225"/>
      <c r="H520" s="220"/>
    </row>
    <row r="521" spans="6:8">
      <c r="F521" s="228"/>
      <c r="G521" s="225"/>
      <c r="H521" s="220"/>
    </row>
    <row r="522" spans="6:8">
      <c r="F522" s="228"/>
      <c r="G522" s="225"/>
      <c r="H522" s="220"/>
    </row>
    <row r="523" spans="6:8">
      <c r="F523" s="228"/>
      <c r="G523" s="225"/>
      <c r="H523" s="220"/>
    </row>
    <row r="524" spans="6:8">
      <c r="F524" s="228"/>
      <c r="G524" s="225"/>
      <c r="H524" s="220"/>
    </row>
    <row r="525" spans="6:8">
      <c r="F525" s="228"/>
      <c r="G525" s="225"/>
      <c r="H525" s="220"/>
    </row>
    <row r="526" spans="6:8">
      <c r="F526" s="228"/>
      <c r="G526" s="225"/>
      <c r="H526" s="220"/>
    </row>
    <row r="527" spans="6:8">
      <c r="F527" s="228"/>
      <c r="G527" s="225"/>
      <c r="H527" s="220"/>
    </row>
    <row r="528" spans="6:8">
      <c r="F528" s="228"/>
      <c r="G528" s="225"/>
      <c r="H528" s="220"/>
    </row>
    <row r="529" spans="6:8">
      <c r="F529" s="228"/>
      <c r="G529" s="225"/>
      <c r="H529" s="220"/>
    </row>
    <row r="530" spans="6:8">
      <c r="F530" s="228"/>
      <c r="G530" s="225"/>
      <c r="H530" s="220"/>
    </row>
    <row r="531" spans="6:8">
      <c r="F531" s="228"/>
      <c r="G531" s="225"/>
      <c r="H531" s="220"/>
    </row>
    <row r="532" spans="6:8">
      <c r="F532" s="228"/>
      <c r="G532" s="225"/>
      <c r="H532" s="220"/>
    </row>
    <row r="533" spans="6:8">
      <c r="F533" s="228"/>
      <c r="G533" s="225"/>
      <c r="H533" s="220"/>
    </row>
    <row r="534" spans="6:8">
      <c r="F534" s="228"/>
      <c r="G534" s="225"/>
      <c r="H534" s="220"/>
    </row>
    <row r="535" spans="6:8">
      <c r="F535" s="228"/>
      <c r="G535" s="225"/>
      <c r="H535" s="220"/>
    </row>
    <row r="536" spans="6:8">
      <c r="F536" s="228"/>
      <c r="G536" s="225"/>
      <c r="H536" s="220"/>
    </row>
    <row r="537" spans="6:8">
      <c r="F537" s="228"/>
      <c r="G537" s="225"/>
      <c r="H537" s="220"/>
    </row>
    <row r="538" spans="6:8">
      <c r="F538" s="228"/>
      <c r="G538" s="225"/>
      <c r="H538" s="220"/>
    </row>
    <row r="539" spans="6:8">
      <c r="F539" s="228"/>
      <c r="G539" s="225"/>
      <c r="H539" s="220"/>
    </row>
    <row r="540" spans="6:8">
      <c r="F540" s="228"/>
      <c r="G540" s="225"/>
      <c r="H540" s="220"/>
    </row>
    <row r="541" spans="6:8">
      <c r="F541" s="228"/>
      <c r="G541" s="225"/>
      <c r="H541" s="220"/>
    </row>
    <row r="542" spans="6:8">
      <c r="F542" s="228"/>
      <c r="G542" s="225"/>
      <c r="H542" s="220"/>
    </row>
    <row r="543" spans="6:8">
      <c r="F543" s="228"/>
      <c r="G543" s="225"/>
      <c r="H543" s="220"/>
    </row>
    <row r="544" spans="6:8">
      <c r="F544" s="228"/>
      <c r="G544" s="225"/>
      <c r="H544" s="220"/>
    </row>
    <row r="545" spans="6:8">
      <c r="F545" s="228"/>
      <c r="G545" s="225"/>
      <c r="H545" s="220"/>
    </row>
    <row r="546" spans="6:8">
      <c r="F546" s="228"/>
      <c r="G546" s="225"/>
      <c r="H546" s="220"/>
    </row>
    <row r="547" spans="6:8">
      <c r="F547" s="228"/>
      <c r="G547" s="225"/>
      <c r="H547" s="220"/>
    </row>
    <row r="548" spans="6:8">
      <c r="F548" s="228"/>
      <c r="G548" s="225"/>
      <c r="H548" s="220"/>
    </row>
    <row r="549" spans="6:8">
      <c r="F549" s="228"/>
      <c r="G549" s="225"/>
      <c r="H549" s="220"/>
    </row>
    <row r="550" spans="6:8">
      <c r="F550" s="228"/>
      <c r="G550" s="225"/>
      <c r="H550" s="220"/>
    </row>
    <row r="551" spans="6:8">
      <c r="F551" s="228"/>
      <c r="G551" s="225"/>
      <c r="H551" s="220"/>
    </row>
    <row r="552" spans="6:8">
      <c r="F552" s="228"/>
      <c r="G552" s="225"/>
      <c r="H552" s="220"/>
    </row>
    <row r="553" spans="6:8">
      <c r="F553" s="228"/>
      <c r="G553" s="225"/>
      <c r="H553" s="220"/>
    </row>
    <row r="554" spans="6:8">
      <c r="F554" s="228"/>
      <c r="G554" s="225"/>
      <c r="H554" s="220"/>
    </row>
    <row r="555" spans="6:8">
      <c r="F555" s="228"/>
      <c r="G555" s="225"/>
      <c r="H555" s="220"/>
    </row>
    <row r="556" spans="6:8">
      <c r="F556" s="228"/>
      <c r="G556" s="225"/>
      <c r="H556" s="220"/>
    </row>
    <row r="557" spans="6:8">
      <c r="F557" s="228"/>
      <c r="G557" s="225"/>
      <c r="H557" s="220"/>
    </row>
    <row r="558" spans="6:8">
      <c r="F558" s="228"/>
      <c r="G558" s="225"/>
      <c r="H558" s="220"/>
    </row>
    <row r="559" spans="6:8">
      <c r="F559" s="228"/>
      <c r="G559" s="225"/>
      <c r="H559" s="220"/>
    </row>
    <row r="560" spans="6:8">
      <c r="F560" s="228"/>
      <c r="G560" s="225"/>
      <c r="H560" s="220"/>
    </row>
    <row r="561" spans="6:8">
      <c r="F561" s="228"/>
      <c r="G561" s="225"/>
      <c r="H561" s="220"/>
    </row>
    <row r="562" spans="6:8">
      <c r="F562" s="228"/>
      <c r="G562" s="225"/>
      <c r="H562" s="220"/>
    </row>
    <row r="563" spans="6:8">
      <c r="F563" s="228"/>
      <c r="G563" s="225"/>
      <c r="H563" s="220"/>
    </row>
    <row r="564" spans="6:8">
      <c r="F564" s="228"/>
      <c r="G564" s="225"/>
      <c r="H564" s="220"/>
    </row>
    <row r="565" spans="6:8">
      <c r="F565" s="228"/>
      <c r="G565" s="225"/>
      <c r="H565" s="220"/>
    </row>
    <row r="566" spans="6:8">
      <c r="F566" s="228"/>
      <c r="G566" s="225"/>
      <c r="H566" s="220"/>
    </row>
    <row r="567" spans="6:8">
      <c r="F567" s="228"/>
      <c r="G567" s="225"/>
      <c r="H567" s="220"/>
    </row>
    <row r="568" spans="6:8">
      <c r="F568" s="228"/>
      <c r="G568" s="225"/>
      <c r="H568" s="220"/>
    </row>
    <row r="569" spans="6:8">
      <c r="F569" s="228"/>
      <c r="G569" s="225"/>
      <c r="H569" s="220"/>
    </row>
    <row r="570" spans="6:8">
      <c r="F570" s="228"/>
      <c r="G570" s="225"/>
      <c r="H570" s="220"/>
    </row>
    <row r="571" spans="6:8">
      <c r="F571" s="228"/>
      <c r="G571" s="225"/>
      <c r="H571" s="220"/>
    </row>
    <row r="572" spans="6:8">
      <c r="F572" s="228"/>
      <c r="G572" s="225"/>
      <c r="H572" s="220"/>
    </row>
    <row r="573" spans="6:8">
      <c r="F573" s="228"/>
      <c r="G573" s="225"/>
      <c r="H573" s="220"/>
    </row>
    <row r="574" spans="6:8">
      <c r="F574" s="228"/>
      <c r="G574" s="225"/>
      <c r="H574" s="220"/>
    </row>
    <row r="575" spans="6:8">
      <c r="F575" s="228"/>
      <c r="G575" s="225"/>
      <c r="H575" s="220"/>
    </row>
    <row r="576" spans="6:8">
      <c r="F576" s="228"/>
      <c r="G576" s="225"/>
      <c r="H576" s="220"/>
    </row>
    <row r="577" spans="6:8">
      <c r="F577" s="228"/>
      <c r="G577" s="225"/>
      <c r="H577" s="220"/>
    </row>
    <row r="578" spans="6:8">
      <c r="F578" s="228"/>
      <c r="G578" s="225"/>
      <c r="H578" s="220"/>
    </row>
    <row r="579" spans="6:8">
      <c r="F579" s="228"/>
      <c r="G579" s="225"/>
      <c r="H579" s="220"/>
    </row>
    <row r="580" spans="6:8">
      <c r="F580" s="228"/>
      <c r="G580" s="225"/>
      <c r="H580" s="220"/>
    </row>
    <row r="581" spans="6:8">
      <c r="F581" s="228"/>
      <c r="G581" s="225"/>
      <c r="H581" s="220"/>
    </row>
    <row r="582" spans="6:8">
      <c r="F582" s="228"/>
      <c r="G582" s="225"/>
      <c r="H582" s="220"/>
    </row>
    <row r="583" spans="6:8">
      <c r="F583" s="228"/>
      <c r="G583" s="225"/>
      <c r="H583" s="220"/>
    </row>
    <row r="584" spans="6:8">
      <c r="F584" s="228"/>
      <c r="G584" s="225"/>
      <c r="H584" s="220"/>
    </row>
    <row r="585" spans="6:8">
      <c r="F585" s="228"/>
      <c r="G585" s="225"/>
      <c r="H585" s="220"/>
    </row>
    <row r="586" spans="6:8">
      <c r="F586" s="228"/>
      <c r="G586" s="225"/>
      <c r="H586" s="220"/>
    </row>
    <row r="587" spans="6:8">
      <c r="F587" s="228"/>
      <c r="G587" s="225"/>
      <c r="H587" s="220"/>
    </row>
    <row r="588" spans="6:8">
      <c r="F588" s="228"/>
      <c r="G588" s="225"/>
      <c r="H588" s="220"/>
    </row>
    <row r="589" spans="6:8">
      <c r="F589" s="228"/>
      <c r="G589" s="225"/>
      <c r="H589" s="220"/>
    </row>
    <row r="590" spans="6:8">
      <c r="F590" s="228"/>
      <c r="G590" s="225"/>
      <c r="H590" s="220"/>
    </row>
    <row r="591" spans="6:8">
      <c r="F591" s="228"/>
      <c r="G591" s="225"/>
      <c r="H591" s="220"/>
    </row>
    <row r="592" spans="6:8">
      <c r="F592" s="228"/>
      <c r="G592" s="225"/>
      <c r="H592" s="220"/>
    </row>
    <row r="593" spans="6:8">
      <c r="F593" s="228"/>
      <c r="G593" s="225"/>
      <c r="H593" s="220"/>
    </row>
    <row r="594" spans="6:8">
      <c r="F594" s="228"/>
      <c r="G594" s="225"/>
      <c r="H594" s="220"/>
    </row>
    <row r="595" spans="6:8">
      <c r="F595" s="228"/>
      <c r="G595" s="225"/>
      <c r="H595" s="220"/>
    </row>
    <row r="596" spans="6:8">
      <c r="F596" s="228"/>
      <c r="G596" s="225"/>
      <c r="H596" s="220"/>
    </row>
    <row r="597" spans="6:8">
      <c r="F597" s="228"/>
      <c r="G597" s="225"/>
      <c r="H597" s="220"/>
    </row>
    <row r="598" spans="6:8">
      <c r="F598" s="228"/>
      <c r="G598" s="225"/>
      <c r="H598" s="220"/>
    </row>
    <row r="599" spans="6:8">
      <c r="F599" s="228"/>
      <c r="G599" s="225"/>
      <c r="H599" s="220"/>
    </row>
    <row r="600" spans="6:8">
      <c r="F600" s="228"/>
      <c r="G600" s="225"/>
      <c r="H600" s="220"/>
    </row>
    <row r="601" spans="6:8">
      <c r="F601" s="228"/>
      <c r="G601" s="225"/>
      <c r="H601" s="220"/>
    </row>
    <row r="602" spans="6:8">
      <c r="F602" s="228"/>
      <c r="G602" s="225"/>
      <c r="H602" s="220"/>
    </row>
    <row r="603" spans="6:8">
      <c r="F603" s="228"/>
      <c r="G603" s="225"/>
      <c r="H603" s="220"/>
    </row>
    <row r="604" spans="6:8">
      <c r="F604" s="228"/>
      <c r="G604" s="225"/>
      <c r="H604" s="220"/>
    </row>
    <row r="605" spans="6:8">
      <c r="F605" s="228"/>
      <c r="G605" s="225"/>
      <c r="H605" s="220"/>
    </row>
    <row r="606" spans="6:8">
      <c r="F606" s="228"/>
      <c r="G606" s="225"/>
      <c r="H606" s="220"/>
    </row>
    <row r="607" spans="6:8">
      <c r="F607" s="228"/>
      <c r="G607" s="225"/>
      <c r="H607" s="220"/>
    </row>
    <row r="608" spans="6:8">
      <c r="F608" s="228"/>
      <c r="G608" s="225"/>
      <c r="H608" s="220"/>
    </row>
    <row r="609" spans="6:8">
      <c r="F609" s="228"/>
      <c r="G609" s="225"/>
      <c r="H609" s="220"/>
    </row>
    <row r="610" spans="6:8">
      <c r="F610" s="228"/>
      <c r="G610" s="225"/>
      <c r="H610" s="220"/>
    </row>
    <row r="611" spans="6:8">
      <c r="F611" s="228"/>
      <c r="G611" s="225"/>
      <c r="H611" s="220"/>
    </row>
    <row r="612" spans="6:8">
      <c r="F612" s="228"/>
      <c r="G612" s="225"/>
      <c r="H612" s="220"/>
    </row>
    <row r="613" spans="6:8">
      <c r="F613" s="228"/>
      <c r="G613" s="225"/>
      <c r="H613" s="220"/>
    </row>
    <row r="614" spans="6:8">
      <c r="F614" s="228"/>
      <c r="G614" s="225"/>
      <c r="H614" s="220"/>
    </row>
    <row r="615" spans="6:8">
      <c r="F615" s="228"/>
      <c r="G615" s="225"/>
      <c r="H615" s="220"/>
    </row>
    <row r="616" spans="6:8">
      <c r="F616" s="228"/>
      <c r="G616" s="225"/>
      <c r="H616" s="220"/>
    </row>
    <row r="617" spans="6:8">
      <c r="F617" s="228"/>
      <c r="G617" s="225"/>
      <c r="H617" s="220"/>
    </row>
    <row r="618" spans="6:8">
      <c r="F618" s="228"/>
      <c r="G618" s="225"/>
      <c r="H618" s="220"/>
    </row>
    <row r="619" spans="6:8">
      <c r="F619" s="228"/>
      <c r="G619" s="225"/>
      <c r="H619" s="220"/>
    </row>
    <row r="620" spans="6:8">
      <c r="F620" s="228"/>
      <c r="G620" s="225"/>
      <c r="H620" s="220"/>
    </row>
    <row r="621" spans="6:8">
      <c r="F621" s="228"/>
      <c r="G621" s="225"/>
      <c r="H621" s="220"/>
    </row>
    <row r="622" spans="6:8">
      <c r="F622" s="228"/>
      <c r="G622" s="225"/>
      <c r="H622" s="220"/>
    </row>
    <row r="623" spans="6:8">
      <c r="F623" s="228"/>
      <c r="G623" s="225"/>
      <c r="H623" s="220"/>
    </row>
    <row r="624" spans="6:8">
      <c r="F624" s="228"/>
      <c r="G624" s="225"/>
      <c r="H624" s="220"/>
    </row>
    <row r="625" spans="6:8">
      <c r="F625" s="228"/>
      <c r="G625" s="225"/>
      <c r="H625" s="220"/>
    </row>
    <row r="626" spans="6:8">
      <c r="F626" s="228"/>
      <c r="G626" s="225"/>
      <c r="H626" s="220"/>
    </row>
    <row r="627" spans="6:8">
      <c r="F627" s="228"/>
      <c r="G627" s="225"/>
      <c r="H627" s="220"/>
    </row>
    <row r="628" spans="6:8">
      <c r="F628" s="228"/>
      <c r="G628" s="225"/>
      <c r="H628" s="220"/>
    </row>
    <row r="629" spans="6:8">
      <c r="F629" s="228"/>
      <c r="G629" s="225"/>
      <c r="H629" s="220"/>
    </row>
    <row r="630" spans="6:8">
      <c r="F630" s="228"/>
      <c r="G630" s="225"/>
      <c r="H630" s="220"/>
    </row>
    <row r="631" spans="6:8">
      <c r="F631" s="228"/>
      <c r="G631" s="225"/>
      <c r="H631" s="220"/>
    </row>
    <row r="632" spans="6:8">
      <c r="F632" s="228"/>
      <c r="G632" s="225"/>
      <c r="H632" s="220"/>
    </row>
    <row r="633" spans="6:8">
      <c r="F633" s="228"/>
      <c r="G633" s="225"/>
      <c r="H633" s="220"/>
    </row>
    <row r="634" spans="6:8">
      <c r="F634" s="228"/>
      <c r="G634" s="225"/>
      <c r="H634" s="220"/>
    </row>
    <row r="635" spans="6:8">
      <c r="F635" s="228"/>
      <c r="G635" s="225"/>
      <c r="H635" s="220"/>
    </row>
    <row r="636" spans="6:8">
      <c r="F636" s="228"/>
      <c r="G636" s="225"/>
      <c r="H636" s="220"/>
    </row>
    <row r="637" spans="6:8">
      <c r="F637" s="228"/>
      <c r="G637" s="225"/>
      <c r="H637" s="220"/>
    </row>
    <row r="638" spans="6:8">
      <c r="F638" s="228"/>
      <c r="G638" s="225"/>
      <c r="H638" s="220"/>
    </row>
    <row r="639" spans="6:8">
      <c r="F639" s="228"/>
      <c r="G639" s="225"/>
      <c r="H639" s="220"/>
    </row>
    <row r="640" spans="6:8">
      <c r="F640" s="228"/>
      <c r="G640" s="225"/>
      <c r="H640" s="220"/>
    </row>
    <row r="641" spans="6:8">
      <c r="F641" s="228"/>
      <c r="G641" s="225"/>
      <c r="H641" s="220"/>
    </row>
    <row r="642" spans="6:8">
      <c r="F642" s="228"/>
      <c r="G642" s="225"/>
      <c r="H642" s="220"/>
    </row>
    <row r="643" spans="6:8">
      <c r="F643" s="228"/>
      <c r="G643" s="225"/>
      <c r="H643" s="220"/>
    </row>
    <row r="644" spans="6:8">
      <c r="F644" s="228"/>
      <c r="G644" s="225"/>
      <c r="H644" s="220"/>
    </row>
    <row r="645" spans="6:8">
      <c r="F645" s="228"/>
      <c r="G645" s="225"/>
      <c r="H645" s="220"/>
    </row>
    <row r="646" spans="6:8">
      <c r="F646" s="228"/>
      <c r="G646" s="225"/>
      <c r="H646" s="220"/>
    </row>
    <row r="647" spans="6:8">
      <c r="F647" s="228"/>
      <c r="G647" s="225"/>
      <c r="H647" s="220"/>
    </row>
    <row r="648" spans="6:8">
      <c r="F648" s="228"/>
      <c r="G648" s="225"/>
      <c r="H648" s="220"/>
    </row>
    <row r="649" spans="6:8">
      <c r="F649" s="228"/>
      <c r="G649" s="225"/>
      <c r="H649" s="220"/>
    </row>
    <row r="650" spans="6:8">
      <c r="F650" s="228"/>
      <c r="G650" s="225"/>
      <c r="H650" s="220"/>
    </row>
    <row r="651" spans="6:8">
      <c r="F651" s="228"/>
      <c r="G651" s="225"/>
      <c r="H651" s="220"/>
    </row>
    <row r="652" spans="6:8">
      <c r="F652" s="228"/>
      <c r="G652" s="225"/>
      <c r="H652" s="220"/>
    </row>
    <row r="653" spans="6:8">
      <c r="F653" s="228"/>
      <c r="G653" s="225"/>
      <c r="H653" s="220"/>
    </row>
    <row r="654" spans="6:8">
      <c r="F654" s="228"/>
      <c r="G654" s="225"/>
      <c r="H654" s="220"/>
    </row>
    <row r="655" spans="6:8">
      <c r="F655" s="228"/>
      <c r="G655" s="225"/>
      <c r="H655" s="220"/>
    </row>
    <row r="656" spans="6:8">
      <c r="F656" s="228"/>
      <c r="G656" s="225"/>
      <c r="H656" s="220"/>
    </row>
    <row r="657" spans="6:8">
      <c r="F657" s="228"/>
      <c r="G657" s="225"/>
      <c r="H657" s="220"/>
    </row>
    <row r="658" spans="6:8">
      <c r="F658" s="228"/>
      <c r="G658" s="225"/>
      <c r="H658" s="220"/>
    </row>
    <row r="659" spans="6:8">
      <c r="F659" s="228"/>
      <c r="G659" s="225"/>
      <c r="H659" s="220"/>
    </row>
    <row r="660" spans="6:8">
      <c r="F660" s="228"/>
      <c r="G660" s="225"/>
      <c r="H660" s="220"/>
    </row>
    <row r="661" spans="6:8">
      <c r="F661" s="228"/>
      <c r="G661" s="225"/>
      <c r="H661" s="220"/>
    </row>
    <row r="662" spans="6:8">
      <c r="F662" s="228"/>
      <c r="G662" s="225"/>
      <c r="H662" s="220"/>
    </row>
    <row r="663" spans="6:8">
      <c r="F663" s="228"/>
      <c r="G663" s="225"/>
      <c r="H663" s="220"/>
    </row>
    <row r="664" spans="6:8">
      <c r="F664" s="228"/>
      <c r="G664" s="225"/>
      <c r="H664" s="220"/>
    </row>
    <row r="665" spans="6:8">
      <c r="F665" s="228"/>
      <c r="G665" s="225"/>
      <c r="H665" s="220"/>
    </row>
    <row r="666" spans="6:8">
      <c r="F666" s="228"/>
      <c r="G666" s="225"/>
      <c r="H666" s="220"/>
    </row>
    <row r="667" spans="6:8">
      <c r="F667" s="228"/>
      <c r="G667" s="225"/>
      <c r="H667" s="220"/>
    </row>
    <row r="668" spans="6:8">
      <c r="F668" s="228"/>
      <c r="G668" s="225"/>
      <c r="H668" s="220"/>
    </row>
    <row r="669" spans="6:8">
      <c r="F669" s="228"/>
      <c r="G669" s="225"/>
      <c r="H669" s="220"/>
    </row>
    <row r="670" spans="6:8">
      <c r="F670" s="228"/>
      <c r="G670" s="225"/>
      <c r="H670" s="220"/>
    </row>
    <row r="671" spans="6:8">
      <c r="F671" s="228"/>
      <c r="G671" s="225"/>
      <c r="H671" s="220"/>
    </row>
    <row r="672" spans="6:8">
      <c r="F672" s="228"/>
      <c r="G672" s="225"/>
      <c r="H672" s="220"/>
    </row>
    <row r="673" spans="6:8">
      <c r="F673" s="228"/>
      <c r="G673" s="225"/>
      <c r="H673" s="220"/>
    </row>
    <row r="674" spans="6:8">
      <c r="F674" s="228"/>
      <c r="G674" s="225"/>
      <c r="H674" s="220"/>
    </row>
    <row r="675" spans="6:8">
      <c r="F675" s="228"/>
      <c r="G675" s="225"/>
      <c r="H675" s="220"/>
    </row>
    <row r="676" spans="6:8">
      <c r="F676" s="228"/>
      <c r="G676" s="225"/>
      <c r="H676" s="220"/>
    </row>
    <row r="677" spans="6:8">
      <c r="F677" s="228"/>
      <c r="G677" s="225"/>
      <c r="H677" s="220"/>
    </row>
    <row r="678" spans="6:8">
      <c r="F678" s="228"/>
      <c r="G678" s="225"/>
      <c r="H678" s="220"/>
    </row>
    <row r="679" spans="6:8">
      <c r="F679" s="228"/>
      <c r="G679" s="225"/>
      <c r="H679" s="220"/>
    </row>
    <row r="680" spans="6:8">
      <c r="F680" s="228"/>
      <c r="G680" s="225"/>
      <c r="H680" s="220"/>
    </row>
    <row r="681" spans="6:8">
      <c r="F681" s="228"/>
      <c r="G681" s="225"/>
      <c r="H681" s="220"/>
    </row>
    <row r="682" spans="6:8">
      <c r="F682" s="228"/>
      <c r="G682" s="225"/>
      <c r="H682" s="220"/>
    </row>
    <row r="683" spans="6:8">
      <c r="F683" s="228"/>
      <c r="G683" s="225"/>
      <c r="H683" s="220"/>
    </row>
    <row r="684" spans="6:8">
      <c r="F684" s="228"/>
      <c r="G684" s="225"/>
      <c r="H684" s="220"/>
    </row>
    <row r="685" spans="6:8">
      <c r="F685" s="228"/>
      <c r="G685" s="225"/>
      <c r="H685" s="220"/>
    </row>
    <row r="686" spans="6:8">
      <c r="F686" s="228"/>
      <c r="G686" s="225"/>
      <c r="H686" s="220"/>
    </row>
    <row r="687" spans="6:8">
      <c r="F687" s="228"/>
      <c r="G687" s="225"/>
      <c r="H687" s="220"/>
    </row>
    <row r="688" spans="6:8">
      <c r="F688" s="228"/>
      <c r="G688" s="225"/>
      <c r="H688" s="220"/>
    </row>
    <row r="689" spans="6:8">
      <c r="F689" s="228"/>
      <c r="G689" s="225"/>
      <c r="H689" s="220"/>
    </row>
    <row r="690" spans="6:8">
      <c r="F690" s="228"/>
      <c r="G690" s="225"/>
      <c r="H690" s="220"/>
    </row>
    <row r="691" spans="6:8">
      <c r="F691" s="228"/>
      <c r="G691" s="225"/>
      <c r="H691" s="220"/>
    </row>
    <row r="692" spans="6:8">
      <c r="F692" s="228"/>
      <c r="G692" s="225"/>
      <c r="H692" s="220"/>
    </row>
    <row r="693" spans="6:8">
      <c r="F693" s="228"/>
      <c r="G693" s="225"/>
      <c r="H693" s="220"/>
    </row>
    <row r="694" spans="6:8">
      <c r="F694" s="228"/>
      <c r="G694" s="225"/>
      <c r="H694" s="220"/>
    </row>
    <row r="695" spans="6:8">
      <c r="F695" s="228"/>
      <c r="G695" s="225"/>
      <c r="H695" s="220"/>
    </row>
    <row r="696" spans="6:8">
      <c r="F696" s="228"/>
      <c r="G696" s="225"/>
      <c r="H696" s="220"/>
    </row>
    <row r="697" spans="6:8">
      <c r="F697" s="228"/>
      <c r="G697" s="225"/>
      <c r="H697" s="220"/>
    </row>
    <row r="698" spans="6:8">
      <c r="F698" s="228"/>
      <c r="G698" s="225"/>
      <c r="H698" s="220"/>
    </row>
    <row r="699" spans="6:8">
      <c r="F699" s="228"/>
      <c r="G699" s="225"/>
      <c r="H699" s="220"/>
    </row>
    <row r="700" spans="6:8">
      <c r="F700" s="228"/>
      <c r="G700" s="225"/>
      <c r="H700" s="220"/>
    </row>
    <row r="701" spans="6:8">
      <c r="F701" s="228"/>
      <c r="G701" s="225"/>
      <c r="H701" s="220"/>
    </row>
    <row r="702" spans="6:8">
      <c r="F702" s="228"/>
      <c r="G702" s="225"/>
      <c r="H702" s="220"/>
    </row>
    <row r="703" spans="6:8">
      <c r="F703" s="228"/>
      <c r="G703" s="225"/>
      <c r="H703" s="220"/>
    </row>
    <row r="704" spans="6:8">
      <c r="F704" s="228"/>
      <c r="G704" s="225"/>
      <c r="H704" s="220"/>
    </row>
    <row r="705" spans="6:8">
      <c r="F705" s="228"/>
      <c r="G705" s="225"/>
      <c r="H705" s="220"/>
    </row>
    <row r="706" spans="6:8">
      <c r="F706" s="228"/>
      <c r="G706" s="225"/>
      <c r="H706" s="220"/>
    </row>
    <row r="707" spans="6:8">
      <c r="F707" s="228"/>
      <c r="G707" s="225"/>
      <c r="H707" s="220"/>
    </row>
    <row r="708" spans="6:8">
      <c r="F708" s="228"/>
      <c r="G708" s="225"/>
      <c r="H708" s="220"/>
    </row>
    <row r="709" spans="6:8">
      <c r="F709" s="228"/>
      <c r="G709" s="225"/>
      <c r="H709" s="220"/>
    </row>
    <row r="710" spans="6:8">
      <c r="F710" s="228"/>
      <c r="G710" s="225"/>
      <c r="H710" s="220"/>
    </row>
    <row r="711" spans="6:8">
      <c r="F711" s="228"/>
      <c r="G711" s="225"/>
      <c r="H711" s="220"/>
    </row>
    <row r="712" spans="6:8">
      <c r="F712" s="228"/>
      <c r="G712" s="225"/>
      <c r="H712" s="220"/>
    </row>
    <row r="713" spans="6:8">
      <c r="F713" s="228"/>
      <c r="G713" s="225"/>
      <c r="H713" s="220"/>
    </row>
    <row r="714" spans="6:8">
      <c r="F714" s="228"/>
      <c r="G714" s="225"/>
      <c r="H714" s="220"/>
    </row>
    <row r="715" spans="6:8">
      <c r="F715" s="228"/>
      <c r="G715" s="225"/>
      <c r="H715" s="220"/>
    </row>
    <row r="716" spans="6:8">
      <c r="F716" s="228"/>
      <c r="G716" s="225"/>
      <c r="H716" s="220"/>
    </row>
    <row r="717" spans="6:8">
      <c r="F717" s="228"/>
      <c r="G717" s="225"/>
      <c r="H717" s="220"/>
    </row>
    <row r="718" spans="6:8">
      <c r="F718" s="228"/>
      <c r="G718" s="225"/>
      <c r="H718" s="220"/>
    </row>
    <row r="719" spans="6:8">
      <c r="F719" s="228"/>
      <c r="G719" s="225"/>
      <c r="H719" s="220"/>
    </row>
    <row r="720" spans="6:8">
      <c r="F720" s="228"/>
      <c r="G720" s="225"/>
      <c r="H720" s="220"/>
    </row>
    <row r="721" spans="6:8">
      <c r="F721" s="228"/>
      <c r="G721" s="225"/>
      <c r="H721" s="220"/>
    </row>
    <row r="722" spans="6:8">
      <c r="F722" s="228"/>
      <c r="G722" s="225"/>
      <c r="H722" s="220"/>
    </row>
    <row r="723" spans="6:8">
      <c r="F723" s="228"/>
      <c r="G723" s="225"/>
      <c r="H723" s="220"/>
    </row>
    <row r="724" spans="6:8">
      <c r="F724" s="228"/>
      <c r="G724" s="225"/>
      <c r="H724" s="220"/>
    </row>
    <row r="725" spans="6:8">
      <c r="F725" s="228"/>
      <c r="G725" s="225"/>
      <c r="H725" s="220"/>
    </row>
    <row r="726" spans="6:8">
      <c r="F726" s="228"/>
      <c r="G726" s="225"/>
      <c r="H726" s="220"/>
    </row>
    <row r="727" spans="6:8">
      <c r="F727" s="228"/>
      <c r="G727" s="225"/>
      <c r="H727" s="220"/>
    </row>
    <row r="728" spans="6:8">
      <c r="F728" s="228"/>
      <c r="G728" s="225"/>
      <c r="H728" s="220"/>
    </row>
    <row r="729" spans="6:8">
      <c r="F729" s="228"/>
      <c r="G729" s="225"/>
      <c r="H729" s="220"/>
    </row>
    <row r="730" spans="6:8">
      <c r="F730" s="228"/>
      <c r="G730" s="225"/>
      <c r="H730" s="220"/>
    </row>
    <row r="731" spans="6:8">
      <c r="F731" s="228"/>
      <c r="G731" s="225"/>
      <c r="H731" s="220"/>
    </row>
    <row r="732" spans="6:8">
      <c r="F732" s="228"/>
      <c r="G732" s="225"/>
      <c r="H732" s="220"/>
    </row>
    <row r="733" spans="6:8">
      <c r="F733" s="228"/>
      <c r="G733" s="225"/>
      <c r="H733" s="220"/>
    </row>
    <row r="734" spans="6:8">
      <c r="F734" s="228"/>
      <c r="G734" s="225"/>
      <c r="H734" s="220"/>
    </row>
    <row r="735" spans="6:8">
      <c r="F735" s="228"/>
      <c r="G735" s="225"/>
      <c r="H735" s="220"/>
    </row>
    <row r="736" spans="6:8">
      <c r="F736" s="228"/>
      <c r="G736" s="225"/>
      <c r="H736" s="220"/>
    </row>
    <row r="737" spans="6:8">
      <c r="F737" s="228"/>
      <c r="G737" s="225"/>
      <c r="H737" s="220"/>
    </row>
    <row r="738" spans="6:8">
      <c r="F738" s="228"/>
      <c r="G738" s="225"/>
      <c r="H738" s="220"/>
    </row>
    <row r="739" spans="6:8">
      <c r="F739" s="228"/>
      <c r="G739" s="225"/>
      <c r="H739" s="220"/>
    </row>
    <row r="740" spans="6:8">
      <c r="F740" s="228"/>
      <c r="G740" s="225"/>
      <c r="H740" s="220"/>
    </row>
    <row r="741" spans="6:8">
      <c r="F741" s="228"/>
      <c r="G741" s="225"/>
      <c r="H741" s="220"/>
    </row>
    <row r="742" spans="6:8">
      <c r="F742" s="228"/>
      <c r="G742" s="225"/>
      <c r="H742" s="220"/>
    </row>
    <row r="743" spans="6:8">
      <c r="F743" s="228"/>
      <c r="G743" s="225"/>
      <c r="H743" s="220"/>
    </row>
    <row r="744" spans="6:8">
      <c r="F744" s="228"/>
      <c r="G744" s="225"/>
      <c r="H744" s="220"/>
    </row>
    <row r="745" spans="6:8">
      <c r="F745" s="228"/>
      <c r="G745" s="225"/>
      <c r="H745" s="220"/>
    </row>
    <row r="746" spans="6:8">
      <c r="F746" s="228"/>
      <c r="G746" s="225"/>
      <c r="H746" s="220"/>
    </row>
    <row r="747" spans="6:8">
      <c r="F747" s="228"/>
      <c r="G747" s="225"/>
      <c r="H747" s="220"/>
    </row>
    <row r="748" spans="6:8">
      <c r="F748" s="228"/>
      <c r="G748" s="225"/>
      <c r="H748" s="220"/>
    </row>
    <row r="749" spans="6:8">
      <c r="F749" s="228"/>
      <c r="G749" s="225"/>
      <c r="H749" s="220"/>
    </row>
    <row r="750" spans="6:8">
      <c r="F750" s="228"/>
      <c r="G750" s="225"/>
      <c r="H750" s="220"/>
    </row>
    <row r="751" spans="6:8">
      <c r="F751" s="228"/>
      <c r="G751" s="225"/>
      <c r="H751" s="220"/>
    </row>
    <row r="752" spans="6:8">
      <c r="F752" s="228"/>
      <c r="G752" s="225"/>
      <c r="H752" s="220"/>
    </row>
    <row r="753" spans="6:8">
      <c r="F753" s="228"/>
      <c r="G753" s="225"/>
      <c r="H753" s="220"/>
    </row>
    <row r="754" spans="6:8">
      <c r="F754" s="228"/>
      <c r="G754" s="225"/>
      <c r="H754" s="220"/>
    </row>
    <row r="755" spans="6:8">
      <c r="F755" s="228"/>
      <c r="G755" s="225"/>
      <c r="H755" s="220"/>
    </row>
    <row r="756" spans="6:8">
      <c r="F756" s="228"/>
      <c r="G756" s="225"/>
      <c r="H756" s="220"/>
    </row>
    <row r="757" spans="6:8">
      <c r="F757" s="228"/>
      <c r="G757" s="225"/>
      <c r="H757" s="220"/>
    </row>
    <row r="758" spans="6:8">
      <c r="F758" s="228"/>
      <c r="G758" s="225"/>
      <c r="H758" s="220"/>
    </row>
    <row r="759" spans="6:8">
      <c r="F759" s="228"/>
      <c r="G759" s="225"/>
      <c r="H759" s="220"/>
    </row>
    <row r="760" spans="6:8">
      <c r="F760" s="228"/>
      <c r="G760" s="225"/>
      <c r="H760" s="220"/>
    </row>
    <row r="761" spans="6:8">
      <c r="F761" s="228"/>
      <c r="G761" s="225"/>
      <c r="H761" s="220"/>
    </row>
    <row r="762" spans="6:8">
      <c r="F762" s="228"/>
      <c r="G762" s="225"/>
      <c r="H762" s="220"/>
    </row>
    <row r="763" spans="6:8">
      <c r="F763" s="228"/>
      <c r="G763" s="225"/>
      <c r="H763" s="220"/>
    </row>
    <row r="764" spans="6:8">
      <c r="F764" s="228"/>
      <c r="G764" s="225"/>
      <c r="H764" s="220"/>
    </row>
    <row r="765" spans="6:8">
      <c r="F765" s="228"/>
      <c r="G765" s="225"/>
      <c r="H765" s="220"/>
    </row>
    <row r="766" spans="6:8">
      <c r="F766" s="228"/>
      <c r="G766" s="225"/>
      <c r="H766" s="220"/>
    </row>
    <row r="767" spans="6:8">
      <c r="F767" s="228"/>
      <c r="G767" s="225"/>
      <c r="H767" s="220"/>
    </row>
    <row r="768" spans="6:8">
      <c r="F768" s="228"/>
      <c r="G768" s="225"/>
      <c r="H768" s="220"/>
    </row>
    <row r="769" spans="6:8">
      <c r="F769" s="228"/>
      <c r="G769" s="225"/>
      <c r="H769" s="220"/>
    </row>
    <row r="770" spans="6:8">
      <c r="F770" s="228"/>
      <c r="G770" s="225"/>
      <c r="H770" s="220"/>
    </row>
    <row r="771" spans="6:8">
      <c r="F771" s="228"/>
      <c r="G771" s="225"/>
      <c r="H771" s="220"/>
    </row>
    <row r="772" spans="6:8">
      <c r="F772" s="228"/>
      <c r="G772" s="225"/>
      <c r="H772" s="220"/>
    </row>
    <row r="773" spans="6:8">
      <c r="F773" s="228"/>
      <c r="G773" s="225"/>
      <c r="H773" s="220"/>
    </row>
    <row r="774" spans="6:8">
      <c r="F774" s="228"/>
      <c r="G774" s="225"/>
      <c r="H774" s="220"/>
    </row>
    <row r="775" spans="6:8">
      <c r="F775" s="228"/>
      <c r="G775" s="225"/>
      <c r="H775" s="220"/>
    </row>
    <row r="776" spans="6:8">
      <c r="F776" s="228"/>
      <c r="G776" s="225"/>
      <c r="H776" s="220"/>
    </row>
    <row r="777" spans="6:8">
      <c r="F777" s="228"/>
      <c r="G777" s="225"/>
      <c r="H777" s="220"/>
    </row>
    <row r="778" spans="6:8">
      <c r="F778" s="228"/>
      <c r="G778" s="225"/>
      <c r="H778" s="220"/>
    </row>
    <row r="779" spans="6:8">
      <c r="F779" s="228"/>
      <c r="G779" s="225"/>
      <c r="H779" s="220"/>
    </row>
    <row r="780" spans="6:8">
      <c r="F780" s="228"/>
      <c r="G780" s="225"/>
      <c r="H780" s="220"/>
    </row>
    <row r="781" spans="6:8">
      <c r="F781" s="228"/>
      <c r="G781" s="225"/>
      <c r="H781" s="220"/>
    </row>
    <row r="782" spans="6:8">
      <c r="F782" s="228"/>
      <c r="G782" s="225"/>
      <c r="H782" s="220"/>
    </row>
    <row r="783" spans="6:8">
      <c r="F783" s="228"/>
      <c r="G783" s="225"/>
      <c r="H783" s="220"/>
    </row>
    <row r="784" spans="6:8">
      <c r="F784" s="228"/>
      <c r="G784" s="225"/>
      <c r="H784" s="220"/>
    </row>
    <row r="785" spans="6:8">
      <c r="F785" s="228"/>
      <c r="G785" s="225"/>
      <c r="H785" s="220"/>
    </row>
    <row r="786" spans="6:8">
      <c r="F786" s="228"/>
      <c r="G786" s="225"/>
      <c r="H786" s="220"/>
    </row>
    <row r="787" spans="6:8">
      <c r="F787" s="228"/>
      <c r="G787" s="225"/>
      <c r="H787" s="220"/>
    </row>
    <row r="788" spans="6:8">
      <c r="F788" s="228"/>
      <c r="G788" s="225"/>
      <c r="H788" s="220"/>
    </row>
    <row r="789" spans="6:8">
      <c r="F789" s="228"/>
      <c r="G789" s="225"/>
      <c r="H789" s="220"/>
    </row>
    <row r="790" spans="6:8">
      <c r="F790" s="228"/>
      <c r="G790" s="225"/>
      <c r="H790" s="220"/>
    </row>
    <row r="791" spans="6:8">
      <c r="F791" s="228"/>
      <c r="G791" s="225"/>
      <c r="H791" s="220"/>
    </row>
    <row r="792" spans="6:8">
      <c r="F792" s="228"/>
      <c r="G792" s="225"/>
      <c r="H792" s="220"/>
    </row>
    <row r="793" spans="6:8">
      <c r="F793" s="228"/>
      <c r="G793" s="225"/>
      <c r="H793" s="220"/>
    </row>
    <row r="794" spans="6:8">
      <c r="F794" s="228"/>
      <c r="G794" s="225"/>
      <c r="H794" s="220"/>
    </row>
    <row r="795" spans="6:8">
      <c r="F795" s="228"/>
      <c r="G795" s="225"/>
      <c r="H795" s="220"/>
    </row>
    <row r="796" spans="6:8">
      <c r="F796" s="228"/>
      <c r="G796" s="225"/>
      <c r="H796" s="220"/>
    </row>
    <row r="797" spans="6:8">
      <c r="F797" s="228"/>
      <c r="G797" s="225"/>
      <c r="H797" s="220"/>
    </row>
    <row r="798" spans="6:8">
      <c r="F798" s="228"/>
      <c r="G798" s="225"/>
      <c r="H798" s="220"/>
    </row>
    <row r="799" spans="6:8">
      <c r="F799" s="228"/>
      <c r="G799" s="225"/>
      <c r="H799" s="220"/>
    </row>
    <row r="800" spans="6:8">
      <c r="F800" s="228"/>
      <c r="G800" s="225"/>
      <c r="H800" s="220"/>
    </row>
    <row r="801" spans="6:8">
      <c r="F801" s="228"/>
      <c r="G801" s="225"/>
      <c r="H801" s="220"/>
    </row>
    <row r="802" spans="6:8">
      <c r="F802" s="228"/>
      <c r="G802" s="225"/>
      <c r="H802" s="220"/>
    </row>
    <row r="803" spans="6:8">
      <c r="F803" s="228"/>
      <c r="G803" s="225"/>
      <c r="H803" s="220"/>
    </row>
    <row r="804" spans="6:8">
      <c r="F804" s="228"/>
      <c r="G804" s="225"/>
      <c r="H804" s="220"/>
    </row>
    <row r="805" spans="6:8">
      <c r="F805" s="228"/>
      <c r="G805" s="225"/>
      <c r="H805" s="220"/>
    </row>
    <row r="806" spans="6:8">
      <c r="F806" s="228"/>
      <c r="G806" s="225"/>
      <c r="H806" s="220"/>
    </row>
    <row r="807" spans="6:8">
      <c r="F807" s="228"/>
      <c r="G807" s="225"/>
      <c r="H807" s="220"/>
    </row>
    <row r="808" spans="6:8">
      <c r="F808" s="228"/>
      <c r="G808" s="225"/>
      <c r="H808" s="220"/>
    </row>
    <row r="809" spans="6:8">
      <c r="F809" s="228"/>
      <c r="G809" s="225"/>
      <c r="H809" s="220"/>
    </row>
    <row r="810" spans="6:8">
      <c r="F810" s="228"/>
      <c r="G810" s="225"/>
      <c r="H810" s="220"/>
    </row>
    <row r="811" spans="6:8">
      <c r="F811" s="228"/>
      <c r="G811" s="225"/>
      <c r="H811" s="220"/>
    </row>
    <row r="812" spans="6:8">
      <c r="F812" s="228"/>
      <c r="G812" s="225"/>
      <c r="H812" s="220"/>
    </row>
    <row r="813" spans="6:8">
      <c r="F813" s="228"/>
      <c r="G813" s="225"/>
      <c r="H813" s="220"/>
    </row>
    <row r="814" spans="6:8">
      <c r="F814" s="228"/>
      <c r="G814" s="225"/>
      <c r="H814" s="220"/>
    </row>
    <row r="815" spans="6:8">
      <c r="F815" s="228"/>
      <c r="G815" s="225"/>
      <c r="H815" s="220"/>
    </row>
    <row r="816" spans="6:8">
      <c r="F816" s="228"/>
      <c r="G816" s="225"/>
      <c r="H816" s="220"/>
    </row>
    <row r="817" spans="6:8">
      <c r="F817" s="228"/>
      <c r="G817" s="225"/>
      <c r="H817" s="220"/>
    </row>
    <row r="818" spans="6:8">
      <c r="F818" s="228"/>
      <c r="G818" s="225"/>
      <c r="H818" s="220"/>
    </row>
    <row r="819" spans="6:8">
      <c r="F819" s="228"/>
      <c r="G819" s="225"/>
      <c r="H819" s="220"/>
    </row>
    <row r="820" spans="6:8">
      <c r="F820" s="228"/>
      <c r="G820" s="225"/>
      <c r="H820" s="220"/>
    </row>
    <row r="821" spans="6:8">
      <c r="F821" s="228"/>
      <c r="G821" s="225"/>
      <c r="H821" s="220"/>
    </row>
    <row r="822" spans="6:8">
      <c r="F822" s="228"/>
      <c r="G822" s="225"/>
      <c r="H822" s="220"/>
    </row>
    <row r="823" spans="6:8">
      <c r="F823" s="228"/>
      <c r="G823" s="225"/>
      <c r="H823" s="220"/>
    </row>
    <row r="824" spans="6:8">
      <c r="F824" s="228"/>
      <c r="G824" s="225"/>
      <c r="H824" s="220"/>
    </row>
    <row r="825" spans="6:8">
      <c r="F825" s="228"/>
      <c r="G825" s="225"/>
      <c r="H825" s="220"/>
    </row>
    <row r="826" spans="6:8">
      <c r="F826" s="228"/>
      <c r="G826" s="225"/>
      <c r="H826" s="220"/>
    </row>
    <row r="827" spans="6:8">
      <c r="F827" s="228"/>
      <c r="G827" s="225"/>
      <c r="H827" s="220"/>
    </row>
    <row r="828" spans="6:8">
      <c r="F828" s="228"/>
      <c r="G828" s="225"/>
      <c r="H828" s="220"/>
    </row>
    <row r="829" spans="6:8">
      <c r="F829" s="228"/>
      <c r="G829" s="225"/>
      <c r="H829" s="220"/>
    </row>
    <row r="830" spans="6:8">
      <c r="F830" s="228"/>
      <c r="G830" s="225"/>
      <c r="H830" s="220"/>
    </row>
    <row r="831" spans="6:8">
      <c r="F831" s="228"/>
      <c r="G831" s="225"/>
      <c r="H831" s="220"/>
    </row>
    <row r="832" spans="6:8">
      <c r="F832" s="228"/>
      <c r="G832" s="225"/>
      <c r="H832" s="220"/>
    </row>
    <row r="833" spans="6:8">
      <c r="F833" s="228"/>
      <c r="G833" s="225"/>
      <c r="H833" s="220"/>
    </row>
    <row r="834" spans="6:8">
      <c r="F834" s="228"/>
      <c r="G834" s="225"/>
      <c r="H834" s="220"/>
    </row>
    <row r="835" spans="6:8">
      <c r="F835" s="228"/>
      <c r="G835" s="225"/>
      <c r="H835" s="220"/>
    </row>
    <row r="836" spans="6:8">
      <c r="F836" s="228"/>
      <c r="G836" s="225"/>
      <c r="H836" s="220"/>
    </row>
    <row r="837" spans="6:8">
      <c r="F837" s="228"/>
      <c r="G837" s="225"/>
      <c r="H837" s="220"/>
    </row>
    <row r="838" spans="6:8">
      <c r="F838" s="228"/>
      <c r="G838" s="225"/>
      <c r="H838" s="220"/>
    </row>
    <row r="839" spans="6:8">
      <c r="F839" s="228"/>
      <c r="G839" s="225"/>
      <c r="H839" s="220"/>
    </row>
    <row r="840" spans="6:8">
      <c r="F840" s="228"/>
      <c r="G840" s="225"/>
      <c r="H840" s="220"/>
    </row>
    <row r="841" spans="6:8">
      <c r="F841" s="228"/>
      <c r="G841" s="225"/>
      <c r="H841" s="220"/>
    </row>
    <row r="842" spans="6:8">
      <c r="F842" s="228"/>
      <c r="G842" s="225"/>
      <c r="H842" s="220"/>
    </row>
    <row r="843" spans="6:8">
      <c r="F843" s="228"/>
      <c r="G843" s="225"/>
      <c r="H843" s="220"/>
    </row>
    <row r="844" spans="6:8">
      <c r="F844" s="228"/>
      <c r="G844" s="225"/>
      <c r="H844" s="220"/>
    </row>
    <row r="845" spans="6:8">
      <c r="F845" s="228"/>
      <c r="G845" s="225"/>
      <c r="H845" s="220"/>
    </row>
    <row r="846" spans="6:8">
      <c r="F846" s="228"/>
      <c r="G846" s="225"/>
      <c r="H846" s="220"/>
    </row>
    <row r="847" spans="6:8">
      <c r="F847" s="228"/>
      <c r="G847" s="225"/>
      <c r="H847" s="220"/>
    </row>
    <row r="848" spans="6:8">
      <c r="F848" s="228"/>
      <c r="G848" s="225"/>
      <c r="H848" s="220"/>
    </row>
    <row r="849" spans="6:8">
      <c r="F849" s="228"/>
      <c r="G849" s="225"/>
      <c r="H849" s="220"/>
    </row>
    <row r="850" spans="6:8">
      <c r="F850" s="228"/>
      <c r="G850" s="225"/>
      <c r="H850" s="220"/>
    </row>
    <row r="851" spans="6:8">
      <c r="F851" s="228"/>
      <c r="G851" s="225"/>
      <c r="H851" s="220"/>
    </row>
    <row r="852" spans="6:8">
      <c r="F852" s="228"/>
      <c r="G852" s="225"/>
      <c r="H852" s="220"/>
    </row>
    <row r="853" spans="6:8">
      <c r="F853" s="228"/>
      <c r="G853" s="225"/>
      <c r="H853" s="220"/>
    </row>
    <row r="854" spans="6:8">
      <c r="F854" s="228"/>
      <c r="G854" s="225"/>
      <c r="H854" s="220"/>
    </row>
    <row r="855" spans="6:8">
      <c r="F855" s="228"/>
      <c r="G855" s="225"/>
      <c r="H855" s="220"/>
    </row>
    <row r="856" spans="6:8">
      <c r="F856" s="228"/>
      <c r="G856" s="225"/>
      <c r="H856" s="220"/>
    </row>
    <row r="857" spans="6:8">
      <c r="F857" s="228"/>
      <c r="G857" s="225"/>
      <c r="H857" s="220"/>
    </row>
    <row r="858" spans="6:8">
      <c r="F858" s="228"/>
      <c r="G858" s="225"/>
      <c r="H858" s="220"/>
    </row>
    <row r="859" spans="6:8">
      <c r="F859" s="228"/>
      <c r="G859" s="225"/>
      <c r="H859" s="220"/>
    </row>
    <row r="860" spans="6:8">
      <c r="F860" s="228"/>
      <c r="G860" s="225"/>
      <c r="H860" s="220"/>
    </row>
    <row r="861" spans="6:8">
      <c r="F861" s="228"/>
      <c r="G861" s="225"/>
      <c r="H861" s="220"/>
    </row>
    <row r="862" spans="6:8">
      <c r="F862" s="228"/>
      <c r="G862" s="225"/>
      <c r="H862" s="220"/>
    </row>
    <row r="863" spans="6:8">
      <c r="F863" s="228"/>
      <c r="G863" s="225"/>
      <c r="H863" s="220"/>
    </row>
    <row r="864" spans="6:8">
      <c r="F864" s="228"/>
      <c r="G864" s="225"/>
      <c r="H864" s="220"/>
    </row>
    <row r="865" spans="6:8">
      <c r="F865" s="228"/>
      <c r="G865" s="225"/>
      <c r="H865" s="220"/>
    </row>
    <row r="866" spans="6:8">
      <c r="F866" s="228"/>
      <c r="G866" s="225"/>
      <c r="H866" s="220"/>
    </row>
    <row r="867" spans="6:8">
      <c r="F867" s="228"/>
      <c r="G867" s="225"/>
      <c r="H867" s="220"/>
    </row>
    <row r="868" spans="6:8">
      <c r="F868" s="228"/>
      <c r="G868" s="225"/>
      <c r="H868" s="220"/>
    </row>
    <row r="869" spans="6:8">
      <c r="F869" s="228"/>
      <c r="G869" s="225"/>
      <c r="H869" s="220"/>
    </row>
    <row r="870" spans="6:8">
      <c r="F870" s="228"/>
      <c r="G870" s="225"/>
      <c r="H870" s="220"/>
    </row>
    <row r="871" spans="6:8">
      <c r="F871" s="228"/>
      <c r="G871" s="225"/>
      <c r="H871" s="220"/>
    </row>
    <row r="872" spans="6:8">
      <c r="F872" s="228"/>
      <c r="G872" s="225"/>
      <c r="H872" s="220"/>
    </row>
    <row r="873" spans="6:8">
      <c r="F873" s="228"/>
      <c r="G873" s="225"/>
      <c r="H873" s="220"/>
    </row>
    <row r="874" spans="6:8">
      <c r="F874" s="228"/>
      <c r="G874" s="225"/>
      <c r="H874" s="220"/>
    </row>
    <row r="875" spans="6:8">
      <c r="F875" s="228"/>
      <c r="G875" s="225"/>
      <c r="H875" s="220"/>
    </row>
    <row r="876" spans="6:8">
      <c r="F876" s="228"/>
      <c r="G876" s="225"/>
      <c r="H876" s="220"/>
    </row>
    <row r="877" spans="6:8">
      <c r="F877" s="228"/>
      <c r="G877" s="225"/>
      <c r="H877" s="220"/>
    </row>
    <row r="878" spans="6:8">
      <c r="F878" s="228"/>
      <c r="G878" s="225"/>
      <c r="H878" s="220"/>
    </row>
    <row r="879" spans="6:8">
      <c r="F879" s="228"/>
      <c r="G879" s="225"/>
      <c r="H879" s="220"/>
    </row>
    <row r="880" spans="6:8">
      <c r="F880" s="228"/>
      <c r="G880" s="225"/>
      <c r="H880" s="220"/>
    </row>
    <row r="881" spans="6:8">
      <c r="F881" s="228"/>
      <c r="G881" s="225"/>
      <c r="H881" s="220"/>
    </row>
    <row r="882" spans="6:8">
      <c r="F882" s="228"/>
      <c r="G882" s="225"/>
      <c r="H882" s="220"/>
    </row>
    <row r="883" spans="6:8">
      <c r="F883" s="228"/>
      <c r="G883" s="225"/>
      <c r="H883" s="220"/>
    </row>
    <row r="884" spans="6:8">
      <c r="F884" s="228"/>
      <c r="G884" s="225"/>
      <c r="H884" s="220"/>
    </row>
    <row r="885" spans="6:8">
      <c r="F885" s="228"/>
      <c r="G885" s="225"/>
      <c r="H885" s="220"/>
    </row>
    <row r="886" spans="6:8">
      <c r="F886" s="228"/>
      <c r="G886" s="225"/>
      <c r="H886" s="220"/>
    </row>
    <row r="887" spans="6:8">
      <c r="F887" s="228"/>
      <c r="G887" s="225"/>
      <c r="H887" s="220"/>
    </row>
    <row r="888" spans="6:8">
      <c r="F888" s="228"/>
      <c r="G888" s="225"/>
      <c r="H888" s="220"/>
    </row>
    <row r="889" spans="6:8">
      <c r="F889" s="228"/>
      <c r="G889" s="225"/>
      <c r="H889" s="220"/>
    </row>
    <row r="890" spans="6:8">
      <c r="F890" s="228"/>
      <c r="G890" s="225"/>
      <c r="H890" s="220"/>
    </row>
    <row r="891" spans="6:8">
      <c r="F891" s="228"/>
      <c r="G891" s="225"/>
      <c r="H891" s="220"/>
    </row>
    <row r="892" spans="6:8">
      <c r="F892" s="228"/>
      <c r="G892" s="225"/>
      <c r="H892" s="220"/>
    </row>
    <row r="893" spans="6:8">
      <c r="F893" s="228"/>
      <c r="G893" s="225"/>
      <c r="H893" s="220"/>
    </row>
    <row r="894" spans="6:8">
      <c r="F894" s="228"/>
      <c r="G894" s="225"/>
      <c r="H894" s="220"/>
    </row>
    <row r="895" spans="6:8">
      <c r="F895" s="228"/>
      <c r="G895" s="225"/>
      <c r="H895" s="220"/>
    </row>
    <row r="896" spans="6:8">
      <c r="F896" s="228"/>
      <c r="G896" s="225"/>
      <c r="H896" s="220"/>
    </row>
    <row r="897" spans="6:8">
      <c r="F897" s="228"/>
      <c r="G897" s="225"/>
      <c r="H897" s="220"/>
    </row>
    <row r="898" spans="6:8">
      <c r="F898" s="228"/>
      <c r="G898" s="225"/>
      <c r="H898" s="220"/>
    </row>
    <row r="899" spans="6:8">
      <c r="F899" s="228"/>
      <c r="G899" s="225"/>
      <c r="H899" s="220"/>
    </row>
    <row r="900" spans="6:8">
      <c r="F900" s="228"/>
      <c r="G900" s="225"/>
      <c r="H900" s="220"/>
    </row>
    <row r="901" spans="6:8">
      <c r="F901" s="228"/>
      <c r="G901" s="225"/>
      <c r="H901" s="220"/>
    </row>
    <row r="902" spans="6:8">
      <c r="F902" s="228"/>
      <c r="G902" s="225"/>
      <c r="H902" s="220"/>
    </row>
    <row r="903" spans="6:8">
      <c r="F903" s="228"/>
      <c r="G903" s="225"/>
      <c r="H903" s="220"/>
    </row>
    <row r="904" spans="6:8">
      <c r="F904" s="228"/>
      <c r="G904" s="225"/>
      <c r="H904" s="220"/>
    </row>
    <row r="905" spans="6:8">
      <c r="F905" s="228"/>
      <c r="G905" s="225"/>
      <c r="H905" s="220"/>
    </row>
    <row r="906" spans="6:8">
      <c r="F906" s="228"/>
      <c r="G906" s="225"/>
      <c r="H906" s="220"/>
    </row>
    <row r="907" spans="6:8">
      <c r="F907" s="228"/>
      <c r="G907" s="225"/>
      <c r="H907" s="220"/>
    </row>
    <row r="908" spans="6:8">
      <c r="F908" s="228"/>
      <c r="G908" s="225"/>
      <c r="H908" s="220"/>
    </row>
    <row r="909" spans="6:8">
      <c r="F909" s="228"/>
      <c r="G909" s="225"/>
      <c r="H909" s="220"/>
    </row>
    <row r="910" spans="6:8">
      <c r="F910" s="228"/>
      <c r="G910" s="225"/>
      <c r="H910" s="220"/>
    </row>
    <row r="911" spans="6:8">
      <c r="F911" s="228"/>
      <c r="G911" s="225"/>
      <c r="H911" s="220"/>
    </row>
    <row r="912" spans="6:8">
      <c r="F912" s="228"/>
      <c r="G912" s="225"/>
      <c r="H912" s="220"/>
    </row>
    <row r="913" spans="6:8">
      <c r="F913" s="228"/>
      <c r="G913" s="225"/>
      <c r="H913" s="220"/>
    </row>
    <row r="914" spans="6:8">
      <c r="F914" s="228"/>
      <c r="G914" s="225"/>
      <c r="H914" s="220"/>
    </row>
    <row r="915" spans="6:8">
      <c r="F915" s="228"/>
      <c r="G915" s="225"/>
      <c r="H915" s="220"/>
    </row>
    <row r="916" spans="6:8">
      <c r="F916" s="228"/>
      <c r="G916" s="225"/>
      <c r="H916" s="220"/>
    </row>
    <row r="917" spans="6:8">
      <c r="F917" s="228"/>
      <c r="G917" s="225"/>
      <c r="H917" s="220"/>
    </row>
    <row r="918" spans="6:8">
      <c r="F918" s="228"/>
      <c r="G918" s="225"/>
      <c r="H918" s="220"/>
    </row>
    <row r="919" spans="6:8">
      <c r="F919" s="228"/>
      <c r="G919" s="225"/>
      <c r="H919" s="220"/>
    </row>
    <row r="920" spans="6:8">
      <c r="F920" s="228"/>
      <c r="G920" s="225"/>
      <c r="H920" s="220"/>
    </row>
    <row r="921" spans="6:8">
      <c r="F921" s="228"/>
      <c r="G921" s="225"/>
      <c r="H921" s="220"/>
    </row>
    <row r="922" spans="6:8">
      <c r="F922" s="228"/>
      <c r="G922" s="225"/>
      <c r="H922" s="220"/>
    </row>
    <row r="923" spans="6:8">
      <c r="F923" s="228"/>
      <c r="G923" s="225"/>
      <c r="H923" s="220"/>
    </row>
    <row r="924" spans="6:8">
      <c r="F924" s="228"/>
      <c r="G924" s="225"/>
      <c r="H924" s="220"/>
    </row>
    <row r="925" spans="6:8">
      <c r="F925" s="228"/>
      <c r="G925" s="225"/>
      <c r="H925" s="220"/>
    </row>
    <row r="926" spans="6:8">
      <c r="F926" s="228"/>
      <c r="G926" s="225"/>
      <c r="H926" s="220"/>
    </row>
    <row r="927" spans="6:8">
      <c r="F927" s="228"/>
      <c r="G927" s="225"/>
      <c r="H927" s="220"/>
    </row>
    <row r="928" spans="6:8">
      <c r="F928" s="228"/>
      <c r="G928" s="225"/>
      <c r="H928" s="220"/>
    </row>
    <row r="929" spans="6:8">
      <c r="F929" s="228"/>
      <c r="G929" s="225"/>
      <c r="H929" s="220"/>
    </row>
    <row r="930" spans="6:8">
      <c r="F930" s="228"/>
      <c r="G930" s="225"/>
      <c r="H930" s="220"/>
    </row>
    <row r="931" spans="6:8">
      <c r="F931" s="228"/>
      <c r="G931" s="225"/>
      <c r="H931" s="220"/>
    </row>
    <row r="932" spans="6:8">
      <c r="F932" s="228"/>
      <c r="G932" s="225"/>
      <c r="H932" s="220"/>
    </row>
    <row r="933" spans="6:8">
      <c r="F933" s="228"/>
      <c r="G933" s="225"/>
      <c r="H933" s="220"/>
    </row>
    <row r="934" spans="6:8">
      <c r="F934" s="228"/>
      <c r="G934" s="225"/>
      <c r="H934" s="220"/>
    </row>
    <row r="935" spans="6:8">
      <c r="F935" s="228"/>
      <c r="G935" s="225"/>
      <c r="H935" s="220"/>
    </row>
    <row r="936" spans="6:8">
      <c r="F936" s="228"/>
      <c r="G936" s="225"/>
      <c r="H936" s="220"/>
    </row>
    <row r="937" spans="6:8">
      <c r="F937" s="228"/>
      <c r="G937" s="225"/>
      <c r="H937" s="220"/>
    </row>
    <row r="938" spans="6:8">
      <c r="F938" s="228"/>
      <c r="G938" s="225"/>
      <c r="H938" s="220"/>
    </row>
    <row r="939" spans="6:8">
      <c r="F939" s="228"/>
      <c r="G939" s="225"/>
      <c r="H939" s="220"/>
    </row>
    <row r="940" spans="6:8">
      <c r="F940" s="228"/>
      <c r="G940" s="225"/>
      <c r="H940" s="220"/>
    </row>
    <row r="941" spans="6:8">
      <c r="F941" s="228"/>
      <c r="G941" s="225"/>
      <c r="H941" s="220"/>
    </row>
    <row r="942" spans="6:8">
      <c r="F942" s="228"/>
      <c r="G942" s="225"/>
      <c r="H942" s="220"/>
    </row>
    <row r="943" spans="6:8">
      <c r="F943" s="228"/>
      <c r="G943" s="225"/>
      <c r="H943" s="220"/>
    </row>
    <row r="944" spans="6:8">
      <c r="F944" s="228"/>
      <c r="G944" s="225"/>
      <c r="H944" s="220"/>
    </row>
    <row r="945" spans="6:8">
      <c r="F945" s="228"/>
      <c r="G945" s="225"/>
      <c r="H945" s="220"/>
    </row>
    <row r="946" spans="6:8">
      <c r="F946" s="228"/>
      <c r="G946" s="225"/>
      <c r="H946" s="220"/>
    </row>
    <row r="947" spans="6:8">
      <c r="F947" s="228"/>
      <c r="G947" s="225"/>
      <c r="H947" s="220"/>
    </row>
    <row r="948" spans="6:8">
      <c r="F948" s="228"/>
      <c r="G948" s="225"/>
      <c r="H948" s="220"/>
    </row>
    <row r="949" spans="6:8">
      <c r="F949" s="228"/>
      <c r="G949" s="225"/>
      <c r="H949" s="220"/>
    </row>
    <row r="950" spans="6:8">
      <c r="F950" s="228"/>
      <c r="G950" s="225"/>
      <c r="H950" s="220"/>
    </row>
    <row r="951" spans="6:8">
      <c r="F951" s="228"/>
      <c r="G951" s="225"/>
      <c r="H951" s="220"/>
    </row>
    <row r="952" spans="6:8">
      <c r="F952" s="228"/>
      <c r="G952" s="225"/>
      <c r="H952" s="220"/>
    </row>
    <row r="953" spans="6:8">
      <c r="F953" s="228"/>
      <c r="G953" s="225"/>
      <c r="H953" s="220"/>
    </row>
    <row r="954" spans="6:8">
      <c r="F954" s="228"/>
      <c r="G954" s="225"/>
      <c r="H954" s="220"/>
    </row>
    <row r="955" spans="6:8">
      <c r="F955" s="228"/>
      <c r="G955" s="225"/>
      <c r="H955" s="220"/>
    </row>
    <row r="956" spans="6:8">
      <c r="F956" s="228"/>
      <c r="G956" s="225"/>
      <c r="H956" s="220"/>
    </row>
    <row r="957" spans="6:8">
      <c r="F957" s="228"/>
      <c r="G957" s="225"/>
      <c r="H957" s="220"/>
    </row>
    <row r="958" spans="6:8">
      <c r="F958" s="228"/>
      <c r="G958" s="225"/>
      <c r="H958" s="220"/>
    </row>
    <row r="959" spans="6:8">
      <c r="F959" s="228"/>
      <c r="G959" s="225"/>
      <c r="H959" s="220"/>
    </row>
    <row r="960" spans="6:8">
      <c r="F960" s="228"/>
      <c r="G960" s="225"/>
      <c r="H960" s="220"/>
    </row>
    <row r="961" spans="6:8">
      <c r="F961" s="228"/>
      <c r="G961" s="225"/>
      <c r="H961" s="220"/>
    </row>
    <row r="962" spans="6:8">
      <c r="F962" s="228"/>
      <c r="G962" s="225"/>
      <c r="H962" s="220"/>
    </row>
    <row r="963" spans="6:8">
      <c r="F963" s="228"/>
      <c r="G963" s="225"/>
      <c r="H963" s="220"/>
    </row>
    <row r="964" spans="6:8">
      <c r="F964" s="228"/>
      <c r="G964" s="225"/>
      <c r="H964" s="220"/>
    </row>
    <row r="965" spans="6:8">
      <c r="F965" s="228"/>
      <c r="G965" s="225"/>
      <c r="H965" s="220"/>
    </row>
    <row r="966" spans="6:8">
      <c r="F966" s="228"/>
      <c r="G966" s="225"/>
      <c r="H966" s="220"/>
    </row>
    <row r="967" spans="6:8">
      <c r="F967" s="228"/>
      <c r="G967" s="225"/>
      <c r="H967" s="220"/>
    </row>
    <row r="968" spans="6:8">
      <c r="F968" s="228"/>
      <c r="G968" s="225"/>
      <c r="H968" s="220"/>
    </row>
    <row r="969" spans="6:8">
      <c r="F969" s="228"/>
      <c r="G969" s="225"/>
      <c r="H969" s="220"/>
    </row>
    <row r="970" spans="6:8">
      <c r="F970" s="228"/>
      <c r="G970" s="225"/>
      <c r="H970" s="220"/>
    </row>
    <row r="971" spans="6:8">
      <c r="F971" s="228"/>
      <c r="G971" s="225"/>
      <c r="H971" s="220"/>
    </row>
    <row r="972" spans="6:8">
      <c r="F972" s="228"/>
      <c r="G972" s="225"/>
      <c r="H972" s="220"/>
    </row>
    <row r="973" spans="6:8">
      <c r="F973" s="228"/>
      <c r="G973" s="225"/>
      <c r="H973" s="220"/>
    </row>
    <row r="974" spans="6:8">
      <c r="F974" s="228"/>
      <c r="G974" s="225"/>
      <c r="H974" s="220"/>
    </row>
    <row r="975" spans="6:8">
      <c r="F975" s="228"/>
      <c r="G975" s="225"/>
      <c r="H975" s="220"/>
    </row>
    <row r="976" spans="6:8">
      <c r="F976" s="228"/>
      <c r="G976" s="225"/>
      <c r="H976" s="220"/>
    </row>
    <row r="977" spans="6:8">
      <c r="F977" s="228"/>
      <c r="G977" s="225"/>
      <c r="H977" s="220"/>
    </row>
    <row r="978" spans="6:8">
      <c r="F978" s="228"/>
      <c r="G978" s="225"/>
      <c r="H978" s="220"/>
    </row>
    <row r="979" spans="6:8">
      <c r="F979" s="228"/>
      <c r="G979" s="225"/>
      <c r="H979" s="220"/>
    </row>
    <row r="980" spans="6:8">
      <c r="F980" s="228"/>
      <c r="G980" s="225"/>
      <c r="H980" s="220"/>
    </row>
    <row r="981" spans="6:8">
      <c r="F981" s="228"/>
      <c r="G981" s="225"/>
      <c r="H981" s="220"/>
    </row>
    <row r="982" spans="6:8">
      <c r="F982" s="228"/>
      <c r="G982" s="225"/>
      <c r="H982" s="220"/>
    </row>
    <row r="983" spans="6:8">
      <c r="F983" s="228"/>
      <c r="G983" s="225"/>
      <c r="H983" s="220"/>
    </row>
    <row r="984" spans="6:8">
      <c r="F984" s="228"/>
      <c r="G984" s="225"/>
      <c r="H984" s="220"/>
    </row>
    <row r="985" spans="6:8">
      <c r="F985" s="228"/>
      <c r="G985" s="225"/>
      <c r="H985" s="220"/>
    </row>
    <row r="986" spans="6:8">
      <c r="F986" s="228"/>
      <c r="G986" s="225"/>
      <c r="H986" s="220"/>
    </row>
    <row r="987" spans="6:8">
      <c r="F987" s="228"/>
      <c r="G987" s="225"/>
      <c r="H987" s="220"/>
    </row>
    <row r="988" spans="6:8">
      <c r="F988" s="228"/>
      <c r="G988" s="225"/>
      <c r="H988" s="220"/>
    </row>
    <row r="989" spans="6:8">
      <c r="F989" s="228"/>
      <c r="G989" s="225"/>
      <c r="H989" s="220"/>
    </row>
    <row r="990" spans="6:8">
      <c r="F990" s="228"/>
      <c r="G990" s="225"/>
      <c r="H990" s="220"/>
    </row>
    <row r="991" spans="6:8">
      <c r="F991" s="228"/>
      <c r="G991" s="225"/>
      <c r="H991" s="220"/>
    </row>
    <row r="992" spans="6:8">
      <c r="F992" s="228"/>
      <c r="G992" s="225"/>
      <c r="H992" s="220"/>
    </row>
    <row r="993" spans="6:8">
      <c r="F993" s="228"/>
      <c r="G993" s="225"/>
      <c r="H993" s="220"/>
    </row>
    <row r="994" spans="6:8">
      <c r="F994" s="228"/>
      <c r="G994" s="225"/>
      <c r="H994" s="220"/>
    </row>
    <row r="995" spans="6:8">
      <c r="F995" s="228"/>
      <c r="G995" s="225"/>
      <c r="H995" s="220"/>
    </row>
    <row r="996" spans="6:8">
      <c r="F996" s="228"/>
      <c r="G996" s="225"/>
      <c r="H996" s="220"/>
    </row>
    <row r="997" spans="6:8">
      <c r="F997" s="228"/>
      <c r="G997" s="225"/>
      <c r="H997" s="220"/>
    </row>
    <row r="998" spans="6:8">
      <c r="F998" s="228"/>
      <c r="G998" s="225"/>
      <c r="H998" s="220"/>
    </row>
    <row r="999" spans="6:8">
      <c r="F999" s="228"/>
      <c r="G999" s="225"/>
      <c r="H999" s="220"/>
    </row>
    <row r="1000" spans="6:8">
      <c r="F1000" s="228"/>
      <c r="G1000" s="225"/>
      <c r="H1000" s="220"/>
    </row>
    <row r="1001" spans="6:8">
      <c r="F1001" s="228"/>
      <c r="G1001" s="225"/>
      <c r="H1001" s="220"/>
    </row>
    <row r="1002" spans="6:8">
      <c r="F1002" s="228"/>
      <c r="G1002" s="225"/>
      <c r="H1002" s="220"/>
    </row>
    <row r="1003" spans="6:8">
      <c r="F1003" s="228"/>
      <c r="G1003" s="225"/>
      <c r="H1003" s="220"/>
    </row>
    <row r="1004" spans="6:8">
      <c r="F1004" s="228"/>
      <c r="G1004" s="225"/>
      <c r="H1004" s="220"/>
    </row>
    <row r="1005" spans="6:8">
      <c r="F1005" s="228"/>
      <c r="G1005" s="225"/>
      <c r="H1005" s="220"/>
    </row>
    <row r="1006" spans="6:8">
      <c r="F1006" s="228"/>
      <c r="G1006" s="225"/>
      <c r="H1006" s="220"/>
    </row>
    <row r="1007" spans="6:8">
      <c r="F1007" s="228"/>
      <c r="G1007" s="225"/>
      <c r="H1007" s="220"/>
    </row>
    <row r="1008" spans="6:8">
      <c r="F1008" s="228"/>
      <c r="G1008" s="225"/>
      <c r="H1008" s="220"/>
    </row>
    <row r="1009" spans="6:8">
      <c r="F1009" s="228"/>
      <c r="G1009" s="225"/>
      <c r="H1009" s="220"/>
    </row>
    <row r="1010" spans="6:8">
      <c r="F1010" s="228"/>
      <c r="G1010" s="225"/>
      <c r="H1010" s="220"/>
    </row>
    <row r="1011" spans="6:8">
      <c r="F1011" s="228"/>
      <c r="G1011" s="225"/>
      <c r="H1011" s="220"/>
    </row>
    <row r="1012" spans="6:8">
      <c r="F1012" s="228"/>
      <c r="G1012" s="225"/>
      <c r="H1012" s="220"/>
    </row>
    <row r="1013" spans="6:8">
      <c r="F1013" s="228"/>
      <c r="G1013" s="225"/>
      <c r="H1013" s="220"/>
    </row>
    <row r="1014" spans="6:8">
      <c r="F1014" s="228"/>
      <c r="G1014" s="225"/>
      <c r="H1014" s="220"/>
    </row>
    <row r="1015" spans="6:8">
      <c r="F1015" s="228"/>
      <c r="G1015" s="225"/>
      <c r="H1015" s="220"/>
    </row>
    <row r="1016" spans="6:8">
      <c r="F1016" s="228"/>
      <c r="G1016" s="225"/>
      <c r="H1016" s="220"/>
    </row>
    <row r="1017" spans="6:8">
      <c r="F1017" s="228"/>
      <c r="G1017" s="225"/>
      <c r="H1017" s="220"/>
    </row>
    <row r="1018" spans="6:8">
      <c r="F1018" s="228"/>
      <c r="G1018" s="225"/>
      <c r="H1018" s="220"/>
    </row>
    <row r="1019" spans="6:8">
      <c r="F1019" s="228"/>
      <c r="G1019" s="225"/>
      <c r="H1019" s="220"/>
    </row>
    <row r="1020" spans="6:8">
      <c r="F1020" s="228"/>
      <c r="G1020" s="225"/>
      <c r="H1020" s="220"/>
    </row>
    <row r="1021" spans="6:8">
      <c r="F1021" s="228"/>
      <c r="G1021" s="225"/>
      <c r="H1021" s="220"/>
    </row>
    <row r="1022" spans="6:8">
      <c r="F1022" s="228"/>
      <c r="G1022" s="225"/>
      <c r="H1022" s="220"/>
    </row>
    <row r="1023" spans="6:8">
      <c r="F1023" s="228"/>
      <c r="G1023" s="225"/>
      <c r="H1023" s="220"/>
    </row>
    <row r="1024" spans="6:8">
      <c r="F1024" s="228"/>
      <c r="G1024" s="225"/>
      <c r="H1024" s="220"/>
    </row>
    <row r="1025" spans="6:8">
      <c r="F1025" s="228"/>
      <c r="G1025" s="225"/>
      <c r="H1025" s="220"/>
    </row>
    <row r="1026" spans="6:8">
      <c r="F1026" s="228"/>
      <c r="G1026" s="225"/>
      <c r="H1026" s="220"/>
    </row>
    <row r="1027" spans="6:8">
      <c r="F1027" s="228"/>
      <c r="G1027" s="225"/>
      <c r="H1027" s="220"/>
    </row>
    <row r="1028" spans="6:8">
      <c r="F1028" s="228"/>
      <c r="G1028" s="225"/>
      <c r="H1028" s="220"/>
    </row>
    <row r="1029" spans="6:8">
      <c r="F1029" s="228"/>
      <c r="G1029" s="225"/>
      <c r="H1029" s="220"/>
    </row>
    <row r="1030" spans="6:8">
      <c r="F1030" s="228"/>
      <c r="G1030" s="225"/>
      <c r="H1030" s="220"/>
    </row>
    <row r="1031" spans="6:8">
      <c r="F1031" s="228"/>
      <c r="G1031" s="225"/>
      <c r="H1031" s="220"/>
    </row>
    <row r="1032" spans="6:8">
      <c r="F1032" s="228"/>
      <c r="G1032" s="225"/>
      <c r="H1032" s="220"/>
    </row>
    <row r="1033" spans="6:8">
      <c r="F1033" s="228"/>
      <c r="G1033" s="225"/>
      <c r="H1033" s="220"/>
    </row>
    <row r="1034" spans="6:8">
      <c r="F1034" s="228"/>
      <c r="G1034" s="225"/>
      <c r="H1034" s="220"/>
    </row>
    <row r="1035" spans="6:8">
      <c r="F1035" s="228"/>
      <c r="G1035" s="225"/>
      <c r="H1035" s="220"/>
    </row>
    <row r="1036" spans="6:8">
      <c r="F1036" s="228"/>
      <c r="G1036" s="225"/>
      <c r="H1036" s="220"/>
    </row>
    <row r="1037" spans="6:8">
      <c r="F1037" s="228"/>
      <c r="G1037" s="225"/>
      <c r="H1037" s="220"/>
    </row>
    <row r="1038" spans="6:8">
      <c r="F1038" s="228"/>
      <c r="G1038" s="225"/>
      <c r="H1038" s="220"/>
    </row>
    <row r="1039" spans="6:8">
      <c r="F1039" s="228"/>
      <c r="G1039" s="225"/>
      <c r="H1039" s="220"/>
    </row>
    <row r="1040" spans="6:8">
      <c r="F1040" s="228"/>
      <c r="G1040" s="225"/>
      <c r="H1040" s="220"/>
    </row>
    <row r="1041" spans="6:8">
      <c r="F1041" s="228"/>
      <c r="G1041" s="225"/>
      <c r="H1041" s="220"/>
    </row>
    <row r="1042" spans="6:8">
      <c r="F1042" s="228"/>
      <c r="G1042" s="225"/>
      <c r="H1042" s="220"/>
    </row>
    <row r="1043" spans="6:8">
      <c r="F1043" s="228"/>
      <c r="G1043" s="225"/>
      <c r="H1043" s="220"/>
    </row>
    <row r="1044" spans="6:8">
      <c r="F1044" s="228"/>
      <c r="G1044" s="225"/>
      <c r="H1044" s="220"/>
    </row>
    <row r="1045" spans="6:8">
      <c r="F1045" s="228"/>
      <c r="G1045" s="225"/>
      <c r="H1045" s="220"/>
    </row>
    <row r="1046" spans="6:8">
      <c r="F1046" s="228"/>
      <c r="G1046" s="225"/>
      <c r="H1046" s="220"/>
    </row>
    <row r="1047" spans="6:8">
      <c r="F1047" s="228"/>
      <c r="G1047" s="225"/>
      <c r="H1047" s="220"/>
    </row>
    <row r="1048" spans="6:8">
      <c r="F1048" s="228"/>
      <c r="G1048" s="225"/>
      <c r="H1048" s="220"/>
    </row>
    <row r="1049" spans="6:8">
      <c r="F1049" s="228"/>
      <c r="G1049" s="225"/>
      <c r="H1049" s="220"/>
    </row>
    <row r="1050" spans="6:8">
      <c r="F1050" s="228"/>
      <c r="G1050" s="225"/>
      <c r="H1050" s="220"/>
    </row>
    <row r="1051" spans="6:8">
      <c r="F1051" s="228"/>
      <c r="G1051" s="225"/>
      <c r="H1051" s="220"/>
    </row>
    <row r="1052" spans="6:8">
      <c r="F1052" s="228"/>
      <c r="G1052" s="225"/>
      <c r="H1052" s="220"/>
    </row>
    <row r="1053" spans="6:8">
      <c r="F1053" s="228"/>
      <c r="G1053" s="225"/>
      <c r="H1053" s="220"/>
    </row>
    <row r="1054" spans="6:8">
      <c r="F1054" s="228"/>
      <c r="G1054" s="225"/>
      <c r="H1054" s="220"/>
    </row>
    <row r="1055" spans="6:8">
      <c r="F1055" s="228"/>
      <c r="G1055" s="225"/>
      <c r="H1055" s="220"/>
    </row>
    <row r="1056" spans="6:8">
      <c r="F1056" s="228"/>
      <c r="G1056" s="225"/>
      <c r="H1056" s="220"/>
    </row>
    <row r="1057" spans="6:8">
      <c r="F1057" s="228"/>
      <c r="G1057" s="225"/>
      <c r="H1057" s="220"/>
    </row>
    <row r="1058" spans="6:8">
      <c r="F1058" s="228"/>
      <c r="G1058" s="225"/>
      <c r="H1058" s="220"/>
    </row>
    <row r="1059" spans="6:8">
      <c r="F1059" s="228"/>
      <c r="G1059" s="225"/>
      <c r="H1059" s="220"/>
    </row>
    <row r="1060" spans="6:8">
      <c r="F1060" s="228"/>
      <c r="G1060" s="225"/>
      <c r="H1060" s="220"/>
    </row>
    <row r="1061" spans="6:8">
      <c r="F1061" s="228"/>
      <c r="G1061" s="225"/>
      <c r="H1061" s="220"/>
    </row>
    <row r="1062" spans="6:8">
      <c r="F1062" s="228"/>
      <c r="G1062" s="225"/>
      <c r="H1062" s="220"/>
    </row>
    <row r="1063" spans="6:8">
      <c r="F1063" s="228"/>
      <c r="G1063" s="225"/>
      <c r="H1063" s="220"/>
    </row>
    <row r="1064" spans="6:8">
      <c r="F1064" s="228"/>
      <c r="G1064" s="225"/>
      <c r="H1064" s="220"/>
    </row>
    <row r="1065" spans="6:8">
      <c r="F1065" s="228"/>
      <c r="G1065" s="225"/>
      <c r="H1065" s="220"/>
    </row>
    <row r="1066" spans="6:8">
      <c r="F1066" s="228"/>
      <c r="G1066" s="225"/>
      <c r="H1066" s="220"/>
    </row>
    <row r="1067" spans="6:8">
      <c r="F1067" s="228"/>
      <c r="G1067" s="225"/>
      <c r="H1067" s="220"/>
    </row>
    <row r="1068" spans="6:8">
      <c r="F1068" s="228"/>
      <c r="G1068" s="225"/>
      <c r="H1068" s="220"/>
    </row>
    <row r="1069" spans="6:8">
      <c r="F1069" s="228"/>
      <c r="G1069" s="225"/>
      <c r="H1069" s="220"/>
    </row>
    <row r="1070" spans="6:8">
      <c r="F1070" s="228"/>
      <c r="G1070" s="225"/>
      <c r="H1070" s="220"/>
    </row>
    <row r="1071" spans="6:8">
      <c r="F1071" s="228"/>
      <c r="G1071" s="225"/>
      <c r="H1071" s="220"/>
    </row>
    <row r="1072" spans="6:8">
      <c r="F1072" s="228"/>
      <c r="G1072" s="225"/>
      <c r="H1072" s="220"/>
    </row>
    <row r="1073" spans="6:8">
      <c r="F1073" s="228"/>
      <c r="G1073" s="225"/>
      <c r="H1073" s="220"/>
    </row>
    <row r="1074" spans="6:8">
      <c r="F1074" s="228"/>
      <c r="G1074" s="225"/>
      <c r="H1074" s="220"/>
    </row>
    <row r="1075" spans="6:8">
      <c r="F1075" s="228"/>
      <c r="G1075" s="225"/>
      <c r="H1075" s="220"/>
    </row>
    <row r="1076" spans="6:8">
      <c r="F1076" s="228"/>
      <c r="G1076" s="225"/>
      <c r="H1076" s="220"/>
    </row>
    <row r="1077" spans="6:8">
      <c r="F1077" s="228"/>
      <c r="G1077" s="225"/>
      <c r="H1077" s="220"/>
    </row>
    <row r="1078" spans="6:8">
      <c r="F1078" s="228"/>
      <c r="G1078" s="225"/>
      <c r="H1078" s="220"/>
    </row>
    <row r="1079" spans="6:8">
      <c r="F1079" s="228"/>
      <c r="G1079" s="225"/>
      <c r="H1079" s="220"/>
    </row>
    <row r="1080" spans="6:8">
      <c r="F1080" s="228"/>
      <c r="G1080" s="225"/>
      <c r="H1080" s="220"/>
    </row>
    <row r="1081" spans="6:8">
      <c r="F1081" s="228"/>
      <c r="G1081" s="225"/>
      <c r="H1081" s="220"/>
    </row>
    <row r="1082" spans="6:8">
      <c r="F1082" s="228"/>
      <c r="G1082" s="225"/>
      <c r="H1082" s="220"/>
    </row>
    <row r="1083" spans="6:8">
      <c r="F1083" s="228"/>
      <c r="G1083" s="225"/>
      <c r="H1083" s="220"/>
    </row>
    <row r="1084" spans="6:8">
      <c r="F1084" s="228"/>
      <c r="G1084" s="225"/>
      <c r="H1084" s="220"/>
    </row>
    <row r="1085" spans="6:8">
      <c r="F1085" s="228"/>
      <c r="G1085" s="225"/>
      <c r="H1085" s="220"/>
    </row>
    <row r="1086" spans="6:8">
      <c r="F1086" s="228"/>
      <c r="G1086" s="225"/>
      <c r="H1086" s="220"/>
    </row>
    <row r="1087" spans="6:8">
      <c r="F1087" s="228"/>
      <c r="G1087" s="225"/>
      <c r="H1087" s="220"/>
    </row>
    <row r="1088" spans="6:8">
      <c r="F1088" s="228"/>
      <c r="G1088" s="225"/>
      <c r="H1088" s="220"/>
    </row>
    <row r="1089" spans="6:8">
      <c r="F1089" s="228"/>
      <c r="G1089" s="225"/>
      <c r="H1089" s="220"/>
    </row>
    <row r="1090" spans="6:8">
      <c r="F1090" s="228"/>
      <c r="G1090" s="225"/>
      <c r="H1090" s="220"/>
    </row>
    <row r="1091" spans="6:8">
      <c r="F1091" s="228"/>
      <c r="G1091" s="225"/>
      <c r="H1091" s="220"/>
    </row>
    <row r="1092" spans="6:8">
      <c r="F1092" s="228"/>
      <c r="G1092" s="225"/>
      <c r="H1092" s="220"/>
    </row>
    <row r="1093" spans="6:8">
      <c r="F1093" s="228"/>
      <c r="G1093" s="225"/>
      <c r="H1093" s="220"/>
    </row>
    <row r="1094" spans="6:8">
      <c r="F1094" s="228"/>
      <c r="G1094" s="225"/>
      <c r="H1094" s="220"/>
    </row>
    <row r="1095" spans="6:8">
      <c r="F1095" s="228"/>
      <c r="G1095" s="225"/>
      <c r="H1095" s="220"/>
    </row>
    <row r="1096" spans="6:8">
      <c r="F1096" s="228"/>
      <c r="G1096" s="225"/>
      <c r="H1096" s="220"/>
    </row>
    <row r="1097" spans="6:8">
      <c r="F1097" s="228"/>
      <c r="G1097" s="225"/>
      <c r="H1097" s="220"/>
    </row>
    <row r="1098" spans="6:8">
      <c r="F1098" s="228"/>
      <c r="G1098" s="225"/>
      <c r="H1098" s="220"/>
    </row>
    <row r="1099" spans="6:8">
      <c r="F1099" s="228"/>
      <c r="G1099" s="225"/>
      <c r="H1099" s="220"/>
    </row>
    <row r="1100" spans="6:8">
      <c r="F1100" s="228"/>
      <c r="G1100" s="225"/>
      <c r="H1100" s="220"/>
    </row>
    <row r="1101" spans="6:8">
      <c r="F1101" s="228"/>
      <c r="G1101" s="225"/>
      <c r="H1101" s="220"/>
    </row>
    <row r="1102" spans="6:8">
      <c r="F1102" s="228"/>
      <c r="G1102" s="225"/>
      <c r="H1102" s="220"/>
    </row>
    <row r="1103" spans="6:8">
      <c r="F1103" s="228"/>
      <c r="G1103" s="225"/>
      <c r="H1103" s="220"/>
    </row>
    <row r="1104" spans="6:8">
      <c r="F1104" s="228"/>
      <c r="G1104" s="225"/>
      <c r="H1104" s="220"/>
    </row>
    <row r="1105" spans="6:8">
      <c r="F1105" s="228"/>
      <c r="G1105" s="225"/>
      <c r="H1105" s="220"/>
    </row>
    <row r="1106" spans="6:8">
      <c r="F1106" s="228"/>
      <c r="G1106" s="225"/>
      <c r="H1106" s="220"/>
    </row>
    <row r="1107" spans="6:8">
      <c r="F1107" s="228"/>
      <c r="G1107" s="225"/>
      <c r="H1107" s="220"/>
    </row>
    <row r="1108" spans="6:8">
      <c r="F1108" s="228"/>
      <c r="G1108" s="225"/>
      <c r="H1108" s="220"/>
    </row>
    <row r="1109" spans="6:8">
      <c r="F1109" s="228"/>
      <c r="G1109" s="225"/>
      <c r="H1109" s="220"/>
    </row>
    <row r="1110" spans="6:8">
      <c r="F1110" s="228"/>
      <c r="G1110" s="225"/>
      <c r="H1110" s="220"/>
    </row>
    <row r="1111" spans="6:8">
      <c r="F1111" s="228"/>
      <c r="G1111" s="225"/>
      <c r="H1111" s="220"/>
    </row>
    <row r="1112" spans="6:8">
      <c r="F1112" s="228"/>
      <c r="G1112" s="225"/>
      <c r="H1112" s="220"/>
    </row>
    <row r="1113" spans="6:8">
      <c r="F1113" s="228"/>
      <c r="G1113" s="225"/>
      <c r="H1113" s="220"/>
    </row>
    <row r="1114" spans="6:8">
      <c r="F1114" s="228"/>
      <c r="G1114" s="225"/>
      <c r="H1114" s="220"/>
    </row>
    <row r="1115" spans="6:8">
      <c r="F1115" s="228"/>
      <c r="G1115" s="225"/>
      <c r="H1115" s="220"/>
    </row>
    <row r="1116" spans="6:8">
      <c r="F1116" s="228"/>
      <c r="G1116" s="225"/>
      <c r="H1116" s="220"/>
    </row>
    <row r="1117" spans="6:8">
      <c r="F1117" s="228"/>
      <c r="G1117" s="225"/>
      <c r="H1117" s="220"/>
    </row>
    <row r="1118" spans="6:8">
      <c r="F1118" s="228"/>
      <c r="G1118" s="225"/>
      <c r="H1118" s="220"/>
    </row>
    <row r="1119" spans="6:8">
      <c r="F1119" s="228"/>
      <c r="G1119" s="225"/>
      <c r="H1119" s="220"/>
    </row>
    <row r="1120" spans="6:8">
      <c r="F1120" s="228"/>
      <c r="G1120" s="225"/>
      <c r="H1120" s="220"/>
    </row>
    <row r="1121" spans="6:8">
      <c r="F1121" s="228"/>
      <c r="G1121" s="225"/>
      <c r="H1121" s="220"/>
    </row>
    <row r="1122" spans="6:8">
      <c r="F1122" s="228"/>
      <c r="G1122" s="225"/>
      <c r="H1122" s="220"/>
    </row>
    <row r="1123" spans="6:8">
      <c r="F1123" s="228"/>
      <c r="G1123" s="225"/>
      <c r="H1123" s="220"/>
    </row>
    <row r="1124" spans="6:8">
      <c r="F1124" s="228"/>
      <c r="G1124" s="225"/>
      <c r="H1124" s="220"/>
    </row>
    <row r="1125" spans="6:8">
      <c r="F1125" s="228"/>
      <c r="G1125" s="225"/>
      <c r="H1125" s="220"/>
    </row>
    <row r="1126" spans="6:8">
      <c r="F1126" s="228"/>
      <c r="G1126" s="225"/>
      <c r="H1126" s="220"/>
    </row>
    <row r="1127" spans="6:8">
      <c r="F1127" s="228"/>
      <c r="G1127" s="225"/>
      <c r="H1127" s="220"/>
    </row>
    <row r="1128" spans="6:8">
      <c r="F1128" s="228"/>
      <c r="G1128" s="225"/>
      <c r="H1128" s="220"/>
    </row>
    <row r="1129" spans="6:8">
      <c r="F1129" s="228"/>
      <c r="G1129" s="225"/>
      <c r="H1129" s="220"/>
    </row>
    <row r="1130" spans="6:8">
      <c r="F1130" s="228"/>
      <c r="G1130" s="225"/>
      <c r="H1130" s="220"/>
    </row>
    <row r="1131" spans="6:8">
      <c r="F1131" s="228"/>
      <c r="G1131" s="225"/>
      <c r="H1131" s="220"/>
    </row>
    <row r="1132" spans="6:8">
      <c r="F1132" s="228"/>
      <c r="G1132" s="225"/>
      <c r="H1132" s="220"/>
    </row>
    <row r="1133" spans="6:8">
      <c r="F1133" s="228"/>
      <c r="G1133" s="225"/>
      <c r="H1133" s="220"/>
    </row>
    <row r="1134" spans="6:8">
      <c r="F1134" s="228"/>
      <c r="G1134" s="225"/>
      <c r="H1134" s="220"/>
    </row>
    <row r="1135" spans="6:8">
      <c r="F1135" s="228"/>
      <c r="G1135" s="225"/>
      <c r="H1135" s="220"/>
    </row>
    <row r="1136" spans="6:8">
      <c r="F1136" s="228"/>
      <c r="G1136" s="225"/>
      <c r="H1136" s="220"/>
    </row>
    <row r="1137" spans="6:8">
      <c r="F1137" s="228"/>
      <c r="G1137" s="225"/>
      <c r="H1137" s="220"/>
    </row>
    <row r="1138" spans="6:8">
      <c r="F1138" s="228"/>
      <c r="G1138" s="225"/>
      <c r="H1138" s="220"/>
    </row>
    <row r="1139" spans="6:8">
      <c r="F1139" s="228"/>
      <c r="G1139" s="225"/>
      <c r="H1139" s="220"/>
    </row>
    <row r="1140" spans="6:8">
      <c r="F1140" s="228"/>
      <c r="G1140" s="225"/>
      <c r="H1140" s="220"/>
    </row>
    <row r="1141" spans="6:8">
      <c r="F1141" s="228"/>
      <c r="G1141" s="225"/>
      <c r="H1141" s="220"/>
    </row>
    <row r="1142" spans="6:8">
      <c r="F1142" s="228"/>
      <c r="G1142" s="225"/>
      <c r="H1142" s="220"/>
    </row>
    <row r="1143" spans="6:8">
      <c r="F1143" s="228"/>
      <c r="G1143" s="225"/>
      <c r="H1143" s="220"/>
    </row>
    <row r="1144" spans="6:8">
      <c r="F1144" s="228"/>
      <c r="G1144" s="225"/>
      <c r="H1144" s="220"/>
    </row>
    <row r="1145" spans="6:8">
      <c r="F1145" s="228"/>
      <c r="G1145" s="225"/>
      <c r="H1145" s="220"/>
    </row>
    <row r="1146" spans="6:8">
      <c r="F1146" s="228"/>
      <c r="G1146" s="225"/>
      <c r="H1146" s="220"/>
    </row>
    <row r="1147" spans="6:8">
      <c r="F1147" s="228"/>
      <c r="G1147" s="225"/>
      <c r="H1147" s="220"/>
    </row>
    <row r="1148" spans="6:8">
      <c r="F1148" s="228"/>
      <c r="G1148" s="225"/>
      <c r="H1148" s="220"/>
    </row>
    <row r="1149" spans="6:8">
      <c r="F1149" s="228"/>
      <c r="G1149" s="225"/>
      <c r="H1149" s="220"/>
    </row>
    <row r="1150" spans="6:8">
      <c r="F1150" s="228"/>
      <c r="G1150" s="225"/>
      <c r="H1150" s="220"/>
    </row>
    <row r="1151" spans="6:8">
      <c r="F1151" s="228"/>
      <c r="G1151" s="225"/>
      <c r="H1151" s="220"/>
    </row>
    <row r="1152" spans="6:8">
      <c r="F1152" s="228"/>
      <c r="G1152" s="225"/>
      <c r="H1152" s="220"/>
    </row>
    <row r="1153" spans="6:8">
      <c r="F1153" s="228"/>
      <c r="G1153" s="225"/>
      <c r="H1153" s="220"/>
    </row>
    <row r="1154" spans="6:8">
      <c r="F1154" s="228"/>
      <c r="G1154" s="225"/>
      <c r="H1154" s="220"/>
    </row>
    <row r="1155" spans="6:8">
      <c r="F1155" s="228"/>
      <c r="G1155" s="225"/>
      <c r="H1155" s="220"/>
    </row>
    <row r="1156" spans="6:8">
      <c r="F1156" s="228"/>
      <c r="G1156" s="225"/>
      <c r="H1156" s="220"/>
    </row>
    <row r="1157" spans="6:8">
      <c r="F1157" s="228"/>
      <c r="G1157" s="225"/>
      <c r="H1157" s="220"/>
    </row>
    <row r="1158" spans="6:8">
      <c r="F1158" s="228"/>
      <c r="G1158" s="225"/>
      <c r="H1158" s="220"/>
    </row>
    <row r="1159" spans="6:8">
      <c r="F1159" s="228"/>
      <c r="G1159" s="225"/>
      <c r="H1159" s="220"/>
    </row>
    <row r="1160" spans="6:8">
      <c r="F1160" s="228"/>
      <c r="G1160" s="225"/>
      <c r="H1160" s="220"/>
    </row>
    <row r="1161" spans="6:8">
      <c r="F1161" s="228"/>
      <c r="G1161" s="225"/>
      <c r="H1161" s="220"/>
    </row>
    <row r="1162" spans="6:8">
      <c r="F1162" s="228"/>
      <c r="G1162" s="225"/>
      <c r="H1162" s="220"/>
    </row>
    <row r="1163" spans="6:8">
      <c r="F1163" s="228"/>
      <c r="G1163" s="225"/>
      <c r="H1163" s="220"/>
    </row>
    <row r="1164" spans="6:8">
      <c r="F1164" s="228"/>
      <c r="G1164" s="225"/>
      <c r="H1164" s="220"/>
    </row>
    <row r="1165" spans="6:8">
      <c r="F1165" s="228"/>
      <c r="G1165" s="225"/>
      <c r="H1165" s="220"/>
    </row>
    <row r="1166" spans="6:8">
      <c r="F1166" s="228"/>
      <c r="G1166" s="225"/>
      <c r="H1166" s="220"/>
    </row>
    <row r="1167" spans="6:8">
      <c r="F1167" s="228"/>
      <c r="G1167" s="225"/>
      <c r="H1167" s="220"/>
    </row>
    <row r="1168" spans="6:8">
      <c r="F1168" s="228"/>
      <c r="G1168" s="225"/>
      <c r="H1168" s="220"/>
    </row>
    <row r="1169" spans="6:8">
      <c r="F1169" s="228"/>
      <c r="G1169" s="225"/>
      <c r="H1169" s="220"/>
    </row>
    <row r="1170" spans="6:8">
      <c r="F1170" s="228"/>
      <c r="G1170" s="225"/>
      <c r="H1170" s="220"/>
    </row>
    <row r="1171" spans="6:8">
      <c r="F1171" s="228"/>
      <c r="G1171" s="225"/>
      <c r="H1171" s="220"/>
    </row>
    <row r="1172" spans="6:8">
      <c r="F1172" s="228"/>
      <c r="G1172" s="225"/>
      <c r="H1172" s="220"/>
    </row>
    <row r="1173" spans="6:8">
      <c r="F1173" s="228"/>
      <c r="G1173" s="225"/>
      <c r="H1173" s="220"/>
    </row>
    <row r="1174" spans="6:8">
      <c r="F1174" s="228"/>
      <c r="G1174" s="225"/>
      <c r="H1174" s="220"/>
    </row>
    <row r="1175" spans="6:8">
      <c r="F1175" s="228"/>
      <c r="G1175" s="225"/>
      <c r="H1175" s="220"/>
    </row>
    <row r="1176" spans="6:8">
      <c r="F1176" s="228"/>
      <c r="G1176" s="225"/>
      <c r="H1176" s="220"/>
    </row>
    <row r="1177" spans="6:8">
      <c r="F1177" s="228"/>
      <c r="G1177" s="225"/>
      <c r="H1177" s="220"/>
    </row>
    <row r="1178" spans="6:8">
      <c r="F1178" s="228"/>
      <c r="G1178" s="225"/>
      <c r="H1178" s="220"/>
    </row>
    <row r="1179" spans="6:8">
      <c r="F1179" s="228"/>
      <c r="G1179" s="225"/>
      <c r="H1179" s="220"/>
    </row>
    <row r="1180" spans="6:8">
      <c r="F1180" s="228"/>
      <c r="G1180" s="225"/>
      <c r="H1180" s="220"/>
    </row>
    <row r="1181" spans="6:8">
      <c r="F1181" s="228"/>
      <c r="G1181" s="225"/>
      <c r="H1181" s="220"/>
    </row>
    <row r="1182" spans="6:8">
      <c r="F1182" s="228"/>
      <c r="G1182" s="225"/>
      <c r="H1182" s="220"/>
    </row>
    <row r="1183" spans="6:8">
      <c r="F1183" s="228"/>
      <c r="G1183" s="225"/>
      <c r="H1183" s="220"/>
    </row>
    <row r="1184" spans="6:8">
      <c r="F1184" s="228"/>
      <c r="G1184" s="225"/>
      <c r="H1184" s="220"/>
    </row>
    <row r="1185" spans="6:8">
      <c r="F1185" s="228"/>
      <c r="G1185" s="225"/>
      <c r="H1185" s="220"/>
    </row>
    <row r="1186" spans="6:8">
      <c r="F1186" s="228"/>
      <c r="G1186" s="225"/>
      <c r="H1186" s="220"/>
    </row>
    <row r="1187" spans="6:8">
      <c r="F1187" s="228"/>
      <c r="G1187" s="225"/>
      <c r="H1187" s="220"/>
    </row>
    <row r="1188" spans="6:8">
      <c r="F1188" s="228"/>
      <c r="G1188" s="225"/>
      <c r="H1188" s="220"/>
    </row>
    <row r="1189" spans="6:8">
      <c r="F1189" s="228"/>
      <c r="G1189" s="225"/>
      <c r="H1189" s="220"/>
    </row>
    <row r="1190" spans="6:8">
      <c r="F1190" s="228"/>
      <c r="G1190" s="225"/>
      <c r="H1190" s="220"/>
    </row>
    <row r="1191" spans="6:8">
      <c r="F1191" s="228"/>
      <c r="G1191" s="225"/>
      <c r="H1191" s="220"/>
    </row>
    <row r="1192" spans="6:8">
      <c r="F1192" s="228"/>
      <c r="G1192" s="225"/>
      <c r="H1192" s="220"/>
    </row>
    <row r="1193" spans="6:8">
      <c r="F1193" s="228"/>
      <c r="G1193" s="225"/>
      <c r="H1193" s="220"/>
    </row>
    <row r="1194" spans="6:8">
      <c r="F1194" s="228"/>
      <c r="G1194" s="225"/>
      <c r="H1194" s="220"/>
    </row>
    <row r="1195" spans="6:8">
      <c r="F1195" s="228"/>
      <c r="G1195" s="225"/>
      <c r="H1195" s="220"/>
    </row>
    <row r="1196" spans="6:8">
      <c r="F1196" s="228"/>
      <c r="G1196" s="225"/>
      <c r="H1196" s="220"/>
    </row>
    <row r="1197" spans="6:8">
      <c r="F1197" s="228"/>
      <c r="G1197" s="225"/>
      <c r="H1197" s="220"/>
    </row>
    <row r="1198" spans="6:8">
      <c r="F1198" s="228"/>
      <c r="G1198" s="225"/>
      <c r="H1198" s="220"/>
    </row>
    <row r="1199" spans="6:8">
      <c r="F1199" s="228"/>
      <c r="G1199" s="225"/>
      <c r="H1199" s="220"/>
    </row>
    <row r="1200" spans="6:8">
      <c r="F1200" s="228"/>
      <c r="G1200" s="225"/>
      <c r="H1200" s="220"/>
    </row>
    <row r="1201" spans="6:8">
      <c r="F1201" s="228"/>
      <c r="G1201" s="225"/>
      <c r="H1201" s="220"/>
    </row>
    <row r="1202" spans="6:8">
      <c r="F1202" s="228"/>
      <c r="G1202" s="225"/>
      <c r="H1202" s="220"/>
    </row>
    <row r="1203" spans="6:8">
      <c r="F1203" s="228"/>
      <c r="G1203" s="225"/>
      <c r="H1203" s="220"/>
    </row>
    <row r="1204" spans="6:8">
      <c r="F1204" s="228"/>
      <c r="G1204" s="225"/>
      <c r="H1204" s="220"/>
    </row>
    <row r="1205" spans="6:8">
      <c r="F1205" s="228"/>
      <c r="G1205" s="225"/>
      <c r="H1205" s="220"/>
    </row>
    <row r="1206" spans="6:8">
      <c r="F1206" s="228"/>
      <c r="G1206" s="225"/>
      <c r="H1206" s="220"/>
    </row>
    <row r="1207" spans="6:8">
      <c r="F1207" s="228"/>
      <c r="G1207" s="225"/>
      <c r="H1207" s="220"/>
    </row>
    <row r="1208" spans="6:8">
      <c r="F1208" s="228"/>
      <c r="G1208" s="225"/>
      <c r="H1208" s="220"/>
    </row>
    <row r="1209" spans="6:8">
      <c r="F1209" s="228"/>
      <c r="G1209" s="225"/>
      <c r="H1209" s="220"/>
    </row>
    <row r="1210" spans="6:8">
      <c r="F1210" s="228"/>
      <c r="G1210" s="225"/>
      <c r="H1210" s="220"/>
    </row>
    <row r="1211" spans="6:8">
      <c r="F1211" s="228"/>
      <c r="G1211" s="225"/>
      <c r="H1211" s="220"/>
    </row>
    <row r="1212" spans="6:8">
      <c r="F1212" s="228"/>
      <c r="G1212" s="225"/>
      <c r="H1212" s="220"/>
    </row>
    <row r="1213" spans="6:8">
      <c r="F1213" s="228"/>
      <c r="G1213" s="225"/>
      <c r="H1213" s="220"/>
    </row>
    <row r="1214" spans="6:8">
      <c r="F1214" s="228"/>
      <c r="G1214" s="225"/>
      <c r="H1214" s="220"/>
    </row>
    <row r="1215" spans="6:8">
      <c r="F1215" s="228"/>
      <c r="G1215" s="225"/>
      <c r="H1215" s="220"/>
    </row>
    <row r="1216" spans="6:8">
      <c r="F1216" s="228"/>
      <c r="G1216" s="225"/>
      <c r="H1216" s="220"/>
    </row>
    <row r="1217" spans="6:8">
      <c r="F1217" s="228"/>
      <c r="G1217" s="225"/>
      <c r="H1217" s="220"/>
    </row>
    <row r="1218" spans="6:8">
      <c r="F1218" s="228"/>
      <c r="G1218" s="225"/>
      <c r="H1218" s="220"/>
    </row>
    <row r="1219" spans="6:8">
      <c r="F1219" s="228"/>
      <c r="G1219" s="225"/>
      <c r="H1219" s="220"/>
    </row>
    <row r="1220" spans="6:8">
      <c r="F1220" s="228"/>
      <c r="G1220" s="225"/>
      <c r="H1220" s="220"/>
    </row>
    <row r="1221" spans="6:8">
      <c r="F1221" s="228"/>
      <c r="G1221" s="225"/>
      <c r="H1221" s="220"/>
    </row>
    <row r="1222" spans="6:8">
      <c r="F1222" s="228"/>
      <c r="G1222" s="225"/>
      <c r="H1222" s="220"/>
    </row>
    <row r="1223" spans="6:8">
      <c r="F1223" s="228"/>
      <c r="G1223" s="225"/>
      <c r="H1223" s="220"/>
    </row>
    <row r="1224" spans="6:8">
      <c r="F1224" s="228"/>
      <c r="G1224" s="225"/>
      <c r="H1224" s="220"/>
    </row>
    <row r="1225" spans="6:8">
      <c r="F1225" s="228"/>
      <c r="G1225" s="225"/>
      <c r="H1225" s="220"/>
    </row>
    <row r="1226" spans="6:8">
      <c r="F1226" s="228"/>
      <c r="G1226" s="225"/>
      <c r="H1226" s="220"/>
    </row>
    <row r="1227" spans="6:8">
      <c r="F1227" s="228"/>
      <c r="G1227" s="225"/>
      <c r="H1227" s="220"/>
    </row>
    <row r="1228" spans="6:8">
      <c r="F1228" s="228"/>
      <c r="G1228" s="225"/>
      <c r="H1228" s="220"/>
    </row>
    <row r="1229" spans="6:8">
      <c r="F1229" s="228"/>
      <c r="G1229" s="225"/>
      <c r="H1229" s="220"/>
    </row>
    <row r="1230" spans="6:8">
      <c r="F1230" s="228"/>
      <c r="G1230" s="225"/>
      <c r="H1230" s="220"/>
    </row>
    <row r="1231" spans="6:8">
      <c r="F1231" s="228"/>
      <c r="G1231" s="225"/>
      <c r="H1231" s="220"/>
    </row>
    <row r="1232" spans="6:8">
      <c r="F1232" s="228"/>
      <c r="G1232" s="225"/>
      <c r="H1232" s="220"/>
    </row>
    <row r="1233" spans="6:8">
      <c r="F1233" s="228"/>
      <c r="G1233" s="225"/>
      <c r="H1233" s="220"/>
    </row>
    <row r="1234" spans="6:8">
      <c r="F1234" s="228"/>
      <c r="G1234" s="225"/>
      <c r="H1234" s="220"/>
    </row>
    <row r="1235" spans="6:8">
      <c r="F1235" s="228"/>
      <c r="G1235" s="225"/>
      <c r="H1235" s="220"/>
    </row>
    <row r="1236" spans="6:8">
      <c r="F1236" s="228"/>
      <c r="G1236" s="225"/>
      <c r="H1236" s="220"/>
    </row>
    <row r="1237" spans="6:8">
      <c r="F1237" s="228"/>
      <c r="G1237" s="225"/>
      <c r="H1237" s="220"/>
    </row>
    <row r="1238" spans="6:8">
      <c r="F1238" s="228"/>
      <c r="G1238" s="225"/>
      <c r="H1238" s="220"/>
    </row>
    <row r="1239" spans="6:8">
      <c r="F1239" s="228"/>
      <c r="G1239" s="225"/>
      <c r="H1239" s="220"/>
    </row>
    <row r="1240" spans="6:8">
      <c r="F1240" s="228"/>
      <c r="G1240" s="225"/>
      <c r="H1240" s="220"/>
    </row>
    <row r="1241" spans="6:8">
      <c r="F1241" s="228"/>
      <c r="G1241" s="225"/>
      <c r="H1241" s="220"/>
    </row>
    <row r="1242" spans="6:8">
      <c r="F1242" s="228"/>
      <c r="G1242" s="225"/>
      <c r="H1242" s="220"/>
    </row>
    <row r="1243" spans="6:8">
      <c r="F1243" s="228"/>
      <c r="G1243" s="225"/>
      <c r="H1243" s="220"/>
    </row>
    <row r="1244" spans="6:8">
      <c r="F1244" s="228"/>
      <c r="G1244" s="225"/>
      <c r="H1244" s="220"/>
    </row>
    <row r="1245" spans="6:8">
      <c r="F1245" s="228"/>
      <c r="G1245" s="225"/>
      <c r="H1245" s="220"/>
    </row>
    <row r="1246" spans="6:8">
      <c r="F1246" s="228"/>
      <c r="G1246" s="225"/>
      <c r="H1246" s="220"/>
    </row>
    <row r="1247" spans="6:8">
      <c r="F1247" s="228"/>
      <c r="G1247" s="225"/>
      <c r="H1247" s="220"/>
    </row>
    <row r="1248" spans="6:8">
      <c r="F1248" s="228"/>
      <c r="G1248" s="225"/>
      <c r="H1248" s="220"/>
    </row>
    <row r="1249" spans="6:8">
      <c r="F1249" s="228"/>
      <c r="G1249" s="225"/>
      <c r="H1249" s="220"/>
    </row>
    <row r="1250" spans="6:8">
      <c r="F1250" s="228"/>
      <c r="G1250" s="225"/>
      <c r="H1250" s="220"/>
    </row>
    <row r="1251" spans="6:8">
      <c r="F1251" s="228"/>
      <c r="G1251" s="225"/>
      <c r="H1251" s="220"/>
    </row>
    <row r="1252" spans="6:8">
      <c r="F1252" s="228"/>
      <c r="G1252" s="225"/>
      <c r="H1252" s="220"/>
    </row>
    <row r="1253" spans="6:8">
      <c r="F1253" s="228"/>
      <c r="G1253" s="225"/>
      <c r="H1253" s="220"/>
    </row>
    <row r="1254" spans="6:8">
      <c r="F1254" s="228"/>
      <c r="G1254" s="225"/>
      <c r="H1254" s="220"/>
    </row>
    <row r="1255" spans="6:8">
      <c r="F1255" s="228"/>
      <c r="G1255" s="225"/>
      <c r="H1255" s="220"/>
    </row>
    <row r="1256" spans="6:8">
      <c r="F1256" s="228"/>
      <c r="G1256" s="225"/>
      <c r="H1256" s="220"/>
    </row>
    <row r="1257" spans="6:8">
      <c r="F1257" s="228"/>
      <c r="G1257" s="225"/>
      <c r="H1257" s="220"/>
    </row>
    <row r="1258" spans="6:8">
      <c r="F1258" s="228"/>
      <c r="G1258" s="225"/>
      <c r="H1258" s="220"/>
    </row>
    <row r="1259" spans="6:8">
      <c r="F1259" s="228"/>
      <c r="G1259" s="225"/>
      <c r="H1259" s="220"/>
    </row>
    <row r="1260" spans="6:8">
      <c r="F1260" s="228"/>
      <c r="G1260" s="225"/>
      <c r="H1260" s="220"/>
    </row>
    <row r="1261" spans="6:8">
      <c r="F1261" s="228"/>
      <c r="G1261" s="225"/>
      <c r="H1261" s="220"/>
    </row>
    <row r="1262" spans="6:8">
      <c r="F1262" s="228"/>
      <c r="G1262" s="225"/>
      <c r="H1262" s="220"/>
    </row>
    <row r="1263" spans="6:8">
      <c r="F1263" s="228"/>
      <c r="G1263" s="225"/>
      <c r="H1263" s="220"/>
    </row>
    <row r="1264" spans="6:8">
      <c r="F1264" s="228"/>
      <c r="G1264" s="225"/>
      <c r="H1264" s="220"/>
    </row>
    <row r="1265" spans="6:8">
      <c r="F1265" s="228"/>
      <c r="G1265" s="225"/>
      <c r="H1265" s="220"/>
    </row>
    <row r="1266" spans="6:8">
      <c r="F1266" s="228"/>
      <c r="G1266" s="225"/>
      <c r="H1266" s="220"/>
    </row>
    <row r="1267" spans="6:8">
      <c r="F1267" s="228"/>
      <c r="G1267" s="225"/>
      <c r="H1267" s="220"/>
    </row>
    <row r="1268" spans="6:8">
      <c r="F1268" s="228"/>
      <c r="G1268" s="225"/>
      <c r="H1268" s="220"/>
    </row>
    <row r="1269" spans="6:8">
      <c r="F1269" s="228"/>
      <c r="G1269" s="225"/>
      <c r="H1269" s="220"/>
    </row>
    <row r="1270" spans="6:8">
      <c r="F1270" s="228"/>
      <c r="G1270" s="225"/>
      <c r="H1270" s="220"/>
    </row>
    <row r="1271" spans="6:8">
      <c r="F1271" s="228"/>
      <c r="G1271" s="225"/>
      <c r="H1271" s="220"/>
    </row>
    <row r="1272" spans="6:8">
      <c r="F1272" s="228"/>
      <c r="G1272" s="225"/>
      <c r="H1272" s="220"/>
    </row>
    <row r="1273" spans="6:8">
      <c r="F1273" s="228"/>
      <c r="G1273" s="225"/>
      <c r="H1273" s="220"/>
    </row>
    <row r="1274" spans="6:8">
      <c r="F1274" s="228"/>
      <c r="G1274" s="225"/>
      <c r="H1274" s="220"/>
    </row>
    <row r="1275" spans="6:8">
      <c r="F1275" s="228"/>
      <c r="G1275" s="225"/>
      <c r="H1275" s="220"/>
    </row>
    <row r="1276" spans="6:8">
      <c r="F1276" s="228"/>
      <c r="G1276" s="225"/>
      <c r="H1276" s="220"/>
    </row>
    <row r="1277" spans="6:8">
      <c r="F1277" s="228"/>
      <c r="G1277" s="225"/>
      <c r="H1277" s="220"/>
    </row>
    <row r="1278" spans="6:8">
      <c r="F1278" s="228"/>
      <c r="G1278" s="225"/>
      <c r="H1278" s="220"/>
    </row>
    <row r="1279" spans="6:8">
      <c r="F1279" s="228"/>
      <c r="G1279" s="225"/>
      <c r="H1279" s="220"/>
    </row>
    <row r="1280" spans="6:8">
      <c r="F1280" s="228"/>
      <c r="G1280" s="225"/>
      <c r="H1280" s="220"/>
    </row>
    <row r="1281" spans="6:8">
      <c r="F1281" s="228"/>
      <c r="G1281" s="225"/>
      <c r="H1281" s="220"/>
    </row>
    <row r="1282" spans="6:8">
      <c r="F1282" s="228"/>
      <c r="G1282" s="225"/>
      <c r="H1282" s="220"/>
    </row>
    <row r="1283" spans="6:8">
      <c r="F1283" s="228"/>
      <c r="G1283" s="225"/>
      <c r="H1283" s="220"/>
    </row>
    <row r="1284" spans="6:8">
      <c r="F1284" s="228"/>
      <c r="G1284" s="225"/>
      <c r="H1284" s="220"/>
    </row>
    <row r="1285" spans="6:8">
      <c r="F1285" s="228"/>
      <c r="G1285" s="225"/>
      <c r="H1285" s="220"/>
    </row>
    <row r="1286" spans="6:8">
      <c r="F1286" s="228"/>
      <c r="G1286" s="225"/>
      <c r="H1286" s="220"/>
    </row>
    <row r="1287" spans="6:8">
      <c r="F1287" s="228"/>
      <c r="G1287" s="225"/>
      <c r="H1287" s="220"/>
    </row>
    <row r="1288" spans="6:8">
      <c r="F1288" s="228"/>
      <c r="G1288" s="225"/>
      <c r="H1288" s="220"/>
    </row>
    <row r="1289" spans="6:8">
      <c r="F1289" s="228"/>
      <c r="G1289" s="225"/>
      <c r="H1289" s="220"/>
    </row>
    <row r="1290" spans="6:8">
      <c r="F1290" s="228"/>
      <c r="G1290" s="225"/>
      <c r="H1290" s="220"/>
    </row>
    <row r="1291" spans="6:8">
      <c r="F1291" s="228"/>
      <c r="G1291" s="225"/>
      <c r="H1291" s="220"/>
    </row>
    <row r="1292" spans="6:8">
      <c r="F1292" s="228"/>
      <c r="G1292" s="225"/>
      <c r="H1292" s="220"/>
    </row>
    <row r="1293" spans="6:8">
      <c r="F1293" s="228"/>
      <c r="G1293" s="225"/>
      <c r="H1293" s="220"/>
    </row>
    <row r="1294" spans="6:8">
      <c r="F1294" s="228"/>
      <c r="G1294" s="225"/>
      <c r="H1294" s="220"/>
    </row>
    <row r="1295" spans="6:8">
      <c r="F1295" s="228"/>
      <c r="G1295" s="225"/>
      <c r="H1295" s="220"/>
    </row>
    <row r="1296" spans="6:8">
      <c r="F1296" s="228"/>
      <c r="G1296" s="225"/>
      <c r="H1296" s="220"/>
    </row>
    <row r="1297" spans="6:8">
      <c r="F1297" s="228"/>
      <c r="G1297" s="225"/>
      <c r="H1297" s="220"/>
    </row>
    <row r="1298" spans="6:8">
      <c r="F1298" s="228"/>
      <c r="G1298" s="225"/>
      <c r="H1298" s="220"/>
    </row>
    <row r="1299" spans="6:8">
      <c r="F1299" s="228"/>
      <c r="G1299" s="225"/>
      <c r="H1299" s="220"/>
    </row>
    <row r="1300" spans="6:8">
      <c r="F1300" s="228"/>
      <c r="G1300" s="225"/>
      <c r="H1300" s="220"/>
    </row>
    <row r="1301" spans="6:8">
      <c r="F1301" s="228"/>
      <c r="G1301" s="225"/>
      <c r="H1301" s="220"/>
    </row>
    <row r="1302" spans="6:8">
      <c r="F1302" s="228"/>
      <c r="G1302" s="225"/>
      <c r="H1302" s="220"/>
    </row>
    <row r="1303" spans="6:8">
      <c r="F1303" s="228"/>
      <c r="G1303" s="225"/>
      <c r="H1303" s="220"/>
    </row>
    <row r="1304" spans="6:8">
      <c r="F1304" s="228"/>
      <c r="G1304" s="225"/>
      <c r="H1304" s="220"/>
    </row>
    <row r="1305" spans="6:8">
      <c r="F1305" s="228"/>
      <c r="G1305" s="225"/>
      <c r="H1305" s="220"/>
    </row>
    <row r="1306" spans="6:8">
      <c r="F1306" s="228"/>
      <c r="G1306" s="225"/>
      <c r="H1306" s="220"/>
    </row>
    <row r="1307" spans="6:8">
      <c r="F1307" s="228"/>
      <c r="G1307" s="225"/>
      <c r="H1307" s="220"/>
    </row>
    <row r="1308" spans="6:8">
      <c r="F1308" s="228"/>
      <c r="G1308" s="225"/>
      <c r="H1308" s="220"/>
    </row>
    <row r="1309" spans="6:8">
      <c r="F1309" s="228"/>
      <c r="G1309" s="225"/>
      <c r="H1309" s="220"/>
    </row>
    <row r="1310" spans="6:8">
      <c r="F1310" s="228"/>
      <c r="G1310" s="225"/>
      <c r="H1310" s="220"/>
    </row>
    <row r="1311" spans="6:8">
      <c r="F1311" s="228"/>
      <c r="G1311" s="225"/>
      <c r="H1311" s="220"/>
    </row>
    <row r="1312" spans="6:8">
      <c r="F1312" s="228"/>
      <c r="G1312" s="225"/>
      <c r="H1312" s="220"/>
    </row>
    <row r="1313" spans="6:8">
      <c r="F1313" s="228"/>
      <c r="G1313" s="225"/>
      <c r="H1313" s="220"/>
    </row>
    <row r="1314" spans="6:8">
      <c r="F1314" s="228"/>
      <c r="G1314" s="225"/>
      <c r="H1314" s="220"/>
    </row>
    <row r="1315" spans="6:8">
      <c r="F1315" s="228"/>
      <c r="G1315" s="225"/>
      <c r="H1315" s="220"/>
    </row>
    <row r="1316" spans="6:8">
      <c r="F1316" s="228"/>
      <c r="G1316" s="225"/>
      <c r="H1316" s="220"/>
    </row>
    <row r="1317" spans="6:8">
      <c r="F1317" s="228"/>
      <c r="G1317" s="225"/>
      <c r="H1317" s="220"/>
    </row>
    <row r="1318" spans="6:8">
      <c r="F1318" s="228"/>
      <c r="G1318" s="225"/>
      <c r="H1318" s="220"/>
    </row>
    <row r="1319" spans="6:8">
      <c r="F1319" s="228"/>
      <c r="G1319" s="225"/>
      <c r="H1319" s="220"/>
    </row>
    <row r="1320" spans="6:8">
      <c r="F1320" s="228"/>
      <c r="G1320" s="225"/>
      <c r="H1320" s="220"/>
    </row>
    <row r="1321" spans="6:8">
      <c r="F1321" s="228"/>
      <c r="G1321" s="225"/>
      <c r="H1321" s="220"/>
    </row>
    <row r="1322" spans="6:8">
      <c r="F1322" s="228"/>
      <c r="G1322" s="225"/>
      <c r="H1322" s="220"/>
    </row>
    <row r="1323" spans="6:8">
      <c r="F1323" s="228"/>
      <c r="G1323" s="225"/>
      <c r="H1323" s="220"/>
    </row>
    <row r="1324" spans="6:8">
      <c r="F1324" s="228"/>
      <c r="G1324" s="225"/>
      <c r="H1324" s="220"/>
    </row>
    <row r="1325" spans="6:8">
      <c r="F1325" s="228"/>
      <c r="G1325" s="225"/>
      <c r="H1325" s="220"/>
    </row>
    <row r="1326" spans="6:8">
      <c r="F1326" s="228"/>
      <c r="G1326" s="225"/>
      <c r="H1326" s="220"/>
    </row>
    <row r="1327" spans="6:8">
      <c r="F1327" s="228"/>
      <c r="G1327" s="225"/>
      <c r="H1327" s="220"/>
    </row>
    <row r="1328" spans="6:8">
      <c r="F1328" s="228"/>
      <c r="G1328" s="225"/>
      <c r="H1328" s="220"/>
    </row>
    <row r="1329" spans="6:8">
      <c r="F1329" s="228"/>
      <c r="G1329" s="225"/>
      <c r="H1329" s="220"/>
    </row>
    <row r="1330" spans="6:8">
      <c r="F1330" s="228"/>
      <c r="G1330" s="225"/>
      <c r="H1330" s="220"/>
    </row>
    <row r="1331" spans="6:8">
      <c r="F1331" s="228"/>
      <c r="G1331" s="225"/>
      <c r="H1331" s="220"/>
    </row>
    <row r="1332" spans="6:8">
      <c r="F1332" s="228"/>
      <c r="G1332" s="225"/>
      <c r="H1332" s="220"/>
    </row>
    <row r="1333" spans="6:8">
      <c r="F1333" s="228"/>
      <c r="G1333" s="225"/>
      <c r="H1333" s="220"/>
    </row>
    <row r="1334" spans="6:8">
      <c r="F1334" s="228"/>
      <c r="G1334" s="225"/>
      <c r="H1334" s="220"/>
    </row>
    <row r="1335" spans="6:8">
      <c r="F1335" s="228"/>
      <c r="G1335" s="225"/>
      <c r="H1335" s="220"/>
    </row>
    <row r="1336" spans="6:8">
      <c r="F1336" s="228"/>
      <c r="G1336" s="225"/>
      <c r="H1336" s="220"/>
    </row>
    <row r="1337" spans="6:8">
      <c r="F1337" s="228"/>
      <c r="G1337" s="225"/>
      <c r="H1337" s="220"/>
    </row>
    <row r="1338" spans="6:8">
      <c r="F1338" s="228"/>
      <c r="G1338" s="225"/>
      <c r="H1338" s="220"/>
    </row>
    <row r="1339" spans="6:8">
      <c r="F1339" s="228"/>
      <c r="G1339" s="225"/>
      <c r="H1339" s="220"/>
    </row>
    <row r="1340" spans="6:8">
      <c r="F1340" s="228"/>
      <c r="G1340" s="225"/>
      <c r="H1340" s="220"/>
    </row>
    <row r="1341" spans="6:8">
      <c r="F1341" s="228"/>
      <c r="G1341" s="225"/>
      <c r="H1341" s="220"/>
    </row>
    <row r="1342" spans="6:8">
      <c r="F1342" s="228"/>
      <c r="G1342" s="225"/>
      <c r="H1342" s="220"/>
    </row>
    <row r="1343" spans="6:8">
      <c r="F1343" s="228"/>
      <c r="G1343" s="225"/>
      <c r="H1343" s="220"/>
    </row>
    <row r="1344" spans="6:8">
      <c r="F1344" s="228"/>
      <c r="G1344" s="225"/>
      <c r="H1344" s="220"/>
    </row>
    <row r="1345" spans="6:8">
      <c r="F1345" s="228"/>
      <c r="G1345" s="225"/>
      <c r="H1345" s="220"/>
    </row>
    <row r="1346" spans="6:8">
      <c r="F1346" s="228"/>
      <c r="G1346" s="225"/>
      <c r="H1346" s="220"/>
    </row>
    <row r="1347" spans="6:8">
      <c r="F1347" s="228"/>
      <c r="G1347" s="225"/>
      <c r="H1347" s="220"/>
    </row>
    <row r="1348" spans="6:8">
      <c r="F1348" s="228"/>
      <c r="G1348" s="225"/>
      <c r="H1348" s="220"/>
    </row>
    <row r="1349" spans="6:8">
      <c r="F1349" s="228"/>
      <c r="G1349" s="225"/>
      <c r="H1349" s="220"/>
    </row>
    <row r="1350" spans="6:8">
      <c r="F1350" s="228"/>
      <c r="G1350" s="225"/>
      <c r="H1350" s="220"/>
    </row>
    <row r="1351" spans="6:8">
      <c r="F1351" s="228"/>
      <c r="G1351" s="225"/>
      <c r="H1351" s="220"/>
    </row>
    <row r="1352" spans="6:8">
      <c r="F1352" s="228"/>
      <c r="G1352" s="225"/>
      <c r="H1352" s="220"/>
    </row>
    <row r="1353" spans="6:8">
      <c r="F1353" s="228"/>
      <c r="G1353" s="225"/>
      <c r="H1353" s="220"/>
    </row>
    <row r="1354" spans="6:8">
      <c r="F1354" s="228"/>
      <c r="G1354" s="225"/>
      <c r="H1354" s="220"/>
    </row>
    <row r="1355" spans="6:8">
      <c r="F1355" s="228"/>
      <c r="G1355" s="225"/>
      <c r="H1355" s="220"/>
    </row>
    <row r="1356" spans="6:8">
      <c r="F1356" s="228"/>
      <c r="G1356" s="225"/>
      <c r="H1356" s="220"/>
    </row>
    <row r="1357" spans="6:8">
      <c r="F1357" s="228"/>
      <c r="G1357" s="225"/>
      <c r="H1357" s="220"/>
    </row>
    <row r="1358" spans="6:8">
      <c r="F1358" s="228"/>
      <c r="G1358" s="225"/>
      <c r="H1358" s="220"/>
    </row>
    <row r="1359" spans="6:8">
      <c r="F1359" s="228"/>
      <c r="G1359" s="225"/>
      <c r="H1359" s="220"/>
    </row>
    <row r="1360" spans="6:8">
      <c r="F1360" s="228"/>
      <c r="G1360" s="225"/>
      <c r="H1360" s="220"/>
    </row>
    <row r="1361" spans="6:8">
      <c r="F1361" s="228"/>
      <c r="G1361" s="225"/>
      <c r="H1361" s="220"/>
    </row>
    <row r="1362" spans="6:8">
      <c r="F1362" s="228"/>
      <c r="G1362" s="225"/>
      <c r="H1362" s="220"/>
    </row>
    <row r="1363" spans="6:8">
      <c r="F1363" s="228"/>
      <c r="G1363" s="225"/>
      <c r="H1363" s="220"/>
    </row>
    <row r="1364" spans="6:8">
      <c r="F1364" s="228"/>
      <c r="G1364" s="225"/>
      <c r="H1364" s="220"/>
    </row>
    <row r="1365" spans="6:8">
      <c r="F1365" s="228"/>
      <c r="G1365" s="225"/>
      <c r="H1365" s="220"/>
    </row>
    <row r="1366" spans="6:8">
      <c r="F1366" s="228"/>
      <c r="G1366" s="225"/>
      <c r="H1366" s="220"/>
    </row>
    <row r="1367" spans="6:8">
      <c r="F1367" s="228"/>
      <c r="G1367" s="225"/>
      <c r="H1367" s="220"/>
    </row>
    <row r="1368" spans="6:8">
      <c r="F1368" s="228"/>
      <c r="G1368" s="225"/>
      <c r="H1368" s="220"/>
    </row>
    <row r="1369" spans="6:8">
      <c r="F1369" s="228"/>
      <c r="G1369" s="225"/>
      <c r="H1369" s="220"/>
    </row>
    <row r="1370" spans="6:8">
      <c r="F1370" s="228"/>
      <c r="G1370" s="225"/>
      <c r="H1370" s="220"/>
    </row>
    <row r="1371" spans="6:8">
      <c r="F1371" s="228"/>
      <c r="G1371" s="225"/>
      <c r="H1371" s="220"/>
    </row>
    <row r="1372" spans="6:8">
      <c r="F1372" s="228"/>
      <c r="G1372" s="225"/>
      <c r="H1372" s="220"/>
    </row>
    <row r="1373" spans="6:8">
      <c r="F1373" s="228"/>
      <c r="G1373" s="225"/>
      <c r="H1373" s="220"/>
    </row>
    <row r="1374" spans="6:8">
      <c r="F1374" s="228"/>
      <c r="G1374" s="225"/>
      <c r="H1374" s="220"/>
    </row>
    <row r="1375" spans="6:8">
      <c r="F1375" s="228"/>
      <c r="G1375" s="225"/>
      <c r="H1375" s="220"/>
    </row>
    <row r="1376" spans="6:8">
      <c r="F1376" s="228"/>
      <c r="G1376" s="225"/>
      <c r="H1376" s="220"/>
    </row>
    <row r="1377" spans="6:8">
      <c r="F1377" s="228"/>
      <c r="G1377" s="225"/>
      <c r="H1377" s="220"/>
    </row>
    <row r="1378" spans="6:8">
      <c r="F1378" s="228"/>
      <c r="G1378" s="225"/>
      <c r="H1378" s="220"/>
    </row>
    <row r="1379" spans="6:8">
      <c r="F1379" s="228"/>
      <c r="G1379" s="225"/>
      <c r="H1379" s="220"/>
    </row>
    <row r="1380" spans="6:8">
      <c r="F1380" s="228"/>
      <c r="G1380" s="225"/>
      <c r="H1380" s="220"/>
    </row>
    <row r="1381" spans="6:8">
      <c r="F1381" s="228"/>
      <c r="G1381" s="225"/>
      <c r="H1381" s="220"/>
    </row>
    <row r="1382" spans="6:8">
      <c r="F1382" s="228"/>
      <c r="G1382" s="225"/>
      <c r="H1382" s="220"/>
    </row>
    <row r="1383" spans="6:8">
      <c r="F1383" s="228"/>
      <c r="G1383" s="225"/>
      <c r="H1383" s="220"/>
    </row>
    <row r="1384" spans="6:8">
      <c r="F1384" s="228"/>
      <c r="G1384" s="225"/>
      <c r="H1384" s="220"/>
    </row>
    <row r="1385" spans="6:8">
      <c r="F1385" s="228"/>
      <c r="G1385" s="225"/>
      <c r="H1385" s="220"/>
    </row>
    <row r="1386" spans="6:8">
      <c r="F1386" s="228"/>
      <c r="G1386" s="225"/>
      <c r="H1386" s="220"/>
    </row>
    <row r="1387" spans="6:8">
      <c r="F1387" s="228"/>
      <c r="G1387" s="225"/>
      <c r="H1387" s="220"/>
    </row>
    <row r="1388" spans="6:8">
      <c r="F1388" s="228"/>
      <c r="G1388" s="225"/>
      <c r="H1388" s="220"/>
    </row>
    <row r="1389" spans="6:8">
      <c r="F1389" s="228"/>
      <c r="G1389" s="225"/>
      <c r="H1389" s="220"/>
    </row>
    <row r="1390" spans="6:8">
      <c r="F1390" s="228"/>
      <c r="G1390" s="225"/>
      <c r="H1390" s="220"/>
    </row>
    <row r="1391" spans="6:8">
      <c r="F1391" s="228"/>
      <c r="G1391" s="225"/>
      <c r="H1391" s="220"/>
    </row>
    <row r="1392" spans="6:8">
      <c r="F1392" s="228"/>
      <c r="G1392" s="225"/>
      <c r="H1392" s="220"/>
    </row>
    <row r="1393" spans="6:8">
      <c r="F1393" s="228"/>
      <c r="G1393" s="225"/>
      <c r="H1393" s="220"/>
    </row>
    <row r="1394" spans="6:8">
      <c r="F1394" s="228"/>
      <c r="G1394" s="225"/>
      <c r="H1394" s="220"/>
    </row>
    <row r="1395" spans="6:8">
      <c r="F1395" s="228"/>
      <c r="G1395" s="225"/>
      <c r="H1395" s="220"/>
    </row>
    <row r="1396" spans="6:8">
      <c r="F1396" s="228"/>
      <c r="G1396" s="225"/>
      <c r="H1396" s="220"/>
    </row>
    <row r="1397" spans="6:8">
      <c r="F1397" s="228"/>
      <c r="G1397" s="225"/>
      <c r="H1397" s="220"/>
    </row>
    <row r="1398" spans="6:8">
      <c r="F1398" s="228"/>
      <c r="G1398" s="225"/>
      <c r="H1398" s="220"/>
    </row>
    <row r="1399" spans="6:8">
      <c r="F1399" s="228"/>
      <c r="G1399" s="225"/>
      <c r="H1399" s="220"/>
    </row>
    <row r="1400" spans="6:8">
      <c r="F1400" s="228"/>
      <c r="G1400" s="225"/>
      <c r="H1400" s="220"/>
    </row>
    <row r="1401" spans="6:8">
      <c r="F1401" s="228"/>
      <c r="G1401" s="225"/>
      <c r="H1401" s="220"/>
    </row>
    <row r="1402" spans="6:8">
      <c r="F1402" s="228"/>
      <c r="G1402" s="225"/>
      <c r="H1402" s="220"/>
    </row>
    <row r="1403" spans="6:8">
      <c r="F1403" s="228"/>
      <c r="G1403" s="225"/>
      <c r="H1403" s="220"/>
    </row>
    <row r="1404" spans="6:8">
      <c r="F1404" s="228"/>
      <c r="G1404" s="225"/>
      <c r="H1404" s="220"/>
    </row>
    <row r="1405" spans="6:8">
      <c r="F1405" s="228"/>
      <c r="G1405" s="225"/>
      <c r="H1405" s="220"/>
    </row>
    <row r="1406" spans="6:8">
      <c r="F1406" s="228"/>
      <c r="G1406" s="225"/>
      <c r="H1406" s="220"/>
    </row>
    <row r="1407" spans="6:8">
      <c r="F1407" s="228"/>
      <c r="G1407" s="225"/>
      <c r="H1407" s="220"/>
    </row>
    <row r="1408" spans="6:8">
      <c r="F1408" s="228"/>
      <c r="G1408" s="225"/>
      <c r="H1408" s="220"/>
    </row>
    <row r="1409" spans="6:8">
      <c r="F1409" s="228"/>
      <c r="G1409" s="225"/>
      <c r="H1409" s="220"/>
    </row>
    <row r="1410" spans="6:8">
      <c r="F1410" s="228"/>
      <c r="G1410" s="225"/>
      <c r="H1410" s="220"/>
    </row>
    <row r="1411" spans="6:8">
      <c r="F1411" s="228"/>
      <c r="G1411" s="225"/>
      <c r="H1411" s="220"/>
    </row>
    <row r="1412" spans="6:8">
      <c r="F1412" s="228"/>
      <c r="G1412" s="225"/>
      <c r="H1412" s="220"/>
    </row>
    <row r="1413" spans="6:8">
      <c r="F1413" s="228"/>
      <c r="G1413" s="225"/>
      <c r="H1413" s="220"/>
    </row>
    <row r="1414" spans="6:8">
      <c r="F1414" s="228"/>
      <c r="G1414" s="225"/>
      <c r="H1414" s="220"/>
    </row>
    <row r="1415" spans="6:8">
      <c r="F1415" s="228"/>
      <c r="G1415" s="225"/>
      <c r="H1415" s="220"/>
    </row>
    <row r="1416" spans="6:8">
      <c r="F1416" s="228"/>
      <c r="G1416" s="225"/>
      <c r="H1416" s="220"/>
    </row>
    <row r="1417" spans="6:8">
      <c r="F1417" s="228"/>
      <c r="G1417" s="225"/>
      <c r="H1417" s="220"/>
    </row>
    <row r="1418" spans="6:8">
      <c r="F1418" s="228"/>
      <c r="G1418" s="225"/>
      <c r="H1418" s="220"/>
    </row>
    <row r="1419" spans="6:8">
      <c r="F1419" s="228"/>
      <c r="G1419" s="225"/>
      <c r="H1419" s="220"/>
    </row>
    <row r="1420" spans="6:8">
      <c r="F1420" s="228"/>
      <c r="G1420" s="225"/>
      <c r="H1420" s="220"/>
    </row>
    <row r="1421" spans="6:8">
      <c r="F1421" s="228"/>
      <c r="G1421" s="225"/>
      <c r="H1421" s="220"/>
    </row>
    <row r="1422" spans="6:8">
      <c r="F1422" s="228"/>
      <c r="G1422" s="225"/>
      <c r="H1422" s="220"/>
    </row>
    <row r="1423" spans="6:8">
      <c r="F1423" s="228"/>
      <c r="G1423" s="225"/>
      <c r="H1423" s="220"/>
    </row>
    <row r="1424" spans="6:8">
      <c r="F1424" s="228"/>
      <c r="G1424" s="225"/>
      <c r="H1424" s="220"/>
    </row>
    <row r="1425" spans="6:8">
      <c r="F1425" s="228"/>
      <c r="G1425" s="225"/>
      <c r="H1425" s="220"/>
    </row>
    <row r="1426" spans="6:8">
      <c r="F1426" s="228"/>
      <c r="G1426" s="225"/>
      <c r="H1426" s="220"/>
    </row>
    <row r="1427" spans="6:8">
      <c r="F1427" s="228"/>
      <c r="G1427" s="225"/>
      <c r="H1427" s="220"/>
    </row>
    <row r="1428" spans="6:8">
      <c r="F1428" s="228"/>
      <c r="G1428" s="225"/>
      <c r="H1428" s="220"/>
    </row>
    <row r="1429" spans="6:8">
      <c r="F1429" s="228"/>
      <c r="G1429" s="225"/>
      <c r="H1429" s="220"/>
    </row>
    <row r="1430" spans="6:8">
      <c r="F1430" s="228"/>
      <c r="G1430" s="225"/>
      <c r="H1430" s="220"/>
    </row>
    <row r="1431" spans="6:8">
      <c r="F1431" s="228"/>
      <c r="G1431" s="225"/>
      <c r="H1431" s="220"/>
    </row>
    <row r="1432" spans="6:8">
      <c r="F1432" s="228"/>
      <c r="G1432" s="225"/>
      <c r="H1432" s="220"/>
    </row>
    <row r="1433" spans="6:8">
      <c r="F1433" s="228"/>
      <c r="G1433" s="225"/>
      <c r="H1433" s="220"/>
    </row>
    <row r="1434" spans="6:8">
      <c r="F1434" s="228"/>
      <c r="G1434" s="225"/>
      <c r="H1434" s="220"/>
    </row>
    <row r="1435" spans="6:8">
      <c r="F1435" s="228"/>
      <c r="G1435" s="225"/>
      <c r="H1435" s="220"/>
    </row>
    <row r="1436" spans="6:8">
      <c r="F1436" s="228"/>
      <c r="G1436" s="225"/>
      <c r="H1436" s="220"/>
    </row>
    <row r="1437" spans="6:8">
      <c r="F1437" s="228"/>
      <c r="G1437" s="225"/>
      <c r="H1437" s="220"/>
    </row>
    <row r="1438" spans="6:8">
      <c r="F1438" s="228"/>
      <c r="G1438" s="225"/>
      <c r="H1438" s="220"/>
    </row>
    <row r="1439" spans="6:8">
      <c r="F1439" s="228"/>
      <c r="G1439" s="225"/>
      <c r="H1439" s="220"/>
    </row>
    <row r="1440" spans="6:8">
      <c r="F1440" s="228"/>
      <c r="G1440" s="225"/>
      <c r="H1440" s="220"/>
    </row>
    <row r="1441" spans="6:8">
      <c r="F1441" s="228"/>
      <c r="G1441" s="225"/>
      <c r="H1441" s="220"/>
    </row>
    <row r="1442" spans="6:8">
      <c r="F1442" s="228"/>
      <c r="G1442" s="225"/>
      <c r="H1442" s="220"/>
    </row>
    <row r="1443" spans="6:8">
      <c r="F1443" s="228"/>
      <c r="G1443" s="225"/>
      <c r="H1443" s="220"/>
    </row>
    <row r="1444" spans="6:8">
      <c r="F1444" s="228"/>
      <c r="G1444" s="225"/>
      <c r="H1444" s="220"/>
    </row>
    <row r="1445" spans="6:8">
      <c r="F1445" s="228"/>
      <c r="G1445" s="225"/>
      <c r="H1445" s="220"/>
    </row>
    <row r="1446" spans="6:8">
      <c r="F1446" s="228"/>
      <c r="G1446" s="225"/>
      <c r="H1446" s="220"/>
    </row>
    <row r="1447" spans="6:8">
      <c r="F1447" s="228"/>
      <c r="G1447" s="225"/>
      <c r="H1447" s="220"/>
    </row>
    <row r="1448" spans="6:8">
      <c r="F1448" s="228"/>
      <c r="G1448" s="225"/>
      <c r="H1448" s="220"/>
    </row>
    <row r="1449" spans="6:8">
      <c r="F1449" s="228"/>
      <c r="G1449" s="225"/>
      <c r="H1449" s="220"/>
    </row>
    <row r="1450" spans="6:8">
      <c r="F1450" s="228"/>
      <c r="G1450" s="225"/>
      <c r="H1450" s="220"/>
    </row>
    <row r="1451" spans="6:8">
      <c r="F1451" s="228"/>
      <c r="G1451" s="225"/>
      <c r="H1451" s="220"/>
    </row>
    <row r="1452" spans="6:8">
      <c r="F1452" s="228"/>
      <c r="G1452" s="225"/>
      <c r="H1452" s="220"/>
    </row>
    <row r="1453" spans="6:8">
      <c r="F1453" s="228"/>
      <c r="G1453" s="225"/>
      <c r="H1453" s="220"/>
    </row>
    <row r="1454" spans="6:8">
      <c r="F1454" s="228"/>
      <c r="G1454" s="225"/>
      <c r="H1454" s="220"/>
    </row>
    <row r="1455" spans="6:8">
      <c r="F1455" s="228"/>
      <c r="G1455" s="225"/>
      <c r="H1455" s="220"/>
    </row>
    <row r="1456" spans="6:8">
      <c r="F1456" s="228"/>
      <c r="G1456" s="225"/>
      <c r="H1456" s="220"/>
    </row>
    <row r="1457" spans="6:8">
      <c r="F1457" s="228"/>
      <c r="G1457" s="225"/>
      <c r="H1457" s="220"/>
    </row>
    <row r="1458" spans="6:8">
      <c r="F1458" s="228"/>
      <c r="G1458" s="225"/>
      <c r="H1458" s="220"/>
    </row>
    <row r="1459" spans="6:8">
      <c r="F1459" s="228"/>
      <c r="G1459" s="225"/>
      <c r="H1459" s="220"/>
    </row>
    <row r="1460" spans="6:8">
      <c r="F1460" s="228"/>
      <c r="G1460" s="225"/>
      <c r="H1460" s="220"/>
    </row>
    <row r="1461" spans="6:8">
      <c r="F1461" s="228"/>
      <c r="G1461" s="225"/>
      <c r="H1461" s="220"/>
    </row>
    <row r="1462" spans="6:8">
      <c r="F1462" s="228"/>
      <c r="G1462" s="225"/>
      <c r="H1462" s="220"/>
    </row>
    <row r="1463" spans="6:8">
      <c r="F1463" s="228"/>
      <c r="G1463" s="225"/>
      <c r="H1463" s="220"/>
    </row>
    <row r="1464" spans="6:8">
      <c r="F1464" s="228"/>
      <c r="G1464" s="225"/>
      <c r="H1464" s="220"/>
    </row>
    <row r="1465" spans="6:8">
      <c r="F1465" s="228"/>
      <c r="G1465" s="225"/>
      <c r="H1465" s="220"/>
    </row>
    <row r="1466" spans="6:8">
      <c r="F1466" s="228"/>
      <c r="G1466" s="225"/>
      <c r="H1466" s="220"/>
    </row>
    <row r="1467" spans="6:8">
      <c r="F1467" s="228"/>
      <c r="G1467" s="225"/>
      <c r="H1467" s="220"/>
    </row>
    <row r="1468" spans="6:8">
      <c r="F1468" s="228"/>
      <c r="G1468" s="225"/>
      <c r="H1468" s="220"/>
    </row>
    <row r="1469" spans="6:8">
      <c r="F1469" s="228"/>
      <c r="G1469" s="225"/>
      <c r="H1469" s="220"/>
    </row>
    <row r="1470" spans="6:8">
      <c r="F1470" s="228"/>
      <c r="G1470" s="225"/>
      <c r="H1470" s="220"/>
    </row>
    <row r="1471" spans="6:8">
      <c r="F1471" s="228"/>
      <c r="G1471" s="225"/>
      <c r="H1471" s="220"/>
    </row>
    <row r="1472" spans="6:8">
      <c r="F1472" s="228"/>
      <c r="G1472" s="225"/>
      <c r="H1472" s="220"/>
    </row>
    <row r="1473" spans="6:8">
      <c r="F1473" s="228"/>
      <c r="G1473" s="225"/>
      <c r="H1473" s="220"/>
    </row>
    <row r="1474" spans="6:8">
      <c r="F1474" s="228"/>
      <c r="G1474" s="225"/>
      <c r="H1474" s="220"/>
    </row>
    <row r="1475" spans="6:8">
      <c r="F1475" s="228"/>
      <c r="G1475" s="225"/>
      <c r="H1475" s="220"/>
    </row>
    <row r="1476" spans="6:8">
      <c r="F1476" s="228"/>
      <c r="G1476" s="225"/>
      <c r="H1476" s="220"/>
    </row>
    <row r="1477" spans="6:8">
      <c r="F1477" s="228"/>
      <c r="G1477" s="225"/>
      <c r="H1477" s="220"/>
    </row>
    <row r="1478" spans="6:8">
      <c r="F1478" s="228"/>
      <c r="G1478" s="225"/>
      <c r="H1478" s="220"/>
    </row>
    <row r="1479" spans="6:8">
      <c r="F1479" s="228"/>
      <c r="G1479" s="225"/>
      <c r="H1479" s="220"/>
    </row>
    <row r="1480" spans="6:8">
      <c r="F1480" s="228"/>
      <c r="G1480" s="225"/>
      <c r="H1480" s="220"/>
    </row>
    <row r="1481" spans="6:8">
      <c r="F1481" s="228"/>
      <c r="G1481" s="225"/>
      <c r="H1481" s="220"/>
    </row>
    <row r="1482" spans="6:8">
      <c r="F1482" s="228"/>
      <c r="G1482" s="225"/>
      <c r="H1482" s="220"/>
    </row>
    <row r="1483" spans="6:8">
      <c r="F1483" s="228"/>
      <c r="G1483" s="225"/>
      <c r="H1483" s="220"/>
    </row>
    <row r="1484" spans="6:8">
      <c r="F1484" s="228"/>
      <c r="G1484" s="225"/>
      <c r="H1484" s="220"/>
    </row>
    <row r="1485" spans="6:8">
      <c r="F1485" s="228"/>
      <c r="G1485" s="225"/>
      <c r="H1485" s="220"/>
    </row>
    <row r="1486" spans="6:8">
      <c r="F1486" s="228"/>
      <c r="G1486" s="225"/>
      <c r="H1486" s="220"/>
    </row>
    <row r="1487" spans="6:8">
      <c r="F1487" s="228"/>
      <c r="G1487" s="225"/>
      <c r="H1487" s="220"/>
    </row>
    <row r="1488" spans="6:8">
      <c r="F1488" s="228"/>
      <c r="G1488" s="225"/>
      <c r="H1488" s="220"/>
    </row>
    <row r="1489" spans="6:8">
      <c r="F1489" s="228"/>
      <c r="G1489" s="225"/>
      <c r="H1489" s="220"/>
    </row>
    <row r="1490" spans="6:8">
      <c r="F1490" s="228"/>
      <c r="G1490" s="225"/>
      <c r="H1490" s="220"/>
    </row>
    <row r="1491" spans="6:8">
      <c r="F1491" s="228"/>
      <c r="G1491" s="225"/>
      <c r="H1491" s="220"/>
    </row>
    <row r="1492" spans="6:8">
      <c r="F1492" s="228"/>
      <c r="G1492" s="225"/>
      <c r="H1492" s="220"/>
    </row>
    <row r="1493" spans="6:8">
      <c r="F1493" s="228"/>
      <c r="G1493" s="225"/>
      <c r="H1493" s="220"/>
    </row>
    <row r="1494" spans="6:8">
      <c r="F1494" s="228"/>
      <c r="G1494" s="225"/>
      <c r="H1494" s="220"/>
    </row>
    <row r="1495" spans="6:8">
      <c r="F1495" s="228"/>
      <c r="G1495" s="225"/>
      <c r="H1495" s="220"/>
    </row>
    <row r="1496" spans="6:8">
      <c r="F1496" s="228"/>
      <c r="G1496" s="225"/>
      <c r="H1496" s="220"/>
    </row>
    <row r="1497" spans="6:8">
      <c r="F1497" s="228"/>
      <c r="G1497" s="225"/>
      <c r="H1497" s="220"/>
    </row>
    <row r="1498" spans="6:8">
      <c r="F1498" s="228"/>
      <c r="G1498" s="225"/>
      <c r="H1498" s="220"/>
    </row>
    <row r="1499" spans="6:8">
      <c r="F1499" s="228"/>
      <c r="G1499" s="225"/>
      <c r="H1499" s="220"/>
    </row>
    <row r="1500" spans="6:8">
      <c r="F1500" s="228"/>
      <c r="G1500" s="225"/>
      <c r="H1500" s="220"/>
    </row>
    <row r="1501" spans="6:8">
      <c r="F1501" s="228"/>
      <c r="G1501" s="225"/>
      <c r="H1501" s="220"/>
    </row>
    <row r="1502" spans="6:8">
      <c r="F1502" s="228"/>
      <c r="G1502" s="225"/>
      <c r="H1502" s="220"/>
    </row>
    <row r="1503" spans="6:8">
      <c r="F1503" s="228"/>
      <c r="G1503" s="225"/>
      <c r="H1503" s="220"/>
    </row>
    <row r="1504" spans="6:8">
      <c r="F1504" s="228"/>
      <c r="G1504" s="225"/>
      <c r="H1504" s="220"/>
    </row>
    <row r="1505" spans="6:8">
      <c r="F1505" s="228"/>
      <c r="G1505" s="225"/>
      <c r="H1505" s="220"/>
    </row>
    <row r="1506" spans="6:8">
      <c r="F1506" s="228"/>
      <c r="G1506" s="225"/>
      <c r="H1506" s="220"/>
    </row>
    <row r="1507" spans="6:8">
      <c r="F1507" s="228"/>
      <c r="G1507" s="225"/>
      <c r="H1507" s="220"/>
    </row>
    <row r="1508" spans="6:8">
      <c r="F1508" s="228"/>
      <c r="G1508" s="225"/>
      <c r="H1508" s="220"/>
    </row>
    <row r="1509" spans="6:8">
      <c r="F1509" s="228"/>
      <c r="G1509" s="225"/>
      <c r="H1509" s="220"/>
    </row>
    <row r="1510" spans="6:8">
      <c r="F1510" s="228"/>
      <c r="G1510" s="225"/>
      <c r="H1510" s="220"/>
    </row>
    <row r="1511" spans="6:8">
      <c r="F1511" s="228"/>
      <c r="G1511" s="225"/>
      <c r="H1511" s="220"/>
    </row>
    <row r="1512" spans="6:8">
      <c r="F1512" s="228"/>
      <c r="G1512" s="225"/>
      <c r="H1512" s="220"/>
    </row>
    <row r="1513" spans="6:8">
      <c r="F1513" s="228"/>
      <c r="G1513" s="225"/>
      <c r="H1513" s="220"/>
    </row>
    <row r="1514" spans="6:8">
      <c r="F1514" s="228"/>
      <c r="G1514" s="225"/>
      <c r="H1514" s="220"/>
    </row>
    <row r="1515" spans="6:8">
      <c r="F1515" s="228"/>
      <c r="G1515" s="225"/>
      <c r="H1515" s="220"/>
    </row>
    <row r="1516" spans="6:8">
      <c r="F1516" s="228"/>
      <c r="G1516" s="225"/>
      <c r="H1516" s="220"/>
    </row>
    <row r="1517" spans="6:8">
      <c r="F1517" s="228"/>
      <c r="G1517" s="225"/>
      <c r="H1517" s="220"/>
    </row>
    <row r="1518" spans="6:8">
      <c r="F1518" s="228"/>
      <c r="G1518" s="225"/>
      <c r="H1518" s="220"/>
    </row>
    <row r="1519" spans="6:8">
      <c r="F1519" s="228"/>
      <c r="G1519" s="225"/>
      <c r="H1519" s="220"/>
    </row>
    <row r="1520" spans="6:8">
      <c r="F1520" s="228"/>
      <c r="G1520" s="225"/>
      <c r="H1520" s="220"/>
    </row>
    <row r="1521" spans="6:8">
      <c r="F1521" s="228"/>
      <c r="G1521" s="225"/>
      <c r="H1521" s="220"/>
    </row>
    <row r="1522" spans="6:8">
      <c r="F1522" s="228"/>
      <c r="G1522" s="225"/>
      <c r="H1522" s="220"/>
    </row>
    <row r="1523" spans="6:8">
      <c r="F1523" s="228"/>
      <c r="G1523" s="225"/>
      <c r="H1523" s="220"/>
    </row>
    <row r="1524" spans="6:8">
      <c r="F1524" s="228"/>
      <c r="G1524" s="225"/>
      <c r="H1524" s="220"/>
    </row>
    <row r="1525" spans="6:8">
      <c r="F1525" s="228"/>
      <c r="G1525" s="225"/>
      <c r="H1525" s="220"/>
    </row>
    <row r="1526" spans="6:8">
      <c r="F1526" s="228"/>
      <c r="G1526" s="225"/>
      <c r="H1526" s="220"/>
    </row>
    <row r="1527" spans="6:8">
      <c r="F1527" s="228"/>
      <c r="G1527" s="225"/>
      <c r="H1527" s="220"/>
    </row>
    <row r="1528" spans="6:8">
      <c r="F1528" s="228"/>
      <c r="G1528" s="225"/>
      <c r="H1528" s="220"/>
    </row>
    <row r="1529" spans="6:8">
      <c r="F1529" s="228"/>
      <c r="G1529" s="225"/>
      <c r="H1529" s="220"/>
    </row>
    <row r="1530" spans="6:8">
      <c r="F1530" s="228"/>
      <c r="G1530" s="225"/>
      <c r="H1530" s="220"/>
    </row>
    <row r="1531" spans="6:8">
      <c r="F1531" s="228"/>
      <c r="G1531" s="225"/>
      <c r="H1531" s="220"/>
    </row>
    <row r="1532" spans="6:8">
      <c r="F1532" s="228"/>
      <c r="G1532" s="225"/>
      <c r="H1532" s="220"/>
    </row>
    <row r="1533" spans="6:8">
      <c r="F1533" s="228"/>
      <c r="G1533" s="225"/>
      <c r="H1533" s="220"/>
    </row>
    <row r="1534" spans="6:8">
      <c r="F1534" s="228"/>
      <c r="G1534" s="225"/>
      <c r="H1534" s="220"/>
    </row>
    <row r="1535" spans="6:8">
      <c r="F1535" s="228"/>
      <c r="G1535" s="225"/>
      <c r="H1535" s="220"/>
    </row>
    <row r="1536" spans="6:8">
      <c r="F1536" s="228"/>
      <c r="G1536" s="225"/>
      <c r="H1536" s="220"/>
    </row>
    <row r="1537" spans="6:8">
      <c r="F1537" s="228"/>
      <c r="G1537" s="225"/>
      <c r="H1537" s="220"/>
    </row>
    <row r="1538" spans="6:8">
      <c r="F1538" s="228"/>
      <c r="G1538" s="225"/>
      <c r="H1538" s="220"/>
    </row>
    <row r="1539" spans="6:8">
      <c r="F1539" s="228"/>
      <c r="G1539" s="225"/>
      <c r="H1539" s="220"/>
    </row>
    <row r="1540" spans="6:8">
      <c r="F1540" s="228"/>
      <c r="G1540" s="225"/>
      <c r="H1540" s="220"/>
    </row>
    <row r="1541" spans="6:8">
      <c r="F1541" s="228"/>
      <c r="G1541" s="225"/>
      <c r="H1541" s="220"/>
    </row>
    <row r="1542" spans="6:8">
      <c r="F1542" s="228"/>
      <c r="G1542" s="225"/>
      <c r="H1542" s="220"/>
    </row>
    <row r="1543" spans="6:8">
      <c r="F1543" s="228"/>
      <c r="G1543" s="225"/>
      <c r="H1543" s="220"/>
    </row>
    <row r="1544" spans="6:8">
      <c r="F1544" s="228"/>
      <c r="G1544" s="225"/>
      <c r="H1544" s="220"/>
    </row>
    <row r="1545" spans="6:8">
      <c r="F1545" s="228"/>
      <c r="G1545" s="225"/>
      <c r="H1545" s="220"/>
    </row>
    <row r="1546" spans="6:8">
      <c r="F1546" s="228"/>
      <c r="G1546" s="225"/>
      <c r="H1546" s="220"/>
    </row>
    <row r="1547" spans="6:8">
      <c r="F1547" s="228"/>
      <c r="G1547" s="225"/>
      <c r="H1547" s="220"/>
    </row>
    <row r="1548" spans="6:8">
      <c r="F1548" s="228"/>
      <c r="G1548" s="225"/>
      <c r="H1548" s="220"/>
    </row>
    <row r="1549" spans="6:8">
      <c r="F1549" s="228"/>
      <c r="G1549" s="225"/>
      <c r="H1549" s="220"/>
    </row>
    <row r="1550" spans="6:8">
      <c r="F1550" s="228"/>
      <c r="G1550" s="225"/>
      <c r="H1550" s="220"/>
    </row>
    <row r="1551" spans="6:8">
      <c r="F1551" s="228"/>
      <c r="G1551" s="225"/>
      <c r="H1551" s="220"/>
    </row>
    <row r="1552" spans="6:8">
      <c r="F1552" s="228"/>
      <c r="G1552" s="225"/>
      <c r="H1552" s="220"/>
    </row>
    <row r="1553" spans="6:8">
      <c r="F1553" s="228"/>
      <c r="G1553" s="225"/>
      <c r="H1553" s="220"/>
    </row>
    <row r="1554" spans="6:8">
      <c r="F1554" s="228"/>
      <c r="G1554" s="225"/>
      <c r="H1554" s="220"/>
    </row>
    <row r="1555" spans="6:8">
      <c r="F1555" s="228"/>
      <c r="G1555" s="225"/>
      <c r="H1555" s="220"/>
    </row>
    <row r="1556" spans="6:8">
      <c r="F1556" s="228"/>
      <c r="G1556" s="225"/>
      <c r="H1556" s="220"/>
    </row>
    <row r="1557" spans="6:8">
      <c r="F1557" s="228"/>
      <c r="G1557" s="225"/>
      <c r="H1557" s="220"/>
    </row>
    <row r="1558" spans="6:8">
      <c r="F1558" s="228"/>
      <c r="G1558" s="225"/>
      <c r="H1558" s="220"/>
    </row>
    <row r="1559" spans="6:8">
      <c r="F1559" s="228"/>
      <c r="G1559" s="225"/>
      <c r="H1559" s="220"/>
    </row>
    <row r="1560" spans="6:8">
      <c r="F1560" s="228"/>
      <c r="G1560" s="225"/>
      <c r="H1560" s="220"/>
    </row>
    <row r="1561" spans="6:8">
      <c r="F1561" s="228"/>
      <c r="G1561" s="225"/>
      <c r="H1561" s="220"/>
    </row>
    <row r="1562" spans="6:8">
      <c r="F1562" s="228"/>
      <c r="G1562" s="225"/>
      <c r="H1562" s="220"/>
    </row>
    <row r="1563" spans="6:8">
      <c r="F1563" s="228"/>
      <c r="G1563" s="225"/>
      <c r="H1563" s="220"/>
    </row>
    <row r="1564" spans="6:8">
      <c r="F1564" s="228"/>
      <c r="G1564" s="225"/>
      <c r="H1564" s="220"/>
    </row>
    <row r="1565" spans="6:8">
      <c r="F1565" s="228"/>
      <c r="G1565" s="225"/>
      <c r="H1565" s="220"/>
    </row>
    <row r="1566" spans="6:8">
      <c r="F1566" s="228"/>
      <c r="G1566" s="225"/>
      <c r="H1566" s="220"/>
    </row>
    <row r="1567" spans="6:8">
      <c r="F1567" s="228"/>
      <c r="G1567" s="225"/>
      <c r="H1567" s="220"/>
    </row>
    <row r="1568" spans="6:8">
      <c r="F1568" s="228"/>
      <c r="G1568" s="225"/>
      <c r="H1568" s="220"/>
    </row>
    <row r="1569" spans="6:8">
      <c r="F1569" s="228"/>
      <c r="G1569" s="225"/>
      <c r="H1569" s="220"/>
    </row>
    <row r="1570" spans="6:8">
      <c r="F1570" s="228"/>
      <c r="G1570" s="225"/>
      <c r="H1570" s="220"/>
    </row>
    <row r="1571" spans="6:8">
      <c r="F1571" s="228"/>
      <c r="G1571" s="225"/>
      <c r="H1571" s="220"/>
    </row>
    <row r="1572" spans="6:8">
      <c r="F1572" s="228"/>
      <c r="G1572" s="225"/>
      <c r="H1572" s="220"/>
    </row>
    <row r="1573" spans="6:8">
      <c r="F1573" s="228"/>
      <c r="G1573" s="225"/>
      <c r="H1573" s="220"/>
    </row>
    <row r="1574" spans="6:8">
      <c r="F1574" s="228"/>
      <c r="G1574" s="225"/>
      <c r="H1574" s="220"/>
    </row>
    <row r="1575" spans="6:8">
      <c r="F1575" s="228"/>
      <c r="G1575" s="225"/>
      <c r="H1575" s="220"/>
    </row>
    <row r="1576" spans="6:8">
      <c r="F1576" s="228"/>
      <c r="G1576" s="225"/>
      <c r="H1576" s="220"/>
    </row>
    <row r="1577" spans="6:8">
      <c r="F1577" s="228"/>
      <c r="G1577" s="225"/>
      <c r="H1577" s="220"/>
    </row>
    <row r="1578" spans="6:8">
      <c r="F1578" s="228"/>
      <c r="G1578" s="225"/>
      <c r="H1578" s="220"/>
    </row>
    <row r="1579" spans="6:8">
      <c r="F1579" s="228"/>
      <c r="G1579" s="225"/>
      <c r="H1579" s="220"/>
    </row>
    <row r="1580" spans="6:8">
      <c r="F1580" s="228"/>
      <c r="G1580" s="225"/>
      <c r="H1580" s="220"/>
    </row>
    <row r="1581" spans="6:8">
      <c r="F1581" s="228"/>
      <c r="G1581" s="225"/>
      <c r="H1581" s="220"/>
    </row>
    <row r="1582" spans="6:8">
      <c r="F1582" s="228"/>
      <c r="G1582" s="225"/>
      <c r="H1582" s="220"/>
    </row>
    <row r="1583" spans="6:8">
      <c r="F1583" s="228"/>
      <c r="G1583" s="225"/>
      <c r="H1583" s="220"/>
    </row>
    <row r="1584" spans="6:8">
      <c r="F1584" s="228"/>
      <c r="G1584" s="225"/>
      <c r="H1584" s="220"/>
    </row>
    <row r="1585" spans="6:8">
      <c r="F1585" s="228"/>
      <c r="G1585" s="225"/>
      <c r="H1585" s="220"/>
    </row>
    <row r="1586" spans="6:8">
      <c r="F1586" s="228"/>
      <c r="G1586" s="225"/>
      <c r="H1586" s="220"/>
    </row>
    <row r="1587" spans="6:8">
      <c r="F1587" s="228"/>
      <c r="G1587" s="225"/>
      <c r="H1587" s="220"/>
    </row>
    <row r="1588" spans="6:8">
      <c r="F1588" s="228"/>
      <c r="G1588" s="225"/>
      <c r="H1588" s="220"/>
    </row>
    <row r="1589" spans="6:8">
      <c r="F1589" s="228"/>
      <c r="G1589" s="225"/>
      <c r="H1589" s="220"/>
    </row>
    <row r="1590" spans="6:8">
      <c r="F1590" s="228"/>
      <c r="G1590" s="225"/>
      <c r="H1590" s="220"/>
    </row>
    <row r="1591" spans="6:8">
      <c r="F1591" s="228"/>
      <c r="G1591" s="225"/>
      <c r="H1591" s="220"/>
    </row>
    <row r="1592" spans="6:8">
      <c r="F1592" s="228"/>
      <c r="G1592" s="225"/>
      <c r="H1592" s="220"/>
    </row>
    <row r="1593" spans="6:8">
      <c r="F1593" s="228"/>
      <c r="G1593" s="225"/>
      <c r="H1593" s="220"/>
    </row>
    <row r="1594" spans="6:8">
      <c r="F1594" s="228"/>
      <c r="G1594" s="225"/>
      <c r="H1594" s="220"/>
    </row>
    <row r="1595" spans="6:8">
      <c r="F1595" s="228"/>
      <c r="G1595" s="225"/>
      <c r="H1595" s="220"/>
    </row>
    <row r="1596" spans="6:8">
      <c r="F1596" s="228"/>
      <c r="G1596" s="225"/>
      <c r="H1596" s="220"/>
    </row>
    <row r="1597" spans="6:8">
      <c r="F1597" s="228"/>
      <c r="G1597" s="225"/>
      <c r="H1597" s="220"/>
    </row>
    <row r="1598" spans="6:8">
      <c r="F1598" s="228"/>
      <c r="G1598" s="225"/>
      <c r="H1598" s="220"/>
    </row>
    <row r="1599" spans="6:8">
      <c r="F1599" s="228"/>
      <c r="G1599" s="225"/>
      <c r="H1599" s="220"/>
    </row>
    <row r="1600" spans="6:8">
      <c r="F1600" s="228"/>
      <c r="G1600" s="225"/>
      <c r="H1600" s="220"/>
    </row>
    <row r="1601" spans="6:8">
      <c r="F1601" s="228"/>
      <c r="G1601" s="225"/>
      <c r="H1601" s="220"/>
    </row>
    <row r="1602" spans="6:8">
      <c r="F1602" s="228"/>
      <c r="G1602" s="225"/>
      <c r="H1602" s="220"/>
    </row>
    <row r="1603" spans="6:8">
      <c r="F1603" s="228"/>
      <c r="G1603" s="225"/>
      <c r="H1603" s="220"/>
    </row>
    <row r="1604" spans="6:8">
      <c r="F1604" s="228"/>
      <c r="G1604" s="225"/>
      <c r="H1604" s="220"/>
    </row>
    <row r="1605" spans="6:8">
      <c r="F1605" s="228"/>
      <c r="G1605" s="225"/>
      <c r="H1605" s="220"/>
    </row>
    <row r="1606" spans="6:8">
      <c r="F1606" s="228"/>
      <c r="G1606" s="225"/>
      <c r="H1606" s="220"/>
    </row>
    <row r="1607" spans="6:8">
      <c r="F1607" s="228"/>
      <c r="G1607" s="225"/>
      <c r="H1607" s="220"/>
    </row>
    <row r="1608" spans="6:8">
      <c r="F1608" s="228"/>
      <c r="G1608" s="225"/>
      <c r="H1608" s="220"/>
    </row>
    <row r="1609" spans="6:8">
      <c r="F1609" s="228"/>
      <c r="G1609" s="225"/>
      <c r="H1609" s="220"/>
    </row>
    <row r="1610" spans="6:8">
      <c r="F1610" s="228"/>
      <c r="G1610" s="225"/>
      <c r="H1610" s="220"/>
    </row>
    <row r="1611" spans="6:8">
      <c r="F1611" s="228"/>
      <c r="G1611" s="225"/>
      <c r="H1611" s="220"/>
    </row>
    <row r="1612" spans="6:8">
      <c r="F1612" s="228"/>
      <c r="G1612" s="225"/>
      <c r="H1612" s="220"/>
    </row>
    <row r="1613" spans="6:8">
      <c r="F1613" s="228"/>
      <c r="G1613" s="225"/>
      <c r="H1613" s="220"/>
    </row>
    <row r="1614" spans="6:8">
      <c r="F1614" s="228"/>
      <c r="G1614" s="225"/>
      <c r="H1614" s="220"/>
    </row>
    <row r="1615" spans="6:8">
      <c r="F1615" s="228"/>
      <c r="G1615" s="225"/>
      <c r="H1615" s="220"/>
    </row>
    <row r="1616" spans="6:8">
      <c r="F1616" s="228"/>
      <c r="G1616" s="225"/>
      <c r="H1616" s="220"/>
    </row>
    <row r="1617" spans="6:8">
      <c r="F1617" s="228"/>
      <c r="G1617" s="225"/>
      <c r="H1617" s="220"/>
    </row>
    <row r="1618" spans="6:8">
      <c r="F1618" s="228"/>
      <c r="G1618" s="225"/>
      <c r="H1618" s="220"/>
    </row>
    <row r="1619" spans="6:8">
      <c r="F1619" s="228"/>
      <c r="G1619" s="225"/>
      <c r="H1619" s="220"/>
    </row>
    <row r="1620" spans="6:8">
      <c r="F1620" s="228"/>
      <c r="G1620" s="225"/>
      <c r="H1620" s="220"/>
    </row>
    <row r="1621" spans="6:8">
      <c r="F1621" s="228"/>
      <c r="G1621" s="225"/>
      <c r="H1621" s="220"/>
    </row>
    <row r="1622" spans="6:8">
      <c r="F1622" s="228"/>
      <c r="G1622" s="225"/>
      <c r="H1622" s="220"/>
    </row>
    <row r="1623" spans="6:8">
      <c r="F1623" s="228"/>
      <c r="G1623" s="225"/>
      <c r="H1623" s="220"/>
    </row>
    <row r="1624" spans="6:8">
      <c r="F1624" s="228"/>
      <c r="G1624" s="225"/>
      <c r="H1624" s="220"/>
    </row>
    <row r="1625" spans="6:8">
      <c r="F1625" s="228"/>
      <c r="G1625" s="225"/>
      <c r="H1625" s="220"/>
    </row>
    <row r="1626" spans="6:8">
      <c r="F1626" s="228"/>
      <c r="G1626" s="225"/>
      <c r="H1626" s="220"/>
    </row>
    <row r="1627" spans="6:8">
      <c r="F1627" s="228"/>
      <c r="G1627" s="225"/>
      <c r="H1627" s="220"/>
    </row>
    <row r="1628" spans="6:8">
      <c r="F1628" s="228"/>
      <c r="G1628" s="225"/>
      <c r="H1628" s="220"/>
    </row>
    <row r="1629" spans="6:8">
      <c r="F1629" s="228"/>
      <c r="G1629" s="225"/>
      <c r="H1629" s="220"/>
    </row>
    <row r="1630" spans="6:8">
      <c r="F1630" s="228"/>
      <c r="G1630" s="225"/>
      <c r="H1630" s="220"/>
    </row>
    <row r="1631" spans="6:8">
      <c r="F1631" s="228"/>
      <c r="G1631" s="225"/>
      <c r="H1631" s="220"/>
    </row>
    <row r="1632" spans="6:8">
      <c r="F1632" s="228"/>
      <c r="G1632" s="225"/>
      <c r="H1632" s="220"/>
    </row>
    <row r="1633" spans="6:8">
      <c r="F1633" s="228"/>
      <c r="G1633" s="225"/>
      <c r="H1633" s="220"/>
    </row>
    <row r="1634" spans="6:8">
      <c r="F1634" s="228"/>
      <c r="G1634" s="225"/>
      <c r="H1634" s="220"/>
    </row>
    <row r="1635" spans="6:8">
      <c r="F1635" s="228"/>
      <c r="G1635" s="225"/>
      <c r="H1635" s="220"/>
    </row>
    <row r="1636" spans="6:8">
      <c r="F1636" s="228"/>
      <c r="G1636" s="225"/>
      <c r="H1636" s="220"/>
    </row>
    <row r="1637" spans="6:8">
      <c r="F1637" s="228"/>
      <c r="G1637" s="225"/>
      <c r="H1637" s="220"/>
    </row>
    <row r="1638" spans="6:8">
      <c r="F1638" s="228"/>
      <c r="G1638" s="225"/>
      <c r="H1638" s="220"/>
    </row>
    <row r="1639" spans="6:8">
      <c r="F1639" s="228"/>
      <c r="G1639" s="225"/>
      <c r="H1639" s="220"/>
    </row>
    <row r="1640" spans="6:8">
      <c r="F1640" s="228"/>
      <c r="G1640" s="225"/>
      <c r="H1640" s="220"/>
    </row>
    <row r="1641" spans="6:8">
      <c r="F1641" s="228"/>
      <c r="G1641" s="225"/>
      <c r="H1641" s="220"/>
    </row>
    <row r="1642" spans="6:8">
      <c r="F1642" s="228"/>
      <c r="G1642" s="225"/>
      <c r="H1642" s="220"/>
    </row>
    <row r="1643" spans="6:8">
      <c r="F1643" s="228"/>
      <c r="G1643" s="225"/>
      <c r="H1643" s="220"/>
    </row>
    <row r="1644" spans="6:8">
      <c r="F1644" s="228"/>
      <c r="G1644" s="225"/>
      <c r="H1644" s="220"/>
    </row>
    <row r="1645" spans="6:8">
      <c r="F1645" s="228"/>
      <c r="G1645" s="225"/>
      <c r="H1645" s="220"/>
    </row>
    <row r="1646" spans="6:8">
      <c r="F1646" s="228"/>
      <c r="G1646" s="225"/>
      <c r="H1646" s="220"/>
    </row>
    <row r="1647" spans="6:8">
      <c r="F1647" s="228"/>
      <c r="G1647" s="225"/>
      <c r="H1647" s="220"/>
    </row>
    <row r="1648" spans="6:8">
      <c r="F1648" s="228"/>
      <c r="G1648" s="225"/>
      <c r="H1648" s="220"/>
    </row>
    <row r="1649" spans="6:8">
      <c r="F1649" s="228"/>
      <c r="G1649" s="225"/>
      <c r="H1649" s="220"/>
    </row>
    <row r="1650" spans="6:8">
      <c r="F1650" s="228"/>
      <c r="G1650" s="225"/>
      <c r="H1650" s="220"/>
    </row>
    <row r="1651" spans="6:8">
      <c r="F1651" s="228"/>
      <c r="G1651" s="225"/>
      <c r="H1651" s="220"/>
    </row>
    <row r="1652" spans="6:8">
      <c r="F1652" s="228"/>
      <c r="G1652" s="225"/>
      <c r="H1652" s="220"/>
    </row>
    <row r="1653" spans="6:8">
      <c r="F1653" s="228"/>
      <c r="G1653" s="225"/>
      <c r="H1653" s="220"/>
    </row>
    <row r="1654" spans="6:8">
      <c r="F1654" s="228"/>
      <c r="G1654" s="225"/>
      <c r="H1654" s="220"/>
    </row>
    <row r="1655" spans="6:8">
      <c r="F1655" s="228"/>
      <c r="G1655" s="225"/>
      <c r="H1655" s="220"/>
    </row>
    <row r="1656" spans="6:8">
      <c r="F1656" s="228"/>
      <c r="G1656" s="225"/>
      <c r="H1656" s="220"/>
    </row>
    <row r="1657" spans="6:8">
      <c r="F1657" s="228"/>
      <c r="G1657" s="225"/>
      <c r="H1657" s="220"/>
    </row>
    <row r="1658" spans="6:8">
      <c r="F1658" s="228"/>
      <c r="G1658" s="225"/>
      <c r="H1658" s="220"/>
    </row>
    <row r="1659" spans="6:8">
      <c r="F1659" s="228"/>
      <c r="G1659" s="225"/>
      <c r="H1659" s="220"/>
    </row>
    <row r="1660" spans="6:8">
      <c r="F1660" s="228"/>
      <c r="G1660" s="225"/>
      <c r="H1660" s="220"/>
    </row>
    <row r="1661" spans="6:8">
      <c r="F1661" s="228"/>
      <c r="G1661" s="225"/>
      <c r="H1661" s="220"/>
    </row>
    <row r="1662" spans="6:8">
      <c r="F1662" s="228"/>
      <c r="G1662" s="225"/>
      <c r="H1662" s="220"/>
    </row>
    <row r="1663" spans="6:8">
      <c r="F1663" s="228"/>
      <c r="G1663" s="225"/>
      <c r="H1663" s="220"/>
    </row>
    <row r="1664" spans="6:8">
      <c r="F1664" s="228"/>
      <c r="G1664" s="225"/>
      <c r="H1664" s="220"/>
    </row>
    <row r="1665" spans="6:8">
      <c r="F1665" s="228"/>
      <c r="G1665" s="225"/>
      <c r="H1665" s="220"/>
    </row>
    <row r="1666" spans="6:8">
      <c r="F1666" s="228"/>
      <c r="G1666" s="225"/>
      <c r="H1666" s="220"/>
    </row>
    <row r="1667" spans="6:8">
      <c r="F1667" s="228"/>
      <c r="G1667" s="225"/>
      <c r="H1667" s="220"/>
    </row>
    <row r="1668" spans="6:8">
      <c r="F1668" s="228"/>
      <c r="G1668" s="225"/>
      <c r="H1668" s="220"/>
    </row>
    <row r="1669" spans="6:8">
      <c r="F1669" s="228"/>
      <c r="G1669" s="225"/>
      <c r="H1669" s="220"/>
    </row>
    <row r="1670" spans="6:8">
      <c r="F1670" s="228"/>
      <c r="G1670" s="225"/>
      <c r="H1670" s="220"/>
    </row>
    <row r="1671" spans="6:8">
      <c r="F1671" s="228"/>
      <c r="G1671" s="225"/>
      <c r="H1671" s="220"/>
    </row>
    <row r="1672" spans="6:8">
      <c r="F1672" s="228"/>
      <c r="G1672" s="225"/>
      <c r="H1672" s="220"/>
    </row>
    <row r="1673" spans="6:8">
      <c r="F1673" s="228"/>
      <c r="G1673" s="225"/>
      <c r="H1673" s="220"/>
    </row>
    <row r="1674" spans="6:8">
      <c r="F1674" s="228"/>
      <c r="G1674" s="225"/>
      <c r="H1674" s="220"/>
    </row>
    <row r="1675" spans="6:8">
      <c r="F1675" s="228"/>
      <c r="G1675" s="225"/>
      <c r="H1675" s="220"/>
    </row>
    <row r="1676" spans="6:8">
      <c r="F1676" s="228"/>
      <c r="G1676" s="225"/>
      <c r="H1676" s="220"/>
    </row>
    <row r="1677" spans="6:8">
      <c r="F1677" s="228"/>
      <c r="G1677" s="225"/>
      <c r="H1677" s="220"/>
    </row>
    <row r="1678" spans="6:8">
      <c r="F1678" s="228"/>
      <c r="G1678" s="225"/>
      <c r="H1678" s="220"/>
    </row>
    <row r="1679" spans="6:8">
      <c r="F1679" s="228"/>
      <c r="G1679" s="225"/>
      <c r="H1679" s="220"/>
    </row>
    <row r="1680" spans="6:8">
      <c r="F1680" s="228"/>
      <c r="G1680" s="225"/>
      <c r="H1680" s="220"/>
    </row>
    <row r="1681" spans="6:8">
      <c r="F1681" s="228"/>
      <c r="G1681" s="225"/>
      <c r="H1681" s="220"/>
    </row>
    <row r="1682" spans="6:8">
      <c r="F1682" s="228"/>
      <c r="G1682" s="225"/>
      <c r="H1682" s="220"/>
    </row>
    <row r="1683" spans="6:8">
      <c r="F1683" s="228"/>
      <c r="G1683" s="225"/>
      <c r="H1683" s="220"/>
    </row>
    <row r="1684" spans="6:8">
      <c r="F1684" s="228"/>
      <c r="G1684" s="225"/>
      <c r="H1684" s="220"/>
    </row>
    <row r="1685" spans="6:8">
      <c r="F1685" s="228"/>
      <c r="G1685" s="225"/>
      <c r="H1685" s="220"/>
    </row>
    <row r="1686" spans="6:8">
      <c r="F1686" s="228"/>
      <c r="G1686" s="225"/>
      <c r="H1686" s="220"/>
    </row>
    <row r="1687" spans="6:8">
      <c r="F1687" s="228"/>
      <c r="G1687" s="225"/>
      <c r="H1687" s="220"/>
    </row>
    <row r="1688" spans="6:8">
      <c r="F1688" s="228"/>
      <c r="G1688" s="225"/>
      <c r="H1688" s="220"/>
    </row>
    <row r="1689" spans="6:8">
      <c r="F1689" s="228"/>
      <c r="G1689" s="225"/>
      <c r="H1689" s="220"/>
    </row>
    <row r="1690" spans="6:8">
      <c r="F1690" s="228"/>
      <c r="G1690" s="225"/>
      <c r="H1690" s="220"/>
    </row>
    <row r="1691" spans="6:8">
      <c r="F1691" s="228"/>
      <c r="G1691" s="225"/>
      <c r="H1691" s="220"/>
    </row>
    <row r="1692" spans="6:8">
      <c r="F1692" s="228"/>
      <c r="G1692" s="225"/>
      <c r="H1692" s="220"/>
    </row>
    <row r="1693" spans="6:8">
      <c r="F1693" s="228"/>
      <c r="G1693" s="225"/>
      <c r="H1693" s="220"/>
    </row>
    <row r="1694" spans="6:8">
      <c r="F1694" s="228"/>
      <c r="G1694" s="225"/>
      <c r="H1694" s="220"/>
    </row>
    <row r="1695" spans="6:8">
      <c r="F1695" s="228"/>
      <c r="G1695" s="225"/>
      <c r="H1695" s="220"/>
    </row>
    <row r="1696" spans="6:8">
      <c r="F1696" s="228"/>
      <c r="G1696" s="225"/>
      <c r="H1696" s="220"/>
    </row>
    <row r="1697" spans="6:8">
      <c r="F1697" s="228"/>
      <c r="G1697" s="225"/>
      <c r="H1697" s="220"/>
    </row>
    <row r="1698" spans="6:8">
      <c r="F1698" s="228"/>
      <c r="G1698" s="225"/>
      <c r="H1698" s="220"/>
    </row>
    <row r="1699" spans="6:8">
      <c r="F1699" s="228"/>
      <c r="G1699" s="225"/>
      <c r="H1699" s="220"/>
    </row>
    <row r="1700" spans="6:8">
      <c r="F1700" s="228"/>
      <c r="G1700" s="225"/>
      <c r="H1700" s="220"/>
    </row>
    <row r="1701" spans="6:8">
      <c r="F1701" s="228"/>
      <c r="G1701" s="225"/>
      <c r="H1701" s="220"/>
    </row>
    <row r="1702" spans="6:8">
      <c r="F1702" s="228"/>
      <c r="G1702" s="225"/>
      <c r="H1702" s="220"/>
    </row>
    <row r="1703" spans="6:8">
      <c r="F1703" s="228"/>
      <c r="G1703" s="225"/>
      <c r="H1703" s="220"/>
    </row>
    <row r="1704" spans="6:8">
      <c r="F1704" s="228"/>
      <c r="G1704" s="225"/>
      <c r="H1704" s="220"/>
    </row>
    <row r="1705" spans="6:8">
      <c r="F1705" s="228"/>
      <c r="G1705" s="225"/>
      <c r="H1705" s="220"/>
    </row>
    <row r="1706" spans="6:8">
      <c r="F1706" s="228"/>
      <c r="G1706" s="225"/>
      <c r="H1706" s="220"/>
    </row>
    <row r="1707" spans="6:8">
      <c r="F1707" s="228"/>
      <c r="G1707" s="225"/>
      <c r="H1707" s="220"/>
    </row>
    <row r="1708" spans="6:8">
      <c r="F1708" s="228"/>
      <c r="G1708" s="225"/>
      <c r="H1708" s="220"/>
    </row>
    <row r="1709" spans="6:8">
      <c r="F1709" s="228"/>
      <c r="G1709" s="225"/>
      <c r="H1709" s="220"/>
    </row>
    <row r="1710" spans="6:8">
      <c r="F1710" s="228"/>
      <c r="G1710" s="225"/>
      <c r="H1710" s="220"/>
    </row>
    <row r="1711" spans="6:8">
      <c r="F1711" s="228"/>
      <c r="G1711" s="225"/>
      <c r="H1711" s="220"/>
    </row>
    <row r="1712" spans="6:8">
      <c r="F1712" s="228"/>
      <c r="G1712" s="225"/>
      <c r="H1712" s="220"/>
    </row>
    <row r="1713" spans="6:8">
      <c r="F1713" s="228"/>
      <c r="G1713" s="225"/>
      <c r="H1713" s="220"/>
    </row>
    <row r="1714" spans="6:8">
      <c r="F1714" s="228"/>
      <c r="G1714" s="225"/>
      <c r="H1714" s="220"/>
    </row>
    <row r="1715" spans="6:8">
      <c r="F1715" s="228"/>
      <c r="G1715" s="225"/>
      <c r="H1715" s="220"/>
    </row>
    <row r="1716" spans="6:8">
      <c r="F1716" s="228"/>
      <c r="G1716" s="225"/>
      <c r="H1716" s="220"/>
    </row>
    <row r="1717" spans="6:8">
      <c r="F1717" s="228"/>
      <c r="G1717" s="225"/>
      <c r="H1717" s="220"/>
    </row>
    <row r="1718" spans="6:8">
      <c r="F1718" s="228"/>
      <c r="G1718" s="225"/>
      <c r="H1718" s="220"/>
    </row>
    <row r="1719" spans="6:8">
      <c r="F1719" s="228"/>
      <c r="G1719" s="225"/>
      <c r="H1719" s="220"/>
    </row>
    <row r="1720" spans="6:8">
      <c r="F1720" s="228"/>
      <c r="G1720" s="225"/>
      <c r="H1720" s="220"/>
    </row>
    <row r="1721" spans="6:8">
      <c r="F1721" s="228"/>
      <c r="G1721" s="225"/>
      <c r="H1721" s="220"/>
    </row>
    <row r="1722" spans="6:8">
      <c r="F1722" s="228"/>
      <c r="G1722" s="225"/>
      <c r="H1722" s="220"/>
    </row>
    <row r="1723" spans="6:8">
      <c r="F1723" s="228"/>
      <c r="G1723" s="225"/>
      <c r="H1723" s="220"/>
    </row>
    <row r="1724" spans="6:8">
      <c r="F1724" s="228"/>
      <c r="G1724" s="225"/>
      <c r="H1724" s="220"/>
    </row>
    <row r="1725" spans="6:8">
      <c r="F1725" s="228"/>
      <c r="G1725" s="225"/>
      <c r="H1725" s="220"/>
    </row>
    <row r="1726" spans="6:8">
      <c r="F1726" s="228"/>
      <c r="G1726" s="225"/>
      <c r="H1726" s="220"/>
    </row>
    <row r="1727" spans="6:8">
      <c r="F1727" s="228"/>
      <c r="G1727" s="225"/>
      <c r="H1727" s="220"/>
    </row>
    <row r="1728" spans="6:8">
      <c r="F1728" s="228"/>
      <c r="G1728" s="225"/>
      <c r="H1728" s="220"/>
    </row>
    <row r="1729" spans="6:8">
      <c r="F1729" s="228"/>
      <c r="G1729" s="225"/>
      <c r="H1729" s="220"/>
    </row>
    <row r="1730" spans="6:8">
      <c r="F1730" s="228"/>
      <c r="G1730" s="225"/>
      <c r="H1730" s="220"/>
    </row>
    <row r="1731" spans="6:8">
      <c r="F1731" s="228"/>
      <c r="G1731" s="225"/>
      <c r="H1731" s="220"/>
    </row>
    <row r="1732" spans="6:8">
      <c r="F1732" s="228"/>
      <c r="G1732" s="225"/>
      <c r="H1732" s="220"/>
    </row>
    <row r="1733" spans="6:8">
      <c r="F1733" s="228"/>
      <c r="G1733" s="225"/>
      <c r="H1733" s="220"/>
    </row>
    <row r="1734" spans="6:8">
      <c r="F1734" s="228"/>
      <c r="G1734" s="225"/>
      <c r="H1734" s="220"/>
    </row>
    <row r="1735" spans="6:8">
      <c r="F1735" s="228"/>
      <c r="G1735" s="225"/>
      <c r="H1735" s="220"/>
    </row>
    <row r="1736" spans="6:8">
      <c r="F1736" s="228"/>
      <c r="G1736" s="225"/>
      <c r="H1736" s="220"/>
    </row>
    <row r="1737" spans="6:8">
      <c r="F1737" s="228"/>
      <c r="G1737" s="225"/>
      <c r="H1737" s="220"/>
    </row>
    <row r="1738" spans="6:8">
      <c r="F1738" s="228"/>
      <c r="G1738" s="225"/>
      <c r="H1738" s="220"/>
    </row>
    <row r="1739" spans="6:8">
      <c r="F1739" s="228"/>
      <c r="G1739" s="225"/>
      <c r="H1739" s="220"/>
    </row>
    <row r="1740" spans="6:8">
      <c r="F1740" s="228"/>
      <c r="G1740" s="225"/>
      <c r="H1740" s="220"/>
    </row>
    <row r="1741" spans="6:8">
      <c r="F1741" s="228"/>
      <c r="G1741" s="225"/>
      <c r="H1741" s="220"/>
    </row>
    <row r="1742" spans="6:8">
      <c r="F1742" s="228"/>
      <c r="G1742" s="225"/>
      <c r="H1742" s="220"/>
    </row>
    <row r="1743" spans="6:8">
      <c r="F1743" s="228"/>
      <c r="G1743" s="225"/>
      <c r="H1743" s="220"/>
    </row>
    <row r="1744" spans="6:8">
      <c r="F1744" s="228"/>
      <c r="G1744" s="225"/>
      <c r="H1744" s="220"/>
    </row>
    <row r="1745" spans="6:8">
      <c r="F1745" s="228"/>
      <c r="G1745" s="225"/>
      <c r="H1745" s="220"/>
    </row>
    <row r="1746" spans="6:8">
      <c r="F1746" s="228"/>
      <c r="G1746" s="225"/>
      <c r="H1746" s="220"/>
    </row>
    <row r="1747" spans="6:8">
      <c r="F1747" s="228"/>
      <c r="G1747" s="225"/>
      <c r="H1747" s="220"/>
    </row>
    <row r="1748" spans="6:8">
      <c r="F1748" s="228"/>
      <c r="G1748" s="225"/>
      <c r="H1748" s="220"/>
    </row>
    <row r="1749" spans="6:8">
      <c r="F1749" s="228"/>
      <c r="G1749" s="225"/>
      <c r="H1749" s="220"/>
    </row>
    <row r="1750" spans="6:8">
      <c r="F1750" s="228"/>
      <c r="G1750" s="225"/>
      <c r="H1750" s="220"/>
    </row>
    <row r="1751" spans="6:8">
      <c r="F1751" s="228"/>
      <c r="G1751" s="225"/>
      <c r="H1751" s="220"/>
    </row>
    <row r="1752" spans="6:8">
      <c r="F1752" s="228"/>
      <c r="G1752" s="225"/>
      <c r="H1752" s="220"/>
    </row>
    <row r="1753" spans="6:8">
      <c r="F1753" s="228"/>
      <c r="G1753" s="225"/>
      <c r="H1753" s="220"/>
    </row>
    <row r="1754" spans="6:8">
      <c r="F1754" s="228"/>
      <c r="G1754" s="225"/>
      <c r="H1754" s="220"/>
    </row>
    <row r="1755" spans="6:8">
      <c r="F1755" s="228"/>
      <c r="G1755" s="225"/>
      <c r="H1755" s="220"/>
    </row>
    <row r="1756" spans="6:8">
      <c r="F1756" s="228"/>
      <c r="G1756" s="225"/>
      <c r="H1756" s="220"/>
    </row>
    <row r="1757" spans="6:8">
      <c r="F1757" s="228"/>
      <c r="G1757" s="225"/>
      <c r="H1757" s="220"/>
    </row>
    <row r="1758" spans="6:8">
      <c r="F1758" s="228"/>
      <c r="G1758" s="225"/>
      <c r="H1758" s="220"/>
    </row>
    <row r="1759" spans="6:8">
      <c r="F1759" s="228"/>
      <c r="G1759" s="225"/>
      <c r="H1759" s="220"/>
    </row>
    <row r="1760" spans="6:8">
      <c r="F1760" s="228"/>
      <c r="G1760" s="225"/>
      <c r="H1760" s="220"/>
    </row>
    <row r="1761" spans="6:8">
      <c r="F1761" s="228"/>
      <c r="G1761" s="225"/>
      <c r="H1761" s="220"/>
    </row>
    <row r="1762" spans="6:8">
      <c r="F1762" s="228"/>
      <c r="G1762" s="225"/>
      <c r="H1762" s="220"/>
    </row>
    <row r="1763" spans="6:8">
      <c r="F1763" s="228"/>
      <c r="G1763" s="225"/>
      <c r="H1763" s="220"/>
    </row>
    <row r="1764" spans="6:8">
      <c r="F1764" s="228"/>
      <c r="G1764" s="225"/>
      <c r="H1764" s="220"/>
    </row>
    <row r="1765" spans="6:8">
      <c r="F1765" s="228"/>
      <c r="G1765" s="225"/>
      <c r="H1765" s="220"/>
    </row>
    <row r="1766" spans="6:8">
      <c r="F1766" s="228"/>
      <c r="G1766" s="225"/>
      <c r="H1766" s="220"/>
    </row>
    <row r="1767" spans="6:8">
      <c r="F1767" s="228"/>
      <c r="G1767" s="225"/>
      <c r="H1767" s="220"/>
    </row>
    <row r="1768" spans="6:8">
      <c r="F1768" s="228"/>
      <c r="G1768" s="225"/>
      <c r="H1768" s="220"/>
    </row>
    <row r="1769" spans="6:8">
      <c r="F1769" s="228"/>
      <c r="G1769" s="225"/>
      <c r="H1769" s="220"/>
    </row>
    <row r="1770" spans="6:8">
      <c r="F1770" s="228"/>
      <c r="G1770" s="225"/>
      <c r="H1770" s="220"/>
    </row>
    <row r="1771" spans="6:8">
      <c r="F1771" s="228"/>
      <c r="G1771" s="225"/>
      <c r="H1771" s="220"/>
    </row>
    <row r="1772" spans="6:8">
      <c r="F1772" s="228"/>
      <c r="G1772" s="225"/>
      <c r="H1772" s="220"/>
    </row>
    <row r="1773" spans="6:8">
      <c r="F1773" s="228"/>
      <c r="G1773" s="225"/>
      <c r="H1773" s="220"/>
    </row>
    <row r="1774" spans="6:8">
      <c r="F1774" s="228"/>
      <c r="G1774" s="225"/>
      <c r="H1774" s="220"/>
    </row>
    <row r="1775" spans="6:8">
      <c r="F1775" s="228"/>
      <c r="G1775" s="225"/>
      <c r="H1775" s="220"/>
    </row>
    <row r="1776" spans="6:8">
      <c r="F1776" s="228"/>
      <c r="G1776" s="225"/>
      <c r="H1776" s="220"/>
    </row>
    <row r="1777" spans="6:8">
      <c r="F1777" s="228"/>
      <c r="G1777" s="225"/>
      <c r="H1777" s="220"/>
    </row>
    <row r="1778" spans="6:8">
      <c r="F1778" s="228"/>
      <c r="G1778" s="225"/>
      <c r="H1778" s="220"/>
    </row>
    <row r="1779" spans="6:8">
      <c r="F1779" s="228"/>
      <c r="G1779" s="225"/>
      <c r="H1779" s="220"/>
    </row>
    <row r="1780" spans="6:8">
      <c r="F1780" s="228"/>
      <c r="G1780" s="225"/>
      <c r="H1780" s="220"/>
    </row>
    <row r="1781" spans="6:8">
      <c r="F1781" s="228"/>
      <c r="G1781" s="225"/>
      <c r="H1781" s="220"/>
    </row>
    <row r="1782" spans="6:8">
      <c r="F1782" s="228"/>
      <c r="G1782" s="225"/>
      <c r="H1782" s="220"/>
    </row>
    <row r="1783" spans="6:8">
      <c r="F1783" s="228"/>
      <c r="G1783" s="225"/>
      <c r="H1783" s="220"/>
    </row>
    <row r="1784" spans="6:8">
      <c r="F1784" s="228"/>
      <c r="G1784" s="225"/>
      <c r="H1784" s="220"/>
    </row>
    <row r="1785" spans="6:8">
      <c r="F1785" s="228"/>
      <c r="G1785" s="225"/>
      <c r="H1785" s="220"/>
    </row>
    <row r="1786" spans="6:8">
      <c r="F1786" s="228"/>
      <c r="G1786" s="225"/>
      <c r="H1786" s="220"/>
    </row>
    <row r="1787" spans="6:8">
      <c r="F1787" s="228"/>
      <c r="G1787" s="225"/>
      <c r="H1787" s="220"/>
    </row>
    <row r="1788" spans="6:8">
      <c r="F1788" s="228"/>
      <c r="G1788" s="225"/>
      <c r="H1788" s="220"/>
    </row>
    <row r="1789" spans="6:8">
      <c r="F1789" s="228"/>
      <c r="G1789" s="225"/>
      <c r="H1789" s="220"/>
    </row>
    <row r="1790" spans="6:8">
      <c r="F1790" s="228"/>
      <c r="G1790" s="225"/>
      <c r="H1790" s="220"/>
    </row>
    <row r="1791" spans="6:8">
      <c r="F1791" s="228"/>
      <c r="G1791" s="225"/>
      <c r="H1791" s="220"/>
    </row>
    <row r="1792" spans="6:8">
      <c r="F1792" s="228"/>
      <c r="G1792" s="225"/>
      <c r="H1792" s="220"/>
    </row>
    <row r="1793" spans="6:8">
      <c r="F1793" s="228"/>
      <c r="G1793" s="225"/>
      <c r="H1793" s="220"/>
    </row>
    <row r="1794" spans="6:8">
      <c r="F1794" s="228"/>
      <c r="G1794" s="225"/>
      <c r="H1794" s="220"/>
    </row>
    <row r="1795" spans="6:8">
      <c r="F1795" s="228"/>
      <c r="G1795" s="225"/>
      <c r="H1795" s="220"/>
    </row>
    <row r="1796" spans="6:8">
      <c r="F1796" s="228"/>
      <c r="G1796" s="225"/>
      <c r="H1796" s="220"/>
    </row>
    <row r="1797" spans="6:8">
      <c r="F1797" s="228"/>
      <c r="G1797" s="225"/>
      <c r="H1797" s="220"/>
    </row>
    <row r="1798" spans="6:8">
      <c r="F1798" s="228"/>
      <c r="G1798" s="225"/>
      <c r="H1798" s="220"/>
    </row>
    <row r="1799" spans="6:8">
      <c r="F1799" s="228"/>
      <c r="G1799" s="225"/>
      <c r="H1799" s="220"/>
    </row>
    <row r="1800" spans="6:8">
      <c r="F1800" s="228"/>
      <c r="G1800" s="225"/>
      <c r="H1800" s="220"/>
    </row>
    <row r="1801" spans="6:8">
      <c r="F1801" s="228"/>
      <c r="G1801" s="225"/>
      <c r="H1801" s="220"/>
    </row>
    <row r="1802" spans="6:8">
      <c r="F1802" s="228"/>
      <c r="G1802" s="225"/>
      <c r="H1802" s="220"/>
    </row>
    <row r="1803" spans="6:8">
      <c r="F1803" s="228"/>
      <c r="G1803" s="225"/>
      <c r="H1803" s="220"/>
    </row>
    <row r="1804" spans="6:8">
      <c r="F1804" s="228"/>
      <c r="G1804" s="225"/>
      <c r="H1804" s="220"/>
    </row>
    <row r="1805" spans="6:8">
      <c r="F1805" s="228"/>
      <c r="G1805" s="225"/>
      <c r="H1805" s="220"/>
    </row>
    <row r="1806" spans="6:8">
      <c r="F1806" s="228"/>
      <c r="G1806" s="225"/>
      <c r="H1806" s="220"/>
    </row>
    <row r="1807" spans="6:8">
      <c r="F1807" s="228"/>
      <c r="G1807" s="225"/>
      <c r="H1807" s="220"/>
    </row>
    <row r="1808" spans="6:8">
      <c r="F1808" s="228"/>
      <c r="G1808" s="225"/>
      <c r="H1808" s="220"/>
    </row>
    <row r="1809" spans="6:8">
      <c r="F1809" s="228"/>
      <c r="G1809" s="225"/>
      <c r="H1809" s="220"/>
    </row>
    <row r="1810" spans="6:8">
      <c r="F1810" s="228"/>
      <c r="G1810" s="225"/>
      <c r="H1810" s="220"/>
    </row>
    <row r="1811" spans="6:8">
      <c r="F1811" s="228"/>
      <c r="G1811" s="225"/>
      <c r="H1811" s="220"/>
    </row>
    <row r="1812" spans="6:8">
      <c r="F1812" s="228"/>
      <c r="G1812" s="225"/>
      <c r="H1812" s="220"/>
    </row>
    <row r="1813" spans="6:8">
      <c r="F1813" s="228"/>
      <c r="G1813" s="225"/>
      <c r="H1813" s="220"/>
    </row>
    <row r="1814" spans="6:8">
      <c r="F1814" s="228"/>
      <c r="G1814" s="225"/>
      <c r="H1814" s="220"/>
    </row>
    <row r="1815" spans="6:8">
      <c r="F1815" s="228"/>
      <c r="G1815" s="225"/>
      <c r="H1815" s="220"/>
    </row>
    <row r="1816" spans="6:8">
      <c r="F1816" s="228"/>
      <c r="G1816" s="225"/>
      <c r="H1816" s="220"/>
    </row>
    <row r="1817" spans="6:8">
      <c r="F1817" s="228"/>
      <c r="G1817" s="225"/>
      <c r="H1817" s="220"/>
    </row>
    <row r="1818" spans="6:8">
      <c r="F1818" s="228"/>
      <c r="G1818" s="225"/>
      <c r="H1818" s="220"/>
    </row>
    <row r="1819" spans="6:8">
      <c r="F1819" s="228"/>
      <c r="G1819" s="225"/>
      <c r="H1819" s="220"/>
    </row>
    <row r="1820" spans="6:8">
      <c r="F1820" s="228"/>
      <c r="G1820" s="225"/>
      <c r="H1820" s="220"/>
    </row>
    <row r="1821" spans="6:8">
      <c r="F1821" s="228"/>
      <c r="G1821" s="225"/>
      <c r="H1821" s="220"/>
    </row>
    <row r="1822" spans="6:8">
      <c r="F1822" s="228"/>
      <c r="G1822" s="225"/>
      <c r="H1822" s="220"/>
    </row>
    <row r="1823" spans="6:8">
      <c r="F1823" s="228"/>
      <c r="G1823" s="225"/>
      <c r="H1823" s="220"/>
    </row>
    <row r="1824" spans="6:8">
      <c r="F1824" s="228"/>
      <c r="G1824" s="225"/>
      <c r="H1824" s="220"/>
    </row>
    <row r="1825" spans="6:8">
      <c r="F1825" s="228"/>
      <c r="G1825" s="225"/>
      <c r="H1825" s="220"/>
    </row>
    <row r="1826" spans="6:8">
      <c r="F1826" s="228"/>
      <c r="G1826" s="225"/>
      <c r="H1826" s="220"/>
    </row>
    <row r="1827" spans="6:8">
      <c r="F1827" s="228"/>
      <c r="G1827" s="225"/>
      <c r="H1827" s="220"/>
    </row>
    <row r="1828" spans="6:8">
      <c r="F1828" s="228"/>
      <c r="G1828" s="225"/>
      <c r="H1828" s="220"/>
    </row>
    <row r="1829" spans="6:8">
      <c r="F1829" s="228"/>
      <c r="G1829" s="225"/>
      <c r="H1829" s="220"/>
    </row>
    <row r="1830" spans="6:8">
      <c r="F1830" s="228"/>
      <c r="G1830" s="225"/>
      <c r="H1830" s="220"/>
    </row>
    <row r="1831" spans="6:8">
      <c r="F1831" s="228"/>
      <c r="G1831" s="225"/>
      <c r="H1831" s="220"/>
    </row>
    <row r="1832" spans="6:8">
      <c r="F1832" s="228"/>
      <c r="G1832" s="225"/>
      <c r="H1832" s="220"/>
    </row>
    <row r="1833" spans="6:8">
      <c r="F1833" s="228"/>
      <c r="G1833" s="225"/>
      <c r="H1833" s="220"/>
    </row>
    <row r="1834" spans="6:8">
      <c r="F1834" s="228"/>
      <c r="G1834" s="225"/>
      <c r="H1834" s="220"/>
    </row>
    <row r="1835" spans="6:8">
      <c r="F1835" s="228"/>
      <c r="G1835" s="225"/>
      <c r="H1835" s="220"/>
    </row>
    <row r="1836" spans="6:8">
      <c r="F1836" s="228"/>
      <c r="G1836" s="225"/>
      <c r="H1836" s="220"/>
    </row>
    <row r="1837" spans="6:8">
      <c r="F1837" s="228"/>
      <c r="G1837" s="225"/>
      <c r="H1837" s="220"/>
    </row>
    <row r="1838" spans="6:8">
      <c r="F1838" s="228"/>
      <c r="G1838" s="225"/>
      <c r="H1838" s="220"/>
    </row>
    <row r="1839" spans="6:8">
      <c r="F1839" s="228"/>
      <c r="G1839" s="225"/>
      <c r="H1839" s="220"/>
    </row>
    <row r="1840" spans="6:8">
      <c r="F1840" s="228"/>
      <c r="G1840" s="225"/>
      <c r="H1840" s="220"/>
    </row>
    <row r="1841" spans="6:8">
      <c r="F1841" s="228"/>
      <c r="G1841" s="225"/>
      <c r="H1841" s="220"/>
    </row>
    <row r="1842" spans="6:8">
      <c r="F1842" s="228"/>
      <c r="G1842" s="225"/>
      <c r="H1842" s="220"/>
    </row>
    <row r="1843" spans="6:8">
      <c r="F1843" s="228"/>
      <c r="G1843" s="225"/>
      <c r="H1843" s="220"/>
    </row>
    <row r="1844" spans="6:8">
      <c r="F1844" s="228"/>
      <c r="G1844" s="225"/>
      <c r="H1844" s="220"/>
    </row>
    <row r="1845" spans="6:8">
      <c r="F1845" s="228"/>
      <c r="G1845" s="225"/>
      <c r="H1845" s="220"/>
    </row>
    <row r="1846" spans="6:8">
      <c r="F1846" s="228"/>
      <c r="G1846" s="225"/>
      <c r="H1846" s="220"/>
    </row>
    <row r="1847" spans="6:8">
      <c r="F1847" s="228"/>
      <c r="G1847" s="225"/>
      <c r="H1847" s="220"/>
    </row>
    <row r="1848" spans="6:8">
      <c r="F1848" s="228"/>
      <c r="G1848" s="225"/>
      <c r="H1848" s="220"/>
    </row>
    <row r="1849" spans="6:8">
      <c r="F1849" s="228"/>
      <c r="G1849" s="225"/>
      <c r="H1849" s="220"/>
    </row>
    <row r="1850" spans="6:8">
      <c r="F1850" s="228"/>
      <c r="G1850" s="225"/>
      <c r="H1850" s="220"/>
    </row>
    <row r="1851" spans="6:8">
      <c r="F1851" s="228"/>
      <c r="G1851" s="225"/>
      <c r="H1851" s="220"/>
    </row>
    <row r="1852" spans="6:8">
      <c r="F1852" s="228"/>
      <c r="G1852" s="225"/>
      <c r="H1852" s="220"/>
    </row>
    <row r="1853" spans="6:8">
      <c r="F1853" s="228"/>
      <c r="G1853" s="225"/>
      <c r="H1853" s="220"/>
    </row>
    <row r="1854" spans="6:8">
      <c r="F1854" s="228"/>
      <c r="G1854" s="225"/>
      <c r="H1854" s="220"/>
    </row>
    <row r="1855" spans="6:8">
      <c r="F1855" s="228"/>
      <c r="G1855" s="225"/>
      <c r="H1855" s="220"/>
    </row>
    <row r="1856" spans="6:8">
      <c r="F1856" s="228"/>
      <c r="G1856" s="225"/>
      <c r="H1856" s="220"/>
    </row>
    <row r="1857" spans="6:8">
      <c r="F1857" s="228"/>
      <c r="G1857" s="225"/>
      <c r="H1857" s="220"/>
    </row>
    <row r="1858" spans="6:8">
      <c r="F1858" s="228"/>
      <c r="G1858" s="225"/>
      <c r="H1858" s="220"/>
    </row>
    <row r="1859" spans="6:8">
      <c r="F1859" s="228"/>
      <c r="G1859" s="225"/>
      <c r="H1859" s="220"/>
    </row>
    <row r="1860" spans="6:8">
      <c r="F1860" s="228"/>
      <c r="G1860" s="225"/>
      <c r="H1860" s="220"/>
    </row>
    <row r="1861" spans="6:8">
      <c r="F1861" s="228"/>
      <c r="G1861" s="225"/>
      <c r="H1861" s="220"/>
    </row>
    <row r="1862" spans="6:8">
      <c r="F1862" s="228"/>
      <c r="G1862" s="225"/>
      <c r="H1862" s="220"/>
    </row>
    <row r="1863" spans="6:8">
      <c r="F1863" s="228"/>
      <c r="G1863" s="225"/>
      <c r="H1863" s="220"/>
    </row>
    <row r="1864" spans="6:8">
      <c r="F1864" s="228"/>
      <c r="G1864" s="225"/>
      <c r="H1864" s="220"/>
    </row>
    <row r="1865" spans="6:8">
      <c r="F1865" s="228"/>
      <c r="G1865" s="225"/>
      <c r="H1865" s="220"/>
    </row>
    <row r="1866" spans="6:8">
      <c r="F1866" s="228"/>
      <c r="G1866" s="225"/>
      <c r="H1866" s="220"/>
    </row>
    <row r="1867" spans="6:8">
      <c r="F1867" s="228"/>
      <c r="G1867" s="225"/>
      <c r="H1867" s="220"/>
    </row>
    <row r="1868" spans="6:8">
      <c r="F1868" s="228"/>
      <c r="G1868" s="225"/>
      <c r="H1868" s="220"/>
    </row>
    <row r="1869" spans="6:8">
      <c r="F1869" s="228"/>
      <c r="G1869" s="225"/>
      <c r="H1869" s="220"/>
    </row>
    <row r="1870" spans="6:8">
      <c r="F1870" s="228"/>
      <c r="G1870" s="225"/>
      <c r="H1870" s="220"/>
    </row>
    <row r="1871" spans="6:8">
      <c r="F1871" s="228"/>
      <c r="G1871" s="225"/>
      <c r="H1871" s="220"/>
    </row>
    <row r="1872" spans="6:8">
      <c r="F1872" s="228"/>
      <c r="G1872" s="225"/>
      <c r="H1872" s="220"/>
    </row>
    <row r="1873" spans="6:8">
      <c r="F1873" s="228"/>
      <c r="G1873" s="225"/>
      <c r="H1873" s="220"/>
    </row>
    <row r="1874" spans="6:8">
      <c r="F1874" s="228"/>
      <c r="G1874" s="225"/>
      <c r="H1874" s="220"/>
    </row>
    <row r="1875" spans="6:8">
      <c r="F1875" s="228"/>
      <c r="G1875" s="225"/>
      <c r="H1875" s="220"/>
    </row>
    <row r="1876" spans="6:8">
      <c r="F1876" s="228"/>
      <c r="G1876" s="225"/>
      <c r="H1876" s="220"/>
    </row>
    <row r="1877" spans="6:8">
      <c r="F1877" s="228"/>
      <c r="G1877" s="225"/>
      <c r="H1877" s="220"/>
    </row>
    <row r="1878" spans="6:8">
      <c r="F1878" s="228"/>
      <c r="G1878" s="225"/>
      <c r="H1878" s="220"/>
    </row>
    <row r="1879" spans="6:8">
      <c r="F1879" s="228"/>
      <c r="G1879" s="225"/>
      <c r="H1879" s="220"/>
    </row>
    <row r="1880" spans="6:8">
      <c r="F1880" s="228"/>
      <c r="G1880" s="225"/>
      <c r="H1880" s="220"/>
    </row>
    <row r="1881" spans="6:8">
      <c r="F1881" s="228"/>
      <c r="G1881" s="225"/>
      <c r="H1881" s="220"/>
    </row>
    <row r="1882" spans="6:8">
      <c r="F1882" s="228"/>
      <c r="G1882" s="225"/>
      <c r="H1882" s="220"/>
    </row>
    <row r="1883" spans="6:8">
      <c r="F1883" s="228"/>
      <c r="G1883" s="225"/>
      <c r="H1883" s="220"/>
    </row>
    <row r="1884" spans="6:8">
      <c r="F1884" s="228"/>
      <c r="G1884" s="225"/>
      <c r="H1884" s="220"/>
    </row>
    <row r="1885" spans="6:8">
      <c r="F1885" s="228"/>
      <c r="G1885" s="225"/>
      <c r="H1885" s="220"/>
    </row>
    <row r="1886" spans="6:8">
      <c r="F1886" s="228"/>
      <c r="G1886" s="225"/>
      <c r="H1886" s="220"/>
    </row>
    <row r="1887" spans="6:8">
      <c r="F1887" s="228"/>
      <c r="G1887" s="225"/>
      <c r="H1887" s="220"/>
    </row>
    <row r="1888" spans="6:8">
      <c r="F1888" s="228"/>
      <c r="G1888" s="225"/>
      <c r="H1888" s="220"/>
    </row>
    <row r="1889" spans="6:8">
      <c r="F1889" s="228"/>
      <c r="G1889" s="225"/>
      <c r="H1889" s="220"/>
    </row>
    <row r="1890" spans="6:8">
      <c r="F1890" s="228"/>
      <c r="G1890" s="225"/>
      <c r="H1890" s="220"/>
    </row>
    <row r="1891" spans="6:8">
      <c r="F1891" s="228"/>
      <c r="G1891" s="225"/>
      <c r="H1891" s="220"/>
    </row>
    <row r="1892" spans="6:8">
      <c r="F1892" s="228"/>
      <c r="G1892" s="225"/>
      <c r="H1892" s="220"/>
    </row>
    <row r="1893" spans="6:8">
      <c r="F1893" s="228"/>
      <c r="G1893" s="225"/>
      <c r="H1893" s="220"/>
    </row>
    <row r="1894" spans="6:8">
      <c r="F1894" s="228"/>
      <c r="G1894" s="225"/>
      <c r="H1894" s="220"/>
    </row>
    <row r="1895" spans="6:8">
      <c r="F1895" s="228"/>
      <c r="G1895" s="225"/>
      <c r="H1895" s="220"/>
    </row>
    <row r="1896" spans="6:8">
      <c r="F1896" s="228"/>
      <c r="G1896" s="225"/>
      <c r="H1896" s="220"/>
    </row>
    <row r="1897" spans="6:8">
      <c r="F1897" s="228"/>
      <c r="G1897" s="225"/>
      <c r="H1897" s="220"/>
    </row>
    <row r="1898" spans="6:8">
      <c r="F1898" s="228"/>
      <c r="G1898" s="225"/>
      <c r="H1898" s="220"/>
    </row>
    <row r="1899" spans="6:8">
      <c r="F1899" s="228"/>
      <c r="G1899" s="225"/>
      <c r="H1899" s="220"/>
    </row>
    <row r="1900" spans="6:8">
      <c r="F1900" s="228"/>
      <c r="G1900" s="225"/>
      <c r="H1900" s="220"/>
    </row>
    <row r="1901" spans="6:8">
      <c r="F1901" s="228"/>
      <c r="G1901" s="225"/>
      <c r="H1901" s="220"/>
    </row>
    <row r="1902" spans="6:8">
      <c r="F1902" s="228"/>
      <c r="G1902" s="225"/>
      <c r="H1902" s="220"/>
    </row>
    <row r="1903" spans="6:8">
      <c r="F1903" s="228"/>
      <c r="G1903" s="225"/>
      <c r="H1903" s="220"/>
    </row>
    <row r="1904" spans="6:8">
      <c r="F1904" s="228"/>
      <c r="G1904" s="225"/>
      <c r="H1904" s="220"/>
    </row>
    <row r="1905" spans="6:8">
      <c r="F1905" s="228"/>
      <c r="G1905" s="225"/>
      <c r="H1905" s="220"/>
    </row>
    <row r="1906" spans="6:8">
      <c r="F1906" s="228"/>
      <c r="G1906" s="225"/>
      <c r="H1906" s="220"/>
    </row>
    <row r="1907" spans="6:8">
      <c r="F1907" s="228"/>
      <c r="G1907" s="225"/>
      <c r="H1907" s="220"/>
    </row>
    <row r="1908" spans="6:8">
      <c r="F1908" s="228"/>
      <c r="G1908" s="225"/>
      <c r="H1908" s="220"/>
    </row>
    <row r="1909" spans="6:8">
      <c r="F1909" s="228"/>
      <c r="G1909" s="225"/>
      <c r="H1909" s="220"/>
    </row>
    <row r="1910" spans="6:8">
      <c r="F1910" s="228"/>
      <c r="G1910" s="225"/>
      <c r="H1910" s="220"/>
    </row>
    <row r="1911" spans="6:8">
      <c r="F1911" s="228"/>
      <c r="G1911" s="225"/>
      <c r="H1911" s="220"/>
    </row>
    <row r="1912" spans="6:8">
      <c r="F1912" s="228"/>
      <c r="G1912" s="225"/>
      <c r="H1912" s="220"/>
    </row>
    <row r="1913" spans="6:8">
      <c r="F1913" s="228"/>
      <c r="G1913" s="225"/>
      <c r="H1913" s="220"/>
    </row>
    <row r="1914" spans="6:8">
      <c r="F1914" s="228"/>
      <c r="G1914" s="225"/>
      <c r="H1914" s="220"/>
    </row>
    <row r="1915" spans="6:8">
      <c r="F1915" s="228"/>
      <c r="G1915" s="225"/>
      <c r="H1915" s="220"/>
    </row>
    <row r="1916" spans="6:8">
      <c r="F1916" s="228"/>
      <c r="G1916" s="225"/>
      <c r="H1916" s="220"/>
    </row>
    <row r="1917" spans="6:8">
      <c r="F1917" s="228"/>
      <c r="G1917" s="225"/>
      <c r="H1917" s="220"/>
    </row>
    <row r="1918" spans="6:8">
      <c r="F1918" s="228"/>
      <c r="G1918" s="225"/>
      <c r="H1918" s="220"/>
    </row>
    <row r="1919" spans="6:8">
      <c r="F1919" s="228"/>
      <c r="G1919" s="225"/>
      <c r="H1919" s="220"/>
    </row>
    <row r="1920" spans="6:8">
      <c r="F1920" s="228"/>
      <c r="G1920" s="225"/>
      <c r="H1920" s="220"/>
    </row>
    <row r="1921" spans="6:8">
      <c r="F1921" s="228"/>
      <c r="G1921" s="225"/>
      <c r="H1921" s="220"/>
    </row>
    <row r="1922" spans="6:8">
      <c r="F1922" s="228"/>
      <c r="G1922" s="225"/>
      <c r="H1922" s="220"/>
    </row>
    <row r="1923" spans="6:8">
      <c r="F1923" s="228"/>
      <c r="G1923" s="225"/>
      <c r="H1923" s="220"/>
    </row>
    <row r="1924" spans="6:8">
      <c r="F1924" s="228"/>
      <c r="G1924" s="225"/>
      <c r="H1924" s="220"/>
    </row>
    <row r="1925" spans="6:8">
      <c r="F1925" s="228"/>
      <c r="G1925" s="225"/>
      <c r="H1925" s="220"/>
    </row>
    <row r="1926" spans="6:8">
      <c r="F1926" s="228"/>
      <c r="G1926" s="225"/>
      <c r="H1926" s="220"/>
    </row>
    <row r="1927" spans="6:8">
      <c r="F1927" s="228"/>
      <c r="G1927" s="225"/>
      <c r="H1927" s="220"/>
    </row>
    <row r="1928" spans="6:8">
      <c r="F1928" s="228"/>
      <c r="G1928" s="225"/>
      <c r="H1928" s="220"/>
    </row>
    <row r="1929" spans="6:8">
      <c r="F1929" s="228"/>
      <c r="G1929" s="225"/>
      <c r="H1929" s="220"/>
    </row>
    <row r="1930" spans="6:8">
      <c r="F1930" s="228"/>
      <c r="G1930" s="225"/>
      <c r="H1930" s="220"/>
    </row>
    <row r="1931" spans="6:8">
      <c r="F1931" s="228"/>
      <c r="G1931" s="225"/>
      <c r="H1931" s="220"/>
    </row>
    <row r="1932" spans="6:8">
      <c r="F1932" s="228"/>
      <c r="G1932" s="225"/>
      <c r="H1932" s="220"/>
    </row>
    <row r="1933" spans="6:8">
      <c r="F1933" s="228"/>
      <c r="G1933" s="225"/>
      <c r="H1933" s="220"/>
    </row>
    <row r="1934" spans="6:8">
      <c r="F1934" s="228"/>
      <c r="G1934" s="225"/>
      <c r="H1934" s="220"/>
    </row>
    <row r="1935" spans="6:8">
      <c r="F1935" s="228"/>
      <c r="G1935" s="225"/>
      <c r="H1935" s="220"/>
    </row>
    <row r="1936" spans="6:8">
      <c r="F1936" s="228"/>
      <c r="G1936" s="225"/>
      <c r="H1936" s="220"/>
    </row>
    <row r="1937" spans="6:8">
      <c r="F1937" s="228"/>
      <c r="G1937" s="225"/>
      <c r="H1937" s="220"/>
    </row>
    <row r="1938" spans="6:8">
      <c r="F1938" s="228"/>
      <c r="G1938" s="225"/>
      <c r="H1938" s="220"/>
    </row>
    <row r="1939" spans="6:8">
      <c r="F1939" s="228"/>
      <c r="G1939" s="225"/>
      <c r="H1939" s="220"/>
    </row>
    <row r="1940" spans="6:8">
      <c r="F1940" s="228"/>
      <c r="G1940" s="225"/>
      <c r="H1940" s="220"/>
    </row>
    <row r="1941" spans="6:8">
      <c r="F1941" s="228"/>
      <c r="G1941" s="225"/>
      <c r="H1941" s="220"/>
    </row>
    <row r="1942" spans="6:8">
      <c r="F1942" s="228"/>
      <c r="G1942" s="225"/>
      <c r="H1942" s="220"/>
    </row>
    <row r="1943" spans="6:8">
      <c r="F1943" s="228"/>
      <c r="G1943" s="225"/>
      <c r="H1943" s="220"/>
    </row>
    <row r="1944" spans="6:8">
      <c r="F1944" s="228"/>
      <c r="G1944" s="225"/>
      <c r="H1944" s="220"/>
    </row>
    <row r="1945" spans="6:8">
      <c r="F1945" s="228"/>
      <c r="G1945" s="225"/>
      <c r="H1945" s="220"/>
    </row>
    <row r="1946" spans="6:8">
      <c r="F1946" s="228"/>
      <c r="G1946" s="225"/>
      <c r="H1946" s="220"/>
    </row>
    <row r="1947" spans="6:8">
      <c r="F1947" s="228"/>
      <c r="G1947" s="225"/>
      <c r="H1947" s="220"/>
    </row>
    <row r="1948" spans="6:8">
      <c r="F1948" s="228"/>
      <c r="G1948" s="225"/>
      <c r="H1948" s="220"/>
    </row>
    <row r="1949" spans="6:8">
      <c r="F1949" s="228"/>
      <c r="G1949" s="225"/>
      <c r="H1949" s="220"/>
    </row>
    <row r="1950" spans="6:8">
      <c r="F1950" s="228"/>
      <c r="G1950" s="225"/>
      <c r="H1950" s="220"/>
    </row>
    <row r="1951" spans="6:8">
      <c r="F1951" s="228"/>
      <c r="G1951" s="225"/>
      <c r="H1951" s="220"/>
    </row>
    <row r="1952" spans="6:8">
      <c r="F1952" s="228"/>
      <c r="G1952" s="225"/>
      <c r="H1952" s="220"/>
    </row>
    <row r="1953" spans="6:8">
      <c r="F1953" s="228"/>
      <c r="G1953" s="225"/>
      <c r="H1953" s="220"/>
    </row>
    <row r="1954" spans="6:8">
      <c r="F1954" s="228"/>
      <c r="G1954" s="225"/>
      <c r="H1954" s="220"/>
    </row>
    <row r="1955" spans="6:8">
      <c r="F1955" s="228"/>
      <c r="G1955" s="225"/>
      <c r="H1955" s="220"/>
    </row>
    <row r="1956" spans="6:8">
      <c r="F1956" s="228"/>
      <c r="G1956" s="225"/>
      <c r="H1956" s="220"/>
    </row>
    <row r="1957" spans="6:8">
      <c r="F1957" s="228"/>
      <c r="G1957" s="225"/>
      <c r="H1957" s="220"/>
    </row>
    <row r="1958" spans="6:8">
      <c r="F1958" s="228"/>
      <c r="G1958" s="225"/>
      <c r="H1958" s="220"/>
    </row>
    <row r="1959" spans="6:8">
      <c r="F1959" s="228"/>
      <c r="G1959" s="225"/>
      <c r="H1959" s="220"/>
    </row>
    <row r="1960" spans="6:8">
      <c r="F1960" s="228"/>
      <c r="G1960" s="225"/>
      <c r="H1960" s="220"/>
    </row>
    <row r="1961" spans="6:8">
      <c r="F1961" s="228"/>
      <c r="G1961" s="225"/>
      <c r="H1961" s="220"/>
    </row>
    <row r="1962" spans="6:8">
      <c r="F1962" s="228"/>
      <c r="G1962" s="225"/>
      <c r="H1962" s="220"/>
    </row>
    <row r="1963" spans="6:8">
      <c r="F1963" s="228"/>
      <c r="G1963" s="225"/>
      <c r="H1963" s="220"/>
    </row>
    <row r="1964" spans="6:8">
      <c r="F1964" s="228"/>
      <c r="G1964" s="225"/>
      <c r="H1964" s="220"/>
    </row>
    <row r="1965" spans="6:8">
      <c r="F1965" s="228"/>
      <c r="G1965" s="225"/>
      <c r="H1965" s="220"/>
    </row>
    <row r="1966" spans="6:8">
      <c r="F1966" s="228"/>
      <c r="G1966" s="225"/>
      <c r="H1966" s="220"/>
    </row>
    <row r="1967" spans="6:8">
      <c r="F1967" s="228"/>
      <c r="G1967" s="225"/>
      <c r="H1967" s="220"/>
    </row>
    <row r="1968" spans="6:8">
      <c r="F1968" s="228"/>
      <c r="G1968" s="225"/>
      <c r="H1968" s="220"/>
    </row>
    <row r="1969" spans="6:8">
      <c r="F1969" s="228"/>
      <c r="G1969" s="225"/>
      <c r="H1969" s="220"/>
    </row>
    <row r="1970" spans="6:8">
      <c r="F1970" s="228"/>
      <c r="G1970" s="225"/>
      <c r="H1970" s="220"/>
    </row>
    <row r="1971" spans="6:8">
      <c r="F1971" s="228"/>
      <c r="G1971" s="225"/>
      <c r="H1971" s="220"/>
    </row>
    <row r="1972" spans="6:8">
      <c r="F1972" s="228"/>
      <c r="G1972" s="225"/>
      <c r="H1972" s="220"/>
    </row>
    <row r="1973" spans="6:8">
      <c r="F1973" s="228"/>
      <c r="G1973" s="225"/>
      <c r="H1973" s="220"/>
    </row>
    <row r="1974" spans="6:8">
      <c r="F1974" s="228"/>
      <c r="G1974" s="225"/>
      <c r="H1974" s="220"/>
    </row>
    <row r="1975" spans="6:8">
      <c r="F1975" s="228"/>
      <c r="G1975" s="225"/>
      <c r="H1975" s="220"/>
    </row>
    <row r="1976" spans="6:8">
      <c r="F1976" s="228"/>
      <c r="G1976" s="225"/>
      <c r="H1976" s="220"/>
    </row>
    <row r="1977" spans="6:8">
      <c r="F1977" s="228"/>
      <c r="G1977" s="225"/>
      <c r="H1977" s="220"/>
    </row>
    <row r="1978" spans="6:8">
      <c r="F1978" s="228"/>
      <c r="G1978" s="225"/>
      <c r="H1978" s="220"/>
    </row>
    <row r="1979" spans="6:8">
      <c r="F1979" s="228"/>
      <c r="G1979" s="225"/>
      <c r="H1979" s="220"/>
    </row>
    <row r="1980" spans="6:8">
      <c r="F1980" s="228"/>
      <c r="G1980" s="225"/>
      <c r="H1980" s="220"/>
    </row>
    <row r="1981" spans="6:8">
      <c r="F1981" s="228"/>
      <c r="G1981" s="225"/>
      <c r="H1981" s="220"/>
    </row>
    <row r="1982" spans="6:8">
      <c r="F1982" s="228"/>
      <c r="G1982" s="225"/>
      <c r="H1982" s="220"/>
    </row>
    <row r="1983" spans="6:8">
      <c r="F1983" s="228"/>
      <c r="G1983" s="225"/>
      <c r="H1983" s="220"/>
    </row>
    <row r="1984" spans="6:8">
      <c r="F1984" s="228"/>
      <c r="G1984" s="225"/>
      <c r="H1984" s="220"/>
    </row>
    <row r="1985" spans="6:8">
      <c r="F1985" s="228"/>
      <c r="G1985" s="225"/>
      <c r="H1985" s="220"/>
    </row>
    <row r="1986" spans="6:8">
      <c r="F1986" s="228"/>
      <c r="G1986" s="225"/>
      <c r="H1986" s="220"/>
    </row>
    <row r="1987" spans="6:8">
      <c r="F1987" s="228"/>
      <c r="G1987" s="225"/>
      <c r="H1987" s="220"/>
    </row>
    <row r="1988" spans="6:8">
      <c r="F1988" s="228"/>
      <c r="G1988" s="225"/>
      <c r="H1988" s="220"/>
    </row>
    <row r="1989" spans="6:8">
      <c r="F1989" s="228"/>
      <c r="G1989" s="225"/>
      <c r="H1989" s="220"/>
    </row>
    <row r="1990" spans="6:8">
      <c r="F1990" s="228"/>
      <c r="G1990" s="225"/>
      <c r="H1990" s="220"/>
    </row>
    <row r="1991" spans="6:8">
      <c r="F1991" s="228"/>
      <c r="G1991" s="225"/>
      <c r="H1991" s="220"/>
    </row>
    <row r="1992" spans="6:8">
      <c r="F1992" s="228"/>
      <c r="G1992" s="225"/>
      <c r="H1992" s="220"/>
    </row>
    <row r="1993" spans="6:8">
      <c r="F1993" s="228"/>
      <c r="G1993" s="225"/>
      <c r="H1993" s="220"/>
    </row>
    <row r="1994" spans="6:8">
      <c r="F1994" s="228"/>
      <c r="G1994" s="225"/>
      <c r="H1994" s="220"/>
    </row>
    <row r="1995" spans="6:8">
      <c r="F1995" s="228"/>
      <c r="G1995" s="225"/>
      <c r="H1995" s="220"/>
    </row>
    <row r="1996" spans="6:8">
      <c r="F1996" s="228"/>
      <c r="G1996" s="225"/>
      <c r="H1996" s="220"/>
    </row>
    <row r="1997" spans="6:8">
      <c r="F1997" s="228"/>
      <c r="G1997" s="225"/>
      <c r="H1997" s="220"/>
    </row>
    <row r="1998" spans="6:8">
      <c r="F1998" s="228"/>
      <c r="G1998" s="225"/>
      <c r="H1998" s="220"/>
    </row>
    <row r="1999" spans="6:8">
      <c r="F1999" s="228"/>
      <c r="G1999" s="225"/>
      <c r="H1999" s="220"/>
    </row>
    <row r="2000" spans="6:8">
      <c r="F2000" s="228"/>
      <c r="G2000" s="225"/>
      <c r="H2000" s="220"/>
    </row>
  </sheetData>
  <mergeCells count="2">
    <mergeCell ref="A2:P2"/>
    <mergeCell ref="B4:D4"/>
  </mergeCells>
  <phoneticPr fontId="0" type="noConversion"/>
  <printOptions horizontalCentered="1" gridLines="1"/>
  <pageMargins left="0.39370078740157483" right="0.39370078740157483" top="0.39370078740157483" bottom="0.39370078740157483" header="0" footer="0"/>
  <pageSetup paperSize="9" scale="39" fitToHeight="0" orientation="portrait" errors="blank" r:id="rId1"/>
  <headerFooter scaleWithDoc="0">
    <oddHeader>&amp;L&amp;F&amp;CPage&amp;P&amp;R&amp;D</oddHeader>
  </headerFooter>
  <colBreaks count="1" manualBreakCount="1">
    <brk id="16" max="1048575" man="1"/>
  </colBreak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-0.249977111117893"/>
  </sheetPr>
  <dimension ref="A2:N14"/>
  <sheetViews>
    <sheetView zoomScale="80" zoomScaleNormal="80" workbookViewId="0">
      <pane xSplit="3" ySplit="3" topLeftCell="D4" activePane="bottomRight" state="frozen"/>
      <selection activeCell="J45" sqref="J45"/>
      <selection pane="topRight" activeCell="J45" sqref="J45"/>
      <selection pane="bottomLeft" activeCell="J45" sqref="J45"/>
      <selection pane="bottomRight" activeCell="C29" sqref="C29"/>
    </sheetView>
  </sheetViews>
  <sheetFormatPr defaultRowHeight="12"/>
  <cols>
    <col min="1" max="1" width="3.85546875" style="48" customWidth="1"/>
    <col min="2" max="2" width="8.28515625" style="48" bestFit="1" customWidth="1"/>
    <col min="3" max="3" width="18" style="48" bestFit="1" customWidth="1"/>
    <col min="4" max="4" width="12.85546875" style="48" bestFit="1" customWidth="1"/>
    <col min="5" max="5" width="75" style="48" bestFit="1" customWidth="1"/>
    <col min="6" max="6" width="12.28515625" style="48" bestFit="1" customWidth="1"/>
    <col min="7" max="7" width="15.85546875" style="49" bestFit="1" customWidth="1"/>
    <col min="8" max="8" width="9.85546875" style="50" customWidth="1"/>
    <col min="9" max="9" width="8.42578125" style="48" bestFit="1" customWidth="1"/>
    <col min="10" max="10" width="12.42578125" style="51" bestFit="1" customWidth="1"/>
    <col min="11" max="11" width="18.85546875" style="48" bestFit="1" customWidth="1"/>
    <col min="12" max="12" width="12.85546875" style="48" customWidth="1"/>
    <col min="13" max="13" width="19" style="48" bestFit="1" customWidth="1"/>
    <col min="14" max="14" width="13.28515625" style="50" customWidth="1"/>
    <col min="15" max="16384" width="9.140625" style="52"/>
  </cols>
  <sheetData>
    <row r="2" spans="1:14" s="53" customFormat="1" ht="36">
      <c r="A2" s="1" t="s">
        <v>0</v>
      </c>
      <c r="B2" s="3" t="s">
        <v>4</v>
      </c>
      <c r="C2" s="3" t="s">
        <v>5</v>
      </c>
      <c r="D2" s="2" t="s">
        <v>6</v>
      </c>
      <c r="E2" s="2" t="s">
        <v>7</v>
      </c>
      <c r="F2" s="4" t="s">
        <v>8</v>
      </c>
      <c r="G2" s="3" t="s">
        <v>9</v>
      </c>
      <c r="H2" s="5" t="s">
        <v>10</v>
      </c>
      <c r="I2" s="6" t="s">
        <v>11</v>
      </c>
      <c r="J2" s="7" t="s">
        <v>12</v>
      </c>
      <c r="K2" s="8" t="s">
        <v>1</v>
      </c>
      <c r="L2" s="9" t="s">
        <v>22</v>
      </c>
      <c r="M2" s="44" t="s">
        <v>2</v>
      </c>
      <c r="N2" s="45" t="s">
        <v>3</v>
      </c>
    </row>
    <row r="3" spans="1:14" s="53" customFormat="1" ht="25.5" customHeight="1">
      <c r="A3" s="1"/>
      <c r="B3" s="3"/>
      <c r="C3" s="3"/>
      <c r="D3" s="2"/>
      <c r="E3" s="2"/>
      <c r="F3" s="4"/>
      <c r="G3" s="3"/>
      <c r="H3" s="54">
        <f>SUBTOTAL(9,H7:H9)</f>
        <v>0</v>
      </c>
      <c r="I3" s="6"/>
      <c r="J3" s="7"/>
      <c r="K3" s="8"/>
      <c r="L3" s="9"/>
      <c r="M3" s="46"/>
      <c r="N3" s="47"/>
    </row>
    <row r="4" spans="1:14" s="55" customFormat="1">
      <c r="A4" s="10"/>
      <c r="B4" s="56"/>
      <c r="C4" s="56"/>
      <c r="D4" s="56"/>
      <c r="E4" s="56"/>
      <c r="F4" s="56"/>
      <c r="G4" s="60"/>
      <c r="H4" s="61"/>
      <c r="I4" s="11"/>
      <c r="J4" s="12"/>
      <c r="K4" s="13"/>
      <c r="L4" s="14"/>
      <c r="M4" s="62"/>
      <c r="N4" s="63"/>
    </row>
    <row r="5" spans="1:14" s="55" customFormat="1">
      <c r="A5" s="10"/>
      <c r="B5" s="56"/>
      <c r="C5" s="56"/>
      <c r="D5" s="56"/>
      <c r="E5" s="56"/>
      <c r="F5" s="56"/>
      <c r="G5" s="60"/>
      <c r="H5" s="61"/>
      <c r="I5" s="11"/>
      <c r="J5" s="12"/>
      <c r="K5" s="13"/>
      <c r="L5" s="14"/>
      <c r="M5" s="62"/>
      <c r="N5" s="63"/>
    </row>
    <row r="6" spans="1:14" s="55" customFormat="1">
      <c r="A6" s="10"/>
      <c r="B6" s="56"/>
      <c r="C6" s="56"/>
      <c r="D6" s="56"/>
      <c r="E6" s="56"/>
      <c r="F6" s="56"/>
      <c r="G6" s="60"/>
      <c r="H6" s="61"/>
      <c r="I6" s="11"/>
      <c r="J6" s="12"/>
      <c r="K6" s="13"/>
      <c r="L6" s="14"/>
      <c r="M6" s="62"/>
      <c r="N6" s="63"/>
    </row>
    <row r="7" spans="1:14" s="55" customFormat="1">
      <c r="A7" s="15"/>
      <c r="B7" s="16"/>
      <c r="C7" s="15"/>
      <c r="D7" s="15"/>
      <c r="E7" s="15"/>
      <c r="F7" s="17"/>
      <c r="G7" s="18"/>
      <c r="H7" s="19"/>
      <c r="I7" s="20"/>
      <c r="J7" s="12"/>
      <c r="K7" s="21"/>
      <c r="L7" s="22"/>
      <c r="M7" s="57"/>
      <c r="N7" s="58"/>
    </row>
    <row r="8" spans="1:14" s="55" customFormat="1">
      <c r="A8" s="15"/>
      <c r="B8" s="16"/>
      <c r="C8" s="15"/>
      <c r="D8" s="15"/>
      <c r="E8" s="15"/>
      <c r="F8" s="17"/>
      <c r="G8" s="18"/>
      <c r="H8" s="19"/>
      <c r="I8" s="20"/>
      <c r="J8" s="12"/>
      <c r="K8" s="21"/>
      <c r="L8" s="22"/>
      <c r="M8" s="57"/>
      <c r="N8" s="58"/>
    </row>
    <row r="9" spans="1:14" s="55" customFormat="1">
      <c r="A9" s="278" t="s">
        <v>13</v>
      </c>
      <c r="B9" s="279"/>
      <c r="C9" s="280"/>
      <c r="D9" s="23"/>
      <c r="E9" s="22"/>
      <c r="F9" s="22"/>
      <c r="G9" s="24"/>
      <c r="H9" s="25"/>
      <c r="I9" s="20"/>
      <c r="J9" s="26"/>
      <c r="K9" s="21"/>
      <c r="L9" s="22"/>
      <c r="M9" s="57"/>
      <c r="N9" s="58"/>
    </row>
    <row r="10" spans="1:14" s="59" customFormat="1" ht="30.75" customHeight="1">
      <c r="A10" s="281" t="s">
        <v>14</v>
      </c>
      <c r="B10" s="282"/>
      <c r="C10" s="282"/>
      <c r="D10" s="282"/>
      <c r="E10" s="282"/>
      <c r="F10" s="283"/>
      <c r="G10" s="284"/>
      <c r="H10" s="27">
        <f>SUM(H3:H9)</f>
        <v>0</v>
      </c>
      <c r="I10" s="28"/>
      <c r="J10" s="29"/>
      <c r="K10" s="30">
        <f>SUM(K4:K9)</f>
        <v>0</v>
      </c>
      <c r="L10" s="31"/>
      <c r="M10" s="32"/>
      <c r="N10" s="33">
        <f>SUM(N4:N9)</f>
        <v>0</v>
      </c>
    </row>
    <row r="11" spans="1:14">
      <c r="A11" s="34"/>
      <c r="B11" s="35"/>
      <c r="C11" s="36"/>
      <c r="D11" s="37"/>
      <c r="E11" s="35"/>
      <c r="F11" s="35"/>
      <c r="G11" s="38"/>
      <c r="H11" s="39"/>
      <c r="I11" s="40"/>
      <c r="J11" s="41"/>
      <c r="K11" s="42"/>
      <c r="L11" s="35"/>
    </row>
    <row r="12" spans="1:14">
      <c r="A12" s="34"/>
      <c r="B12" s="35"/>
      <c r="C12" s="36"/>
      <c r="D12" s="37"/>
      <c r="E12" s="35"/>
      <c r="F12" s="35"/>
      <c r="G12" s="38"/>
      <c r="H12" s="39"/>
      <c r="I12" s="40"/>
      <c r="J12" s="41"/>
      <c r="K12" s="42"/>
      <c r="L12" s="35"/>
    </row>
    <row r="13" spans="1:14">
      <c r="A13" s="34"/>
      <c r="B13" s="35"/>
      <c r="C13" s="36"/>
      <c r="D13" s="37"/>
      <c r="E13" s="35"/>
      <c r="F13" s="35"/>
      <c r="G13" s="38"/>
      <c r="H13" s="64"/>
      <c r="I13" s="40"/>
      <c r="J13" s="41"/>
      <c r="K13" s="42"/>
      <c r="L13" s="35"/>
    </row>
    <row r="14" spans="1:14">
      <c r="A14" s="34"/>
      <c r="B14" s="35"/>
      <c r="C14" s="36"/>
      <c r="D14" s="37"/>
      <c r="E14" s="35"/>
      <c r="F14" s="35"/>
      <c r="G14" s="38"/>
      <c r="H14" s="39"/>
      <c r="I14" s="40"/>
      <c r="J14" s="43"/>
      <c r="K14" s="42"/>
      <c r="L14" s="35"/>
    </row>
  </sheetData>
  <autoFilter ref="A3:L3"/>
  <mergeCells count="2">
    <mergeCell ref="A9:C9"/>
    <mergeCell ref="A10:G10"/>
  </mergeCells>
  <phoneticPr fontId="0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Q2000"/>
  <sheetViews>
    <sheetView view="pageBreakPreview" zoomScale="80" zoomScaleNormal="85" zoomScaleSheetLayoutView="80" workbookViewId="0">
      <pane xSplit="10" ySplit="7" topLeftCell="K8" activePane="bottomRight" state="frozen"/>
      <selection pane="topRight" activeCell="K1" sqref="K1"/>
      <selection pane="bottomLeft" activeCell="A8" sqref="A8"/>
      <selection pane="bottomRight" activeCell="H14" sqref="H14"/>
    </sheetView>
  </sheetViews>
  <sheetFormatPr defaultRowHeight="15.75"/>
  <cols>
    <col min="1" max="1" width="6.85546875" style="161" customWidth="1"/>
    <col min="2" max="2" width="12.42578125" style="162" customWidth="1"/>
    <col min="3" max="3" width="12.42578125" style="163" customWidth="1"/>
    <col min="4" max="4" width="23" style="161" customWidth="1"/>
    <col min="5" max="5" width="46.7109375" style="164" bestFit="1" customWidth="1"/>
    <col min="6" max="6" width="18.42578125" style="235" bestFit="1" customWidth="1"/>
    <col min="7" max="7" width="12.85546875" style="165" customWidth="1"/>
    <col min="8" max="8" width="12.42578125" style="166" customWidth="1"/>
    <col min="9" max="9" width="17.42578125" style="167" customWidth="1"/>
    <col min="10" max="10" width="17.42578125" style="168" customWidth="1"/>
    <col min="11" max="11" width="30.85546875" style="169" customWidth="1"/>
    <col min="12" max="12" width="14.85546875" style="165" customWidth="1"/>
    <col min="13" max="13" width="13.7109375" style="170" customWidth="1"/>
    <col min="14" max="14" width="14.85546875" style="171" customWidth="1"/>
    <col min="15" max="15" width="21" style="164" customWidth="1"/>
    <col min="16" max="16" width="14" style="164" customWidth="1"/>
    <col min="17" max="17" width="18.42578125" style="172" bestFit="1" customWidth="1"/>
    <col min="18" max="16384" width="9.140625" style="130"/>
  </cols>
  <sheetData>
    <row r="1" spans="1:17">
      <c r="A1" s="119"/>
      <c r="B1" s="120"/>
      <c r="C1" s="121"/>
      <c r="D1" s="119"/>
      <c r="E1" s="122"/>
      <c r="F1" s="230"/>
      <c r="G1" s="123"/>
      <c r="H1" s="124"/>
      <c r="I1" s="125"/>
      <c r="J1" s="126"/>
      <c r="K1" s="127"/>
      <c r="L1" s="123"/>
      <c r="M1" s="128"/>
      <c r="N1" s="129"/>
      <c r="O1" s="122"/>
      <c r="P1" s="122"/>
      <c r="Q1" s="142"/>
    </row>
    <row r="2" spans="1:17">
      <c r="A2" s="131"/>
      <c r="B2" s="132"/>
      <c r="C2" s="133"/>
      <c r="D2" s="131"/>
      <c r="E2" s="134"/>
      <c r="F2" s="231"/>
      <c r="G2" s="135"/>
      <c r="H2" s="136"/>
      <c r="I2" s="137"/>
      <c r="J2" s="138"/>
      <c r="K2" s="139"/>
      <c r="L2" s="135"/>
      <c r="M2" s="140"/>
      <c r="N2" s="141"/>
      <c r="O2" s="134"/>
      <c r="P2" s="134"/>
      <c r="Q2" s="142"/>
    </row>
    <row r="3" spans="1:17" s="151" customFormat="1" ht="47.25">
      <c r="A3" s="143" t="s">
        <v>0</v>
      </c>
      <c r="B3" s="144" t="s">
        <v>4</v>
      </c>
      <c r="C3" s="145" t="s">
        <v>28</v>
      </c>
      <c r="D3" s="143" t="s">
        <v>6</v>
      </c>
      <c r="E3" s="146" t="s">
        <v>7</v>
      </c>
      <c r="F3" s="143" t="s">
        <v>9</v>
      </c>
      <c r="G3" s="147" t="s">
        <v>10</v>
      </c>
      <c r="H3" s="148" t="s">
        <v>11</v>
      </c>
      <c r="I3" s="149" t="s">
        <v>12</v>
      </c>
      <c r="J3" s="149" t="s">
        <v>1</v>
      </c>
      <c r="K3" s="143" t="s">
        <v>24</v>
      </c>
      <c r="L3" s="147" t="s">
        <v>10</v>
      </c>
      <c r="M3" s="148" t="s">
        <v>11</v>
      </c>
      <c r="N3" s="150" t="s">
        <v>12</v>
      </c>
      <c r="O3" s="148" t="s">
        <v>65</v>
      </c>
      <c r="P3" s="148" t="s">
        <v>66</v>
      </c>
      <c r="Q3" s="150" t="s">
        <v>31</v>
      </c>
    </row>
    <row r="4" spans="1:17" s="156" customFormat="1">
      <c r="A4" s="152"/>
      <c r="B4" s="152"/>
      <c r="C4" s="153"/>
      <c r="D4" s="152"/>
      <c r="E4" s="154"/>
      <c r="F4" s="233"/>
      <c r="G4" s="286" t="s">
        <v>30</v>
      </c>
      <c r="H4" s="286"/>
      <c r="I4" s="286"/>
      <c r="J4" s="286"/>
      <c r="K4" s="286"/>
      <c r="L4" s="285" t="s">
        <v>35</v>
      </c>
      <c r="M4" s="285"/>
      <c r="N4" s="285"/>
      <c r="O4" s="154"/>
      <c r="P4" s="154"/>
      <c r="Q4" s="155"/>
    </row>
    <row r="5" spans="1:17" s="160" customFormat="1">
      <c r="A5" s="157"/>
      <c r="B5" s="158"/>
      <c r="C5" s="159"/>
      <c r="D5" s="157"/>
      <c r="E5" s="154" t="s">
        <v>32</v>
      </c>
      <c r="F5" s="232"/>
      <c r="G5" s="250">
        <f>SUM(G8:G8)</f>
        <v>0</v>
      </c>
      <c r="H5" s="251"/>
      <c r="I5" s="252">
        <f>SUM(I8:I8)</f>
        <v>0</v>
      </c>
      <c r="J5" s="252">
        <f>SUM(J8:J8)</f>
        <v>0</v>
      </c>
      <c r="K5" s="253"/>
      <c r="L5" s="254">
        <f>SUM(L8:L8)</f>
        <v>0</v>
      </c>
      <c r="M5" s="255"/>
      <c r="N5" s="256">
        <f>SUBTOTAL(9,L8:L8)</f>
        <v>0</v>
      </c>
      <c r="O5" s="257"/>
      <c r="P5" s="257"/>
      <c r="Q5" s="258">
        <f>SUBTOTAL(9,L8:L8)</f>
        <v>0</v>
      </c>
    </row>
    <row r="6" spans="1:17" s="160" customFormat="1">
      <c r="A6" s="157"/>
      <c r="B6" s="158"/>
      <c r="C6" s="159"/>
      <c r="D6" s="157"/>
      <c r="E6" s="154" t="s">
        <v>33</v>
      </c>
      <c r="F6" s="232"/>
      <c r="G6" s="250">
        <f>SUBTOTAL(9,G8:G8)</f>
        <v>0</v>
      </c>
      <c r="H6" s="251"/>
      <c r="I6" s="252">
        <f>SUBTOTAL(9,I8:I8)</f>
        <v>0</v>
      </c>
      <c r="J6" s="252">
        <f>SUBTOTAL(9,J8:J8)</f>
        <v>0</v>
      </c>
      <c r="K6" s="253"/>
      <c r="L6" s="254">
        <f>SUBTOTAL(9,L8:L8)</f>
        <v>0</v>
      </c>
      <c r="M6" s="255"/>
      <c r="N6" s="256">
        <f>SUBTOTAL(9,L8:L8)</f>
        <v>0</v>
      </c>
      <c r="O6" s="257"/>
      <c r="P6" s="257"/>
      <c r="Q6" s="258">
        <f>SUBTOTAL(9,L8:L8)</f>
        <v>0</v>
      </c>
    </row>
    <row r="7" spans="1:17" s="160" customFormat="1">
      <c r="A7" s="208" t="s">
        <v>38</v>
      </c>
      <c r="B7" s="209" t="s">
        <v>54</v>
      </c>
      <c r="C7" s="210" t="s">
        <v>42</v>
      </c>
      <c r="D7" s="211" t="s">
        <v>55</v>
      </c>
      <c r="E7" s="212" t="s">
        <v>56</v>
      </c>
      <c r="F7" s="234" t="s">
        <v>57</v>
      </c>
      <c r="G7" s="213" t="s">
        <v>58</v>
      </c>
      <c r="H7" s="211" t="s">
        <v>59</v>
      </c>
      <c r="I7" s="214" t="s">
        <v>60</v>
      </c>
      <c r="J7" s="214" t="s">
        <v>61</v>
      </c>
      <c r="K7" s="212" t="s">
        <v>39</v>
      </c>
      <c r="L7" s="215" t="s">
        <v>62</v>
      </c>
      <c r="M7" s="211" t="s">
        <v>63</v>
      </c>
      <c r="N7" s="216" t="s">
        <v>64</v>
      </c>
      <c r="O7" s="212" t="s">
        <v>46</v>
      </c>
      <c r="P7" s="212" t="s">
        <v>47</v>
      </c>
      <c r="Q7" s="217" t="s">
        <v>48</v>
      </c>
    </row>
    <row r="8" spans="1:17" ht="15">
      <c r="A8" s="267"/>
      <c r="B8" s="268"/>
      <c r="C8" s="269"/>
      <c r="D8" s="269"/>
      <c r="E8" s="269"/>
      <c r="F8" s="268"/>
      <c r="G8" s="270"/>
      <c r="H8" s="271"/>
      <c r="I8" s="272"/>
      <c r="J8" s="272"/>
      <c r="K8" s="269"/>
      <c r="L8" s="273"/>
      <c r="M8" s="274"/>
      <c r="N8" s="275"/>
      <c r="O8" s="269"/>
      <c r="P8" s="269"/>
      <c r="Q8" s="275"/>
    </row>
    <row r="9" spans="1:17" ht="15.95" customHeight="1">
      <c r="A9" s="247" t="s">
        <v>53</v>
      </c>
      <c r="B9" s="247"/>
      <c r="C9" s="247"/>
      <c r="D9" s="247"/>
      <c r="E9" s="247"/>
      <c r="F9" s="247"/>
      <c r="G9" s="245">
        <f>SUBTOTAL(109,Table5[ns1:Quantity])</f>
        <v>0</v>
      </c>
      <c r="H9" s="248"/>
      <c r="I9" s="246">
        <f>SUBTOTAL(109,Table5[ns1:Amount])</f>
        <v>0</v>
      </c>
      <c r="J9" s="246">
        <f>SUBTOTAL(109,Table5[ns1:TotalAmount])</f>
        <v>0</v>
      </c>
      <c r="K9" s="247"/>
      <c r="L9" s="245">
        <f>SUBTOTAL(109,Table5[ns1:OrderQnt])</f>
        <v>0</v>
      </c>
      <c r="M9" s="247"/>
      <c r="N9" s="249">
        <f>SUBTOTAL(109,Table5[ns1:CostAmount])</f>
        <v>0</v>
      </c>
      <c r="O9" s="247"/>
      <c r="P9" s="247"/>
      <c r="Q9" s="249">
        <f>SUBTOTAL(109,Table5[ns1:USDAmount])</f>
        <v>0</v>
      </c>
    </row>
    <row r="10" spans="1:17">
      <c r="H10" s="237"/>
      <c r="I10" s="236"/>
    </row>
    <row r="11" spans="1:17">
      <c r="H11" s="237"/>
      <c r="I11" s="236"/>
    </row>
    <row r="12" spans="1:17">
      <c r="H12" s="237"/>
      <c r="I12" s="236"/>
      <c r="M12" s="173"/>
    </row>
    <row r="13" spans="1:17">
      <c r="H13" s="237"/>
      <c r="I13" s="236"/>
    </row>
    <row r="14" spans="1:17">
      <c r="H14" s="237"/>
      <c r="I14" s="236"/>
    </row>
    <row r="15" spans="1:17">
      <c r="H15" s="237"/>
      <c r="I15" s="236"/>
    </row>
    <row r="16" spans="1:17">
      <c r="H16" s="237"/>
      <c r="I16" s="236"/>
    </row>
    <row r="17" spans="8:9">
      <c r="H17" s="237"/>
      <c r="I17" s="236"/>
    </row>
    <row r="18" spans="8:9">
      <c r="H18" s="237"/>
      <c r="I18" s="236"/>
    </row>
    <row r="19" spans="8:9">
      <c r="H19" s="237"/>
      <c r="I19" s="236"/>
    </row>
    <row r="20" spans="8:9">
      <c r="H20" s="237"/>
      <c r="I20" s="236"/>
    </row>
    <row r="21" spans="8:9">
      <c r="H21" s="237"/>
      <c r="I21" s="236"/>
    </row>
    <row r="22" spans="8:9">
      <c r="H22" s="237"/>
      <c r="I22" s="236"/>
    </row>
    <row r="23" spans="8:9">
      <c r="H23" s="237"/>
      <c r="I23" s="236"/>
    </row>
    <row r="24" spans="8:9">
      <c r="H24" s="237"/>
      <c r="I24" s="236"/>
    </row>
    <row r="25" spans="8:9">
      <c r="H25" s="237"/>
      <c r="I25" s="236"/>
    </row>
    <row r="26" spans="8:9">
      <c r="H26" s="237"/>
      <c r="I26" s="236"/>
    </row>
    <row r="27" spans="8:9">
      <c r="H27" s="237"/>
      <c r="I27" s="236"/>
    </row>
    <row r="28" spans="8:9">
      <c r="H28" s="237"/>
      <c r="I28" s="236"/>
    </row>
    <row r="29" spans="8:9">
      <c r="H29" s="237"/>
      <c r="I29" s="236"/>
    </row>
    <row r="30" spans="8:9">
      <c r="H30" s="237"/>
      <c r="I30" s="236"/>
    </row>
    <row r="31" spans="8:9">
      <c r="H31" s="237"/>
      <c r="I31" s="236"/>
    </row>
    <row r="32" spans="8:9">
      <c r="H32" s="237"/>
      <c r="I32" s="236"/>
    </row>
    <row r="33" spans="8:9">
      <c r="H33" s="237"/>
      <c r="I33" s="236"/>
    </row>
    <row r="34" spans="8:9">
      <c r="H34" s="237"/>
      <c r="I34" s="236"/>
    </row>
    <row r="35" spans="8:9">
      <c r="H35" s="237"/>
      <c r="I35" s="236"/>
    </row>
    <row r="36" spans="8:9">
      <c r="H36" s="237"/>
      <c r="I36" s="236"/>
    </row>
    <row r="37" spans="8:9">
      <c r="H37" s="237"/>
      <c r="I37" s="236"/>
    </row>
    <row r="38" spans="8:9">
      <c r="H38" s="237"/>
      <c r="I38" s="236"/>
    </row>
    <row r="39" spans="8:9">
      <c r="H39" s="237"/>
      <c r="I39" s="236"/>
    </row>
    <row r="40" spans="8:9">
      <c r="H40" s="237"/>
      <c r="I40" s="236"/>
    </row>
    <row r="41" spans="8:9">
      <c r="H41" s="237"/>
      <c r="I41" s="236"/>
    </row>
    <row r="42" spans="8:9">
      <c r="H42" s="237"/>
      <c r="I42" s="236"/>
    </row>
    <row r="43" spans="8:9">
      <c r="H43" s="237"/>
      <c r="I43" s="236"/>
    </row>
    <row r="44" spans="8:9">
      <c r="H44" s="237"/>
      <c r="I44" s="236"/>
    </row>
    <row r="45" spans="8:9">
      <c r="H45" s="237"/>
      <c r="I45" s="236"/>
    </row>
    <row r="46" spans="8:9">
      <c r="H46" s="237"/>
      <c r="I46" s="236"/>
    </row>
    <row r="47" spans="8:9">
      <c r="H47" s="237"/>
      <c r="I47" s="236"/>
    </row>
    <row r="48" spans="8:9">
      <c r="H48" s="237"/>
      <c r="I48" s="236"/>
    </row>
    <row r="49" spans="8:9">
      <c r="H49" s="237"/>
      <c r="I49" s="236"/>
    </row>
    <row r="50" spans="8:9">
      <c r="H50" s="237"/>
      <c r="I50" s="236"/>
    </row>
    <row r="51" spans="8:9">
      <c r="H51" s="237"/>
      <c r="I51" s="236"/>
    </row>
    <row r="52" spans="8:9">
      <c r="H52" s="237"/>
      <c r="I52" s="236"/>
    </row>
    <row r="53" spans="8:9">
      <c r="H53" s="237"/>
      <c r="I53" s="236"/>
    </row>
    <row r="54" spans="8:9">
      <c r="H54" s="237"/>
      <c r="I54" s="236"/>
    </row>
    <row r="55" spans="8:9">
      <c r="H55" s="237"/>
      <c r="I55" s="236"/>
    </row>
    <row r="56" spans="8:9">
      <c r="H56" s="237"/>
      <c r="I56" s="236"/>
    </row>
    <row r="57" spans="8:9">
      <c r="H57" s="237"/>
      <c r="I57" s="236"/>
    </row>
    <row r="58" spans="8:9">
      <c r="H58" s="237"/>
      <c r="I58" s="236"/>
    </row>
    <row r="59" spans="8:9">
      <c r="H59" s="237"/>
      <c r="I59" s="236"/>
    </row>
    <row r="60" spans="8:9">
      <c r="H60" s="237"/>
      <c r="I60" s="236"/>
    </row>
    <row r="61" spans="8:9">
      <c r="H61" s="237"/>
      <c r="I61" s="236"/>
    </row>
    <row r="62" spans="8:9">
      <c r="H62" s="237"/>
      <c r="I62" s="236"/>
    </row>
    <row r="63" spans="8:9">
      <c r="H63" s="237"/>
      <c r="I63" s="236"/>
    </row>
    <row r="64" spans="8:9">
      <c r="H64" s="237"/>
      <c r="I64" s="236"/>
    </row>
    <row r="65" spans="8:9">
      <c r="H65" s="237"/>
      <c r="I65" s="236"/>
    </row>
    <row r="66" spans="8:9">
      <c r="H66" s="237"/>
      <c r="I66" s="236"/>
    </row>
    <row r="67" spans="8:9">
      <c r="H67" s="237"/>
      <c r="I67" s="236"/>
    </row>
    <row r="68" spans="8:9">
      <c r="H68" s="237"/>
      <c r="I68" s="236"/>
    </row>
    <row r="69" spans="8:9">
      <c r="H69" s="237"/>
      <c r="I69" s="236"/>
    </row>
    <row r="70" spans="8:9">
      <c r="H70" s="237"/>
      <c r="I70" s="236"/>
    </row>
    <row r="71" spans="8:9">
      <c r="H71" s="237"/>
      <c r="I71" s="236"/>
    </row>
    <row r="72" spans="8:9">
      <c r="H72" s="237"/>
      <c r="I72" s="236"/>
    </row>
    <row r="73" spans="8:9">
      <c r="H73" s="237"/>
      <c r="I73" s="236"/>
    </row>
    <row r="74" spans="8:9">
      <c r="H74" s="237"/>
      <c r="I74" s="236"/>
    </row>
    <row r="75" spans="8:9">
      <c r="H75" s="237"/>
      <c r="I75" s="236"/>
    </row>
    <row r="76" spans="8:9">
      <c r="H76" s="237"/>
      <c r="I76" s="236"/>
    </row>
    <row r="77" spans="8:9">
      <c r="H77" s="237"/>
      <c r="I77" s="236"/>
    </row>
    <row r="78" spans="8:9">
      <c r="H78" s="237"/>
      <c r="I78" s="236"/>
    </row>
    <row r="79" spans="8:9">
      <c r="H79" s="237"/>
      <c r="I79" s="236"/>
    </row>
    <row r="80" spans="8:9">
      <c r="H80" s="237"/>
      <c r="I80" s="236"/>
    </row>
    <row r="81" spans="8:9">
      <c r="H81" s="237"/>
      <c r="I81" s="236"/>
    </row>
    <row r="82" spans="8:9">
      <c r="H82" s="237"/>
      <c r="I82" s="236"/>
    </row>
    <row r="83" spans="8:9">
      <c r="H83" s="237"/>
      <c r="I83" s="236"/>
    </row>
    <row r="84" spans="8:9">
      <c r="H84" s="237"/>
      <c r="I84" s="236"/>
    </row>
    <row r="85" spans="8:9">
      <c r="H85" s="237"/>
      <c r="I85" s="236"/>
    </row>
    <row r="86" spans="8:9">
      <c r="H86" s="237"/>
      <c r="I86" s="236"/>
    </row>
    <row r="87" spans="8:9">
      <c r="H87" s="237"/>
      <c r="I87" s="236"/>
    </row>
    <row r="88" spans="8:9">
      <c r="H88" s="237"/>
      <c r="I88" s="236"/>
    </row>
    <row r="89" spans="8:9">
      <c r="H89" s="237"/>
      <c r="I89" s="236"/>
    </row>
    <row r="90" spans="8:9">
      <c r="H90" s="237"/>
      <c r="I90" s="236"/>
    </row>
    <row r="91" spans="8:9">
      <c r="H91" s="237"/>
      <c r="I91" s="236"/>
    </row>
    <row r="92" spans="8:9">
      <c r="H92" s="237"/>
      <c r="I92" s="236"/>
    </row>
    <row r="93" spans="8:9">
      <c r="H93" s="237"/>
      <c r="I93" s="236"/>
    </row>
    <row r="94" spans="8:9">
      <c r="H94" s="237"/>
      <c r="I94" s="236"/>
    </row>
    <row r="95" spans="8:9">
      <c r="H95" s="237"/>
      <c r="I95" s="236"/>
    </row>
    <row r="96" spans="8:9">
      <c r="H96" s="237"/>
      <c r="I96" s="236"/>
    </row>
    <row r="97" spans="8:9">
      <c r="H97" s="237"/>
      <c r="I97" s="236"/>
    </row>
    <row r="98" spans="8:9">
      <c r="H98" s="237"/>
      <c r="I98" s="236"/>
    </row>
    <row r="99" spans="8:9">
      <c r="H99" s="237"/>
      <c r="I99" s="236"/>
    </row>
    <row r="100" spans="8:9">
      <c r="H100" s="237"/>
      <c r="I100" s="236"/>
    </row>
    <row r="101" spans="8:9">
      <c r="H101" s="237"/>
      <c r="I101" s="236"/>
    </row>
    <row r="102" spans="8:9">
      <c r="H102" s="237"/>
      <c r="I102" s="236"/>
    </row>
    <row r="103" spans="8:9">
      <c r="H103" s="237"/>
      <c r="I103" s="236"/>
    </row>
    <row r="104" spans="8:9">
      <c r="H104" s="237"/>
      <c r="I104" s="236"/>
    </row>
    <row r="105" spans="8:9">
      <c r="H105" s="237"/>
      <c r="I105" s="236"/>
    </row>
    <row r="106" spans="8:9">
      <c r="H106" s="237"/>
      <c r="I106" s="236"/>
    </row>
    <row r="107" spans="8:9">
      <c r="H107" s="237"/>
      <c r="I107" s="236"/>
    </row>
    <row r="108" spans="8:9">
      <c r="H108" s="237"/>
      <c r="I108" s="236"/>
    </row>
    <row r="109" spans="8:9">
      <c r="H109" s="237"/>
      <c r="I109" s="236"/>
    </row>
    <row r="110" spans="8:9">
      <c r="H110" s="237"/>
      <c r="I110" s="236"/>
    </row>
    <row r="111" spans="8:9">
      <c r="H111" s="237"/>
      <c r="I111" s="236"/>
    </row>
    <row r="112" spans="8:9">
      <c r="H112" s="237"/>
      <c r="I112" s="236"/>
    </row>
    <row r="113" spans="8:9">
      <c r="H113" s="237"/>
      <c r="I113" s="236"/>
    </row>
    <row r="114" spans="8:9">
      <c r="H114" s="237"/>
      <c r="I114" s="236"/>
    </row>
    <row r="115" spans="8:9">
      <c r="H115" s="237"/>
      <c r="I115" s="236"/>
    </row>
    <row r="116" spans="8:9">
      <c r="H116" s="237"/>
      <c r="I116" s="236"/>
    </row>
    <row r="117" spans="8:9">
      <c r="H117" s="237"/>
      <c r="I117" s="236"/>
    </row>
    <row r="118" spans="8:9">
      <c r="H118" s="237"/>
      <c r="I118" s="236"/>
    </row>
    <row r="119" spans="8:9">
      <c r="H119" s="237"/>
      <c r="I119" s="236"/>
    </row>
    <row r="120" spans="8:9">
      <c r="H120" s="237"/>
      <c r="I120" s="236"/>
    </row>
    <row r="121" spans="8:9">
      <c r="H121" s="237"/>
      <c r="I121" s="236"/>
    </row>
    <row r="122" spans="8:9">
      <c r="H122" s="237"/>
      <c r="I122" s="236"/>
    </row>
    <row r="123" spans="8:9">
      <c r="H123" s="237"/>
      <c r="I123" s="236"/>
    </row>
    <row r="124" spans="8:9">
      <c r="H124" s="237"/>
      <c r="I124" s="236"/>
    </row>
    <row r="125" spans="8:9">
      <c r="H125" s="237"/>
      <c r="I125" s="236"/>
    </row>
    <row r="126" spans="8:9">
      <c r="H126" s="237"/>
      <c r="I126" s="236"/>
    </row>
    <row r="127" spans="8:9">
      <c r="H127" s="237"/>
      <c r="I127" s="236"/>
    </row>
    <row r="128" spans="8:9">
      <c r="H128" s="237"/>
      <c r="I128" s="236"/>
    </row>
    <row r="129" spans="8:9">
      <c r="H129" s="237"/>
      <c r="I129" s="236"/>
    </row>
    <row r="130" spans="8:9">
      <c r="H130" s="237"/>
      <c r="I130" s="236"/>
    </row>
    <row r="131" spans="8:9">
      <c r="H131" s="237"/>
      <c r="I131" s="236"/>
    </row>
    <row r="132" spans="8:9">
      <c r="H132" s="237"/>
      <c r="I132" s="236"/>
    </row>
    <row r="133" spans="8:9">
      <c r="H133" s="237"/>
      <c r="I133" s="236"/>
    </row>
    <row r="134" spans="8:9">
      <c r="H134" s="237"/>
      <c r="I134" s="236"/>
    </row>
    <row r="135" spans="8:9">
      <c r="H135" s="237"/>
      <c r="I135" s="236"/>
    </row>
    <row r="136" spans="8:9">
      <c r="H136" s="237"/>
      <c r="I136" s="236"/>
    </row>
    <row r="137" spans="8:9">
      <c r="H137" s="237"/>
      <c r="I137" s="236"/>
    </row>
    <row r="138" spans="8:9">
      <c r="H138" s="237"/>
      <c r="I138" s="236"/>
    </row>
    <row r="139" spans="8:9">
      <c r="H139" s="237"/>
      <c r="I139" s="236"/>
    </row>
    <row r="140" spans="8:9">
      <c r="H140" s="237"/>
      <c r="I140" s="236"/>
    </row>
    <row r="141" spans="8:9">
      <c r="H141" s="237"/>
      <c r="I141" s="236"/>
    </row>
    <row r="142" spans="8:9">
      <c r="H142" s="237"/>
      <c r="I142" s="236"/>
    </row>
    <row r="143" spans="8:9">
      <c r="H143" s="237"/>
      <c r="I143" s="236"/>
    </row>
    <row r="144" spans="8:9">
      <c r="H144" s="237"/>
      <c r="I144" s="236"/>
    </row>
    <row r="145" spans="8:9">
      <c r="H145" s="237"/>
      <c r="I145" s="236"/>
    </row>
    <row r="146" spans="8:9">
      <c r="H146" s="237"/>
      <c r="I146" s="236"/>
    </row>
    <row r="147" spans="8:9">
      <c r="H147" s="237"/>
      <c r="I147" s="236"/>
    </row>
    <row r="148" spans="8:9">
      <c r="H148" s="237"/>
      <c r="I148" s="236"/>
    </row>
    <row r="149" spans="8:9">
      <c r="H149" s="237"/>
      <c r="I149" s="236"/>
    </row>
    <row r="150" spans="8:9">
      <c r="H150" s="237"/>
      <c r="I150" s="236"/>
    </row>
    <row r="151" spans="8:9">
      <c r="H151" s="237"/>
      <c r="I151" s="236"/>
    </row>
    <row r="152" spans="8:9">
      <c r="H152" s="237"/>
      <c r="I152" s="236"/>
    </row>
    <row r="153" spans="8:9">
      <c r="H153" s="237"/>
      <c r="I153" s="236"/>
    </row>
    <row r="154" spans="8:9">
      <c r="H154" s="237"/>
      <c r="I154" s="236"/>
    </row>
    <row r="155" spans="8:9">
      <c r="H155" s="237"/>
      <c r="I155" s="236"/>
    </row>
    <row r="156" spans="8:9">
      <c r="H156" s="237"/>
      <c r="I156" s="236"/>
    </row>
    <row r="157" spans="8:9">
      <c r="H157" s="237"/>
      <c r="I157" s="236"/>
    </row>
    <row r="158" spans="8:9">
      <c r="H158" s="237"/>
      <c r="I158" s="236"/>
    </row>
    <row r="159" spans="8:9">
      <c r="H159" s="237"/>
      <c r="I159" s="236"/>
    </row>
    <row r="160" spans="8:9">
      <c r="H160" s="237"/>
      <c r="I160" s="236"/>
    </row>
    <row r="161" spans="8:9">
      <c r="H161" s="237"/>
      <c r="I161" s="236"/>
    </row>
    <row r="162" spans="8:9">
      <c r="H162" s="237"/>
      <c r="I162" s="236"/>
    </row>
    <row r="163" spans="8:9">
      <c r="H163" s="237"/>
      <c r="I163" s="236"/>
    </row>
    <row r="164" spans="8:9">
      <c r="H164" s="237"/>
      <c r="I164" s="236"/>
    </row>
    <row r="165" spans="8:9">
      <c r="H165" s="237"/>
      <c r="I165" s="236"/>
    </row>
    <row r="166" spans="8:9">
      <c r="H166" s="237"/>
      <c r="I166" s="236"/>
    </row>
    <row r="167" spans="8:9">
      <c r="H167" s="237"/>
      <c r="I167" s="236"/>
    </row>
    <row r="168" spans="8:9">
      <c r="H168" s="237"/>
      <c r="I168" s="236"/>
    </row>
    <row r="169" spans="8:9">
      <c r="H169" s="237"/>
      <c r="I169" s="236"/>
    </row>
    <row r="170" spans="8:9">
      <c r="H170" s="237"/>
      <c r="I170" s="236"/>
    </row>
    <row r="171" spans="8:9">
      <c r="H171" s="237"/>
      <c r="I171" s="236"/>
    </row>
    <row r="172" spans="8:9">
      <c r="H172" s="237"/>
      <c r="I172" s="236"/>
    </row>
    <row r="173" spans="8:9">
      <c r="H173" s="237"/>
      <c r="I173" s="236"/>
    </row>
    <row r="174" spans="8:9">
      <c r="H174" s="237"/>
      <c r="I174" s="236"/>
    </row>
    <row r="175" spans="8:9">
      <c r="H175" s="237"/>
      <c r="I175" s="236"/>
    </row>
    <row r="176" spans="8:9">
      <c r="H176" s="237"/>
      <c r="I176" s="236"/>
    </row>
    <row r="177" spans="8:9">
      <c r="H177" s="237"/>
      <c r="I177" s="236"/>
    </row>
    <row r="178" spans="8:9">
      <c r="H178" s="237"/>
      <c r="I178" s="236"/>
    </row>
    <row r="179" spans="8:9">
      <c r="H179" s="237"/>
      <c r="I179" s="236"/>
    </row>
    <row r="180" spans="8:9">
      <c r="H180" s="237"/>
      <c r="I180" s="236"/>
    </row>
    <row r="181" spans="8:9">
      <c r="H181" s="237"/>
      <c r="I181" s="236"/>
    </row>
    <row r="182" spans="8:9">
      <c r="H182" s="237"/>
      <c r="I182" s="236"/>
    </row>
    <row r="183" spans="8:9">
      <c r="H183" s="237"/>
      <c r="I183" s="236"/>
    </row>
    <row r="184" spans="8:9">
      <c r="H184" s="237"/>
      <c r="I184" s="236"/>
    </row>
    <row r="185" spans="8:9">
      <c r="H185" s="237"/>
      <c r="I185" s="236"/>
    </row>
    <row r="186" spans="8:9">
      <c r="H186" s="237"/>
      <c r="I186" s="236"/>
    </row>
    <row r="187" spans="8:9">
      <c r="H187" s="237"/>
      <c r="I187" s="236"/>
    </row>
    <row r="188" spans="8:9">
      <c r="H188" s="237"/>
      <c r="I188" s="236"/>
    </row>
    <row r="189" spans="8:9">
      <c r="H189" s="237"/>
      <c r="I189" s="236"/>
    </row>
    <row r="190" spans="8:9">
      <c r="H190" s="237"/>
      <c r="I190" s="236"/>
    </row>
    <row r="191" spans="8:9">
      <c r="H191" s="237"/>
      <c r="I191" s="236"/>
    </row>
    <row r="192" spans="8:9">
      <c r="H192" s="237"/>
      <c r="I192" s="236"/>
    </row>
    <row r="193" spans="8:9">
      <c r="H193" s="237"/>
      <c r="I193" s="236"/>
    </row>
    <row r="194" spans="8:9">
      <c r="H194" s="237"/>
      <c r="I194" s="236"/>
    </row>
    <row r="195" spans="8:9">
      <c r="H195" s="237"/>
      <c r="I195" s="236"/>
    </row>
    <row r="196" spans="8:9">
      <c r="H196" s="237"/>
      <c r="I196" s="236"/>
    </row>
    <row r="197" spans="8:9">
      <c r="H197" s="237"/>
      <c r="I197" s="236"/>
    </row>
    <row r="198" spans="8:9">
      <c r="H198" s="237"/>
      <c r="I198" s="236"/>
    </row>
    <row r="199" spans="8:9">
      <c r="H199" s="237"/>
      <c r="I199" s="236"/>
    </row>
    <row r="200" spans="8:9">
      <c r="H200" s="237"/>
      <c r="I200" s="236"/>
    </row>
    <row r="201" spans="8:9">
      <c r="H201" s="237"/>
      <c r="I201" s="236"/>
    </row>
    <row r="202" spans="8:9">
      <c r="H202" s="237"/>
      <c r="I202" s="236"/>
    </row>
    <row r="203" spans="8:9">
      <c r="H203" s="237"/>
      <c r="I203" s="236"/>
    </row>
    <row r="204" spans="8:9">
      <c r="H204" s="237"/>
      <c r="I204" s="236"/>
    </row>
    <row r="205" spans="8:9">
      <c r="H205" s="237"/>
      <c r="I205" s="236"/>
    </row>
    <row r="206" spans="8:9">
      <c r="H206" s="237"/>
      <c r="I206" s="236"/>
    </row>
    <row r="207" spans="8:9">
      <c r="H207" s="237"/>
      <c r="I207" s="236"/>
    </row>
    <row r="208" spans="8:9">
      <c r="H208" s="237"/>
      <c r="I208" s="236"/>
    </row>
    <row r="209" spans="8:9">
      <c r="H209" s="237"/>
      <c r="I209" s="236"/>
    </row>
    <row r="210" spans="8:9">
      <c r="H210" s="237"/>
      <c r="I210" s="236"/>
    </row>
    <row r="211" spans="8:9">
      <c r="H211" s="237"/>
      <c r="I211" s="236"/>
    </row>
    <row r="212" spans="8:9">
      <c r="H212" s="237"/>
      <c r="I212" s="236"/>
    </row>
    <row r="213" spans="8:9">
      <c r="H213" s="237"/>
      <c r="I213" s="236"/>
    </row>
    <row r="214" spans="8:9">
      <c r="H214" s="237"/>
      <c r="I214" s="236"/>
    </row>
    <row r="215" spans="8:9">
      <c r="H215" s="237"/>
      <c r="I215" s="236"/>
    </row>
    <row r="216" spans="8:9">
      <c r="H216" s="237"/>
      <c r="I216" s="236"/>
    </row>
    <row r="217" spans="8:9">
      <c r="H217" s="237"/>
      <c r="I217" s="236"/>
    </row>
    <row r="218" spans="8:9">
      <c r="H218" s="237"/>
      <c r="I218" s="236"/>
    </row>
    <row r="219" spans="8:9">
      <c r="H219" s="237"/>
      <c r="I219" s="236"/>
    </row>
    <row r="220" spans="8:9">
      <c r="H220" s="237"/>
      <c r="I220" s="236"/>
    </row>
    <row r="221" spans="8:9">
      <c r="H221" s="237"/>
      <c r="I221" s="236"/>
    </row>
    <row r="222" spans="8:9">
      <c r="H222" s="237"/>
      <c r="I222" s="236"/>
    </row>
    <row r="223" spans="8:9">
      <c r="H223" s="237"/>
      <c r="I223" s="236"/>
    </row>
    <row r="224" spans="8:9">
      <c r="H224" s="237"/>
      <c r="I224" s="236"/>
    </row>
    <row r="225" spans="8:9">
      <c r="H225" s="237"/>
      <c r="I225" s="236"/>
    </row>
    <row r="226" spans="8:9">
      <c r="H226" s="237"/>
      <c r="I226" s="236"/>
    </row>
    <row r="227" spans="8:9">
      <c r="H227" s="237"/>
      <c r="I227" s="236"/>
    </row>
    <row r="228" spans="8:9">
      <c r="H228" s="237"/>
      <c r="I228" s="236"/>
    </row>
    <row r="229" spans="8:9">
      <c r="H229" s="237"/>
      <c r="I229" s="236"/>
    </row>
    <row r="230" spans="8:9">
      <c r="H230" s="237"/>
      <c r="I230" s="236"/>
    </row>
    <row r="231" spans="8:9">
      <c r="H231" s="237"/>
      <c r="I231" s="236"/>
    </row>
    <row r="232" spans="8:9">
      <c r="H232" s="237"/>
      <c r="I232" s="236"/>
    </row>
    <row r="233" spans="8:9">
      <c r="H233" s="237"/>
      <c r="I233" s="236"/>
    </row>
    <row r="234" spans="8:9">
      <c r="H234" s="237"/>
      <c r="I234" s="236"/>
    </row>
    <row r="235" spans="8:9">
      <c r="H235" s="237"/>
      <c r="I235" s="236"/>
    </row>
    <row r="236" spans="8:9">
      <c r="H236" s="237"/>
      <c r="I236" s="236"/>
    </row>
    <row r="237" spans="8:9">
      <c r="H237" s="237"/>
      <c r="I237" s="236"/>
    </row>
    <row r="238" spans="8:9">
      <c r="H238" s="237"/>
      <c r="I238" s="236"/>
    </row>
    <row r="239" spans="8:9">
      <c r="H239" s="237"/>
      <c r="I239" s="236"/>
    </row>
    <row r="240" spans="8:9">
      <c r="H240" s="237"/>
      <c r="I240" s="236"/>
    </row>
    <row r="241" spans="8:9">
      <c r="H241" s="237"/>
      <c r="I241" s="236"/>
    </row>
    <row r="242" spans="8:9">
      <c r="H242" s="237"/>
      <c r="I242" s="236"/>
    </row>
    <row r="243" spans="8:9">
      <c r="H243" s="237"/>
      <c r="I243" s="236"/>
    </row>
    <row r="244" spans="8:9">
      <c r="H244" s="237"/>
      <c r="I244" s="236"/>
    </row>
    <row r="245" spans="8:9">
      <c r="H245" s="237"/>
      <c r="I245" s="236"/>
    </row>
    <row r="246" spans="8:9">
      <c r="H246" s="237"/>
      <c r="I246" s="236"/>
    </row>
    <row r="247" spans="8:9">
      <c r="H247" s="237"/>
      <c r="I247" s="236"/>
    </row>
    <row r="248" spans="8:9">
      <c r="H248" s="237"/>
      <c r="I248" s="236"/>
    </row>
    <row r="249" spans="8:9">
      <c r="H249" s="237"/>
      <c r="I249" s="236"/>
    </row>
    <row r="250" spans="8:9">
      <c r="H250" s="237"/>
      <c r="I250" s="236"/>
    </row>
    <row r="251" spans="8:9">
      <c r="H251" s="237"/>
      <c r="I251" s="236"/>
    </row>
    <row r="252" spans="8:9">
      <c r="H252" s="237"/>
      <c r="I252" s="236"/>
    </row>
    <row r="253" spans="8:9">
      <c r="H253" s="237"/>
      <c r="I253" s="236"/>
    </row>
    <row r="254" spans="8:9">
      <c r="H254" s="237"/>
      <c r="I254" s="236"/>
    </row>
    <row r="255" spans="8:9">
      <c r="H255" s="237"/>
      <c r="I255" s="236"/>
    </row>
    <row r="256" spans="8:9">
      <c r="H256" s="237"/>
      <c r="I256" s="236"/>
    </row>
    <row r="257" spans="8:9">
      <c r="H257" s="237"/>
      <c r="I257" s="236"/>
    </row>
    <row r="258" spans="8:9">
      <c r="H258" s="237"/>
      <c r="I258" s="236"/>
    </row>
    <row r="259" spans="8:9">
      <c r="H259" s="237"/>
      <c r="I259" s="236"/>
    </row>
    <row r="260" spans="8:9">
      <c r="H260" s="237"/>
      <c r="I260" s="236"/>
    </row>
    <row r="261" spans="8:9">
      <c r="H261" s="237"/>
      <c r="I261" s="236"/>
    </row>
    <row r="262" spans="8:9">
      <c r="H262" s="237"/>
      <c r="I262" s="236"/>
    </row>
    <row r="263" spans="8:9">
      <c r="H263" s="237"/>
      <c r="I263" s="236"/>
    </row>
    <row r="264" spans="8:9">
      <c r="H264" s="237"/>
      <c r="I264" s="236"/>
    </row>
    <row r="265" spans="8:9">
      <c r="H265" s="237"/>
      <c r="I265" s="236"/>
    </row>
    <row r="266" spans="8:9">
      <c r="H266" s="237"/>
      <c r="I266" s="236"/>
    </row>
    <row r="267" spans="8:9">
      <c r="H267" s="237"/>
      <c r="I267" s="236"/>
    </row>
    <row r="268" spans="8:9">
      <c r="H268" s="237"/>
      <c r="I268" s="236"/>
    </row>
    <row r="269" spans="8:9">
      <c r="H269" s="237"/>
      <c r="I269" s="236"/>
    </row>
    <row r="270" spans="8:9">
      <c r="H270" s="237"/>
      <c r="I270" s="236"/>
    </row>
    <row r="271" spans="8:9">
      <c r="H271" s="237"/>
      <c r="I271" s="236"/>
    </row>
    <row r="272" spans="8:9">
      <c r="H272" s="237"/>
      <c r="I272" s="236"/>
    </row>
    <row r="273" spans="8:9">
      <c r="H273" s="237"/>
      <c r="I273" s="236"/>
    </row>
    <row r="274" spans="8:9">
      <c r="H274" s="237"/>
      <c r="I274" s="236"/>
    </row>
    <row r="275" spans="8:9">
      <c r="H275" s="237"/>
      <c r="I275" s="236"/>
    </row>
    <row r="276" spans="8:9">
      <c r="H276" s="237"/>
      <c r="I276" s="236"/>
    </row>
    <row r="277" spans="8:9">
      <c r="H277" s="237"/>
      <c r="I277" s="236"/>
    </row>
    <row r="278" spans="8:9">
      <c r="H278" s="237"/>
      <c r="I278" s="236"/>
    </row>
    <row r="279" spans="8:9">
      <c r="H279" s="237"/>
      <c r="I279" s="236"/>
    </row>
    <row r="280" spans="8:9">
      <c r="H280" s="237"/>
      <c r="I280" s="236"/>
    </row>
    <row r="281" spans="8:9">
      <c r="H281" s="237"/>
      <c r="I281" s="236"/>
    </row>
    <row r="282" spans="8:9">
      <c r="H282" s="237"/>
      <c r="I282" s="236"/>
    </row>
    <row r="283" spans="8:9">
      <c r="H283" s="237"/>
      <c r="I283" s="236"/>
    </row>
    <row r="284" spans="8:9">
      <c r="H284" s="237"/>
      <c r="I284" s="236"/>
    </row>
    <row r="285" spans="8:9">
      <c r="H285" s="237"/>
      <c r="I285" s="236"/>
    </row>
    <row r="286" spans="8:9">
      <c r="H286" s="237"/>
      <c r="I286" s="236"/>
    </row>
    <row r="287" spans="8:9">
      <c r="H287" s="237"/>
      <c r="I287" s="236"/>
    </row>
    <row r="288" spans="8:9">
      <c r="H288" s="237"/>
      <c r="I288" s="236"/>
    </row>
    <row r="289" spans="8:9">
      <c r="H289" s="237"/>
      <c r="I289" s="236"/>
    </row>
    <row r="290" spans="8:9">
      <c r="H290" s="237"/>
      <c r="I290" s="236"/>
    </row>
    <row r="291" spans="8:9">
      <c r="H291" s="237"/>
      <c r="I291" s="236"/>
    </row>
    <row r="292" spans="8:9">
      <c r="H292" s="237"/>
      <c r="I292" s="236"/>
    </row>
    <row r="293" spans="8:9">
      <c r="H293" s="237"/>
      <c r="I293" s="236"/>
    </row>
    <row r="294" spans="8:9">
      <c r="H294" s="237"/>
      <c r="I294" s="236"/>
    </row>
    <row r="295" spans="8:9">
      <c r="H295" s="237"/>
      <c r="I295" s="236"/>
    </row>
    <row r="296" spans="8:9">
      <c r="H296" s="237"/>
      <c r="I296" s="236"/>
    </row>
    <row r="297" spans="8:9">
      <c r="H297" s="237"/>
      <c r="I297" s="236"/>
    </row>
    <row r="298" spans="8:9">
      <c r="H298" s="237"/>
      <c r="I298" s="236"/>
    </row>
    <row r="299" spans="8:9">
      <c r="H299" s="237"/>
      <c r="I299" s="236"/>
    </row>
    <row r="300" spans="8:9">
      <c r="H300" s="237"/>
      <c r="I300" s="236"/>
    </row>
    <row r="301" spans="8:9">
      <c r="H301" s="237"/>
      <c r="I301" s="236"/>
    </row>
    <row r="302" spans="8:9">
      <c r="H302" s="237"/>
      <c r="I302" s="236"/>
    </row>
    <row r="303" spans="8:9">
      <c r="H303" s="237"/>
      <c r="I303" s="236"/>
    </row>
    <row r="304" spans="8:9">
      <c r="H304" s="237"/>
      <c r="I304" s="236"/>
    </row>
    <row r="305" spans="8:9">
      <c r="H305" s="237"/>
      <c r="I305" s="236"/>
    </row>
    <row r="306" spans="8:9">
      <c r="H306" s="237"/>
      <c r="I306" s="236"/>
    </row>
    <row r="307" spans="8:9">
      <c r="H307" s="237"/>
      <c r="I307" s="236"/>
    </row>
    <row r="308" spans="8:9">
      <c r="H308" s="237"/>
      <c r="I308" s="236"/>
    </row>
    <row r="309" spans="8:9">
      <c r="H309" s="237"/>
      <c r="I309" s="236"/>
    </row>
    <row r="310" spans="8:9">
      <c r="H310" s="237"/>
      <c r="I310" s="236"/>
    </row>
    <row r="311" spans="8:9">
      <c r="H311" s="237"/>
      <c r="I311" s="236"/>
    </row>
    <row r="312" spans="8:9">
      <c r="H312" s="237"/>
      <c r="I312" s="236"/>
    </row>
    <row r="313" spans="8:9">
      <c r="H313" s="237"/>
      <c r="I313" s="236"/>
    </row>
    <row r="314" spans="8:9">
      <c r="H314" s="237"/>
      <c r="I314" s="236"/>
    </row>
    <row r="315" spans="8:9">
      <c r="H315" s="237"/>
      <c r="I315" s="236"/>
    </row>
    <row r="316" spans="8:9">
      <c r="H316" s="237"/>
      <c r="I316" s="236"/>
    </row>
    <row r="317" spans="8:9">
      <c r="H317" s="237"/>
      <c r="I317" s="236"/>
    </row>
    <row r="318" spans="8:9">
      <c r="H318" s="237"/>
      <c r="I318" s="236"/>
    </row>
    <row r="319" spans="8:9">
      <c r="H319" s="237"/>
      <c r="I319" s="236"/>
    </row>
    <row r="320" spans="8:9">
      <c r="H320" s="237"/>
      <c r="I320" s="236"/>
    </row>
    <row r="321" spans="8:9">
      <c r="H321" s="237"/>
      <c r="I321" s="236"/>
    </row>
    <row r="322" spans="8:9">
      <c r="H322" s="237"/>
      <c r="I322" s="236"/>
    </row>
    <row r="323" spans="8:9">
      <c r="H323" s="237"/>
      <c r="I323" s="236"/>
    </row>
    <row r="324" spans="8:9">
      <c r="H324" s="237"/>
      <c r="I324" s="236"/>
    </row>
    <row r="325" spans="8:9">
      <c r="H325" s="237"/>
      <c r="I325" s="236"/>
    </row>
    <row r="326" spans="8:9">
      <c r="H326" s="237"/>
      <c r="I326" s="236"/>
    </row>
    <row r="327" spans="8:9">
      <c r="H327" s="237"/>
      <c r="I327" s="236"/>
    </row>
    <row r="328" spans="8:9">
      <c r="H328" s="237"/>
      <c r="I328" s="236"/>
    </row>
    <row r="329" spans="8:9">
      <c r="H329" s="237"/>
      <c r="I329" s="236"/>
    </row>
    <row r="330" spans="8:9">
      <c r="H330" s="237"/>
      <c r="I330" s="236"/>
    </row>
    <row r="331" spans="8:9">
      <c r="H331" s="237"/>
      <c r="I331" s="236"/>
    </row>
    <row r="332" spans="8:9">
      <c r="H332" s="237"/>
      <c r="I332" s="236"/>
    </row>
    <row r="333" spans="8:9">
      <c r="H333" s="237"/>
      <c r="I333" s="236"/>
    </row>
    <row r="334" spans="8:9">
      <c r="H334" s="237"/>
      <c r="I334" s="236"/>
    </row>
    <row r="335" spans="8:9">
      <c r="H335" s="237"/>
      <c r="I335" s="236"/>
    </row>
    <row r="336" spans="8:9">
      <c r="H336" s="237"/>
      <c r="I336" s="236"/>
    </row>
    <row r="337" spans="8:9">
      <c r="H337" s="237"/>
      <c r="I337" s="236"/>
    </row>
    <row r="338" spans="8:9">
      <c r="H338" s="237"/>
      <c r="I338" s="236"/>
    </row>
    <row r="339" spans="8:9">
      <c r="H339" s="237"/>
      <c r="I339" s="236"/>
    </row>
    <row r="340" spans="8:9">
      <c r="H340" s="237"/>
      <c r="I340" s="236"/>
    </row>
    <row r="341" spans="8:9">
      <c r="H341" s="237"/>
      <c r="I341" s="236"/>
    </row>
    <row r="342" spans="8:9">
      <c r="H342" s="237"/>
      <c r="I342" s="236"/>
    </row>
    <row r="343" spans="8:9">
      <c r="H343" s="237"/>
      <c r="I343" s="236"/>
    </row>
    <row r="344" spans="8:9">
      <c r="H344" s="237"/>
      <c r="I344" s="236"/>
    </row>
    <row r="345" spans="8:9">
      <c r="H345" s="237"/>
      <c r="I345" s="236"/>
    </row>
    <row r="346" spans="8:9">
      <c r="H346" s="237"/>
      <c r="I346" s="236"/>
    </row>
    <row r="347" spans="8:9">
      <c r="H347" s="237"/>
      <c r="I347" s="236"/>
    </row>
    <row r="348" spans="8:9">
      <c r="H348" s="237"/>
      <c r="I348" s="236"/>
    </row>
    <row r="349" spans="8:9">
      <c r="H349" s="237"/>
      <c r="I349" s="236"/>
    </row>
    <row r="350" spans="8:9">
      <c r="H350" s="237"/>
      <c r="I350" s="236"/>
    </row>
    <row r="351" spans="8:9">
      <c r="H351" s="237"/>
      <c r="I351" s="236"/>
    </row>
    <row r="352" spans="8:9">
      <c r="H352" s="237"/>
      <c r="I352" s="236"/>
    </row>
    <row r="353" spans="8:9">
      <c r="H353" s="237"/>
      <c r="I353" s="236"/>
    </row>
    <row r="354" spans="8:9">
      <c r="H354" s="237"/>
      <c r="I354" s="236"/>
    </row>
    <row r="355" spans="8:9">
      <c r="H355" s="237"/>
      <c r="I355" s="236"/>
    </row>
    <row r="356" spans="8:9">
      <c r="H356" s="237"/>
      <c r="I356" s="236"/>
    </row>
    <row r="357" spans="8:9">
      <c r="H357" s="237"/>
      <c r="I357" s="236"/>
    </row>
    <row r="358" spans="8:9">
      <c r="H358" s="237"/>
      <c r="I358" s="236"/>
    </row>
    <row r="359" spans="8:9">
      <c r="H359" s="237"/>
      <c r="I359" s="236"/>
    </row>
    <row r="360" spans="8:9">
      <c r="H360" s="237"/>
      <c r="I360" s="236"/>
    </row>
    <row r="361" spans="8:9">
      <c r="H361" s="237"/>
      <c r="I361" s="236"/>
    </row>
    <row r="362" spans="8:9">
      <c r="H362" s="237"/>
      <c r="I362" s="236"/>
    </row>
    <row r="363" spans="8:9">
      <c r="H363" s="237"/>
      <c r="I363" s="236"/>
    </row>
    <row r="364" spans="8:9">
      <c r="H364" s="237"/>
      <c r="I364" s="236"/>
    </row>
    <row r="365" spans="8:9">
      <c r="H365" s="237"/>
      <c r="I365" s="236"/>
    </row>
    <row r="366" spans="8:9">
      <c r="H366" s="237"/>
      <c r="I366" s="236"/>
    </row>
    <row r="367" spans="8:9">
      <c r="H367" s="237"/>
      <c r="I367" s="236"/>
    </row>
    <row r="368" spans="8:9">
      <c r="H368" s="237"/>
      <c r="I368" s="236"/>
    </row>
    <row r="369" spans="8:9">
      <c r="H369" s="237"/>
      <c r="I369" s="236"/>
    </row>
    <row r="370" spans="8:9">
      <c r="H370" s="237"/>
      <c r="I370" s="236"/>
    </row>
    <row r="371" spans="8:9">
      <c r="H371" s="237"/>
      <c r="I371" s="236"/>
    </row>
    <row r="372" spans="8:9">
      <c r="H372" s="237"/>
      <c r="I372" s="236"/>
    </row>
    <row r="373" spans="8:9">
      <c r="H373" s="237"/>
      <c r="I373" s="236"/>
    </row>
    <row r="374" spans="8:9">
      <c r="H374" s="237"/>
      <c r="I374" s="236"/>
    </row>
    <row r="375" spans="8:9">
      <c r="H375" s="237"/>
      <c r="I375" s="236"/>
    </row>
    <row r="376" spans="8:9">
      <c r="H376" s="237"/>
      <c r="I376" s="236"/>
    </row>
    <row r="377" spans="8:9">
      <c r="H377" s="237"/>
      <c r="I377" s="236"/>
    </row>
    <row r="378" spans="8:9">
      <c r="H378" s="237"/>
      <c r="I378" s="236"/>
    </row>
    <row r="379" spans="8:9">
      <c r="H379" s="237"/>
      <c r="I379" s="236"/>
    </row>
    <row r="380" spans="8:9">
      <c r="H380" s="237"/>
      <c r="I380" s="236"/>
    </row>
    <row r="381" spans="8:9">
      <c r="H381" s="237"/>
      <c r="I381" s="236"/>
    </row>
    <row r="382" spans="8:9">
      <c r="H382" s="237"/>
      <c r="I382" s="236"/>
    </row>
    <row r="383" spans="8:9">
      <c r="H383" s="237"/>
      <c r="I383" s="236"/>
    </row>
    <row r="384" spans="8:9">
      <c r="H384" s="237"/>
      <c r="I384" s="236"/>
    </row>
    <row r="385" spans="8:9">
      <c r="H385" s="237"/>
      <c r="I385" s="236"/>
    </row>
    <row r="386" spans="8:9">
      <c r="H386" s="237"/>
      <c r="I386" s="236"/>
    </row>
    <row r="387" spans="8:9">
      <c r="H387" s="237"/>
      <c r="I387" s="236"/>
    </row>
    <row r="388" spans="8:9">
      <c r="H388" s="237"/>
      <c r="I388" s="236"/>
    </row>
    <row r="389" spans="8:9">
      <c r="H389" s="237"/>
      <c r="I389" s="236"/>
    </row>
    <row r="390" spans="8:9">
      <c r="H390" s="237"/>
      <c r="I390" s="236"/>
    </row>
    <row r="391" spans="8:9">
      <c r="H391" s="237"/>
      <c r="I391" s="236"/>
    </row>
    <row r="392" spans="8:9">
      <c r="H392" s="237"/>
      <c r="I392" s="236"/>
    </row>
    <row r="393" spans="8:9">
      <c r="H393" s="237"/>
      <c r="I393" s="236"/>
    </row>
    <row r="394" spans="8:9">
      <c r="H394" s="237"/>
      <c r="I394" s="236"/>
    </row>
    <row r="395" spans="8:9">
      <c r="H395" s="237"/>
      <c r="I395" s="236"/>
    </row>
    <row r="396" spans="8:9">
      <c r="H396" s="237"/>
      <c r="I396" s="236"/>
    </row>
    <row r="397" spans="8:9">
      <c r="H397" s="237"/>
      <c r="I397" s="236"/>
    </row>
    <row r="398" spans="8:9">
      <c r="H398" s="237"/>
      <c r="I398" s="236"/>
    </row>
    <row r="399" spans="8:9">
      <c r="H399" s="237"/>
      <c r="I399" s="236"/>
    </row>
    <row r="400" spans="8:9">
      <c r="H400" s="237"/>
      <c r="I400" s="236"/>
    </row>
    <row r="401" spans="8:9">
      <c r="H401" s="237"/>
      <c r="I401" s="236"/>
    </row>
    <row r="402" spans="8:9">
      <c r="H402" s="237"/>
      <c r="I402" s="236"/>
    </row>
    <row r="403" spans="8:9">
      <c r="H403" s="237"/>
      <c r="I403" s="236"/>
    </row>
    <row r="404" spans="8:9">
      <c r="H404" s="237"/>
      <c r="I404" s="236"/>
    </row>
    <row r="405" spans="8:9">
      <c r="H405" s="237"/>
      <c r="I405" s="236"/>
    </row>
    <row r="406" spans="8:9">
      <c r="H406" s="237"/>
      <c r="I406" s="236"/>
    </row>
    <row r="407" spans="8:9">
      <c r="H407" s="237"/>
      <c r="I407" s="236"/>
    </row>
    <row r="408" spans="8:9">
      <c r="H408" s="237"/>
      <c r="I408" s="236"/>
    </row>
    <row r="409" spans="8:9">
      <c r="H409" s="237"/>
      <c r="I409" s="236"/>
    </row>
    <row r="410" spans="8:9">
      <c r="H410" s="237"/>
      <c r="I410" s="236"/>
    </row>
    <row r="411" spans="8:9">
      <c r="H411" s="237"/>
      <c r="I411" s="236"/>
    </row>
    <row r="412" spans="8:9">
      <c r="H412" s="237"/>
      <c r="I412" s="236"/>
    </row>
    <row r="413" spans="8:9">
      <c r="H413" s="237"/>
      <c r="I413" s="236"/>
    </row>
    <row r="414" spans="8:9">
      <c r="H414" s="237"/>
      <c r="I414" s="236"/>
    </row>
    <row r="415" spans="8:9">
      <c r="H415" s="237"/>
      <c r="I415" s="236"/>
    </row>
    <row r="416" spans="8:9">
      <c r="H416" s="237"/>
      <c r="I416" s="236"/>
    </row>
    <row r="417" spans="8:9">
      <c r="H417" s="237"/>
      <c r="I417" s="236"/>
    </row>
    <row r="418" spans="8:9">
      <c r="H418" s="237"/>
      <c r="I418" s="236"/>
    </row>
    <row r="419" spans="8:9">
      <c r="H419" s="237"/>
      <c r="I419" s="236"/>
    </row>
    <row r="420" spans="8:9">
      <c r="H420" s="237"/>
      <c r="I420" s="236"/>
    </row>
    <row r="421" spans="8:9">
      <c r="H421" s="237"/>
      <c r="I421" s="236"/>
    </row>
    <row r="422" spans="8:9">
      <c r="H422" s="237"/>
      <c r="I422" s="236"/>
    </row>
    <row r="423" spans="8:9">
      <c r="H423" s="237"/>
      <c r="I423" s="236"/>
    </row>
    <row r="424" spans="8:9">
      <c r="H424" s="237"/>
      <c r="I424" s="236"/>
    </row>
    <row r="425" spans="8:9">
      <c r="H425" s="237"/>
      <c r="I425" s="236"/>
    </row>
    <row r="426" spans="8:9">
      <c r="H426" s="237"/>
      <c r="I426" s="236"/>
    </row>
    <row r="427" spans="8:9">
      <c r="H427" s="237"/>
      <c r="I427" s="236"/>
    </row>
    <row r="428" spans="8:9">
      <c r="H428" s="237"/>
      <c r="I428" s="236"/>
    </row>
    <row r="429" spans="8:9">
      <c r="H429" s="237"/>
      <c r="I429" s="236"/>
    </row>
    <row r="430" spans="8:9">
      <c r="H430" s="237"/>
      <c r="I430" s="236"/>
    </row>
    <row r="431" spans="8:9">
      <c r="H431" s="237"/>
      <c r="I431" s="236"/>
    </row>
    <row r="432" spans="8:9">
      <c r="H432" s="237"/>
      <c r="I432" s="236"/>
    </row>
    <row r="433" spans="8:9">
      <c r="H433" s="237"/>
      <c r="I433" s="236"/>
    </row>
    <row r="434" spans="8:9">
      <c r="H434" s="237"/>
      <c r="I434" s="236"/>
    </row>
    <row r="435" spans="8:9">
      <c r="H435" s="237"/>
      <c r="I435" s="236"/>
    </row>
    <row r="436" spans="8:9">
      <c r="H436" s="237"/>
      <c r="I436" s="236"/>
    </row>
    <row r="437" spans="8:9">
      <c r="H437" s="237"/>
      <c r="I437" s="236"/>
    </row>
    <row r="438" spans="8:9">
      <c r="H438" s="237"/>
      <c r="I438" s="236"/>
    </row>
    <row r="439" spans="8:9">
      <c r="H439" s="237"/>
      <c r="I439" s="236"/>
    </row>
    <row r="440" spans="8:9">
      <c r="H440" s="237"/>
      <c r="I440" s="236"/>
    </row>
    <row r="441" spans="8:9">
      <c r="H441" s="237"/>
      <c r="I441" s="236"/>
    </row>
    <row r="442" spans="8:9">
      <c r="H442" s="237"/>
      <c r="I442" s="236"/>
    </row>
    <row r="443" spans="8:9">
      <c r="H443" s="237"/>
      <c r="I443" s="236"/>
    </row>
    <row r="444" spans="8:9">
      <c r="H444" s="237"/>
      <c r="I444" s="236"/>
    </row>
    <row r="445" spans="8:9">
      <c r="H445" s="237"/>
      <c r="I445" s="236"/>
    </row>
    <row r="446" spans="8:9">
      <c r="H446" s="237"/>
      <c r="I446" s="236"/>
    </row>
    <row r="447" spans="8:9">
      <c r="H447" s="237"/>
      <c r="I447" s="236"/>
    </row>
    <row r="448" spans="8:9">
      <c r="H448" s="237"/>
      <c r="I448" s="236"/>
    </row>
    <row r="449" spans="8:9">
      <c r="H449" s="237"/>
      <c r="I449" s="236"/>
    </row>
    <row r="450" spans="8:9">
      <c r="H450" s="237"/>
      <c r="I450" s="236"/>
    </row>
    <row r="451" spans="8:9">
      <c r="H451" s="237"/>
      <c r="I451" s="236"/>
    </row>
    <row r="452" spans="8:9">
      <c r="H452" s="237"/>
      <c r="I452" s="236"/>
    </row>
    <row r="453" spans="8:9">
      <c r="H453" s="237"/>
      <c r="I453" s="236"/>
    </row>
    <row r="454" spans="8:9">
      <c r="H454" s="237"/>
      <c r="I454" s="236"/>
    </row>
    <row r="455" spans="8:9">
      <c r="H455" s="237"/>
      <c r="I455" s="236"/>
    </row>
    <row r="456" spans="8:9">
      <c r="H456" s="237"/>
      <c r="I456" s="236"/>
    </row>
    <row r="457" spans="8:9">
      <c r="H457" s="237"/>
      <c r="I457" s="236"/>
    </row>
    <row r="458" spans="8:9">
      <c r="H458" s="237"/>
      <c r="I458" s="236"/>
    </row>
    <row r="459" spans="8:9">
      <c r="H459" s="237"/>
      <c r="I459" s="236"/>
    </row>
    <row r="460" spans="8:9">
      <c r="H460" s="237"/>
      <c r="I460" s="236"/>
    </row>
    <row r="461" spans="8:9">
      <c r="H461" s="237"/>
      <c r="I461" s="236"/>
    </row>
    <row r="462" spans="8:9">
      <c r="H462" s="237"/>
      <c r="I462" s="236"/>
    </row>
    <row r="463" spans="8:9">
      <c r="H463" s="237"/>
      <c r="I463" s="236"/>
    </row>
    <row r="464" spans="8:9">
      <c r="H464" s="237"/>
      <c r="I464" s="236"/>
    </row>
    <row r="465" spans="8:9">
      <c r="H465" s="237"/>
      <c r="I465" s="236"/>
    </row>
    <row r="466" spans="8:9">
      <c r="H466" s="237"/>
      <c r="I466" s="236"/>
    </row>
    <row r="467" spans="8:9">
      <c r="H467" s="237"/>
      <c r="I467" s="236"/>
    </row>
    <row r="468" spans="8:9">
      <c r="H468" s="237"/>
      <c r="I468" s="236"/>
    </row>
    <row r="469" spans="8:9">
      <c r="H469" s="237"/>
      <c r="I469" s="236"/>
    </row>
    <row r="470" spans="8:9">
      <c r="H470" s="237"/>
      <c r="I470" s="236"/>
    </row>
    <row r="471" spans="8:9">
      <c r="H471" s="237"/>
      <c r="I471" s="236"/>
    </row>
    <row r="472" spans="8:9">
      <c r="H472" s="237"/>
      <c r="I472" s="236"/>
    </row>
    <row r="473" spans="8:9">
      <c r="H473" s="237"/>
      <c r="I473" s="236"/>
    </row>
    <row r="474" spans="8:9">
      <c r="H474" s="237"/>
      <c r="I474" s="236"/>
    </row>
    <row r="475" spans="8:9">
      <c r="H475" s="237"/>
      <c r="I475" s="236"/>
    </row>
    <row r="476" spans="8:9">
      <c r="H476" s="237"/>
      <c r="I476" s="236"/>
    </row>
    <row r="477" spans="8:9">
      <c r="H477" s="237"/>
      <c r="I477" s="236"/>
    </row>
    <row r="478" spans="8:9">
      <c r="H478" s="237"/>
      <c r="I478" s="236"/>
    </row>
    <row r="479" spans="8:9">
      <c r="H479" s="237"/>
      <c r="I479" s="236"/>
    </row>
    <row r="480" spans="8:9">
      <c r="H480" s="237"/>
      <c r="I480" s="236"/>
    </row>
    <row r="481" spans="8:9">
      <c r="H481" s="237"/>
      <c r="I481" s="236"/>
    </row>
    <row r="482" spans="8:9">
      <c r="H482" s="237"/>
      <c r="I482" s="236"/>
    </row>
    <row r="483" spans="8:9">
      <c r="H483" s="237"/>
      <c r="I483" s="236"/>
    </row>
    <row r="484" spans="8:9">
      <c r="H484" s="237"/>
      <c r="I484" s="236"/>
    </row>
    <row r="485" spans="8:9">
      <c r="H485" s="237"/>
      <c r="I485" s="236"/>
    </row>
    <row r="486" spans="8:9">
      <c r="H486" s="237"/>
      <c r="I486" s="236"/>
    </row>
    <row r="487" spans="8:9">
      <c r="H487" s="237"/>
      <c r="I487" s="236"/>
    </row>
    <row r="488" spans="8:9">
      <c r="H488" s="237"/>
      <c r="I488" s="236"/>
    </row>
    <row r="489" spans="8:9">
      <c r="H489" s="237"/>
      <c r="I489" s="236"/>
    </row>
    <row r="490" spans="8:9">
      <c r="H490" s="237"/>
      <c r="I490" s="236"/>
    </row>
    <row r="491" spans="8:9">
      <c r="H491" s="237"/>
      <c r="I491" s="236"/>
    </row>
    <row r="492" spans="8:9">
      <c r="H492" s="237"/>
      <c r="I492" s="236"/>
    </row>
    <row r="493" spans="8:9">
      <c r="H493" s="237"/>
      <c r="I493" s="236"/>
    </row>
    <row r="494" spans="8:9">
      <c r="H494" s="237"/>
      <c r="I494" s="236"/>
    </row>
    <row r="495" spans="8:9">
      <c r="H495" s="237"/>
      <c r="I495" s="236"/>
    </row>
    <row r="496" spans="8:9">
      <c r="H496" s="237"/>
      <c r="I496" s="236"/>
    </row>
    <row r="497" spans="8:9">
      <c r="H497" s="237"/>
      <c r="I497" s="236"/>
    </row>
    <row r="498" spans="8:9">
      <c r="H498" s="237"/>
      <c r="I498" s="236"/>
    </row>
    <row r="499" spans="8:9">
      <c r="H499" s="237"/>
      <c r="I499" s="236"/>
    </row>
    <row r="500" spans="8:9">
      <c r="H500" s="237"/>
      <c r="I500" s="236"/>
    </row>
    <row r="501" spans="8:9">
      <c r="H501" s="237"/>
      <c r="I501" s="236"/>
    </row>
    <row r="502" spans="8:9">
      <c r="H502" s="237"/>
      <c r="I502" s="236"/>
    </row>
    <row r="503" spans="8:9">
      <c r="H503" s="237"/>
      <c r="I503" s="236"/>
    </row>
    <row r="504" spans="8:9">
      <c r="H504" s="237"/>
      <c r="I504" s="236"/>
    </row>
    <row r="505" spans="8:9">
      <c r="H505" s="237"/>
      <c r="I505" s="236"/>
    </row>
    <row r="506" spans="8:9">
      <c r="H506" s="237"/>
      <c r="I506" s="236"/>
    </row>
    <row r="507" spans="8:9">
      <c r="H507" s="237"/>
      <c r="I507" s="236"/>
    </row>
    <row r="508" spans="8:9">
      <c r="H508" s="237"/>
      <c r="I508" s="236"/>
    </row>
    <row r="509" spans="8:9">
      <c r="H509" s="237"/>
      <c r="I509" s="236"/>
    </row>
    <row r="510" spans="8:9">
      <c r="H510" s="237"/>
      <c r="I510" s="236"/>
    </row>
    <row r="511" spans="8:9">
      <c r="H511" s="237"/>
      <c r="I511" s="236"/>
    </row>
    <row r="512" spans="8:9">
      <c r="H512" s="237"/>
      <c r="I512" s="236"/>
    </row>
    <row r="513" spans="8:9">
      <c r="H513" s="237"/>
      <c r="I513" s="236"/>
    </row>
    <row r="514" spans="8:9">
      <c r="H514" s="237"/>
      <c r="I514" s="236"/>
    </row>
    <row r="515" spans="8:9">
      <c r="H515" s="237"/>
      <c r="I515" s="236"/>
    </row>
    <row r="516" spans="8:9">
      <c r="H516" s="237"/>
      <c r="I516" s="236"/>
    </row>
    <row r="517" spans="8:9">
      <c r="H517" s="237"/>
      <c r="I517" s="236"/>
    </row>
    <row r="518" spans="8:9">
      <c r="H518" s="237"/>
      <c r="I518" s="236"/>
    </row>
    <row r="519" spans="8:9">
      <c r="H519" s="237"/>
      <c r="I519" s="236"/>
    </row>
    <row r="520" spans="8:9">
      <c r="H520" s="237"/>
      <c r="I520" s="236"/>
    </row>
    <row r="521" spans="8:9">
      <c r="H521" s="237"/>
      <c r="I521" s="236"/>
    </row>
    <row r="522" spans="8:9">
      <c r="H522" s="237"/>
      <c r="I522" s="236"/>
    </row>
    <row r="523" spans="8:9">
      <c r="H523" s="237"/>
      <c r="I523" s="236"/>
    </row>
    <row r="524" spans="8:9">
      <c r="H524" s="237"/>
      <c r="I524" s="236"/>
    </row>
    <row r="525" spans="8:9">
      <c r="H525" s="237"/>
      <c r="I525" s="236"/>
    </row>
    <row r="526" spans="8:9">
      <c r="H526" s="237"/>
      <c r="I526" s="236"/>
    </row>
    <row r="527" spans="8:9">
      <c r="H527" s="237"/>
      <c r="I527" s="236"/>
    </row>
    <row r="528" spans="8:9">
      <c r="H528" s="237"/>
      <c r="I528" s="236"/>
    </row>
    <row r="529" spans="8:9">
      <c r="H529" s="237"/>
      <c r="I529" s="236"/>
    </row>
    <row r="530" spans="8:9">
      <c r="H530" s="237"/>
      <c r="I530" s="236"/>
    </row>
    <row r="531" spans="8:9">
      <c r="H531" s="237"/>
      <c r="I531" s="236"/>
    </row>
    <row r="532" spans="8:9">
      <c r="H532" s="237"/>
      <c r="I532" s="236"/>
    </row>
    <row r="533" spans="8:9">
      <c r="H533" s="237"/>
      <c r="I533" s="236"/>
    </row>
    <row r="534" spans="8:9">
      <c r="H534" s="237"/>
      <c r="I534" s="236"/>
    </row>
    <row r="535" spans="8:9">
      <c r="H535" s="237"/>
      <c r="I535" s="236"/>
    </row>
    <row r="536" spans="8:9">
      <c r="H536" s="237"/>
      <c r="I536" s="236"/>
    </row>
    <row r="537" spans="8:9">
      <c r="H537" s="237"/>
      <c r="I537" s="236"/>
    </row>
    <row r="538" spans="8:9">
      <c r="H538" s="237"/>
      <c r="I538" s="236"/>
    </row>
    <row r="539" spans="8:9">
      <c r="H539" s="237"/>
      <c r="I539" s="236"/>
    </row>
    <row r="540" spans="8:9">
      <c r="H540" s="237"/>
      <c r="I540" s="236"/>
    </row>
    <row r="541" spans="8:9">
      <c r="H541" s="237"/>
      <c r="I541" s="236"/>
    </row>
    <row r="542" spans="8:9">
      <c r="H542" s="237"/>
      <c r="I542" s="236"/>
    </row>
    <row r="543" spans="8:9">
      <c r="H543" s="237"/>
      <c r="I543" s="236"/>
    </row>
    <row r="544" spans="8:9">
      <c r="H544" s="237"/>
      <c r="I544" s="236"/>
    </row>
    <row r="545" spans="8:9">
      <c r="H545" s="237"/>
      <c r="I545" s="236"/>
    </row>
    <row r="546" spans="8:9">
      <c r="H546" s="237"/>
      <c r="I546" s="236"/>
    </row>
    <row r="547" spans="8:9">
      <c r="H547" s="237"/>
      <c r="I547" s="236"/>
    </row>
    <row r="548" spans="8:9">
      <c r="H548" s="237"/>
      <c r="I548" s="236"/>
    </row>
    <row r="549" spans="8:9">
      <c r="H549" s="237"/>
      <c r="I549" s="236"/>
    </row>
    <row r="550" spans="8:9">
      <c r="H550" s="237"/>
      <c r="I550" s="236"/>
    </row>
    <row r="551" spans="8:9">
      <c r="H551" s="237"/>
      <c r="I551" s="236"/>
    </row>
    <row r="552" spans="8:9">
      <c r="H552" s="237"/>
      <c r="I552" s="236"/>
    </row>
    <row r="553" spans="8:9">
      <c r="H553" s="237"/>
      <c r="I553" s="236"/>
    </row>
    <row r="554" spans="8:9">
      <c r="H554" s="237"/>
      <c r="I554" s="236"/>
    </row>
    <row r="555" spans="8:9">
      <c r="H555" s="237"/>
      <c r="I555" s="236"/>
    </row>
    <row r="556" spans="8:9">
      <c r="H556" s="237"/>
      <c r="I556" s="236"/>
    </row>
    <row r="557" spans="8:9">
      <c r="H557" s="237"/>
      <c r="I557" s="236"/>
    </row>
    <row r="558" spans="8:9">
      <c r="H558" s="237"/>
      <c r="I558" s="236"/>
    </row>
    <row r="559" spans="8:9">
      <c r="H559" s="237"/>
      <c r="I559" s="236"/>
    </row>
    <row r="560" spans="8:9">
      <c r="H560" s="237"/>
      <c r="I560" s="236"/>
    </row>
    <row r="561" spans="8:9">
      <c r="H561" s="237"/>
      <c r="I561" s="236"/>
    </row>
    <row r="562" spans="8:9">
      <c r="H562" s="237"/>
      <c r="I562" s="236"/>
    </row>
    <row r="563" spans="8:9">
      <c r="H563" s="237"/>
      <c r="I563" s="236"/>
    </row>
    <row r="564" spans="8:9">
      <c r="H564" s="237"/>
      <c r="I564" s="236"/>
    </row>
    <row r="565" spans="8:9">
      <c r="H565" s="237"/>
      <c r="I565" s="236"/>
    </row>
    <row r="566" spans="8:9">
      <c r="H566" s="237"/>
      <c r="I566" s="236"/>
    </row>
    <row r="567" spans="8:9">
      <c r="H567" s="237"/>
      <c r="I567" s="236"/>
    </row>
    <row r="568" spans="8:9">
      <c r="H568" s="237"/>
      <c r="I568" s="236"/>
    </row>
    <row r="569" spans="8:9">
      <c r="H569" s="237"/>
      <c r="I569" s="236"/>
    </row>
    <row r="570" spans="8:9">
      <c r="H570" s="237"/>
      <c r="I570" s="236"/>
    </row>
    <row r="571" spans="8:9">
      <c r="H571" s="237"/>
      <c r="I571" s="236"/>
    </row>
    <row r="572" spans="8:9">
      <c r="H572" s="237"/>
      <c r="I572" s="236"/>
    </row>
    <row r="573" spans="8:9">
      <c r="H573" s="237"/>
      <c r="I573" s="236"/>
    </row>
    <row r="574" spans="8:9">
      <c r="H574" s="237"/>
      <c r="I574" s="236"/>
    </row>
    <row r="575" spans="8:9">
      <c r="H575" s="237"/>
      <c r="I575" s="236"/>
    </row>
    <row r="576" spans="8:9">
      <c r="H576" s="237"/>
      <c r="I576" s="236"/>
    </row>
    <row r="577" spans="8:9">
      <c r="H577" s="237"/>
      <c r="I577" s="236"/>
    </row>
    <row r="578" spans="8:9">
      <c r="H578" s="237"/>
      <c r="I578" s="236"/>
    </row>
    <row r="579" spans="8:9">
      <c r="H579" s="237"/>
      <c r="I579" s="236"/>
    </row>
    <row r="580" spans="8:9">
      <c r="H580" s="237"/>
      <c r="I580" s="236"/>
    </row>
    <row r="581" spans="8:9">
      <c r="H581" s="237"/>
      <c r="I581" s="236"/>
    </row>
    <row r="582" spans="8:9">
      <c r="H582" s="237"/>
      <c r="I582" s="236"/>
    </row>
    <row r="583" spans="8:9">
      <c r="H583" s="237"/>
      <c r="I583" s="236"/>
    </row>
    <row r="584" spans="8:9">
      <c r="H584" s="237"/>
      <c r="I584" s="236"/>
    </row>
    <row r="585" spans="8:9">
      <c r="H585" s="237"/>
      <c r="I585" s="236"/>
    </row>
    <row r="586" spans="8:9">
      <c r="H586" s="237"/>
      <c r="I586" s="236"/>
    </row>
    <row r="587" spans="8:9">
      <c r="H587" s="237"/>
      <c r="I587" s="236"/>
    </row>
    <row r="588" spans="8:9">
      <c r="H588" s="237"/>
      <c r="I588" s="236"/>
    </row>
    <row r="589" spans="8:9">
      <c r="H589" s="237"/>
      <c r="I589" s="236"/>
    </row>
    <row r="590" spans="8:9">
      <c r="H590" s="237"/>
      <c r="I590" s="236"/>
    </row>
    <row r="591" spans="8:9">
      <c r="H591" s="237"/>
      <c r="I591" s="236"/>
    </row>
    <row r="592" spans="8:9">
      <c r="H592" s="237"/>
      <c r="I592" s="236"/>
    </row>
    <row r="593" spans="8:9">
      <c r="H593" s="237"/>
      <c r="I593" s="236"/>
    </row>
    <row r="594" spans="8:9">
      <c r="H594" s="237"/>
      <c r="I594" s="236"/>
    </row>
    <row r="595" spans="8:9">
      <c r="H595" s="237"/>
      <c r="I595" s="236"/>
    </row>
    <row r="596" spans="8:9">
      <c r="H596" s="237"/>
      <c r="I596" s="236"/>
    </row>
    <row r="597" spans="8:9">
      <c r="H597" s="237"/>
      <c r="I597" s="236"/>
    </row>
    <row r="598" spans="8:9">
      <c r="H598" s="237"/>
      <c r="I598" s="236"/>
    </row>
    <row r="599" spans="8:9">
      <c r="H599" s="237"/>
      <c r="I599" s="236"/>
    </row>
    <row r="600" spans="8:9">
      <c r="H600" s="237"/>
      <c r="I600" s="236"/>
    </row>
    <row r="601" spans="8:9">
      <c r="H601" s="237"/>
      <c r="I601" s="236"/>
    </row>
    <row r="602" spans="8:9">
      <c r="H602" s="237"/>
      <c r="I602" s="236"/>
    </row>
    <row r="603" spans="8:9">
      <c r="H603" s="237"/>
      <c r="I603" s="236"/>
    </row>
    <row r="604" spans="8:9">
      <c r="H604" s="237"/>
      <c r="I604" s="236"/>
    </row>
    <row r="605" spans="8:9">
      <c r="H605" s="237"/>
      <c r="I605" s="236"/>
    </row>
    <row r="606" spans="8:9">
      <c r="H606" s="237"/>
      <c r="I606" s="236"/>
    </row>
    <row r="607" spans="8:9">
      <c r="H607" s="237"/>
      <c r="I607" s="236"/>
    </row>
    <row r="608" spans="8:9">
      <c r="H608" s="237"/>
      <c r="I608" s="236"/>
    </row>
    <row r="609" spans="8:9">
      <c r="H609" s="237"/>
      <c r="I609" s="236"/>
    </row>
    <row r="610" spans="8:9">
      <c r="H610" s="237"/>
      <c r="I610" s="236"/>
    </row>
    <row r="611" spans="8:9">
      <c r="H611" s="237"/>
      <c r="I611" s="236"/>
    </row>
    <row r="612" spans="8:9">
      <c r="H612" s="237"/>
      <c r="I612" s="236"/>
    </row>
    <row r="613" spans="8:9">
      <c r="H613" s="237"/>
      <c r="I613" s="236"/>
    </row>
    <row r="614" spans="8:9">
      <c r="H614" s="237"/>
      <c r="I614" s="236"/>
    </row>
    <row r="615" spans="8:9">
      <c r="H615" s="237"/>
      <c r="I615" s="236"/>
    </row>
    <row r="616" spans="8:9">
      <c r="H616" s="237"/>
      <c r="I616" s="236"/>
    </row>
    <row r="617" spans="8:9">
      <c r="H617" s="237"/>
      <c r="I617" s="236"/>
    </row>
    <row r="618" spans="8:9">
      <c r="H618" s="237"/>
      <c r="I618" s="236"/>
    </row>
    <row r="619" spans="8:9">
      <c r="H619" s="237"/>
      <c r="I619" s="236"/>
    </row>
    <row r="620" spans="8:9">
      <c r="H620" s="237"/>
      <c r="I620" s="236"/>
    </row>
    <row r="621" spans="8:9">
      <c r="H621" s="237"/>
      <c r="I621" s="236"/>
    </row>
    <row r="622" spans="8:9">
      <c r="H622" s="237"/>
      <c r="I622" s="236"/>
    </row>
    <row r="623" spans="8:9">
      <c r="H623" s="237"/>
      <c r="I623" s="236"/>
    </row>
    <row r="624" spans="8:9">
      <c r="H624" s="237"/>
      <c r="I624" s="236"/>
    </row>
    <row r="625" spans="8:9">
      <c r="H625" s="237"/>
      <c r="I625" s="236"/>
    </row>
    <row r="626" spans="8:9">
      <c r="H626" s="237"/>
      <c r="I626" s="236"/>
    </row>
    <row r="627" spans="8:9">
      <c r="H627" s="237"/>
      <c r="I627" s="236"/>
    </row>
    <row r="628" spans="8:9">
      <c r="H628" s="237"/>
      <c r="I628" s="236"/>
    </row>
    <row r="629" spans="8:9">
      <c r="H629" s="237"/>
      <c r="I629" s="236"/>
    </row>
    <row r="630" spans="8:9">
      <c r="H630" s="237"/>
      <c r="I630" s="236"/>
    </row>
    <row r="631" spans="8:9">
      <c r="H631" s="237"/>
      <c r="I631" s="236"/>
    </row>
    <row r="632" spans="8:9">
      <c r="H632" s="237"/>
      <c r="I632" s="236"/>
    </row>
    <row r="633" spans="8:9">
      <c r="H633" s="237"/>
      <c r="I633" s="236"/>
    </row>
    <row r="634" spans="8:9">
      <c r="H634" s="237"/>
      <c r="I634" s="236"/>
    </row>
    <row r="635" spans="8:9">
      <c r="H635" s="237"/>
      <c r="I635" s="236"/>
    </row>
    <row r="636" spans="8:9">
      <c r="H636" s="237"/>
      <c r="I636" s="236"/>
    </row>
    <row r="637" spans="8:9">
      <c r="H637" s="237"/>
      <c r="I637" s="236"/>
    </row>
    <row r="638" spans="8:9">
      <c r="H638" s="237"/>
      <c r="I638" s="236"/>
    </row>
    <row r="639" spans="8:9">
      <c r="H639" s="237"/>
      <c r="I639" s="236"/>
    </row>
    <row r="640" spans="8:9">
      <c r="H640" s="237"/>
      <c r="I640" s="236"/>
    </row>
    <row r="641" spans="8:9">
      <c r="H641" s="237"/>
      <c r="I641" s="236"/>
    </row>
    <row r="642" spans="8:9">
      <c r="H642" s="237"/>
      <c r="I642" s="236"/>
    </row>
    <row r="643" spans="8:9">
      <c r="H643" s="237"/>
      <c r="I643" s="236"/>
    </row>
    <row r="644" spans="8:9">
      <c r="H644" s="237"/>
      <c r="I644" s="236"/>
    </row>
    <row r="645" spans="8:9">
      <c r="H645" s="237"/>
      <c r="I645" s="236"/>
    </row>
    <row r="646" spans="8:9">
      <c r="H646" s="237"/>
      <c r="I646" s="236"/>
    </row>
    <row r="647" spans="8:9">
      <c r="H647" s="237"/>
      <c r="I647" s="236"/>
    </row>
    <row r="648" spans="8:9">
      <c r="H648" s="237"/>
      <c r="I648" s="236"/>
    </row>
    <row r="649" spans="8:9">
      <c r="H649" s="237"/>
      <c r="I649" s="236"/>
    </row>
    <row r="650" spans="8:9">
      <c r="H650" s="237"/>
      <c r="I650" s="236"/>
    </row>
    <row r="651" spans="8:9">
      <c r="H651" s="237"/>
      <c r="I651" s="236"/>
    </row>
    <row r="652" spans="8:9">
      <c r="H652" s="237"/>
      <c r="I652" s="236"/>
    </row>
    <row r="653" spans="8:9">
      <c r="H653" s="237"/>
      <c r="I653" s="236"/>
    </row>
    <row r="654" spans="8:9">
      <c r="H654" s="237"/>
      <c r="I654" s="236"/>
    </row>
    <row r="655" spans="8:9">
      <c r="H655" s="237"/>
      <c r="I655" s="236"/>
    </row>
    <row r="656" spans="8:9">
      <c r="H656" s="237"/>
      <c r="I656" s="236"/>
    </row>
    <row r="657" spans="8:9">
      <c r="H657" s="237"/>
      <c r="I657" s="236"/>
    </row>
    <row r="658" spans="8:9">
      <c r="H658" s="237"/>
      <c r="I658" s="236"/>
    </row>
    <row r="659" spans="8:9">
      <c r="H659" s="237"/>
      <c r="I659" s="236"/>
    </row>
    <row r="660" spans="8:9">
      <c r="H660" s="237"/>
      <c r="I660" s="236"/>
    </row>
    <row r="661" spans="8:9">
      <c r="H661" s="237"/>
      <c r="I661" s="236"/>
    </row>
    <row r="662" spans="8:9">
      <c r="H662" s="237"/>
      <c r="I662" s="236"/>
    </row>
    <row r="663" spans="8:9">
      <c r="H663" s="237"/>
      <c r="I663" s="236"/>
    </row>
    <row r="664" spans="8:9">
      <c r="H664" s="237"/>
      <c r="I664" s="236"/>
    </row>
    <row r="665" spans="8:9">
      <c r="H665" s="237"/>
      <c r="I665" s="236"/>
    </row>
    <row r="666" spans="8:9">
      <c r="H666" s="237"/>
      <c r="I666" s="236"/>
    </row>
    <row r="667" spans="8:9">
      <c r="H667" s="237"/>
      <c r="I667" s="236"/>
    </row>
    <row r="668" spans="8:9">
      <c r="H668" s="237"/>
      <c r="I668" s="236"/>
    </row>
    <row r="669" spans="8:9">
      <c r="H669" s="237"/>
      <c r="I669" s="236"/>
    </row>
    <row r="670" spans="8:9">
      <c r="H670" s="237"/>
      <c r="I670" s="236"/>
    </row>
    <row r="671" spans="8:9">
      <c r="H671" s="237"/>
      <c r="I671" s="236"/>
    </row>
    <row r="672" spans="8:9">
      <c r="H672" s="237"/>
      <c r="I672" s="236"/>
    </row>
    <row r="673" spans="8:9">
      <c r="H673" s="237"/>
      <c r="I673" s="236"/>
    </row>
    <row r="674" spans="8:9">
      <c r="H674" s="237"/>
      <c r="I674" s="236"/>
    </row>
    <row r="675" spans="8:9">
      <c r="H675" s="237"/>
      <c r="I675" s="236"/>
    </row>
    <row r="676" spans="8:9">
      <c r="H676" s="237"/>
      <c r="I676" s="236"/>
    </row>
    <row r="677" spans="8:9">
      <c r="H677" s="237"/>
      <c r="I677" s="236"/>
    </row>
    <row r="678" spans="8:9">
      <c r="H678" s="237"/>
      <c r="I678" s="236"/>
    </row>
    <row r="679" spans="8:9">
      <c r="H679" s="237"/>
      <c r="I679" s="236"/>
    </row>
    <row r="680" spans="8:9">
      <c r="H680" s="237"/>
      <c r="I680" s="236"/>
    </row>
    <row r="681" spans="8:9">
      <c r="H681" s="237"/>
      <c r="I681" s="236"/>
    </row>
    <row r="682" spans="8:9">
      <c r="H682" s="237"/>
      <c r="I682" s="236"/>
    </row>
    <row r="683" spans="8:9">
      <c r="H683" s="237"/>
      <c r="I683" s="236"/>
    </row>
    <row r="684" spans="8:9">
      <c r="H684" s="237"/>
      <c r="I684" s="236"/>
    </row>
    <row r="685" spans="8:9">
      <c r="H685" s="237"/>
      <c r="I685" s="236"/>
    </row>
    <row r="686" spans="8:9">
      <c r="H686" s="237"/>
      <c r="I686" s="236"/>
    </row>
    <row r="687" spans="8:9">
      <c r="H687" s="237"/>
      <c r="I687" s="236"/>
    </row>
    <row r="688" spans="8:9">
      <c r="H688" s="237"/>
      <c r="I688" s="236"/>
    </row>
    <row r="689" spans="8:9">
      <c r="H689" s="237"/>
      <c r="I689" s="236"/>
    </row>
    <row r="690" spans="8:9">
      <c r="H690" s="237"/>
      <c r="I690" s="236"/>
    </row>
    <row r="691" spans="8:9">
      <c r="H691" s="237"/>
      <c r="I691" s="236"/>
    </row>
    <row r="692" spans="8:9">
      <c r="H692" s="237"/>
      <c r="I692" s="236"/>
    </row>
    <row r="693" spans="8:9">
      <c r="H693" s="237"/>
      <c r="I693" s="236"/>
    </row>
    <row r="694" spans="8:9">
      <c r="H694" s="237"/>
      <c r="I694" s="236"/>
    </row>
    <row r="695" spans="8:9">
      <c r="H695" s="237"/>
      <c r="I695" s="236"/>
    </row>
    <row r="696" spans="8:9">
      <c r="H696" s="237"/>
      <c r="I696" s="236"/>
    </row>
    <row r="697" spans="8:9">
      <c r="H697" s="237"/>
      <c r="I697" s="236"/>
    </row>
    <row r="698" spans="8:9">
      <c r="H698" s="237"/>
      <c r="I698" s="236"/>
    </row>
    <row r="699" spans="8:9">
      <c r="H699" s="237"/>
      <c r="I699" s="236"/>
    </row>
    <row r="700" spans="8:9">
      <c r="H700" s="237"/>
      <c r="I700" s="236"/>
    </row>
    <row r="701" spans="8:9">
      <c r="H701" s="237"/>
      <c r="I701" s="236"/>
    </row>
    <row r="702" spans="8:9">
      <c r="H702" s="237"/>
      <c r="I702" s="236"/>
    </row>
    <row r="703" spans="8:9">
      <c r="H703" s="237"/>
      <c r="I703" s="236"/>
    </row>
    <row r="704" spans="8:9">
      <c r="H704" s="237"/>
      <c r="I704" s="236"/>
    </row>
    <row r="705" spans="8:9">
      <c r="H705" s="237"/>
      <c r="I705" s="236"/>
    </row>
    <row r="706" spans="8:9">
      <c r="H706" s="237"/>
      <c r="I706" s="236"/>
    </row>
    <row r="707" spans="8:9">
      <c r="H707" s="237"/>
      <c r="I707" s="236"/>
    </row>
    <row r="708" spans="8:9">
      <c r="H708" s="237"/>
      <c r="I708" s="236"/>
    </row>
    <row r="709" spans="8:9">
      <c r="H709" s="237"/>
      <c r="I709" s="236"/>
    </row>
    <row r="710" spans="8:9">
      <c r="H710" s="237"/>
      <c r="I710" s="236"/>
    </row>
    <row r="711" spans="8:9">
      <c r="H711" s="237"/>
      <c r="I711" s="236"/>
    </row>
    <row r="712" spans="8:9">
      <c r="H712" s="237"/>
      <c r="I712" s="236"/>
    </row>
    <row r="713" spans="8:9">
      <c r="H713" s="237"/>
      <c r="I713" s="236"/>
    </row>
    <row r="714" spans="8:9">
      <c r="H714" s="237"/>
      <c r="I714" s="236"/>
    </row>
    <row r="715" spans="8:9">
      <c r="H715" s="237"/>
      <c r="I715" s="236"/>
    </row>
    <row r="716" spans="8:9">
      <c r="H716" s="237"/>
      <c r="I716" s="236"/>
    </row>
    <row r="717" spans="8:9">
      <c r="H717" s="237"/>
      <c r="I717" s="236"/>
    </row>
    <row r="718" spans="8:9">
      <c r="H718" s="237"/>
      <c r="I718" s="236"/>
    </row>
    <row r="719" spans="8:9">
      <c r="H719" s="237"/>
      <c r="I719" s="236"/>
    </row>
    <row r="720" spans="8:9">
      <c r="H720" s="237"/>
      <c r="I720" s="236"/>
    </row>
    <row r="721" spans="8:9">
      <c r="H721" s="237"/>
      <c r="I721" s="236"/>
    </row>
    <row r="722" spans="8:9">
      <c r="H722" s="237"/>
      <c r="I722" s="236"/>
    </row>
    <row r="723" spans="8:9">
      <c r="H723" s="237"/>
      <c r="I723" s="236"/>
    </row>
    <row r="724" spans="8:9">
      <c r="H724" s="237"/>
      <c r="I724" s="236"/>
    </row>
    <row r="725" spans="8:9">
      <c r="H725" s="237"/>
      <c r="I725" s="236"/>
    </row>
    <row r="726" spans="8:9">
      <c r="H726" s="237"/>
      <c r="I726" s="236"/>
    </row>
    <row r="727" spans="8:9">
      <c r="H727" s="237"/>
      <c r="I727" s="236"/>
    </row>
    <row r="728" spans="8:9">
      <c r="H728" s="237"/>
      <c r="I728" s="236"/>
    </row>
    <row r="729" spans="8:9">
      <c r="H729" s="237"/>
      <c r="I729" s="236"/>
    </row>
    <row r="730" spans="8:9">
      <c r="H730" s="237"/>
      <c r="I730" s="236"/>
    </row>
    <row r="731" spans="8:9">
      <c r="H731" s="237"/>
      <c r="I731" s="236"/>
    </row>
    <row r="732" spans="8:9">
      <c r="H732" s="237"/>
      <c r="I732" s="236"/>
    </row>
    <row r="733" spans="8:9">
      <c r="H733" s="237"/>
      <c r="I733" s="236"/>
    </row>
    <row r="734" spans="8:9">
      <c r="H734" s="237"/>
      <c r="I734" s="236"/>
    </row>
    <row r="735" spans="8:9">
      <c r="H735" s="237"/>
      <c r="I735" s="236"/>
    </row>
    <row r="736" spans="8:9">
      <c r="H736" s="237"/>
      <c r="I736" s="236"/>
    </row>
    <row r="737" spans="8:9">
      <c r="H737" s="237"/>
      <c r="I737" s="236"/>
    </row>
    <row r="738" spans="8:9">
      <c r="H738" s="237"/>
      <c r="I738" s="236"/>
    </row>
    <row r="739" spans="8:9">
      <c r="H739" s="237"/>
      <c r="I739" s="236"/>
    </row>
    <row r="740" spans="8:9">
      <c r="H740" s="237"/>
      <c r="I740" s="236"/>
    </row>
    <row r="741" spans="8:9">
      <c r="H741" s="237"/>
      <c r="I741" s="236"/>
    </row>
    <row r="742" spans="8:9">
      <c r="H742" s="237"/>
      <c r="I742" s="236"/>
    </row>
    <row r="743" spans="8:9">
      <c r="H743" s="237"/>
      <c r="I743" s="236"/>
    </row>
    <row r="744" spans="8:9">
      <c r="H744" s="237"/>
      <c r="I744" s="236"/>
    </row>
    <row r="745" spans="8:9">
      <c r="H745" s="237"/>
      <c r="I745" s="236"/>
    </row>
    <row r="746" spans="8:9">
      <c r="H746" s="237"/>
      <c r="I746" s="236"/>
    </row>
    <row r="747" spans="8:9">
      <c r="H747" s="237"/>
      <c r="I747" s="236"/>
    </row>
    <row r="748" spans="8:9">
      <c r="H748" s="237"/>
      <c r="I748" s="236"/>
    </row>
    <row r="749" spans="8:9">
      <c r="H749" s="237"/>
      <c r="I749" s="236"/>
    </row>
    <row r="750" spans="8:9">
      <c r="H750" s="237"/>
      <c r="I750" s="236"/>
    </row>
    <row r="751" spans="8:9">
      <c r="H751" s="237"/>
      <c r="I751" s="236"/>
    </row>
    <row r="752" spans="8:9">
      <c r="H752" s="237"/>
      <c r="I752" s="236"/>
    </row>
    <row r="753" spans="8:9">
      <c r="H753" s="237"/>
      <c r="I753" s="236"/>
    </row>
    <row r="754" spans="8:9">
      <c r="H754" s="237"/>
      <c r="I754" s="236"/>
    </row>
    <row r="755" spans="8:9">
      <c r="H755" s="237"/>
      <c r="I755" s="236"/>
    </row>
    <row r="756" spans="8:9">
      <c r="H756" s="237"/>
      <c r="I756" s="236"/>
    </row>
    <row r="757" spans="8:9">
      <c r="H757" s="237"/>
      <c r="I757" s="236"/>
    </row>
    <row r="758" spans="8:9">
      <c r="H758" s="237"/>
      <c r="I758" s="236"/>
    </row>
    <row r="759" spans="8:9">
      <c r="H759" s="237"/>
      <c r="I759" s="236"/>
    </row>
    <row r="760" spans="8:9">
      <c r="H760" s="237"/>
      <c r="I760" s="236"/>
    </row>
    <row r="761" spans="8:9">
      <c r="H761" s="237"/>
      <c r="I761" s="236"/>
    </row>
    <row r="762" spans="8:9">
      <c r="H762" s="237"/>
      <c r="I762" s="236"/>
    </row>
    <row r="763" spans="8:9">
      <c r="H763" s="237"/>
      <c r="I763" s="236"/>
    </row>
    <row r="764" spans="8:9">
      <c r="H764" s="237"/>
      <c r="I764" s="236"/>
    </row>
    <row r="765" spans="8:9">
      <c r="H765" s="237"/>
      <c r="I765" s="236"/>
    </row>
    <row r="766" spans="8:9">
      <c r="H766" s="237"/>
      <c r="I766" s="236"/>
    </row>
    <row r="767" spans="8:9">
      <c r="H767" s="237"/>
      <c r="I767" s="236"/>
    </row>
    <row r="768" spans="8:9">
      <c r="H768" s="237"/>
      <c r="I768" s="236"/>
    </row>
    <row r="769" spans="8:9">
      <c r="H769" s="237"/>
      <c r="I769" s="236"/>
    </row>
    <row r="770" spans="8:9">
      <c r="H770" s="237"/>
      <c r="I770" s="236"/>
    </row>
    <row r="771" spans="8:9">
      <c r="H771" s="237"/>
      <c r="I771" s="236"/>
    </row>
    <row r="772" spans="8:9">
      <c r="H772" s="237"/>
      <c r="I772" s="236"/>
    </row>
    <row r="773" spans="8:9">
      <c r="H773" s="237"/>
      <c r="I773" s="236"/>
    </row>
    <row r="774" spans="8:9">
      <c r="H774" s="237"/>
      <c r="I774" s="236"/>
    </row>
    <row r="775" spans="8:9">
      <c r="H775" s="237"/>
      <c r="I775" s="236"/>
    </row>
    <row r="776" spans="8:9">
      <c r="H776" s="237"/>
      <c r="I776" s="236"/>
    </row>
    <row r="777" spans="8:9">
      <c r="H777" s="237"/>
      <c r="I777" s="236"/>
    </row>
    <row r="778" spans="8:9">
      <c r="H778" s="237"/>
      <c r="I778" s="236"/>
    </row>
    <row r="779" spans="8:9">
      <c r="H779" s="237"/>
      <c r="I779" s="236"/>
    </row>
    <row r="780" spans="8:9">
      <c r="H780" s="237"/>
      <c r="I780" s="236"/>
    </row>
    <row r="781" spans="8:9">
      <c r="H781" s="237"/>
      <c r="I781" s="236"/>
    </row>
    <row r="782" spans="8:9">
      <c r="H782" s="237"/>
      <c r="I782" s="236"/>
    </row>
    <row r="783" spans="8:9">
      <c r="H783" s="237"/>
      <c r="I783" s="236"/>
    </row>
    <row r="784" spans="8:9">
      <c r="H784" s="237"/>
      <c r="I784" s="236"/>
    </row>
    <row r="785" spans="8:9">
      <c r="H785" s="237"/>
      <c r="I785" s="236"/>
    </row>
    <row r="786" spans="8:9">
      <c r="H786" s="237"/>
      <c r="I786" s="236"/>
    </row>
    <row r="787" spans="8:9">
      <c r="H787" s="237"/>
      <c r="I787" s="236"/>
    </row>
    <row r="788" spans="8:9">
      <c r="H788" s="237"/>
      <c r="I788" s="236"/>
    </row>
    <row r="789" spans="8:9">
      <c r="H789" s="237"/>
      <c r="I789" s="236"/>
    </row>
    <row r="790" spans="8:9">
      <c r="H790" s="237"/>
      <c r="I790" s="236"/>
    </row>
    <row r="791" spans="8:9">
      <c r="H791" s="237"/>
      <c r="I791" s="236"/>
    </row>
    <row r="792" spans="8:9">
      <c r="H792" s="237"/>
      <c r="I792" s="236"/>
    </row>
    <row r="793" spans="8:9">
      <c r="H793" s="237"/>
      <c r="I793" s="236"/>
    </row>
    <row r="794" spans="8:9">
      <c r="H794" s="237"/>
      <c r="I794" s="236"/>
    </row>
    <row r="795" spans="8:9">
      <c r="H795" s="237"/>
      <c r="I795" s="236"/>
    </row>
    <row r="796" spans="8:9">
      <c r="H796" s="237"/>
      <c r="I796" s="236"/>
    </row>
    <row r="797" spans="8:9">
      <c r="H797" s="237"/>
      <c r="I797" s="236"/>
    </row>
    <row r="798" spans="8:9">
      <c r="H798" s="237"/>
      <c r="I798" s="236"/>
    </row>
    <row r="799" spans="8:9">
      <c r="H799" s="237"/>
      <c r="I799" s="236"/>
    </row>
    <row r="800" spans="8:9">
      <c r="H800" s="237"/>
      <c r="I800" s="236"/>
    </row>
    <row r="801" spans="8:9">
      <c r="H801" s="237"/>
      <c r="I801" s="236"/>
    </row>
    <row r="802" spans="8:9">
      <c r="H802" s="237"/>
      <c r="I802" s="236"/>
    </row>
    <row r="803" spans="8:9">
      <c r="H803" s="237"/>
      <c r="I803" s="236"/>
    </row>
    <row r="804" spans="8:9">
      <c r="H804" s="237"/>
      <c r="I804" s="236"/>
    </row>
    <row r="805" spans="8:9">
      <c r="H805" s="237"/>
      <c r="I805" s="236"/>
    </row>
    <row r="806" spans="8:9">
      <c r="H806" s="237"/>
      <c r="I806" s="236"/>
    </row>
    <row r="807" spans="8:9">
      <c r="H807" s="237"/>
      <c r="I807" s="236"/>
    </row>
    <row r="808" spans="8:9">
      <c r="H808" s="237"/>
      <c r="I808" s="236"/>
    </row>
    <row r="809" spans="8:9">
      <c r="H809" s="237"/>
      <c r="I809" s="236"/>
    </row>
    <row r="810" spans="8:9">
      <c r="H810" s="237"/>
      <c r="I810" s="236"/>
    </row>
    <row r="811" spans="8:9">
      <c r="H811" s="237"/>
      <c r="I811" s="236"/>
    </row>
    <row r="812" spans="8:9">
      <c r="H812" s="237"/>
      <c r="I812" s="236"/>
    </row>
    <row r="813" spans="8:9">
      <c r="H813" s="237"/>
      <c r="I813" s="236"/>
    </row>
    <row r="814" spans="8:9">
      <c r="H814" s="237"/>
      <c r="I814" s="236"/>
    </row>
    <row r="815" spans="8:9">
      <c r="H815" s="237"/>
      <c r="I815" s="236"/>
    </row>
    <row r="816" spans="8:9">
      <c r="H816" s="237"/>
      <c r="I816" s="236"/>
    </row>
    <row r="817" spans="8:9">
      <c r="H817" s="237"/>
      <c r="I817" s="236"/>
    </row>
    <row r="818" spans="8:9">
      <c r="H818" s="237"/>
      <c r="I818" s="236"/>
    </row>
    <row r="819" spans="8:9">
      <c r="H819" s="237"/>
      <c r="I819" s="236"/>
    </row>
    <row r="820" spans="8:9">
      <c r="H820" s="237"/>
      <c r="I820" s="236"/>
    </row>
    <row r="821" spans="8:9">
      <c r="H821" s="237"/>
      <c r="I821" s="236"/>
    </row>
    <row r="822" spans="8:9">
      <c r="H822" s="237"/>
      <c r="I822" s="236"/>
    </row>
    <row r="823" spans="8:9">
      <c r="H823" s="237"/>
      <c r="I823" s="236"/>
    </row>
    <row r="824" spans="8:9">
      <c r="H824" s="237"/>
      <c r="I824" s="236"/>
    </row>
    <row r="825" spans="8:9">
      <c r="H825" s="237"/>
      <c r="I825" s="236"/>
    </row>
    <row r="826" spans="8:9">
      <c r="H826" s="237"/>
      <c r="I826" s="236"/>
    </row>
    <row r="827" spans="8:9">
      <c r="H827" s="237"/>
      <c r="I827" s="236"/>
    </row>
    <row r="828" spans="8:9">
      <c r="H828" s="237"/>
      <c r="I828" s="236"/>
    </row>
    <row r="829" spans="8:9">
      <c r="H829" s="237"/>
      <c r="I829" s="236"/>
    </row>
    <row r="830" spans="8:9">
      <c r="H830" s="237"/>
      <c r="I830" s="236"/>
    </row>
    <row r="831" spans="8:9">
      <c r="H831" s="237"/>
      <c r="I831" s="236"/>
    </row>
    <row r="832" spans="8:9">
      <c r="H832" s="237"/>
      <c r="I832" s="236"/>
    </row>
    <row r="833" spans="8:9">
      <c r="H833" s="237"/>
      <c r="I833" s="236"/>
    </row>
    <row r="834" spans="8:9">
      <c r="H834" s="237"/>
      <c r="I834" s="236"/>
    </row>
    <row r="835" spans="8:9">
      <c r="H835" s="237"/>
      <c r="I835" s="236"/>
    </row>
    <row r="836" spans="8:9">
      <c r="H836" s="237"/>
      <c r="I836" s="236"/>
    </row>
    <row r="837" spans="8:9">
      <c r="H837" s="237"/>
      <c r="I837" s="236"/>
    </row>
    <row r="838" spans="8:9">
      <c r="H838" s="237"/>
      <c r="I838" s="236"/>
    </row>
    <row r="839" spans="8:9">
      <c r="H839" s="237"/>
      <c r="I839" s="236"/>
    </row>
    <row r="840" spans="8:9">
      <c r="H840" s="237"/>
      <c r="I840" s="236"/>
    </row>
    <row r="841" spans="8:9">
      <c r="H841" s="237"/>
      <c r="I841" s="236"/>
    </row>
    <row r="842" spans="8:9">
      <c r="H842" s="237"/>
      <c r="I842" s="236"/>
    </row>
    <row r="843" spans="8:9">
      <c r="H843" s="237"/>
      <c r="I843" s="236"/>
    </row>
    <row r="844" spans="8:9">
      <c r="H844" s="237"/>
      <c r="I844" s="236"/>
    </row>
    <row r="845" spans="8:9">
      <c r="H845" s="237"/>
      <c r="I845" s="236"/>
    </row>
    <row r="846" spans="8:9">
      <c r="H846" s="237"/>
      <c r="I846" s="236"/>
    </row>
    <row r="847" spans="8:9">
      <c r="H847" s="237"/>
      <c r="I847" s="236"/>
    </row>
    <row r="848" spans="8:9">
      <c r="H848" s="237"/>
      <c r="I848" s="236"/>
    </row>
    <row r="849" spans="8:9">
      <c r="H849" s="237"/>
      <c r="I849" s="236"/>
    </row>
    <row r="850" spans="8:9">
      <c r="H850" s="237"/>
      <c r="I850" s="236"/>
    </row>
    <row r="851" spans="8:9">
      <c r="H851" s="237"/>
      <c r="I851" s="236"/>
    </row>
    <row r="852" spans="8:9">
      <c r="H852" s="237"/>
      <c r="I852" s="236"/>
    </row>
    <row r="853" spans="8:9">
      <c r="H853" s="237"/>
      <c r="I853" s="236"/>
    </row>
    <row r="854" spans="8:9">
      <c r="H854" s="237"/>
      <c r="I854" s="236"/>
    </row>
    <row r="855" spans="8:9">
      <c r="H855" s="237"/>
      <c r="I855" s="236"/>
    </row>
    <row r="856" spans="8:9">
      <c r="H856" s="237"/>
      <c r="I856" s="236"/>
    </row>
    <row r="857" spans="8:9">
      <c r="H857" s="237"/>
      <c r="I857" s="236"/>
    </row>
    <row r="858" spans="8:9">
      <c r="H858" s="237"/>
      <c r="I858" s="236"/>
    </row>
    <row r="859" spans="8:9">
      <c r="H859" s="237"/>
      <c r="I859" s="236"/>
    </row>
    <row r="860" spans="8:9">
      <c r="H860" s="237"/>
      <c r="I860" s="236"/>
    </row>
    <row r="861" spans="8:9">
      <c r="H861" s="237"/>
      <c r="I861" s="236"/>
    </row>
    <row r="862" spans="8:9">
      <c r="H862" s="237"/>
      <c r="I862" s="236"/>
    </row>
    <row r="863" spans="8:9">
      <c r="H863" s="237"/>
      <c r="I863" s="236"/>
    </row>
    <row r="864" spans="8:9">
      <c r="H864" s="237"/>
      <c r="I864" s="236"/>
    </row>
    <row r="865" spans="8:9">
      <c r="H865" s="237"/>
      <c r="I865" s="236"/>
    </row>
    <row r="866" spans="8:9">
      <c r="H866" s="237"/>
      <c r="I866" s="236"/>
    </row>
    <row r="867" spans="8:9">
      <c r="H867" s="237"/>
      <c r="I867" s="236"/>
    </row>
    <row r="868" spans="8:9">
      <c r="H868" s="237"/>
      <c r="I868" s="236"/>
    </row>
    <row r="869" spans="8:9">
      <c r="H869" s="237"/>
      <c r="I869" s="236"/>
    </row>
    <row r="870" spans="8:9">
      <c r="H870" s="237"/>
      <c r="I870" s="236"/>
    </row>
    <row r="871" spans="8:9">
      <c r="H871" s="237"/>
      <c r="I871" s="236"/>
    </row>
    <row r="872" spans="8:9">
      <c r="H872" s="237"/>
      <c r="I872" s="236"/>
    </row>
    <row r="873" spans="8:9">
      <c r="H873" s="237"/>
      <c r="I873" s="236"/>
    </row>
    <row r="874" spans="8:9">
      <c r="H874" s="237"/>
      <c r="I874" s="236"/>
    </row>
    <row r="875" spans="8:9">
      <c r="H875" s="237"/>
      <c r="I875" s="236"/>
    </row>
    <row r="876" spans="8:9">
      <c r="H876" s="237"/>
      <c r="I876" s="236"/>
    </row>
    <row r="877" spans="8:9">
      <c r="H877" s="237"/>
      <c r="I877" s="236"/>
    </row>
    <row r="878" spans="8:9">
      <c r="H878" s="237"/>
      <c r="I878" s="236"/>
    </row>
    <row r="879" spans="8:9">
      <c r="H879" s="237"/>
      <c r="I879" s="236"/>
    </row>
    <row r="880" spans="8:9">
      <c r="H880" s="237"/>
      <c r="I880" s="236"/>
    </row>
    <row r="881" spans="8:9">
      <c r="H881" s="237"/>
      <c r="I881" s="236"/>
    </row>
    <row r="882" spans="8:9">
      <c r="H882" s="237"/>
      <c r="I882" s="236"/>
    </row>
    <row r="883" spans="8:9">
      <c r="H883" s="237"/>
      <c r="I883" s="236"/>
    </row>
    <row r="884" spans="8:9">
      <c r="H884" s="237"/>
      <c r="I884" s="236"/>
    </row>
    <row r="885" spans="8:9">
      <c r="H885" s="237"/>
      <c r="I885" s="236"/>
    </row>
    <row r="886" spans="8:9">
      <c r="H886" s="237"/>
      <c r="I886" s="236"/>
    </row>
    <row r="887" spans="8:9">
      <c r="H887" s="237"/>
      <c r="I887" s="236"/>
    </row>
    <row r="888" spans="8:9">
      <c r="H888" s="237"/>
      <c r="I888" s="236"/>
    </row>
    <row r="889" spans="8:9">
      <c r="H889" s="237"/>
      <c r="I889" s="236"/>
    </row>
    <row r="890" spans="8:9">
      <c r="H890" s="237"/>
      <c r="I890" s="236"/>
    </row>
    <row r="891" spans="8:9">
      <c r="H891" s="237"/>
      <c r="I891" s="236"/>
    </row>
    <row r="892" spans="8:9">
      <c r="H892" s="237"/>
      <c r="I892" s="236"/>
    </row>
    <row r="893" spans="8:9">
      <c r="H893" s="237"/>
      <c r="I893" s="236"/>
    </row>
    <row r="894" spans="8:9">
      <c r="H894" s="237"/>
      <c r="I894" s="236"/>
    </row>
    <row r="895" spans="8:9">
      <c r="H895" s="237"/>
      <c r="I895" s="236"/>
    </row>
    <row r="896" spans="8:9">
      <c r="H896" s="237"/>
      <c r="I896" s="236"/>
    </row>
    <row r="897" spans="8:9">
      <c r="H897" s="237"/>
      <c r="I897" s="236"/>
    </row>
    <row r="898" spans="8:9">
      <c r="H898" s="237"/>
      <c r="I898" s="236"/>
    </row>
    <row r="899" spans="8:9">
      <c r="H899" s="237"/>
      <c r="I899" s="236"/>
    </row>
    <row r="900" spans="8:9">
      <c r="H900" s="237"/>
      <c r="I900" s="236"/>
    </row>
    <row r="901" spans="8:9">
      <c r="H901" s="237"/>
      <c r="I901" s="236"/>
    </row>
    <row r="902" spans="8:9">
      <c r="H902" s="237"/>
      <c r="I902" s="236"/>
    </row>
    <row r="903" spans="8:9">
      <c r="H903" s="237"/>
      <c r="I903" s="236"/>
    </row>
    <row r="904" spans="8:9">
      <c r="H904" s="237"/>
      <c r="I904" s="236"/>
    </row>
    <row r="905" spans="8:9">
      <c r="H905" s="237"/>
      <c r="I905" s="236"/>
    </row>
    <row r="906" spans="8:9">
      <c r="H906" s="237"/>
      <c r="I906" s="236"/>
    </row>
    <row r="907" spans="8:9">
      <c r="H907" s="237"/>
      <c r="I907" s="236"/>
    </row>
    <row r="908" spans="8:9">
      <c r="H908" s="237"/>
      <c r="I908" s="236"/>
    </row>
    <row r="909" spans="8:9">
      <c r="H909" s="237"/>
      <c r="I909" s="236"/>
    </row>
    <row r="910" spans="8:9">
      <c r="H910" s="237"/>
      <c r="I910" s="236"/>
    </row>
    <row r="911" spans="8:9">
      <c r="H911" s="237"/>
      <c r="I911" s="236"/>
    </row>
    <row r="912" spans="8:9">
      <c r="H912" s="237"/>
      <c r="I912" s="236"/>
    </row>
    <row r="913" spans="8:9">
      <c r="H913" s="237"/>
      <c r="I913" s="236"/>
    </row>
    <row r="914" spans="8:9">
      <c r="H914" s="237"/>
      <c r="I914" s="236"/>
    </row>
    <row r="915" spans="8:9">
      <c r="H915" s="237"/>
      <c r="I915" s="236"/>
    </row>
    <row r="916" spans="8:9">
      <c r="H916" s="237"/>
      <c r="I916" s="236"/>
    </row>
    <row r="917" spans="8:9">
      <c r="H917" s="237"/>
      <c r="I917" s="236"/>
    </row>
    <row r="918" spans="8:9">
      <c r="H918" s="237"/>
      <c r="I918" s="236"/>
    </row>
    <row r="919" spans="8:9">
      <c r="H919" s="237"/>
      <c r="I919" s="236"/>
    </row>
    <row r="920" spans="8:9">
      <c r="H920" s="237"/>
      <c r="I920" s="236"/>
    </row>
    <row r="921" spans="8:9">
      <c r="H921" s="237"/>
      <c r="I921" s="236"/>
    </row>
    <row r="922" spans="8:9">
      <c r="H922" s="237"/>
      <c r="I922" s="236"/>
    </row>
    <row r="923" spans="8:9">
      <c r="H923" s="237"/>
      <c r="I923" s="236"/>
    </row>
    <row r="924" spans="8:9">
      <c r="H924" s="237"/>
      <c r="I924" s="236"/>
    </row>
    <row r="925" spans="8:9">
      <c r="H925" s="237"/>
      <c r="I925" s="236"/>
    </row>
    <row r="926" spans="8:9">
      <c r="H926" s="237"/>
      <c r="I926" s="236"/>
    </row>
    <row r="927" spans="8:9">
      <c r="H927" s="237"/>
      <c r="I927" s="236"/>
    </row>
    <row r="928" spans="8:9">
      <c r="H928" s="237"/>
      <c r="I928" s="236"/>
    </row>
    <row r="929" spans="8:9">
      <c r="H929" s="237"/>
      <c r="I929" s="236"/>
    </row>
    <row r="930" spans="8:9">
      <c r="H930" s="237"/>
      <c r="I930" s="236"/>
    </row>
    <row r="931" spans="8:9">
      <c r="H931" s="237"/>
      <c r="I931" s="236"/>
    </row>
    <row r="932" spans="8:9">
      <c r="H932" s="237"/>
      <c r="I932" s="236"/>
    </row>
    <row r="933" spans="8:9">
      <c r="H933" s="237"/>
      <c r="I933" s="236"/>
    </row>
    <row r="934" spans="8:9">
      <c r="H934" s="237"/>
      <c r="I934" s="236"/>
    </row>
    <row r="935" spans="8:9">
      <c r="H935" s="237"/>
      <c r="I935" s="236"/>
    </row>
    <row r="936" spans="8:9">
      <c r="H936" s="237"/>
      <c r="I936" s="236"/>
    </row>
    <row r="937" spans="8:9">
      <c r="H937" s="237"/>
      <c r="I937" s="236"/>
    </row>
    <row r="938" spans="8:9">
      <c r="H938" s="237"/>
      <c r="I938" s="236"/>
    </row>
    <row r="939" spans="8:9">
      <c r="H939" s="237"/>
      <c r="I939" s="236"/>
    </row>
    <row r="940" spans="8:9">
      <c r="H940" s="237"/>
      <c r="I940" s="236"/>
    </row>
    <row r="941" spans="8:9">
      <c r="H941" s="237"/>
      <c r="I941" s="236"/>
    </row>
    <row r="942" spans="8:9">
      <c r="H942" s="237"/>
      <c r="I942" s="236"/>
    </row>
    <row r="943" spans="8:9">
      <c r="H943" s="237"/>
      <c r="I943" s="236"/>
    </row>
    <row r="944" spans="8:9">
      <c r="H944" s="237"/>
      <c r="I944" s="236"/>
    </row>
    <row r="945" spans="8:9">
      <c r="H945" s="237"/>
      <c r="I945" s="236"/>
    </row>
    <row r="946" spans="8:9">
      <c r="H946" s="237"/>
      <c r="I946" s="236"/>
    </row>
    <row r="947" spans="8:9">
      <c r="H947" s="237"/>
      <c r="I947" s="236"/>
    </row>
    <row r="948" spans="8:9">
      <c r="H948" s="237"/>
      <c r="I948" s="236"/>
    </row>
    <row r="949" spans="8:9">
      <c r="H949" s="237"/>
      <c r="I949" s="236"/>
    </row>
    <row r="950" spans="8:9">
      <c r="H950" s="237"/>
      <c r="I950" s="236"/>
    </row>
    <row r="951" spans="8:9">
      <c r="H951" s="237"/>
      <c r="I951" s="236"/>
    </row>
    <row r="952" spans="8:9">
      <c r="H952" s="237"/>
      <c r="I952" s="236"/>
    </row>
    <row r="953" spans="8:9">
      <c r="H953" s="237"/>
      <c r="I953" s="236"/>
    </row>
    <row r="954" spans="8:9">
      <c r="H954" s="237"/>
      <c r="I954" s="236"/>
    </row>
    <row r="955" spans="8:9">
      <c r="H955" s="237"/>
      <c r="I955" s="236"/>
    </row>
    <row r="956" spans="8:9">
      <c r="H956" s="237"/>
      <c r="I956" s="236"/>
    </row>
    <row r="957" spans="8:9">
      <c r="H957" s="237"/>
      <c r="I957" s="236"/>
    </row>
    <row r="958" spans="8:9">
      <c r="H958" s="237"/>
      <c r="I958" s="236"/>
    </row>
    <row r="959" spans="8:9">
      <c r="H959" s="237"/>
      <c r="I959" s="236"/>
    </row>
    <row r="960" spans="8:9">
      <c r="H960" s="237"/>
      <c r="I960" s="236"/>
    </row>
    <row r="961" spans="8:9">
      <c r="H961" s="237"/>
      <c r="I961" s="236"/>
    </row>
    <row r="962" spans="8:9">
      <c r="H962" s="237"/>
      <c r="I962" s="236"/>
    </row>
    <row r="963" spans="8:9">
      <c r="H963" s="237"/>
      <c r="I963" s="236"/>
    </row>
    <row r="964" spans="8:9">
      <c r="H964" s="237"/>
      <c r="I964" s="236"/>
    </row>
    <row r="965" spans="8:9">
      <c r="H965" s="237"/>
      <c r="I965" s="236"/>
    </row>
    <row r="966" spans="8:9">
      <c r="H966" s="237"/>
      <c r="I966" s="236"/>
    </row>
    <row r="967" spans="8:9">
      <c r="H967" s="237"/>
      <c r="I967" s="236"/>
    </row>
    <row r="968" spans="8:9">
      <c r="H968" s="237"/>
      <c r="I968" s="236"/>
    </row>
    <row r="969" spans="8:9">
      <c r="H969" s="237"/>
      <c r="I969" s="236"/>
    </row>
    <row r="970" spans="8:9">
      <c r="H970" s="237"/>
      <c r="I970" s="236"/>
    </row>
    <row r="971" spans="8:9">
      <c r="H971" s="237"/>
      <c r="I971" s="236"/>
    </row>
    <row r="972" spans="8:9">
      <c r="H972" s="237"/>
      <c r="I972" s="236"/>
    </row>
    <row r="973" spans="8:9">
      <c r="H973" s="237"/>
      <c r="I973" s="236"/>
    </row>
    <row r="974" spans="8:9">
      <c r="H974" s="237"/>
      <c r="I974" s="236"/>
    </row>
    <row r="975" spans="8:9">
      <c r="H975" s="237"/>
      <c r="I975" s="236"/>
    </row>
    <row r="976" spans="8:9">
      <c r="H976" s="237"/>
      <c r="I976" s="236"/>
    </row>
    <row r="977" spans="8:9">
      <c r="H977" s="237"/>
      <c r="I977" s="236"/>
    </row>
    <row r="978" spans="8:9">
      <c r="H978" s="237"/>
      <c r="I978" s="236"/>
    </row>
    <row r="979" spans="8:9">
      <c r="H979" s="237"/>
      <c r="I979" s="236"/>
    </row>
    <row r="980" spans="8:9">
      <c r="H980" s="237"/>
      <c r="I980" s="236"/>
    </row>
    <row r="981" spans="8:9">
      <c r="H981" s="237"/>
      <c r="I981" s="236"/>
    </row>
    <row r="982" spans="8:9">
      <c r="H982" s="237"/>
      <c r="I982" s="236"/>
    </row>
    <row r="983" spans="8:9">
      <c r="H983" s="237"/>
      <c r="I983" s="236"/>
    </row>
    <row r="984" spans="8:9">
      <c r="H984" s="237"/>
      <c r="I984" s="236"/>
    </row>
    <row r="985" spans="8:9">
      <c r="H985" s="237"/>
      <c r="I985" s="236"/>
    </row>
    <row r="986" spans="8:9">
      <c r="H986" s="237"/>
      <c r="I986" s="236"/>
    </row>
    <row r="987" spans="8:9">
      <c r="H987" s="237"/>
      <c r="I987" s="236"/>
    </row>
    <row r="988" spans="8:9">
      <c r="H988" s="237"/>
      <c r="I988" s="236"/>
    </row>
    <row r="989" spans="8:9">
      <c r="H989" s="237"/>
      <c r="I989" s="236"/>
    </row>
    <row r="990" spans="8:9">
      <c r="H990" s="237"/>
      <c r="I990" s="236"/>
    </row>
    <row r="991" spans="8:9">
      <c r="H991" s="237"/>
      <c r="I991" s="236"/>
    </row>
    <row r="992" spans="8:9">
      <c r="H992" s="237"/>
      <c r="I992" s="236"/>
    </row>
    <row r="993" spans="8:9">
      <c r="H993" s="237"/>
      <c r="I993" s="236"/>
    </row>
    <row r="994" spans="8:9">
      <c r="H994" s="237"/>
      <c r="I994" s="236"/>
    </row>
    <row r="995" spans="8:9">
      <c r="H995" s="237"/>
      <c r="I995" s="236"/>
    </row>
    <row r="996" spans="8:9">
      <c r="H996" s="237"/>
      <c r="I996" s="236"/>
    </row>
    <row r="997" spans="8:9">
      <c r="H997" s="237"/>
      <c r="I997" s="236"/>
    </row>
    <row r="998" spans="8:9">
      <c r="H998" s="237"/>
      <c r="I998" s="236"/>
    </row>
    <row r="999" spans="8:9">
      <c r="H999" s="237"/>
      <c r="I999" s="236"/>
    </row>
    <row r="1000" spans="8:9">
      <c r="H1000" s="237"/>
      <c r="I1000" s="236"/>
    </row>
    <row r="1001" spans="8:9">
      <c r="H1001" s="237"/>
      <c r="I1001" s="236"/>
    </row>
    <row r="1002" spans="8:9">
      <c r="H1002" s="237"/>
      <c r="I1002" s="236"/>
    </row>
    <row r="1003" spans="8:9">
      <c r="H1003" s="237"/>
      <c r="I1003" s="236"/>
    </row>
    <row r="1004" spans="8:9">
      <c r="H1004" s="237"/>
      <c r="I1004" s="236"/>
    </row>
    <row r="1005" spans="8:9">
      <c r="H1005" s="237"/>
      <c r="I1005" s="236"/>
    </row>
    <row r="1006" spans="8:9">
      <c r="H1006" s="237"/>
      <c r="I1006" s="236"/>
    </row>
    <row r="1007" spans="8:9">
      <c r="H1007" s="237"/>
      <c r="I1007" s="236"/>
    </row>
    <row r="1008" spans="8:9">
      <c r="H1008" s="237"/>
      <c r="I1008" s="236"/>
    </row>
    <row r="1009" spans="8:9">
      <c r="H1009" s="237"/>
      <c r="I1009" s="236"/>
    </row>
    <row r="1010" spans="8:9">
      <c r="H1010" s="237"/>
      <c r="I1010" s="236"/>
    </row>
    <row r="1011" spans="8:9">
      <c r="H1011" s="237"/>
      <c r="I1011" s="236"/>
    </row>
    <row r="1012" spans="8:9">
      <c r="H1012" s="237"/>
      <c r="I1012" s="236"/>
    </row>
    <row r="1013" spans="8:9">
      <c r="H1013" s="237"/>
      <c r="I1013" s="236"/>
    </row>
    <row r="1014" spans="8:9">
      <c r="H1014" s="237"/>
      <c r="I1014" s="236"/>
    </row>
    <row r="1015" spans="8:9">
      <c r="H1015" s="237"/>
      <c r="I1015" s="236"/>
    </row>
    <row r="1016" spans="8:9">
      <c r="H1016" s="237"/>
      <c r="I1016" s="236"/>
    </row>
    <row r="1017" spans="8:9">
      <c r="H1017" s="237"/>
      <c r="I1017" s="236"/>
    </row>
    <row r="1018" spans="8:9">
      <c r="H1018" s="237"/>
      <c r="I1018" s="236"/>
    </row>
    <row r="1019" spans="8:9">
      <c r="H1019" s="237"/>
      <c r="I1019" s="236"/>
    </row>
    <row r="1020" spans="8:9">
      <c r="H1020" s="237"/>
      <c r="I1020" s="236"/>
    </row>
    <row r="1021" spans="8:9">
      <c r="H1021" s="237"/>
      <c r="I1021" s="236"/>
    </row>
    <row r="1022" spans="8:9">
      <c r="H1022" s="237"/>
      <c r="I1022" s="236"/>
    </row>
    <row r="1023" spans="8:9">
      <c r="H1023" s="237"/>
      <c r="I1023" s="236"/>
    </row>
    <row r="1024" spans="8:9">
      <c r="H1024" s="237"/>
      <c r="I1024" s="236"/>
    </row>
    <row r="1025" spans="8:9">
      <c r="H1025" s="237"/>
      <c r="I1025" s="236"/>
    </row>
    <row r="1026" spans="8:9">
      <c r="H1026" s="237"/>
      <c r="I1026" s="236"/>
    </row>
    <row r="1027" spans="8:9">
      <c r="H1027" s="237"/>
      <c r="I1027" s="236"/>
    </row>
    <row r="1028" spans="8:9">
      <c r="H1028" s="237"/>
      <c r="I1028" s="236"/>
    </row>
    <row r="1029" spans="8:9">
      <c r="H1029" s="237"/>
      <c r="I1029" s="236"/>
    </row>
    <row r="1030" spans="8:9">
      <c r="H1030" s="237"/>
      <c r="I1030" s="236"/>
    </row>
    <row r="1031" spans="8:9">
      <c r="H1031" s="237"/>
      <c r="I1031" s="236"/>
    </row>
    <row r="1032" spans="8:9">
      <c r="H1032" s="237"/>
      <c r="I1032" s="236"/>
    </row>
    <row r="1033" spans="8:9">
      <c r="H1033" s="237"/>
      <c r="I1033" s="236"/>
    </row>
    <row r="1034" spans="8:9">
      <c r="H1034" s="237"/>
      <c r="I1034" s="236"/>
    </row>
    <row r="1035" spans="8:9">
      <c r="H1035" s="237"/>
      <c r="I1035" s="236"/>
    </row>
    <row r="1036" spans="8:9">
      <c r="H1036" s="237"/>
      <c r="I1036" s="236"/>
    </row>
    <row r="1037" spans="8:9">
      <c r="H1037" s="237"/>
      <c r="I1037" s="236"/>
    </row>
    <row r="1038" spans="8:9">
      <c r="H1038" s="237"/>
      <c r="I1038" s="236"/>
    </row>
    <row r="1039" spans="8:9">
      <c r="H1039" s="237"/>
      <c r="I1039" s="236"/>
    </row>
    <row r="1040" spans="8:9">
      <c r="H1040" s="237"/>
      <c r="I1040" s="236"/>
    </row>
    <row r="1041" spans="8:9">
      <c r="H1041" s="237"/>
      <c r="I1041" s="236"/>
    </row>
    <row r="1042" spans="8:9">
      <c r="H1042" s="237"/>
      <c r="I1042" s="236"/>
    </row>
    <row r="1043" spans="8:9">
      <c r="H1043" s="237"/>
      <c r="I1043" s="236"/>
    </row>
    <row r="1044" spans="8:9">
      <c r="H1044" s="237"/>
      <c r="I1044" s="236"/>
    </row>
    <row r="1045" spans="8:9">
      <c r="H1045" s="237"/>
      <c r="I1045" s="236"/>
    </row>
    <row r="1046" spans="8:9">
      <c r="H1046" s="237"/>
      <c r="I1046" s="236"/>
    </row>
    <row r="1047" spans="8:9">
      <c r="H1047" s="237"/>
      <c r="I1047" s="236"/>
    </row>
    <row r="1048" spans="8:9">
      <c r="H1048" s="237"/>
      <c r="I1048" s="236"/>
    </row>
    <row r="1049" spans="8:9">
      <c r="H1049" s="237"/>
      <c r="I1049" s="236"/>
    </row>
    <row r="1050" spans="8:9">
      <c r="H1050" s="237"/>
      <c r="I1050" s="236"/>
    </row>
    <row r="1051" spans="8:9">
      <c r="H1051" s="237"/>
      <c r="I1051" s="236"/>
    </row>
    <row r="1052" spans="8:9">
      <c r="H1052" s="237"/>
      <c r="I1052" s="236"/>
    </row>
    <row r="1053" spans="8:9">
      <c r="H1053" s="237"/>
      <c r="I1053" s="236"/>
    </row>
    <row r="1054" spans="8:9">
      <c r="H1054" s="237"/>
      <c r="I1054" s="236"/>
    </row>
    <row r="1055" spans="8:9">
      <c r="H1055" s="237"/>
      <c r="I1055" s="236"/>
    </row>
    <row r="1056" spans="8:9">
      <c r="H1056" s="237"/>
      <c r="I1056" s="236"/>
    </row>
    <row r="1057" spans="8:9">
      <c r="H1057" s="237"/>
      <c r="I1057" s="236"/>
    </row>
    <row r="1058" spans="8:9">
      <c r="H1058" s="237"/>
      <c r="I1058" s="236"/>
    </row>
    <row r="1059" spans="8:9">
      <c r="H1059" s="237"/>
      <c r="I1059" s="236"/>
    </row>
    <row r="1060" spans="8:9">
      <c r="H1060" s="237"/>
      <c r="I1060" s="236"/>
    </row>
    <row r="1061" spans="8:9">
      <c r="H1061" s="237"/>
      <c r="I1061" s="236"/>
    </row>
    <row r="1062" spans="8:9">
      <c r="H1062" s="237"/>
      <c r="I1062" s="236"/>
    </row>
    <row r="1063" spans="8:9">
      <c r="H1063" s="237"/>
      <c r="I1063" s="236"/>
    </row>
    <row r="1064" spans="8:9">
      <c r="H1064" s="237"/>
      <c r="I1064" s="236"/>
    </row>
    <row r="1065" spans="8:9">
      <c r="H1065" s="237"/>
      <c r="I1065" s="236"/>
    </row>
    <row r="1066" spans="8:9">
      <c r="H1066" s="237"/>
      <c r="I1066" s="236"/>
    </row>
    <row r="1067" spans="8:9">
      <c r="H1067" s="237"/>
      <c r="I1067" s="236"/>
    </row>
    <row r="1068" spans="8:9">
      <c r="H1068" s="237"/>
      <c r="I1068" s="236"/>
    </row>
    <row r="1069" spans="8:9">
      <c r="H1069" s="237"/>
      <c r="I1069" s="236"/>
    </row>
    <row r="1070" spans="8:9">
      <c r="H1070" s="237"/>
      <c r="I1070" s="236"/>
    </row>
    <row r="1071" spans="8:9">
      <c r="H1071" s="237"/>
      <c r="I1071" s="236"/>
    </row>
    <row r="1072" spans="8:9">
      <c r="H1072" s="237"/>
      <c r="I1072" s="236"/>
    </row>
    <row r="1073" spans="8:9">
      <c r="H1073" s="237"/>
      <c r="I1073" s="236"/>
    </row>
    <row r="1074" spans="8:9">
      <c r="H1074" s="237"/>
      <c r="I1074" s="236"/>
    </row>
    <row r="1075" spans="8:9">
      <c r="H1075" s="237"/>
      <c r="I1075" s="236"/>
    </row>
    <row r="1076" spans="8:9">
      <c r="H1076" s="237"/>
      <c r="I1076" s="236"/>
    </row>
    <row r="1077" spans="8:9">
      <c r="H1077" s="237"/>
      <c r="I1077" s="236"/>
    </row>
    <row r="1078" spans="8:9">
      <c r="H1078" s="237"/>
      <c r="I1078" s="236"/>
    </row>
    <row r="1079" spans="8:9">
      <c r="H1079" s="237"/>
      <c r="I1079" s="236"/>
    </row>
    <row r="1080" spans="8:9">
      <c r="H1080" s="237"/>
      <c r="I1080" s="236"/>
    </row>
    <row r="1081" spans="8:9">
      <c r="H1081" s="237"/>
      <c r="I1081" s="236"/>
    </row>
    <row r="1082" spans="8:9">
      <c r="H1082" s="237"/>
      <c r="I1082" s="236"/>
    </row>
    <row r="1083" spans="8:9">
      <c r="H1083" s="237"/>
      <c r="I1083" s="236"/>
    </row>
    <row r="1084" spans="8:9">
      <c r="H1084" s="237"/>
      <c r="I1084" s="236"/>
    </row>
    <row r="1085" spans="8:9">
      <c r="H1085" s="237"/>
      <c r="I1085" s="236"/>
    </row>
    <row r="1086" spans="8:9">
      <c r="H1086" s="237"/>
      <c r="I1086" s="236"/>
    </row>
    <row r="1087" spans="8:9">
      <c r="H1087" s="237"/>
      <c r="I1087" s="236"/>
    </row>
    <row r="1088" spans="8:9">
      <c r="H1088" s="237"/>
      <c r="I1088" s="236"/>
    </row>
    <row r="1089" spans="8:9">
      <c r="H1089" s="237"/>
      <c r="I1089" s="236"/>
    </row>
    <row r="1090" spans="8:9">
      <c r="H1090" s="237"/>
      <c r="I1090" s="236"/>
    </row>
    <row r="1091" spans="8:9">
      <c r="H1091" s="237"/>
      <c r="I1091" s="236"/>
    </row>
    <row r="1092" spans="8:9">
      <c r="H1092" s="237"/>
      <c r="I1092" s="236"/>
    </row>
    <row r="1093" spans="8:9">
      <c r="H1093" s="237"/>
      <c r="I1093" s="236"/>
    </row>
    <row r="1094" spans="8:9">
      <c r="H1094" s="237"/>
      <c r="I1094" s="236"/>
    </row>
    <row r="1095" spans="8:9">
      <c r="H1095" s="237"/>
      <c r="I1095" s="236"/>
    </row>
    <row r="1096" spans="8:9">
      <c r="H1096" s="237"/>
      <c r="I1096" s="236"/>
    </row>
    <row r="1097" spans="8:9">
      <c r="H1097" s="237"/>
      <c r="I1097" s="236"/>
    </row>
    <row r="1098" spans="8:9">
      <c r="H1098" s="237"/>
      <c r="I1098" s="236"/>
    </row>
    <row r="1099" spans="8:9">
      <c r="H1099" s="237"/>
      <c r="I1099" s="236"/>
    </row>
    <row r="1100" spans="8:9">
      <c r="H1100" s="237"/>
      <c r="I1100" s="236"/>
    </row>
    <row r="1101" spans="8:9">
      <c r="H1101" s="237"/>
      <c r="I1101" s="236"/>
    </row>
    <row r="1102" spans="8:9">
      <c r="H1102" s="237"/>
      <c r="I1102" s="236"/>
    </row>
    <row r="1103" spans="8:9">
      <c r="H1103" s="237"/>
      <c r="I1103" s="236"/>
    </row>
    <row r="1104" spans="8:9">
      <c r="H1104" s="237"/>
      <c r="I1104" s="236"/>
    </row>
    <row r="1105" spans="8:9">
      <c r="H1105" s="237"/>
      <c r="I1105" s="236"/>
    </row>
    <row r="1106" spans="8:9">
      <c r="H1106" s="237"/>
      <c r="I1106" s="236"/>
    </row>
    <row r="1107" spans="8:9">
      <c r="H1107" s="237"/>
      <c r="I1107" s="236"/>
    </row>
    <row r="1108" spans="8:9">
      <c r="H1108" s="237"/>
      <c r="I1108" s="236"/>
    </row>
    <row r="1109" spans="8:9">
      <c r="H1109" s="237"/>
      <c r="I1109" s="236"/>
    </row>
    <row r="1110" spans="8:9">
      <c r="H1110" s="237"/>
      <c r="I1110" s="236"/>
    </row>
    <row r="1111" spans="8:9">
      <c r="H1111" s="237"/>
      <c r="I1111" s="236"/>
    </row>
    <row r="1112" spans="8:9">
      <c r="H1112" s="237"/>
      <c r="I1112" s="236"/>
    </row>
    <row r="1113" spans="8:9">
      <c r="H1113" s="237"/>
      <c r="I1113" s="236"/>
    </row>
    <row r="1114" spans="8:9">
      <c r="H1114" s="237"/>
      <c r="I1114" s="236"/>
    </row>
    <row r="1115" spans="8:9">
      <c r="H1115" s="237"/>
      <c r="I1115" s="236"/>
    </row>
    <row r="1116" spans="8:9">
      <c r="H1116" s="237"/>
      <c r="I1116" s="236"/>
    </row>
    <row r="1117" spans="8:9">
      <c r="H1117" s="237"/>
      <c r="I1117" s="236"/>
    </row>
    <row r="1118" spans="8:9">
      <c r="H1118" s="237"/>
      <c r="I1118" s="236"/>
    </row>
    <row r="1119" spans="8:9">
      <c r="H1119" s="237"/>
      <c r="I1119" s="236"/>
    </row>
    <row r="1120" spans="8:9">
      <c r="H1120" s="237"/>
      <c r="I1120" s="236"/>
    </row>
    <row r="1121" spans="8:9">
      <c r="H1121" s="237"/>
      <c r="I1121" s="236"/>
    </row>
    <row r="1122" spans="8:9">
      <c r="H1122" s="237"/>
      <c r="I1122" s="236"/>
    </row>
    <row r="1123" spans="8:9">
      <c r="H1123" s="237"/>
      <c r="I1123" s="236"/>
    </row>
    <row r="1124" spans="8:9">
      <c r="H1124" s="237"/>
      <c r="I1124" s="236"/>
    </row>
    <row r="1125" spans="8:9">
      <c r="H1125" s="237"/>
      <c r="I1125" s="236"/>
    </row>
    <row r="1126" spans="8:9">
      <c r="H1126" s="237"/>
      <c r="I1126" s="236"/>
    </row>
    <row r="1127" spans="8:9">
      <c r="H1127" s="237"/>
      <c r="I1127" s="236"/>
    </row>
    <row r="1128" spans="8:9">
      <c r="H1128" s="237"/>
      <c r="I1128" s="236"/>
    </row>
    <row r="1129" spans="8:9">
      <c r="H1129" s="237"/>
      <c r="I1129" s="236"/>
    </row>
    <row r="1130" spans="8:9">
      <c r="H1130" s="237"/>
      <c r="I1130" s="236"/>
    </row>
    <row r="1131" spans="8:9">
      <c r="H1131" s="237"/>
      <c r="I1131" s="236"/>
    </row>
    <row r="1132" spans="8:9">
      <c r="H1132" s="237"/>
      <c r="I1132" s="236"/>
    </row>
    <row r="1133" spans="8:9">
      <c r="H1133" s="237"/>
      <c r="I1133" s="236"/>
    </row>
    <row r="1134" spans="8:9">
      <c r="H1134" s="237"/>
      <c r="I1134" s="236"/>
    </row>
    <row r="1135" spans="8:9">
      <c r="H1135" s="237"/>
      <c r="I1135" s="236"/>
    </row>
    <row r="1136" spans="8:9">
      <c r="H1136" s="237"/>
      <c r="I1136" s="236"/>
    </row>
    <row r="1137" spans="8:9">
      <c r="H1137" s="237"/>
      <c r="I1137" s="236"/>
    </row>
    <row r="1138" spans="8:9">
      <c r="H1138" s="237"/>
      <c r="I1138" s="236"/>
    </row>
    <row r="1139" spans="8:9">
      <c r="H1139" s="237"/>
      <c r="I1139" s="236"/>
    </row>
    <row r="1140" spans="8:9">
      <c r="H1140" s="237"/>
      <c r="I1140" s="236"/>
    </row>
    <row r="1141" spans="8:9">
      <c r="H1141" s="237"/>
      <c r="I1141" s="236"/>
    </row>
    <row r="1142" spans="8:9">
      <c r="H1142" s="237"/>
      <c r="I1142" s="236"/>
    </row>
    <row r="1143" spans="8:9">
      <c r="H1143" s="237"/>
      <c r="I1143" s="236"/>
    </row>
    <row r="1144" spans="8:9">
      <c r="H1144" s="237"/>
      <c r="I1144" s="236"/>
    </row>
    <row r="1145" spans="8:9">
      <c r="H1145" s="237"/>
      <c r="I1145" s="236"/>
    </row>
    <row r="1146" spans="8:9">
      <c r="H1146" s="237"/>
      <c r="I1146" s="236"/>
    </row>
    <row r="1147" spans="8:9">
      <c r="H1147" s="237"/>
      <c r="I1147" s="236"/>
    </row>
    <row r="1148" spans="8:9">
      <c r="H1148" s="237"/>
      <c r="I1148" s="236"/>
    </row>
    <row r="1149" spans="8:9">
      <c r="H1149" s="237"/>
      <c r="I1149" s="236"/>
    </row>
    <row r="1150" spans="8:9">
      <c r="H1150" s="237"/>
      <c r="I1150" s="236"/>
    </row>
    <row r="1151" spans="8:9">
      <c r="H1151" s="237"/>
      <c r="I1151" s="236"/>
    </row>
    <row r="1152" spans="8:9">
      <c r="H1152" s="237"/>
      <c r="I1152" s="236"/>
    </row>
    <row r="1153" spans="8:9">
      <c r="H1153" s="237"/>
      <c r="I1153" s="236"/>
    </row>
    <row r="1154" spans="8:9">
      <c r="H1154" s="237"/>
      <c r="I1154" s="236"/>
    </row>
    <row r="1155" spans="8:9">
      <c r="H1155" s="237"/>
      <c r="I1155" s="236"/>
    </row>
    <row r="1156" spans="8:9">
      <c r="H1156" s="237"/>
      <c r="I1156" s="236"/>
    </row>
    <row r="1157" spans="8:9">
      <c r="H1157" s="237"/>
      <c r="I1157" s="236"/>
    </row>
    <row r="1158" spans="8:9">
      <c r="H1158" s="237"/>
      <c r="I1158" s="236"/>
    </row>
    <row r="1159" spans="8:9">
      <c r="H1159" s="237"/>
      <c r="I1159" s="236"/>
    </row>
    <row r="1160" spans="8:9">
      <c r="H1160" s="237"/>
      <c r="I1160" s="236"/>
    </row>
    <row r="1161" spans="8:9">
      <c r="H1161" s="237"/>
      <c r="I1161" s="236"/>
    </row>
    <row r="1162" spans="8:9">
      <c r="H1162" s="237"/>
      <c r="I1162" s="236"/>
    </row>
    <row r="1163" spans="8:9">
      <c r="H1163" s="237"/>
      <c r="I1163" s="236"/>
    </row>
    <row r="1164" spans="8:9">
      <c r="H1164" s="237"/>
      <c r="I1164" s="236"/>
    </row>
    <row r="1165" spans="8:9">
      <c r="H1165" s="237"/>
      <c r="I1165" s="236"/>
    </row>
    <row r="1166" spans="8:9">
      <c r="H1166" s="237"/>
      <c r="I1166" s="236"/>
    </row>
    <row r="1167" spans="8:9">
      <c r="H1167" s="237"/>
      <c r="I1167" s="236"/>
    </row>
    <row r="1168" spans="8:9">
      <c r="H1168" s="237"/>
      <c r="I1168" s="236"/>
    </row>
    <row r="1169" spans="8:9">
      <c r="H1169" s="237"/>
      <c r="I1169" s="236"/>
    </row>
    <row r="1170" spans="8:9">
      <c r="H1170" s="237"/>
      <c r="I1170" s="236"/>
    </row>
    <row r="1171" spans="8:9">
      <c r="H1171" s="237"/>
      <c r="I1171" s="236"/>
    </row>
    <row r="1172" spans="8:9">
      <c r="H1172" s="237"/>
      <c r="I1172" s="236"/>
    </row>
    <row r="1173" spans="8:9">
      <c r="H1173" s="237"/>
      <c r="I1173" s="236"/>
    </row>
    <row r="1174" spans="8:9">
      <c r="H1174" s="237"/>
      <c r="I1174" s="236"/>
    </row>
    <row r="1175" spans="8:9">
      <c r="H1175" s="237"/>
      <c r="I1175" s="236"/>
    </row>
    <row r="1176" spans="8:9">
      <c r="H1176" s="237"/>
      <c r="I1176" s="236"/>
    </row>
    <row r="1177" spans="8:9">
      <c r="H1177" s="237"/>
      <c r="I1177" s="236"/>
    </row>
    <row r="1178" spans="8:9">
      <c r="H1178" s="237"/>
      <c r="I1178" s="236"/>
    </row>
    <row r="1179" spans="8:9">
      <c r="H1179" s="237"/>
      <c r="I1179" s="236"/>
    </row>
    <row r="1180" spans="8:9">
      <c r="H1180" s="237"/>
      <c r="I1180" s="236"/>
    </row>
    <row r="1181" spans="8:9">
      <c r="H1181" s="237"/>
      <c r="I1181" s="236"/>
    </row>
    <row r="1182" spans="8:9">
      <c r="H1182" s="237"/>
      <c r="I1182" s="236"/>
    </row>
    <row r="1183" spans="8:9">
      <c r="H1183" s="237"/>
      <c r="I1183" s="236"/>
    </row>
    <row r="1184" spans="8:9">
      <c r="H1184" s="237"/>
      <c r="I1184" s="236"/>
    </row>
    <row r="1185" spans="8:9">
      <c r="H1185" s="237"/>
      <c r="I1185" s="236"/>
    </row>
    <row r="1186" spans="8:9">
      <c r="H1186" s="237"/>
      <c r="I1186" s="236"/>
    </row>
    <row r="1187" spans="8:9">
      <c r="H1187" s="237"/>
      <c r="I1187" s="236"/>
    </row>
    <row r="1188" spans="8:9">
      <c r="H1188" s="237"/>
      <c r="I1188" s="236"/>
    </row>
    <row r="1189" spans="8:9">
      <c r="H1189" s="237"/>
      <c r="I1189" s="236"/>
    </row>
    <row r="1190" spans="8:9">
      <c r="H1190" s="237"/>
      <c r="I1190" s="236"/>
    </row>
    <row r="1191" spans="8:9">
      <c r="H1191" s="237"/>
      <c r="I1191" s="236"/>
    </row>
    <row r="1192" spans="8:9">
      <c r="H1192" s="237"/>
      <c r="I1192" s="236"/>
    </row>
    <row r="1193" spans="8:9">
      <c r="H1193" s="237"/>
      <c r="I1193" s="236"/>
    </row>
    <row r="1194" spans="8:9">
      <c r="H1194" s="237"/>
      <c r="I1194" s="236"/>
    </row>
    <row r="1195" spans="8:9">
      <c r="H1195" s="237"/>
      <c r="I1195" s="236"/>
    </row>
    <row r="1196" spans="8:9">
      <c r="H1196" s="237"/>
      <c r="I1196" s="236"/>
    </row>
    <row r="1197" spans="8:9">
      <c r="H1197" s="237"/>
      <c r="I1197" s="236"/>
    </row>
    <row r="1198" spans="8:9">
      <c r="H1198" s="237"/>
      <c r="I1198" s="236"/>
    </row>
    <row r="1199" spans="8:9">
      <c r="H1199" s="237"/>
      <c r="I1199" s="236"/>
    </row>
    <row r="1200" spans="8:9">
      <c r="H1200" s="237"/>
      <c r="I1200" s="236"/>
    </row>
    <row r="1201" spans="8:9">
      <c r="H1201" s="237"/>
      <c r="I1201" s="236"/>
    </row>
    <row r="1202" spans="8:9">
      <c r="H1202" s="237"/>
      <c r="I1202" s="236"/>
    </row>
    <row r="1203" spans="8:9">
      <c r="H1203" s="237"/>
      <c r="I1203" s="236"/>
    </row>
    <row r="1204" spans="8:9">
      <c r="H1204" s="237"/>
      <c r="I1204" s="236"/>
    </row>
    <row r="1205" spans="8:9">
      <c r="H1205" s="237"/>
      <c r="I1205" s="236"/>
    </row>
    <row r="1206" spans="8:9">
      <c r="H1206" s="237"/>
      <c r="I1206" s="236"/>
    </row>
    <row r="1207" spans="8:9">
      <c r="H1207" s="237"/>
      <c r="I1207" s="236"/>
    </row>
    <row r="1208" spans="8:9">
      <c r="H1208" s="237"/>
      <c r="I1208" s="236"/>
    </row>
    <row r="1209" spans="8:9">
      <c r="H1209" s="237"/>
      <c r="I1209" s="236"/>
    </row>
    <row r="1210" spans="8:9">
      <c r="H1210" s="237"/>
      <c r="I1210" s="236"/>
    </row>
    <row r="1211" spans="8:9">
      <c r="H1211" s="237"/>
      <c r="I1211" s="236"/>
    </row>
    <row r="1212" spans="8:9">
      <c r="H1212" s="237"/>
      <c r="I1212" s="236"/>
    </row>
    <row r="1213" spans="8:9">
      <c r="H1213" s="237"/>
      <c r="I1213" s="236"/>
    </row>
    <row r="1214" spans="8:9">
      <c r="H1214" s="237"/>
      <c r="I1214" s="236"/>
    </row>
    <row r="1215" spans="8:9">
      <c r="H1215" s="237"/>
      <c r="I1215" s="236"/>
    </row>
    <row r="1216" spans="8:9">
      <c r="H1216" s="237"/>
      <c r="I1216" s="236"/>
    </row>
    <row r="1217" spans="8:9">
      <c r="H1217" s="237"/>
      <c r="I1217" s="236"/>
    </row>
    <row r="1218" spans="8:9">
      <c r="H1218" s="237"/>
      <c r="I1218" s="236"/>
    </row>
    <row r="1219" spans="8:9">
      <c r="H1219" s="237"/>
      <c r="I1219" s="236"/>
    </row>
    <row r="1220" spans="8:9">
      <c r="H1220" s="237"/>
      <c r="I1220" s="236"/>
    </row>
    <row r="1221" spans="8:9">
      <c r="H1221" s="237"/>
      <c r="I1221" s="236"/>
    </row>
    <row r="1222" spans="8:9">
      <c r="H1222" s="237"/>
      <c r="I1222" s="236"/>
    </row>
    <row r="1223" spans="8:9">
      <c r="H1223" s="237"/>
      <c r="I1223" s="236"/>
    </row>
    <row r="1224" spans="8:9">
      <c r="H1224" s="237"/>
      <c r="I1224" s="236"/>
    </row>
    <row r="1225" spans="8:9">
      <c r="H1225" s="237"/>
      <c r="I1225" s="236"/>
    </row>
    <row r="1226" spans="8:9">
      <c r="H1226" s="237"/>
      <c r="I1226" s="236"/>
    </row>
    <row r="1227" spans="8:9">
      <c r="H1227" s="237"/>
      <c r="I1227" s="236"/>
    </row>
    <row r="1228" spans="8:9">
      <c r="H1228" s="237"/>
      <c r="I1228" s="236"/>
    </row>
    <row r="1229" spans="8:9">
      <c r="H1229" s="237"/>
      <c r="I1229" s="236"/>
    </row>
    <row r="1230" spans="8:9">
      <c r="H1230" s="237"/>
      <c r="I1230" s="236"/>
    </row>
    <row r="1231" spans="8:9">
      <c r="H1231" s="237"/>
      <c r="I1231" s="236"/>
    </row>
    <row r="1232" spans="8:9">
      <c r="H1232" s="237"/>
      <c r="I1232" s="236"/>
    </row>
    <row r="1233" spans="8:9">
      <c r="H1233" s="237"/>
      <c r="I1233" s="236"/>
    </row>
    <row r="1234" spans="8:9">
      <c r="H1234" s="237"/>
      <c r="I1234" s="236"/>
    </row>
    <row r="1235" spans="8:9">
      <c r="H1235" s="237"/>
      <c r="I1235" s="236"/>
    </row>
    <row r="1236" spans="8:9">
      <c r="H1236" s="237"/>
      <c r="I1236" s="236"/>
    </row>
    <row r="1237" spans="8:9">
      <c r="H1237" s="237"/>
      <c r="I1237" s="236"/>
    </row>
    <row r="1238" spans="8:9">
      <c r="H1238" s="237"/>
      <c r="I1238" s="236"/>
    </row>
    <row r="1239" spans="8:9">
      <c r="H1239" s="237"/>
      <c r="I1239" s="236"/>
    </row>
    <row r="1240" spans="8:9">
      <c r="H1240" s="237"/>
      <c r="I1240" s="236"/>
    </row>
    <row r="1241" spans="8:9">
      <c r="H1241" s="237"/>
      <c r="I1241" s="236"/>
    </row>
    <row r="1242" spans="8:9">
      <c r="H1242" s="237"/>
      <c r="I1242" s="236"/>
    </row>
    <row r="1243" spans="8:9">
      <c r="H1243" s="237"/>
      <c r="I1243" s="236"/>
    </row>
    <row r="1244" spans="8:9">
      <c r="H1244" s="237"/>
      <c r="I1244" s="236"/>
    </row>
    <row r="1245" spans="8:9">
      <c r="H1245" s="237"/>
      <c r="I1245" s="236"/>
    </row>
    <row r="1246" spans="8:9">
      <c r="H1246" s="237"/>
      <c r="I1246" s="236"/>
    </row>
    <row r="1247" spans="8:9">
      <c r="H1247" s="237"/>
      <c r="I1247" s="236"/>
    </row>
    <row r="1248" spans="8:9">
      <c r="H1248" s="237"/>
      <c r="I1248" s="236"/>
    </row>
    <row r="1249" spans="8:9">
      <c r="H1249" s="237"/>
      <c r="I1249" s="236"/>
    </row>
    <row r="1250" spans="8:9">
      <c r="H1250" s="237"/>
      <c r="I1250" s="236"/>
    </row>
    <row r="1251" spans="8:9">
      <c r="H1251" s="237"/>
      <c r="I1251" s="236"/>
    </row>
    <row r="1252" spans="8:9">
      <c r="H1252" s="237"/>
      <c r="I1252" s="236"/>
    </row>
    <row r="1253" spans="8:9">
      <c r="H1253" s="237"/>
      <c r="I1253" s="236"/>
    </row>
    <row r="1254" spans="8:9">
      <c r="H1254" s="237"/>
      <c r="I1254" s="236"/>
    </row>
    <row r="1255" spans="8:9">
      <c r="H1255" s="237"/>
      <c r="I1255" s="236"/>
    </row>
    <row r="1256" spans="8:9">
      <c r="H1256" s="237"/>
      <c r="I1256" s="236"/>
    </row>
    <row r="1257" spans="8:9">
      <c r="H1257" s="237"/>
      <c r="I1257" s="236"/>
    </row>
    <row r="1258" spans="8:9">
      <c r="H1258" s="237"/>
      <c r="I1258" s="236"/>
    </row>
    <row r="1259" spans="8:9">
      <c r="H1259" s="237"/>
      <c r="I1259" s="236"/>
    </row>
    <row r="1260" spans="8:9">
      <c r="H1260" s="237"/>
      <c r="I1260" s="236"/>
    </row>
    <row r="1261" spans="8:9">
      <c r="H1261" s="237"/>
      <c r="I1261" s="236"/>
    </row>
    <row r="1262" spans="8:9">
      <c r="H1262" s="237"/>
      <c r="I1262" s="236"/>
    </row>
    <row r="1263" spans="8:9">
      <c r="H1263" s="237"/>
      <c r="I1263" s="236"/>
    </row>
    <row r="1264" spans="8:9">
      <c r="H1264" s="237"/>
      <c r="I1264" s="236"/>
    </row>
    <row r="1265" spans="8:9">
      <c r="H1265" s="237"/>
      <c r="I1265" s="236"/>
    </row>
    <row r="1266" spans="8:9">
      <c r="H1266" s="237"/>
      <c r="I1266" s="236"/>
    </row>
    <row r="1267" spans="8:9">
      <c r="H1267" s="237"/>
      <c r="I1267" s="236"/>
    </row>
    <row r="1268" spans="8:9">
      <c r="H1268" s="237"/>
      <c r="I1268" s="236"/>
    </row>
    <row r="1269" spans="8:9">
      <c r="H1269" s="237"/>
      <c r="I1269" s="236"/>
    </row>
    <row r="1270" spans="8:9">
      <c r="H1270" s="237"/>
      <c r="I1270" s="236"/>
    </row>
    <row r="1271" spans="8:9">
      <c r="H1271" s="237"/>
      <c r="I1271" s="236"/>
    </row>
    <row r="1272" spans="8:9">
      <c r="H1272" s="237"/>
      <c r="I1272" s="236"/>
    </row>
    <row r="1273" spans="8:9">
      <c r="H1273" s="237"/>
      <c r="I1273" s="236"/>
    </row>
    <row r="1274" spans="8:9">
      <c r="H1274" s="237"/>
      <c r="I1274" s="236"/>
    </row>
    <row r="1275" spans="8:9">
      <c r="H1275" s="237"/>
      <c r="I1275" s="236"/>
    </row>
    <row r="1276" spans="8:9">
      <c r="H1276" s="237"/>
      <c r="I1276" s="236"/>
    </row>
    <row r="1277" spans="8:9">
      <c r="H1277" s="237"/>
      <c r="I1277" s="236"/>
    </row>
    <row r="1278" spans="8:9">
      <c r="H1278" s="237"/>
      <c r="I1278" s="236"/>
    </row>
    <row r="1279" spans="8:9">
      <c r="H1279" s="237"/>
      <c r="I1279" s="236"/>
    </row>
    <row r="1280" spans="8:9">
      <c r="H1280" s="237"/>
      <c r="I1280" s="236"/>
    </row>
    <row r="1281" spans="8:9">
      <c r="H1281" s="237"/>
      <c r="I1281" s="236"/>
    </row>
    <row r="1282" spans="8:9">
      <c r="H1282" s="237"/>
      <c r="I1282" s="236"/>
    </row>
    <row r="1283" spans="8:9">
      <c r="H1283" s="237"/>
      <c r="I1283" s="236"/>
    </row>
    <row r="1284" spans="8:9">
      <c r="H1284" s="237"/>
      <c r="I1284" s="236"/>
    </row>
    <row r="1285" spans="8:9">
      <c r="H1285" s="237"/>
      <c r="I1285" s="236"/>
    </row>
    <row r="1286" spans="8:9">
      <c r="H1286" s="237"/>
      <c r="I1286" s="236"/>
    </row>
    <row r="1287" spans="8:9">
      <c r="H1287" s="237"/>
      <c r="I1287" s="236"/>
    </row>
    <row r="1288" spans="8:9">
      <c r="H1288" s="237"/>
      <c r="I1288" s="236"/>
    </row>
    <row r="1289" spans="8:9">
      <c r="H1289" s="237"/>
      <c r="I1289" s="236"/>
    </row>
    <row r="1290" spans="8:9">
      <c r="H1290" s="237"/>
      <c r="I1290" s="236"/>
    </row>
    <row r="1291" spans="8:9">
      <c r="H1291" s="237"/>
      <c r="I1291" s="236"/>
    </row>
    <row r="1292" spans="8:9">
      <c r="H1292" s="237"/>
      <c r="I1292" s="236"/>
    </row>
    <row r="1293" spans="8:9">
      <c r="H1293" s="237"/>
      <c r="I1293" s="236"/>
    </row>
    <row r="1294" spans="8:9">
      <c r="H1294" s="237"/>
      <c r="I1294" s="236"/>
    </row>
    <row r="1295" spans="8:9">
      <c r="H1295" s="237"/>
      <c r="I1295" s="236"/>
    </row>
    <row r="1296" spans="8:9">
      <c r="H1296" s="237"/>
      <c r="I1296" s="236"/>
    </row>
    <row r="1297" spans="8:9">
      <c r="H1297" s="237"/>
      <c r="I1297" s="236"/>
    </row>
    <row r="1298" spans="8:9">
      <c r="H1298" s="237"/>
      <c r="I1298" s="236"/>
    </row>
    <row r="1299" spans="8:9">
      <c r="H1299" s="237"/>
      <c r="I1299" s="236"/>
    </row>
    <row r="1300" spans="8:9">
      <c r="H1300" s="237"/>
      <c r="I1300" s="236"/>
    </row>
    <row r="1301" spans="8:9">
      <c r="H1301" s="237"/>
      <c r="I1301" s="236"/>
    </row>
    <row r="1302" spans="8:9">
      <c r="H1302" s="237"/>
      <c r="I1302" s="236"/>
    </row>
    <row r="1303" spans="8:9">
      <c r="H1303" s="237"/>
      <c r="I1303" s="236"/>
    </row>
    <row r="1304" spans="8:9">
      <c r="H1304" s="237"/>
      <c r="I1304" s="236"/>
    </row>
    <row r="1305" spans="8:9">
      <c r="H1305" s="237"/>
      <c r="I1305" s="236"/>
    </row>
    <row r="1306" spans="8:9">
      <c r="H1306" s="237"/>
      <c r="I1306" s="236"/>
    </row>
    <row r="1307" spans="8:9">
      <c r="H1307" s="237"/>
      <c r="I1307" s="236"/>
    </row>
    <row r="1308" spans="8:9">
      <c r="H1308" s="237"/>
      <c r="I1308" s="236"/>
    </row>
    <row r="1309" spans="8:9">
      <c r="H1309" s="237"/>
      <c r="I1309" s="236"/>
    </row>
    <row r="1310" spans="8:9">
      <c r="H1310" s="237"/>
      <c r="I1310" s="236"/>
    </row>
    <row r="1311" spans="8:9">
      <c r="H1311" s="237"/>
      <c r="I1311" s="236"/>
    </row>
    <row r="1312" spans="8:9">
      <c r="H1312" s="237"/>
      <c r="I1312" s="236"/>
    </row>
    <row r="1313" spans="8:9">
      <c r="H1313" s="237"/>
      <c r="I1313" s="236"/>
    </row>
    <row r="1314" spans="8:9">
      <c r="H1314" s="237"/>
      <c r="I1314" s="236"/>
    </row>
    <row r="1315" spans="8:9">
      <c r="H1315" s="237"/>
      <c r="I1315" s="236"/>
    </row>
    <row r="1316" spans="8:9">
      <c r="H1316" s="237"/>
      <c r="I1316" s="236"/>
    </row>
    <row r="1317" spans="8:9">
      <c r="H1317" s="237"/>
      <c r="I1317" s="236"/>
    </row>
    <row r="1318" spans="8:9">
      <c r="H1318" s="237"/>
      <c r="I1318" s="236"/>
    </row>
    <row r="1319" spans="8:9">
      <c r="H1319" s="237"/>
      <c r="I1319" s="236"/>
    </row>
    <row r="1320" spans="8:9">
      <c r="H1320" s="237"/>
      <c r="I1320" s="236"/>
    </row>
    <row r="1321" spans="8:9">
      <c r="H1321" s="237"/>
      <c r="I1321" s="236"/>
    </row>
    <row r="1322" spans="8:9">
      <c r="H1322" s="237"/>
      <c r="I1322" s="236"/>
    </row>
    <row r="1323" spans="8:9">
      <c r="H1323" s="237"/>
      <c r="I1323" s="236"/>
    </row>
    <row r="1324" spans="8:9">
      <c r="H1324" s="237"/>
      <c r="I1324" s="236"/>
    </row>
    <row r="1325" spans="8:9">
      <c r="H1325" s="237"/>
      <c r="I1325" s="236"/>
    </row>
    <row r="1326" spans="8:9">
      <c r="H1326" s="237"/>
      <c r="I1326" s="236"/>
    </row>
    <row r="1327" spans="8:9">
      <c r="H1327" s="237"/>
      <c r="I1327" s="236"/>
    </row>
    <row r="1328" spans="8:9">
      <c r="H1328" s="237"/>
      <c r="I1328" s="236"/>
    </row>
    <row r="1329" spans="8:9">
      <c r="H1329" s="237"/>
      <c r="I1329" s="236"/>
    </row>
    <row r="1330" spans="8:9">
      <c r="H1330" s="237"/>
      <c r="I1330" s="236"/>
    </row>
    <row r="1331" spans="8:9">
      <c r="H1331" s="237"/>
      <c r="I1331" s="236"/>
    </row>
    <row r="1332" spans="8:9">
      <c r="H1332" s="237"/>
      <c r="I1332" s="236"/>
    </row>
    <row r="1333" spans="8:9">
      <c r="H1333" s="237"/>
      <c r="I1333" s="236"/>
    </row>
    <row r="1334" spans="8:9">
      <c r="H1334" s="237"/>
      <c r="I1334" s="236"/>
    </row>
    <row r="1335" spans="8:9">
      <c r="H1335" s="237"/>
      <c r="I1335" s="236"/>
    </row>
    <row r="1336" spans="8:9">
      <c r="H1336" s="237"/>
      <c r="I1336" s="236"/>
    </row>
    <row r="1337" spans="8:9">
      <c r="H1337" s="237"/>
      <c r="I1337" s="236"/>
    </row>
    <row r="1338" spans="8:9">
      <c r="H1338" s="237"/>
      <c r="I1338" s="236"/>
    </row>
    <row r="1339" spans="8:9">
      <c r="H1339" s="237"/>
      <c r="I1339" s="236"/>
    </row>
    <row r="1340" spans="8:9">
      <c r="H1340" s="237"/>
      <c r="I1340" s="236"/>
    </row>
    <row r="1341" spans="8:9">
      <c r="H1341" s="237"/>
      <c r="I1341" s="236"/>
    </row>
    <row r="1342" spans="8:9">
      <c r="H1342" s="237"/>
      <c r="I1342" s="236"/>
    </row>
    <row r="1343" spans="8:9">
      <c r="H1343" s="237"/>
      <c r="I1343" s="236"/>
    </row>
    <row r="1344" spans="8:9">
      <c r="H1344" s="237"/>
      <c r="I1344" s="236"/>
    </row>
    <row r="1345" spans="8:9">
      <c r="H1345" s="237"/>
      <c r="I1345" s="236"/>
    </row>
    <row r="1346" spans="8:9">
      <c r="H1346" s="237"/>
      <c r="I1346" s="236"/>
    </row>
    <row r="1347" spans="8:9">
      <c r="H1347" s="237"/>
      <c r="I1347" s="236"/>
    </row>
    <row r="1348" spans="8:9">
      <c r="H1348" s="237"/>
      <c r="I1348" s="236"/>
    </row>
    <row r="1349" spans="8:9">
      <c r="H1349" s="237"/>
      <c r="I1349" s="236"/>
    </row>
    <row r="1350" spans="8:9">
      <c r="H1350" s="237"/>
      <c r="I1350" s="236"/>
    </row>
    <row r="1351" spans="8:9">
      <c r="H1351" s="237"/>
      <c r="I1351" s="236"/>
    </row>
    <row r="1352" spans="8:9">
      <c r="H1352" s="237"/>
      <c r="I1352" s="236"/>
    </row>
    <row r="1353" spans="8:9">
      <c r="H1353" s="237"/>
      <c r="I1353" s="236"/>
    </row>
    <row r="1354" spans="8:9">
      <c r="H1354" s="237"/>
      <c r="I1354" s="236"/>
    </row>
    <row r="1355" spans="8:9">
      <c r="H1355" s="237"/>
      <c r="I1355" s="236"/>
    </row>
    <row r="1356" spans="8:9">
      <c r="H1356" s="237"/>
      <c r="I1356" s="236"/>
    </row>
    <row r="1357" spans="8:9">
      <c r="H1357" s="237"/>
      <c r="I1357" s="236"/>
    </row>
    <row r="1358" spans="8:9">
      <c r="H1358" s="237"/>
      <c r="I1358" s="236"/>
    </row>
    <row r="1359" spans="8:9">
      <c r="H1359" s="237"/>
      <c r="I1359" s="236"/>
    </row>
    <row r="1360" spans="8:9">
      <c r="H1360" s="237"/>
      <c r="I1360" s="236"/>
    </row>
    <row r="1361" spans="8:9">
      <c r="H1361" s="237"/>
      <c r="I1361" s="236"/>
    </row>
    <row r="1362" spans="8:9">
      <c r="H1362" s="237"/>
      <c r="I1362" s="236"/>
    </row>
    <row r="1363" spans="8:9">
      <c r="H1363" s="237"/>
      <c r="I1363" s="236"/>
    </row>
    <row r="1364" spans="8:9">
      <c r="H1364" s="237"/>
      <c r="I1364" s="236"/>
    </row>
    <row r="1365" spans="8:9">
      <c r="H1365" s="237"/>
      <c r="I1365" s="236"/>
    </row>
    <row r="1366" spans="8:9">
      <c r="H1366" s="237"/>
      <c r="I1366" s="236"/>
    </row>
    <row r="1367" spans="8:9">
      <c r="H1367" s="237"/>
      <c r="I1367" s="236"/>
    </row>
    <row r="1368" spans="8:9">
      <c r="H1368" s="237"/>
      <c r="I1368" s="236"/>
    </row>
    <row r="1369" spans="8:9">
      <c r="H1369" s="237"/>
      <c r="I1369" s="236"/>
    </row>
    <row r="1370" spans="8:9">
      <c r="H1370" s="237"/>
      <c r="I1370" s="236"/>
    </row>
    <row r="1371" spans="8:9">
      <c r="H1371" s="237"/>
      <c r="I1371" s="236"/>
    </row>
    <row r="1372" spans="8:9">
      <c r="H1372" s="237"/>
      <c r="I1372" s="236"/>
    </row>
    <row r="1373" spans="8:9">
      <c r="H1373" s="237"/>
      <c r="I1373" s="236"/>
    </row>
    <row r="1374" spans="8:9">
      <c r="H1374" s="237"/>
      <c r="I1374" s="236"/>
    </row>
    <row r="1375" spans="8:9">
      <c r="H1375" s="237"/>
      <c r="I1375" s="236"/>
    </row>
    <row r="1376" spans="8:9">
      <c r="H1376" s="237"/>
      <c r="I1376" s="236"/>
    </row>
    <row r="1377" spans="8:9">
      <c r="H1377" s="237"/>
      <c r="I1377" s="236"/>
    </row>
    <row r="1378" spans="8:9">
      <c r="H1378" s="237"/>
      <c r="I1378" s="236"/>
    </row>
    <row r="1379" spans="8:9">
      <c r="H1379" s="237"/>
      <c r="I1379" s="236"/>
    </row>
    <row r="1380" spans="8:9">
      <c r="H1380" s="237"/>
      <c r="I1380" s="236"/>
    </row>
    <row r="1381" spans="8:9">
      <c r="H1381" s="237"/>
      <c r="I1381" s="236"/>
    </row>
    <row r="1382" spans="8:9">
      <c r="H1382" s="237"/>
      <c r="I1382" s="236"/>
    </row>
    <row r="1383" spans="8:9">
      <c r="H1383" s="237"/>
      <c r="I1383" s="236"/>
    </row>
    <row r="1384" spans="8:9">
      <c r="H1384" s="237"/>
      <c r="I1384" s="236"/>
    </row>
    <row r="1385" spans="8:9">
      <c r="H1385" s="237"/>
      <c r="I1385" s="236"/>
    </row>
    <row r="1386" spans="8:9">
      <c r="H1386" s="237"/>
      <c r="I1386" s="236"/>
    </row>
    <row r="1387" spans="8:9">
      <c r="H1387" s="237"/>
      <c r="I1387" s="236"/>
    </row>
    <row r="1388" spans="8:9">
      <c r="H1388" s="237"/>
      <c r="I1388" s="236"/>
    </row>
    <row r="1389" spans="8:9">
      <c r="H1389" s="237"/>
      <c r="I1389" s="236"/>
    </row>
    <row r="1390" spans="8:9">
      <c r="H1390" s="237"/>
      <c r="I1390" s="236"/>
    </row>
    <row r="1391" spans="8:9">
      <c r="H1391" s="237"/>
      <c r="I1391" s="236"/>
    </row>
    <row r="1392" spans="8:9">
      <c r="H1392" s="237"/>
      <c r="I1392" s="236"/>
    </row>
    <row r="1393" spans="8:9">
      <c r="H1393" s="237"/>
      <c r="I1393" s="236"/>
    </row>
    <row r="1394" spans="8:9">
      <c r="H1394" s="237"/>
      <c r="I1394" s="236"/>
    </row>
    <row r="1395" spans="8:9">
      <c r="H1395" s="237"/>
      <c r="I1395" s="236"/>
    </row>
    <row r="1396" spans="8:9">
      <c r="H1396" s="237"/>
      <c r="I1396" s="236"/>
    </row>
    <row r="1397" spans="8:9">
      <c r="H1397" s="237"/>
      <c r="I1397" s="236"/>
    </row>
    <row r="1398" spans="8:9">
      <c r="H1398" s="237"/>
      <c r="I1398" s="236"/>
    </row>
    <row r="1399" spans="8:9">
      <c r="H1399" s="237"/>
      <c r="I1399" s="236"/>
    </row>
    <row r="1400" spans="8:9">
      <c r="H1400" s="237"/>
      <c r="I1400" s="236"/>
    </row>
    <row r="1401" spans="8:9">
      <c r="H1401" s="237"/>
      <c r="I1401" s="236"/>
    </row>
    <row r="1402" spans="8:9">
      <c r="H1402" s="237"/>
      <c r="I1402" s="236"/>
    </row>
    <row r="1403" spans="8:9">
      <c r="H1403" s="237"/>
      <c r="I1403" s="236"/>
    </row>
    <row r="1404" spans="8:9">
      <c r="H1404" s="237"/>
      <c r="I1404" s="236"/>
    </row>
    <row r="1405" spans="8:9">
      <c r="H1405" s="237"/>
      <c r="I1405" s="236"/>
    </row>
    <row r="1406" spans="8:9">
      <c r="H1406" s="237"/>
      <c r="I1406" s="236"/>
    </row>
    <row r="1407" spans="8:9">
      <c r="H1407" s="237"/>
      <c r="I1407" s="236"/>
    </row>
    <row r="1408" spans="8:9">
      <c r="H1408" s="237"/>
      <c r="I1408" s="236"/>
    </row>
    <row r="1409" spans="8:9">
      <c r="H1409" s="237"/>
      <c r="I1409" s="236"/>
    </row>
    <row r="1410" spans="8:9">
      <c r="H1410" s="237"/>
      <c r="I1410" s="236"/>
    </row>
    <row r="1411" spans="8:9">
      <c r="H1411" s="237"/>
      <c r="I1411" s="236"/>
    </row>
    <row r="1412" spans="8:9">
      <c r="H1412" s="237"/>
      <c r="I1412" s="236"/>
    </row>
    <row r="1413" spans="8:9">
      <c r="H1413" s="237"/>
      <c r="I1413" s="236"/>
    </row>
    <row r="1414" spans="8:9">
      <c r="H1414" s="237"/>
      <c r="I1414" s="236"/>
    </row>
    <row r="1415" spans="8:9">
      <c r="H1415" s="237"/>
      <c r="I1415" s="236"/>
    </row>
    <row r="1416" spans="8:9">
      <c r="H1416" s="237"/>
      <c r="I1416" s="236"/>
    </row>
    <row r="1417" spans="8:9">
      <c r="H1417" s="237"/>
      <c r="I1417" s="236"/>
    </row>
    <row r="1418" spans="8:9">
      <c r="H1418" s="237"/>
      <c r="I1418" s="236"/>
    </row>
    <row r="1419" spans="8:9">
      <c r="H1419" s="237"/>
      <c r="I1419" s="236"/>
    </row>
    <row r="1420" spans="8:9">
      <c r="H1420" s="237"/>
      <c r="I1420" s="236"/>
    </row>
    <row r="1421" spans="8:9">
      <c r="H1421" s="237"/>
      <c r="I1421" s="236"/>
    </row>
    <row r="1422" spans="8:9">
      <c r="H1422" s="237"/>
      <c r="I1422" s="236"/>
    </row>
    <row r="1423" spans="8:9">
      <c r="H1423" s="237"/>
      <c r="I1423" s="236"/>
    </row>
    <row r="1424" spans="8:9">
      <c r="H1424" s="237"/>
      <c r="I1424" s="236"/>
    </row>
    <row r="1425" spans="8:9">
      <c r="H1425" s="237"/>
      <c r="I1425" s="236"/>
    </row>
    <row r="1426" spans="8:9">
      <c r="H1426" s="237"/>
      <c r="I1426" s="236"/>
    </row>
    <row r="1427" spans="8:9">
      <c r="H1427" s="237"/>
      <c r="I1427" s="236"/>
    </row>
    <row r="1428" spans="8:9">
      <c r="H1428" s="237"/>
      <c r="I1428" s="236"/>
    </row>
    <row r="1429" spans="8:9">
      <c r="H1429" s="237"/>
      <c r="I1429" s="236"/>
    </row>
    <row r="1430" spans="8:9">
      <c r="H1430" s="237"/>
      <c r="I1430" s="236"/>
    </row>
    <row r="1431" spans="8:9">
      <c r="H1431" s="237"/>
      <c r="I1431" s="236"/>
    </row>
    <row r="1432" spans="8:9">
      <c r="H1432" s="237"/>
      <c r="I1432" s="236"/>
    </row>
    <row r="1433" spans="8:9">
      <c r="H1433" s="237"/>
      <c r="I1433" s="236"/>
    </row>
    <row r="1434" spans="8:9">
      <c r="H1434" s="237"/>
      <c r="I1434" s="236"/>
    </row>
    <row r="1435" spans="8:9">
      <c r="H1435" s="237"/>
      <c r="I1435" s="236"/>
    </row>
    <row r="1436" spans="8:9">
      <c r="H1436" s="237"/>
      <c r="I1436" s="236"/>
    </row>
    <row r="1437" spans="8:9">
      <c r="H1437" s="237"/>
      <c r="I1437" s="236"/>
    </row>
    <row r="1438" spans="8:9">
      <c r="H1438" s="237"/>
      <c r="I1438" s="236"/>
    </row>
    <row r="1439" spans="8:9">
      <c r="H1439" s="237"/>
      <c r="I1439" s="236"/>
    </row>
    <row r="1440" spans="8:9">
      <c r="H1440" s="237"/>
      <c r="I1440" s="236"/>
    </row>
    <row r="1441" spans="8:9">
      <c r="H1441" s="237"/>
      <c r="I1441" s="236"/>
    </row>
    <row r="1442" spans="8:9">
      <c r="H1442" s="237"/>
      <c r="I1442" s="236"/>
    </row>
    <row r="1443" spans="8:9">
      <c r="H1443" s="237"/>
      <c r="I1443" s="236"/>
    </row>
    <row r="1444" spans="8:9">
      <c r="H1444" s="237"/>
      <c r="I1444" s="236"/>
    </row>
    <row r="1445" spans="8:9">
      <c r="H1445" s="237"/>
      <c r="I1445" s="236"/>
    </row>
    <row r="1446" spans="8:9">
      <c r="H1446" s="237"/>
      <c r="I1446" s="236"/>
    </row>
    <row r="1447" spans="8:9">
      <c r="H1447" s="237"/>
      <c r="I1447" s="236"/>
    </row>
    <row r="1448" spans="8:9">
      <c r="H1448" s="237"/>
      <c r="I1448" s="236"/>
    </row>
    <row r="1449" spans="8:9">
      <c r="H1449" s="237"/>
      <c r="I1449" s="236"/>
    </row>
    <row r="1450" spans="8:9">
      <c r="H1450" s="237"/>
      <c r="I1450" s="236"/>
    </row>
    <row r="1451" spans="8:9">
      <c r="H1451" s="237"/>
      <c r="I1451" s="236"/>
    </row>
    <row r="1452" spans="8:9">
      <c r="H1452" s="237"/>
      <c r="I1452" s="236"/>
    </row>
    <row r="1453" spans="8:9">
      <c r="H1453" s="237"/>
      <c r="I1453" s="236"/>
    </row>
    <row r="1454" spans="8:9">
      <c r="H1454" s="237"/>
      <c r="I1454" s="236"/>
    </row>
    <row r="1455" spans="8:9">
      <c r="H1455" s="237"/>
      <c r="I1455" s="236"/>
    </row>
    <row r="1456" spans="8:9">
      <c r="H1456" s="237"/>
      <c r="I1456" s="236"/>
    </row>
    <row r="1457" spans="8:9">
      <c r="H1457" s="237"/>
      <c r="I1457" s="236"/>
    </row>
    <row r="1458" spans="8:9">
      <c r="H1458" s="237"/>
      <c r="I1458" s="236"/>
    </row>
    <row r="1459" spans="8:9">
      <c r="H1459" s="237"/>
      <c r="I1459" s="236"/>
    </row>
    <row r="1460" spans="8:9">
      <c r="H1460" s="237"/>
      <c r="I1460" s="236"/>
    </row>
    <row r="1461" spans="8:9">
      <c r="H1461" s="237"/>
      <c r="I1461" s="236"/>
    </row>
    <row r="1462" spans="8:9">
      <c r="H1462" s="237"/>
      <c r="I1462" s="236"/>
    </row>
    <row r="1463" spans="8:9">
      <c r="H1463" s="237"/>
      <c r="I1463" s="236"/>
    </row>
    <row r="1464" spans="8:9">
      <c r="H1464" s="237"/>
      <c r="I1464" s="236"/>
    </row>
    <row r="1465" spans="8:9">
      <c r="H1465" s="237"/>
      <c r="I1465" s="236"/>
    </row>
    <row r="1466" spans="8:9">
      <c r="H1466" s="237"/>
      <c r="I1466" s="236"/>
    </row>
    <row r="1467" spans="8:9">
      <c r="H1467" s="237"/>
      <c r="I1467" s="236"/>
    </row>
    <row r="1468" spans="8:9">
      <c r="H1468" s="237"/>
      <c r="I1468" s="236"/>
    </row>
    <row r="1469" spans="8:9">
      <c r="H1469" s="237"/>
      <c r="I1469" s="236"/>
    </row>
    <row r="1470" spans="8:9">
      <c r="H1470" s="237"/>
      <c r="I1470" s="236"/>
    </row>
    <row r="1471" spans="8:9">
      <c r="H1471" s="237"/>
      <c r="I1471" s="236"/>
    </row>
    <row r="1472" spans="8:9">
      <c r="H1472" s="237"/>
      <c r="I1472" s="236"/>
    </row>
    <row r="1473" spans="8:9">
      <c r="H1473" s="237"/>
      <c r="I1473" s="236"/>
    </row>
    <row r="1474" spans="8:9">
      <c r="H1474" s="237"/>
      <c r="I1474" s="236"/>
    </row>
    <row r="1475" spans="8:9">
      <c r="H1475" s="237"/>
      <c r="I1475" s="236"/>
    </row>
    <row r="1476" spans="8:9">
      <c r="H1476" s="237"/>
      <c r="I1476" s="236"/>
    </row>
    <row r="1477" spans="8:9">
      <c r="H1477" s="237"/>
      <c r="I1477" s="236"/>
    </row>
    <row r="1478" spans="8:9">
      <c r="H1478" s="237"/>
      <c r="I1478" s="236"/>
    </row>
    <row r="1479" spans="8:9">
      <c r="H1479" s="237"/>
      <c r="I1479" s="236"/>
    </row>
    <row r="1480" spans="8:9">
      <c r="H1480" s="237"/>
      <c r="I1480" s="236"/>
    </row>
    <row r="1481" spans="8:9">
      <c r="H1481" s="237"/>
      <c r="I1481" s="236"/>
    </row>
    <row r="1482" spans="8:9">
      <c r="H1482" s="237"/>
      <c r="I1482" s="236"/>
    </row>
    <row r="1483" spans="8:9">
      <c r="H1483" s="237"/>
      <c r="I1483" s="236"/>
    </row>
    <row r="1484" spans="8:9">
      <c r="H1484" s="237"/>
      <c r="I1484" s="236"/>
    </row>
    <row r="1485" spans="8:9">
      <c r="H1485" s="237"/>
      <c r="I1485" s="236"/>
    </row>
    <row r="1486" spans="8:9">
      <c r="H1486" s="237"/>
      <c r="I1486" s="236"/>
    </row>
    <row r="1487" spans="8:9">
      <c r="H1487" s="237"/>
      <c r="I1487" s="236"/>
    </row>
    <row r="1488" spans="8:9">
      <c r="H1488" s="237"/>
      <c r="I1488" s="236"/>
    </row>
    <row r="1489" spans="8:9">
      <c r="H1489" s="237"/>
      <c r="I1489" s="236"/>
    </row>
    <row r="1490" spans="8:9">
      <c r="H1490" s="237"/>
      <c r="I1490" s="236"/>
    </row>
    <row r="1491" spans="8:9">
      <c r="H1491" s="237"/>
      <c r="I1491" s="236"/>
    </row>
    <row r="1492" spans="8:9">
      <c r="H1492" s="237"/>
      <c r="I1492" s="236"/>
    </row>
    <row r="1493" spans="8:9">
      <c r="H1493" s="237"/>
      <c r="I1493" s="236"/>
    </row>
    <row r="1494" spans="8:9">
      <c r="H1494" s="237"/>
      <c r="I1494" s="236"/>
    </row>
    <row r="1495" spans="8:9">
      <c r="H1495" s="237"/>
      <c r="I1495" s="236"/>
    </row>
    <row r="1496" spans="8:9">
      <c r="H1496" s="237"/>
      <c r="I1496" s="236"/>
    </row>
    <row r="1497" spans="8:9">
      <c r="H1497" s="237"/>
      <c r="I1497" s="236"/>
    </row>
    <row r="1498" spans="8:9">
      <c r="H1498" s="237"/>
      <c r="I1498" s="236"/>
    </row>
    <row r="1499" spans="8:9">
      <c r="H1499" s="237"/>
      <c r="I1499" s="236"/>
    </row>
    <row r="1500" spans="8:9">
      <c r="H1500" s="237"/>
      <c r="I1500" s="236"/>
    </row>
    <row r="1501" spans="8:9">
      <c r="H1501" s="237"/>
      <c r="I1501" s="236"/>
    </row>
    <row r="1502" spans="8:9">
      <c r="H1502" s="237"/>
      <c r="I1502" s="236"/>
    </row>
    <row r="1503" spans="8:9">
      <c r="H1503" s="237"/>
      <c r="I1503" s="236"/>
    </row>
    <row r="1504" spans="8:9">
      <c r="H1504" s="237"/>
      <c r="I1504" s="236"/>
    </row>
    <row r="1505" spans="8:9">
      <c r="H1505" s="237"/>
      <c r="I1505" s="236"/>
    </row>
    <row r="1506" spans="8:9">
      <c r="H1506" s="237"/>
      <c r="I1506" s="236"/>
    </row>
    <row r="1507" spans="8:9">
      <c r="H1507" s="237"/>
      <c r="I1507" s="236"/>
    </row>
    <row r="1508" spans="8:9">
      <c r="H1508" s="237"/>
      <c r="I1508" s="236"/>
    </row>
    <row r="1509" spans="8:9">
      <c r="H1509" s="237"/>
      <c r="I1509" s="236"/>
    </row>
    <row r="1510" spans="8:9">
      <c r="H1510" s="237"/>
      <c r="I1510" s="236"/>
    </row>
    <row r="1511" spans="8:9">
      <c r="H1511" s="237"/>
      <c r="I1511" s="236"/>
    </row>
    <row r="1512" spans="8:9">
      <c r="H1512" s="237"/>
      <c r="I1512" s="236"/>
    </row>
    <row r="1513" spans="8:9">
      <c r="H1513" s="237"/>
      <c r="I1513" s="236"/>
    </row>
    <row r="1514" spans="8:9">
      <c r="H1514" s="237"/>
      <c r="I1514" s="236"/>
    </row>
    <row r="1515" spans="8:9">
      <c r="H1515" s="237"/>
      <c r="I1515" s="236"/>
    </row>
    <row r="1516" spans="8:9">
      <c r="H1516" s="237"/>
      <c r="I1516" s="236"/>
    </row>
    <row r="1517" spans="8:9">
      <c r="H1517" s="237"/>
      <c r="I1517" s="236"/>
    </row>
    <row r="1518" spans="8:9">
      <c r="H1518" s="237"/>
      <c r="I1518" s="236"/>
    </row>
    <row r="1519" spans="8:9">
      <c r="H1519" s="237"/>
      <c r="I1519" s="236"/>
    </row>
    <row r="1520" spans="8:9">
      <c r="H1520" s="237"/>
      <c r="I1520" s="236"/>
    </row>
    <row r="1521" spans="8:9">
      <c r="H1521" s="237"/>
      <c r="I1521" s="236"/>
    </row>
    <row r="1522" spans="8:9">
      <c r="H1522" s="237"/>
      <c r="I1522" s="236"/>
    </row>
    <row r="1523" spans="8:9">
      <c r="H1523" s="237"/>
      <c r="I1523" s="236"/>
    </row>
    <row r="1524" spans="8:9">
      <c r="H1524" s="237"/>
      <c r="I1524" s="236"/>
    </row>
    <row r="1525" spans="8:9">
      <c r="H1525" s="237"/>
      <c r="I1525" s="236"/>
    </row>
    <row r="1526" spans="8:9">
      <c r="H1526" s="237"/>
      <c r="I1526" s="236"/>
    </row>
    <row r="1527" spans="8:9">
      <c r="H1527" s="237"/>
      <c r="I1527" s="236"/>
    </row>
    <row r="1528" spans="8:9">
      <c r="H1528" s="237"/>
      <c r="I1528" s="236"/>
    </row>
    <row r="1529" spans="8:9">
      <c r="H1529" s="237"/>
      <c r="I1529" s="236"/>
    </row>
    <row r="1530" spans="8:9">
      <c r="H1530" s="237"/>
      <c r="I1530" s="236"/>
    </row>
    <row r="1531" spans="8:9">
      <c r="H1531" s="237"/>
      <c r="I1531" s="236"/>
    </row>
    <row r="1532" spans="8:9">
      <c r="H1532" s="237"/>
      <c r="I1532" s="236"/>
    </row>
    <row r="1533" spans="8:9">
      <c r="H1533" s="237"/>
      <c r="I1533" s="236"/>
    </row>
    <row r="1534" spans="8:9">
      <c r="H1534" s="237"/>
      <c r="I1534" s="236"/>
    </row>
    <row r="1535" spans="8:9">
      <c r="H1535" s="237"/>
      <c r="I1535" s="236"/>
    </row>
    <row r="1536" spans="8:9">
      <c r="H1536" s="237"/>
      <c r="I1536" s="236"/>
    </row>
    <row r="1537" spans="8:9">
      <c r="H1537" s="237"/>
      <c r="I1537" s="236"/>
    </row>
    <row r="1538" spans="8:9">
      <c r="H1538" s="237"/>
      <c r="I1538" s="236"/>
    </row>
    <row r="1539" spans="8:9">
      <c r="H1539" s="237"/>
      <c r="I1539" s="236"/>
    </row>
    <row r="1540" spans="8:9">
      <c r="H1540" s="237"/>
      <c r="I1540" s="236"/>
    </row>
    <row r="1541" spans="8:9">
      <c r="H1541" s="237"/>
      <c r="I1541" s="236"/>
    </row>
    <row r="1542" spans="8:9">
      <c r="H1542" s="237"/>
      <c r="I1542" s="236"/>
    </row>
    <row r="1543" spans="8:9">
      <c r="H1543" s="237"/>
      <c r="I1543" s="236"/>
    </row>
    <row r="1544" spans="8:9">
      <c r="H1544" s="237"/>
      <c r="I1544" s="236"/>
    </row>
    <row r="1545" spans="8:9">
      <c r="H1545" s="237"/>
      <c r="I1545" s="236"/>
    </row>
    <row r="1546" spans="8:9">
      <c r="H1546" s="237"/>
      <c r="I1546" s="236"/>
    </row>
    <row r="1547" spans="8:9">
      <c r="H1547" s="237"/>
      <c r="I1547" s="236"/>
    </row>
    <row r="1548" spans="8:9">
      <c r="H1548" s="237"/>
      <c r="I1548" s="236"/>
    </row>
    <row r="1549" spans="8:9">
      <c r="H1549" s="237"/>
      <c r="I1549" s="236"/>
    </row>
    <row r="1550" spans="8:9">
      <c r="H1550" s="237"/>
      <c r="I1550" s="236"/>
    </row>
    <row r="1551" spans="8:9">
      <c r="H1551" s="237"/>
      <c r="I1551" s="236"/>
    </row>
    <row r="1552" spans="8:9">
      <c r="H1552" s="237"/>
      <c r="I1552" s="236"/>
    </row>
    <row r="1553" spans="8:9">
      <c r="H1553" s="237"/>
      <c r="I1553" s="236"/>
    </row>
    <row r="1554" spans="8:9">
      <c r="H1554" s="237"/>
      <c r="I1554" s="236"/>
    </row>
    <row r="1555" spans="8:9">
      <c r="H1555" s="237"/>
      <c r="I1555" s="236"/>
    </row>
    <row r="1556" spans="8:9">
      <c r="H1556" s="237"/>
      <c r="I1556" s="236"/>
    </row>
    <row r="1557" spans="8:9">
      <c r="H1557" s="237"/>
      <c r="I1557" s="236"/>
    </row>
    <row r="1558" spans="8:9">
      <c r="H1558" s="237"/>
      <c r="I1558" s="236"/>
    </row>
    <row r="1559" spans="8:9">
      <c r="H1559" s="237"/>
      <c r="I1559" s="236"/>
    </row>
    <row r="1560" spans="8:9">
      <c r="H1560" s="237"/>
      <c r="I1560" s="236"/>
    </row>
    <row r="1561" spans="8:9">
      <c r="H1561" s="237"/>
      <c r="I1561" s="236"/>
    </row>
    <row r="1562" spans="8:9">
      <c r="H1562" s="237"/>
      <c r="I1562" s="236"/>
    </row>
    <row r="1563" spans="8:9">
      <c r="H1563" s="237"/>
      <c r="I1563" s="236"/>
    </row>
    <row r="1564" spans="8:9">
      <c r="H1564" s="237"/>
      <c r="I1564" s="236"/>
    </row>
    <row r="1565" spans="8:9">
      <c r="H1565" s="237"/>
      <c r="I1565" s="236"/>
    </row>
    <row r="1566" spans="8:9">
      <c r="H1566" s="237"/>
      <c r="I1566" s="236"/>
    </row>
    <row r="1567" spans="8:9">
      <c r="H1567" s="237"/>
      <c r="I1567" s="236"/>
    </row>
    <row r="1568" spans="8:9">
      <c r="H1568" s="237"/>
      <c r="I1568" s="236"/>
    </row>
    <row r="1569" spans="8:9">
      <c r="H1569" s="237"/>
      <c r="I1569" s="236"/>
    </row>
    <row r="1570" spans="8:9">
      <c r="H1570" s="237"/>
      <c r="I1570" s="236"/>
    </row>
    <row r="1571" spans="8:9">
      <c r="H1571" s="237"/>
      <c r="I1571" s="236"/>
    </row>
    <row r="1572" spans="8:9">
      <c r="H1572" s="237"/>
      <c r="I1572" s="236"/>
    </row>
    <row r="1573" spans="8:9">
      <c r="H1573" s="237"/>
      <c r="I1573" s="236"/>
    </row>
    <row r="1574" spans="8:9">
      <c r="H1574" s="237"/>
      <c r="I1574" s="236"/>
    </row>
    <row r="1575" spans="8:9">
      <c r="H1575" s="237"/>
      <c r="I1575" s="236"/>
    </row>
    <row r="1576" spans="8:9">
      <c r="H1576" s="237"/>
      <c r="I1576" s="236"/>
    </row>
    <row r="1577" spans="8:9">
      <c r="H1577" s="237"/>
      <c r="I1577" s="236"/>
    </row>
    <row r="1578" spans="8:9">
      <c r="H1578" s="237"/>
      <c r="I1578" s="236"/>
    </row>
    <row r="1579" spans="8:9">
      <c r="H1579" s="237"/>
      <c r="I1579" s="236"/>
    </row>
    <row r="1580" spans="8:9">
      <c r="H1580" s="237"/>
      <c r="I1580" s="236"/>
    </row>
    <row r="1581" spans="8:9">
      <c r="H1581" s="237"/>
      <c r="I1581" s="236"/>
    </row>
    <row r="1582" spans="8:9">
      <c r="H1582" s="237"/>
      <c r="I1582" s="236"/>
    </row>
    <row r="1583" spans="8:9">
      <c r="H1583" s="237"/>
      <c r="I1583" s="236"/>
    </row>
    <row r="1584" spans="8:9">
      <c r="H1584" s="237"/>
      <c r="I1584" s="236"/>
    </row>
    <row r="1585" spans="8:9">
      <c r="H1585" s="237"/>
      <c r="I1585" s="236"/>
    </row>
    <row r="1586" spans="8:9">
      <c r="H1586" s="237"/>
      <c r="I1586" s="236"/>
    </row>
    <row r="1587" spans="8:9">
      <c r="H1587" s="237"/>
      <c r="I1587" s="236"/>
    </row>
    <row r="1588" spans="8:9">
      <c r="H1588" s="237"/>
      <c r="I1588" s="236"/>
    </row>
    <row r="1589" spans="8:9">
      <c r="H1589" s="237"/>
      <c r="I1589" s="236"/>
    </row>
    <row r="1590" spans="8:9">
      <c r="H1590" s="237"/>
      <c r="I1590" s="236"/>
    </row>
    <row r="1591" spans="8:9">
      <c r="H1591" s="237"/>
      <c r="I1591" s="236"/>
    </row>
    <row r="1592" spans="8:9">
      <c r="H1592" s="237"/>
      <c r="I1592" s="236"/>
    </row>
    <row r="1593" spans="8:9">
      <c r="H1593" s="237"/>
      <c r="I1593" s="236"/>
    </row>
    <row r="1594" spans="8:9">
      <c r="H1594" s="237"/>
      <c r="I1594" s="236"/>
    </row>
    <row r="1595" spans="8:9">
      <c r="H1595" s="237"/>
      <c r="I1595" s="236"/>
    </row>
    <row r="1596" spans="8:9">
      <c r="H1596" s="237"/>
      <c r="I1596" s="236"/>
    </row>
    <row r="1597" spans="8:9">
      <c r="H1597" s="237"/>
      <c r="I1597" s="236"/>
    </row>
    <row r="1598" spans="8:9">
      <c r="H1598" s="237"/>
      <c r="I1598" s="236"/>
    </row>
    <row r="1599" spans="8:9">
      <c r="H1599" s="237"/>
      <c r="I1599" s="236"/>
    </row>
    <row r="1600" spans="8:9">
      <c r="H1600" s="237"/>
      <c r="I1600" s="236"/>
    </row>
    <row r="1601" spans="8:9">
      <c r="H1601" s="237"/>
      <c r="I1601" s="236"/>
    </row>
    <row r="1602" spans="8:9">
      <c r="H1602" s="237"/>
      <c r="I1602" s="236"/>
    </row>
    <row r="1603" spans="8:9">
      <c r="H1603" s="237"/>
      <c r="I1603" s="236"/>
    </row>
    <row r="1604" spans="8:9">
      <c r="H1604" s="237"/>
      <c r="I1604" s="236"/>
    </row>
    <row r="1605" spans="8:9">
      <c r="H1605" s="237"/>
      <c r="I1605" s="236"/>
    </row>
    <row r="1606" spans="8:9">
      <c r="H1606" s="237"/>
      <c r="I1606" s="236"/>
    </row>
    <row r="1607" spans="8:9">
      <c r="H1607" s="237"/>
      <c r="I1607" s="236"/>
    </row>
    <row r="1608" spans="8:9">
      <c r="H1608" s="237"/>
      <c r="I1608" s="236"/>
    </row>
    <row r="1609" spans="8:9">
      <c r="H1609" s="237"/>
      <c r="I1609" s="236"/>
    </row>
    <row r="1610" spans="8:9">
      <c r="H1610" s="237"/>
      <c r="I1610" s="236"/>
    </row>
    <row r="1611" spans="8:9">
      <c r="H1611" s="237"/>
      <c r="I1611" s="236"/>
    </row>
    <row r="1612" spans="8:9">
      <c r="H1612" s="237"/>
      <c r="I1612" s="236"/>
    </row>
    <row r="1613" spans="8:9">
      <c r="H1613" s="237"/>
      <c r="I1613" s="236"/>
    </row>
    <row r="1614" spans="8:9">
      <c r="H1614" s="237"/>
      <c r="I1614" s="236"/>
    </row>
    <row r="1615" spans="8:9">
      <c r="H1615" s="237"/>
      <c r="I1615" s="236"/>
    </row>
    <row r="1616" spans="8:9">
      <c r="H1616" s="237"/>
      <c r="I1616" s="236"/>
    </row>
    <row r="1617" spans="8:9">
      <c r="H1617" s="237"/>
      <c r="I1617" s="236"/>
    </row>
    <row r="1618" spans="8:9">
      <c r="H1618" s="237"/>
      <c r="I1618" s="236"/>
    </row>
    <row r="1619" spans="8:9">
      <c r="H1619" s="237"/>
      <c r="I1619" s="236"/>
    </row>
    <row r="1620" spans="8:9">
      <c r="H1620" s="237"/>
      <c r="I1620" s="236"/>
    </row>
    <row r="1621" spans="8:9">
      <c r="H1621" s="237"/>
      <c r="I1621" s="236"/>
    </row>
    <row r="1622" spans="8:9">
      <c r="H1622" s="237"/>
      <c r="I1622" s="236"/>
    </row>
    <row r="1623" spans="8:9">
      <c r="H1623" s="237"/>
      <c r="I1623" s="236"/>
    </row>
    <row r="1624" spans="8:9">
      <c r="H1624" s="237"/>
      <c r="I1624" s="236"/>
    </row>
    <row r="1625" spans="8:9">
      <c r="H1625" s="237"/>
      <c r="I1625" s="236"/>
    </row>
    <row r="1626" spans="8:9">
      <c r="H1626" s="237"/>
      <c r="I1626" s="236"/>
    </row>
    <row r="1627" spans="8:9">
      <c r="H1627" s="237"/>
      <c r="I1627" s="236"/>
    </row>
    <row r="1628" spans="8:9">
      <c r="H1628" s="237"/>
      <c r="I1628" s="236"/>
    </row>
    <row r="1629" spans="8:9">
      <c r="H1629" s="237"/>
      <c r="I1629" s="236"/>
    </row>
    <row r="1630" spans="8:9">
      <c r="H1630" s="237"/>
      <c r="I1630" s="236"/>
    </row>
    <row r="1631" spans="8:9">
      <c r="H1631" s="237"/>
      <c r="I1631" s="236"/>
    </row>
    <row r="1632" spans="8:9">
      <c r="H1632" s="237"/>
      <c r="I1632" s="236"/>
    </row>
    <row r="1633" spans="8:9">
      <c r="H1633" s="237"/>
      <c r="I1633" s="236"/>
    </row>
    <row r="1634" spans="8:9">
      <c r="H1634" s="237"/>
      <c r="I1634" s="236"/>
    </row>
    <row r="1635" spans="8:9">
      <c r="H1635" s="237"/>
      <c r="I1635" s="236"/>
    </row>
    <row r="1636" spans="8:9">
      <c r="H1636" s="237"/>
      <c r="I1636" s="236"/>
    </row>
    <row r="1637" spans="8:9">
      <c r="H1637" s="237"/>
      <c r="I1637" s="236"/>
    </row>
    <row r="1638" spans="8:9">
      <c r="H1638" s="237"/>
      <c r="I1638" s="236"/>
    </row>
    <row r="1639" spans="8:9">
      <c r="H1639" s="237"/>
      <c r="I1639" s="236"/>
    </row>
    <row r="1640" spans="8:9">
      <c r="H1640" s="237"/>
      <c r="I1640" s="236"/>
    </row>
    <row r="1641" spans="8:9">
      <c r="H1641" s="237"/>
      <c r="I1641" s="236"/>
    </row>
    <row r="1642" spans="8:9">
      <c r="H1642" s="237"/>
      <c r="I1642" s="236"/>
    </row>
    <row r="1643" spans="8:9">
      <c r="H1643" s="237"/>
      <c r="I1643" s="236"/>
    </row>
    <row r="1644" spans="8:9">
      <c r="H1644" s="237"/>
      <c r="I1644" s="236"/>
    </row>
    <row r="1645" spans="8:9">
      <c r="H1645" s="237"/>
      <c r="I1645" s="236"/>
    </row>
    <row r="1646" spans="8:9">
      <c r="H1646" s="237"/>
      <c r="I1646" s="236"/>
    </row>
    <row r="1647" spans="8:9">
      <c r="H1647" s="237"/>
      <c r="I1647" s="236"/>
    </row>
    <row r="1648" spans="8:9">
      <c r="H1648" s="237"/>
      <c r="I1648" s="236"/>
    </row>
    <row r="1649" spans="8:9">
      <c r="H1649" s="237"/>
      <c r="I1649" s="236"/>
    </row>
    <row r="1650" spans="8:9">
      <c r="H1650" s="237"/>
      <c r="I1650" s="236"/>
    </row>
    <row r="1651" spans="8:9">
      <c r="H1651" s="237"/>
      <c r="I1651" s="236"/>
    </row>
    <row r="1652" spans="8:9">
      <c r="H1652" s="237"/>
      <c r="I1652" s="236"/>
    </row>
    <row r="1653" spans="8:9">
      <c r="H1653" s="237"/>
      <c r="I1653" s="236"/>
    </row>
    <row r="1654" spans="8:9">
      <c r="H1654" s="237"/>
      <c r="I1654" s="236"/>
    </row>
    <row r="1655" spans="8:9">
      <c r="H1655" s="237"/>
      <c r="I1655" s="236"/>
    </row>
    <row r="1656" spans="8:9">
      <c r="H1656" s="237"/>
      <c r="I1656" s="236"/>
    </row>
    <row r="1657" spans="8:9">
      <c r="H1657" s="237"/>
      <c r="I1657" s="236"/>
    </row>
    <row r="1658" spans="8:9">
      <c r="H1658" s="237"/>
      <c r="I1658" s="236"/>
    </row>
    <row r="1659" spans="8:9">
      <c r="H1659" s="237"/>
      <c r="I1659" s="236"/>
    </row>
    <row r="1660" spans="8:9">
      <c r="H1660" s="237"/>
      <c r="I1660" s="236"/>
    </row>
    <row r="1661" spans="8:9">
      <c r="H1661" s="237"/>
      <c r="I1661" s="236"/>
    </row>
    <row r="1662" spans="8:9">
      <c r="H1662" s="237"/>
      <c r="I1662" s="236"/>
    </row>
    <row r="1663" spans="8:9">
      <c r="H1663" s="237"/>
      <c r="I1663" s="236"/>
    </row>
    <row r="1664" spans="8:9">
      <c r="H1664" s="237"/>
      <c r="I1664" s="236"/>
    </row>
    <row r="1665" spans="8:9">
      <c r="H1665" s="237"/>
      <c r="I1665" s="236"/>
    </row>
    <row r="1666" spans="8:9">
      <c r="H1666" s="237"/>
      <c r="I1666" s="236"/>
    </row>
    <row r="1667" spans="8:9">
      <c r="H1667" s="237"/>
      <c r="I1667" s="236"/>
    </row>
    <row r="1668" spans="8:9">
      <c r="H1668" s="237"/>
      <c r="I1668" s="236"/>
    </row>
    <row r="1669" spans="8:9">
      <c r="H1669" s="237"/>
      <c r="I1669" s="236"/>
    </row>
    <row r="1670" spans="8:9">
      <c r="H1670" s="237"/>
      <c r="I1670" s="236"/>
    </row>
    <row r="1671" spans="8:9">
      <c r="H1671" s="237"/>
      <c r="I1671" s="236"/>
    </row>
    <row r="1672" spans="8:9">
      <c r="H1672" s="237"/>
      <c r="I1672" s="236"/>
    </row>
    <row r="1673" spans="8:9">
      <c r="H1673" s="237"/>
      <c r="I1673" s="236"/>
    </row>
    <row r="1674" spans="8:9">
      <c r="H1674" s="237"/>
      <c r="I1674" s="236"/>
    </row>
    <row r="1675" spans="8:9">
      <c r="H1675" s="237"/>
      <c r="I1675" s="236"/>
    </row>
    <row r="1676" spans="8:9">
      <c r="H1676" s="237"/>
      <c r="I1676" s="236"/>
    </row>
    <row r="1677" spans="8:9">
      <c r="H1677" s="237"/>
      <c r="I1677" s="236"/>
    </row>
    <row r="1678" spans="8:9">
      <c r="H1678" s="237"/>
      <c r="I1678" s="236"/>
    </row>
    <row r="1679" spans="8:9">
      <c r="H1679" s="237"/>
      <c r="I1679" s="236"/>
    </row>
    <row r="1680" spans="8:9">
      <c r="H1680" s="237"/>
      <c r="I1680" s="236"/>
    </row>
    <row r="1681" spans="8:9">
      <c r="H1681" s="237"/>
      <c r="I1681" s="236"/>
    </row>
    <row r="1682" spans="8:9">
      <c r="H1682" s="237"/>
      <c r="I1682" s="236"/>
    </row>
    <row r="1683" spans="8:9">
      <c r="H1683" s="237"/>
      <c r="I1683" s="236"/>
    </row>
    <row r="1684" spans="8:9">
      <c r="H1684" s="237"/>
      <c r="I1684" s="236"/>
    </row>
    <row r="1685" spans="8:9">
      <c r="H1685" s="237"/>
      <c r="I1685" s="236"/>
    </row>
    <row r="1686" spans="8:9">
      <c r="H1686" s="237"/>
      <c r="I1686" s="236"/>
    </row>
    <row r="1687" spans="8:9">
      <c r="H1687" s="237"/>
      <c r="I1687" s="236"/>
    </row>
    <row r="1688" spans="8:9">
      <c r="H1688" s="237"/>
      <c r="I1688" s="236"/>
    </row>
    <row r="1689" spans="8:9">
      <c r="H1689" s="237"/>
      <c r="I1689" s="236"/>
    </row>
    <row r="1690" spans="8:9">
      <c r="H1690" s="237"/>
      <c r="I1690" s="236"/>
    </row>
    <row r="1691" spans="8:9">
      <c r="H1691" s="237"/>
      <c r="I1691" s="236"/>
    </row>
    <row r="1692" spans="8:9">
      <c r="H1692" s="237"/>
      <c r="I1692" s="236"/>
    </row>
    <row r="1693" spans="8:9">
      <c r="H1693" s="237"/>
      <c r="I1693" s="236"/>
    </row>
    <row r="1694" spans="8:9">
      <c r="H1694" s="237"/>
      <c r="I1694" s="236"/>
    </row>
    <row r="1695" spans="8:9">
      <c r="H1695" s="237"/>
      <c r="I1695" s="236"/>
    </row>
    <row r="1696" spans="8:9">
      <c r="H1696" s="237"/>
      <c r="I1696" s="236"/>
    </row>
    <row r="1697" spans="8:9">
      <c r="H1697" s="237"/>
      <c r="I1697" s="236"/>
    </row>
    <row r="1698" spans="8:9">
      <c r="H1698" s="237"/>
      <c r="I1698" s="236"/>
    </row>
    <row r="1699" spans="8:9">
      <c r="H1699" s="237"/>
      <c r="I1699" s="236"/>
    </row>
    <row r="1700" spans="8:9">
      <c r="H1700" s="237"/>
      <c r="I1700" s="236"/>
    </row>
    <row r="1701" spans="8:9">
      <c r="H1701" s="237"/>
      <c r="I1701" s="236"/>
    </row>
    <row r="1702" spans="8:9">
      <c r="H1702" s="237"/>
      <c r="I1702" s="236"/>
    </row>
    <row r="1703" spans="8:9">
      <c r="H1703" s="237"/>
      <c r="I1703" s="236"/>
    </row>
    <row r="1704" spans="8:9">
      <c r="H1704" s="237"/>
      <c r="I1704" s="236"/>
    </row>
    <row r="1705" spans="8:9">
      <c r="H1705" s="237"/>
      <c r="I1705" s="236"/>
    </row>
    <row r="1706" spans="8:9">
      <c r="H1706" s="237"/>
      <c r="I1706" s="236"/>
    </row>
    <row r="1707" spans="8:9">
      <c r="H1707" s="237"/>
      <c r="I1707" s="236"/>
    </row>
    <row r="1708" spans="8:9">
      <c r="H1708" s="237"/>
      <c r="I1708" s="236"/>
    </row>
    <row r="1709" spans="8:9">
      <c r="H1709" s="237"/>
      <c r="I1709" s="236"/>
    </row>
    <row r="1710" spans="8:9">
      <c r="H1710" s="237"/>
      <c r="I1710" s="236"/>
    </row>
    <row r="1711" spans="8:9">
      <c r="H1711" s="237"/>
      <c r="I1711" s="236"/>
    </row>
    <row r="1712" spans="8:9">
      <c r="H1712" s="237"/>
      <c r="I1712" s="236"/>
    </row>
    <row r="1713" spans="8:9">
      <c r="H1713" s="237"/>
      <c r="I1713" s="236"/>
    </row>
    <row r="1714" spans="8:9">
      <c r="H1714" s="237"/>
      <c r="I1714" s="236"/>
    </row>
    <row r="1715" spans="8:9">
      <c r="H1715" s="237"/>
      <c r="I1715" s="236"/>
    </row>
    <row r="1716" spans="8:9">
      <c r="H1716" s="237"/>
      <c r="I1716" s="236"/>
    </row>
    <row r="1717" spans="8:9">
      <c r="H1717" s="237"/>
      <c r="I1717" s="236"/>
    </row>
    <row r="1718" spans="8:9">
      <c r="H1718" s="237"/>
      <c r="I1718" s="236"/>
    </row>
    <row r="1719" spans="8:9">
      <c r="H1719" s="237"/>
      <c r="I1719" s="236"/>
    </row>
    <row r="1720" spans="8:9">
      <c r="H1720" s="237"/>
      <c r="I1720" s="236"/>
    </row>
    <row r="1721" spans="8:9">
      <c r="H1721" s="237"/>
      <c r="I1721" s="236"/>
    </row>
    <row r="1722" spans="8:9">
      <c r="H1722" s="237"/>
      <c r="I1722" s="236"/>
    </row>
    <row r="1723" spans="8:9">
      <c r="H1723" s="237"/>
      <c r="I1723" s="236"/>
    </row>
    <row r="1724" spans="8:9">
      <c r="H1724" s="237"/>
      <c r="I1724" s="236"/>
    </row>
    <row r="1725" spans="8:9">
      <c r="H1725" s="237"/>
      <c r="I1725" s="236"/>
    </row>
    <row r="1726" spans="8:9">
      <c r="H1726" s="237"/>
      <c r="I1726" s="236"/>
    </row>
    <row r="1727" spans="8:9">
      <c r="H1727" s="237"/>
      <c r="I1727" s="236"/>
    </row>
    <row r="1728" spans="8:9">
      <c r="H1728" s="237"/>
      <c r="I1728" s="236"/>
    </row>
    <row r="1729" spans="8:9">
      <c r="H1729" s="237"/>
      <c r="I1729" s="236"/>
    </row>
    <row r="1730" spans="8:9">
      <c r="H1730" s="237"/>
      <c r="I1730" s="236"/>
    </row>
    <row r="1731" spans="8:9">
      <c r="H1731" s="237"/>
      <c r="I1731" s="236"/>
    </row>
    <row r="1732" spans="8:9">
      <c r="H1732" s="237"/>
      <c r="I1732" s="236"/>
    </row>
    <row r="1733" spans="8:9">
      <c r="H1733" s="237"/>
      <c r="I1733" s="236"/>
    </row>
    <row r="1734" spans="8:9">
      <c r="H1734" s="237"/>
      <c r="I1734" s="236"/>
    </row>
    <row r="1735" spans="8:9">
      <c r="H1735" s="237"/>
      <c r="I1735" s="236"/>
    </row>
    <row r="1736" spans="8:9">
      <c r="H1736" s="237"/>
      <c r="I1736" s="236"/>
    </row>
    <row r="1737" spans="8:9">
      <c r="H1737" s="237"/>
      <c r="I1737" s="236"/>
    </row>
    <row r="1738" spans="8:9">
      <c r="H1738" s="237"/>
      <c r="I1738" s="236"/>
    </row>
    <row r="1739" spans="8:9">
      <c r="H1739" s="237"/>
      <c r="I1739" s="236"/>
    </row>
    <row r="1740" spans="8:9">
      <c r="H1740" s="237"/>
      <c r="I1740" s="236"/>
    </row>
    <row r="1741" spans="8:9">
      <c r="H1741" s="237"/>
      <c r="I1741" s="236"/>
    </row>
    <row r="1742" spans="8:9">
      <c r="H1742" s="237"/>
      <c r="I1742" s="236"/>
    </row>
    <row r="1743" spans="8:9">
      <c r="H1743" s="237"/>
      <c r="I1743" s="236"/>
    </row>
    <row r="1744" spans="8:9">
      <c r="H1744" s="237"/>
      <c r="I1744" s="236"/>
    </row>
    <row r="1745" spans="8:9">
      <c r="H1745" s="237"/>
      <c r="I1745" s="236"/>
    </row>
    <row r="1746" spans="8:9">
      <c r="H1746" s="237"/>
      <c r="I1746" s="236"/>
    </row>
    <row r="1747" spans="8:9">
      <c r="H1747" s="237"/>
      <c r="I1747" s="236"/>
    </row>
    <row r="1748" spans="8:9">
      <c r="H1748" s="237"/>
      <c r="I1748" s="236"/>
    </row>
    <row r="1749" spans="8:9">
      <c r="H1749" s="237"/>
      <c r="I1749" s="236"/>
    </row>
    <row r="1750" spans="8:9">
      <c r="H1750" s="237"/>
      <c r="I1750" s="236"/>
    </row>
    <row r="1751" spans="8:9">
      <c r="H1751" s="237"/>
      <c r="I1751" s="236"/>
    </row>
    <row r="1752" spans="8:9">
      <c r="H1752" s="237"/>
      <c r="I1752" s="236"/>
    </row>
    <row r="1753" spans="8:9">
      <c r="H1753" s="237"/>
      <c r="I1753" s="236"/>
    </row>
    <row r="1754" spans="8:9">
      <c r="H1754" s="237"/>
      <c r="I1754" s="236"/>
    </row>
    <row r="1755" spans="8:9">
      <c r="H1755" s="237"/>
      <c r="I1755" s="236"/>
    </row>
    <row r="1756" spans="8:9">
      <c r="H1756" s="237"/>
      <c r="I1756" s="236"/>
    </row>
    <row r="1757" spans="8:9">
      <c r="H1757" s="237"/>
      <c r="I1757" s="236"/>
    </row>
    <row r="1758" spans="8:9">
      <c r="H1758" s="237"/>
      <c r="I1758" s="236"/>
    </row>
    <row r="1759" spans="8:9">
      <c r="H1759" s="237"/>
      <c r="I1759" s="236"/>
    </row>
    <row r="1760" spans="8:9">
      <c r="H1760" s="237"/>
      <c r="I1760" s="236"/>
    </row>
    <row r="1761" spans="8:9">
      <c r="H1761" s="237"/>
      <c r="I1761" s="236"/>
    </row>
    <row r="1762" spans="8:9">
      <c r="H1762" s="237"/>
      <c r="I1762" s="236"/>
    </row>
    <row r="1763" spans="8:9">
      <c r="H1763" s="237"/>
      <c r="I1763" s="236"/>
    </row>
    <row r="1764" spans="8:9">
      <c r="H1764" s="237"/>
      <c r="I1764" s="236"/>
    </row>
    <row r="1765" spans="8:9">
      <c r="H1765" s="237"/>
      <c r="I1765" s="236"/>
    </row>
    <row r="1766" spans="8:9">
      <c r="H1766" s="237"/>
      <c r="I1766" s="236"/>
    </row>
    <row r="1767" spans="8:9">
      <c r="H1767" s="237"/>
      <c r="I1767" s="236"/>
    </row>
    <row r="1768" spans="8:9">
      <c r="H1768" s="237"/>
      <c r="I1768" s="236"/>
    </row>
    <row r="1769" spans="8:9">
      <c r="H1769" s="237"/>
      <c r="I1769" s="236"/>
    </row>
    <row r="1770" spans="8:9">
      <c r="H1770" s="237"/>
      <c r="I1770" s="236"/>
    </row>
    <row r="1771" spans="8:9">
      <c r="H1771" s="237"/>
      <c r="I1771" s="236"/>
    </row>
    <row r="1772" spans="8:9">
      <c r="H1772" s="237"/>
      <c r="I1772" s="236"/>
    </row>
    <row r="1773" spans="8:9">
      <c r="H1773" s="237"/>
      <c r="I1773" s="236"/>
    </row>
    <row r="1774" spans="8:9">
      <c r="H1774" s="237"/>
      <c r="I1774" s="236"/>
    </row>
    <row r="1775" spans="8:9">
      <c r="H1775" s="237"/>
      <c r="I1775" s="236"/>
    </row>
    <row r="1776" spans="8:9">
      <c r="H1776" s="237"/>
      <c r="I1776" s="236"/>
    </row>
    <row r="1777" spans="8:9">
      <c r="H1777" s="237"/>
      <c r="I1777" s="236"/>
    </row>
    <row r="1778" spans="8:9">
      <c r="H1778" s="237"/>
      <c r="I1778" s="236"/>
    </row>
    <row r="1779" spans="8:9">
      <c r="H1779" s="237"/>
      <c r="I1779" s="236"/>
    </row>
    <row r="1780" spans="8:9">
      <c r="H1780" s="237"/>
      <c r="I1780" s="236"/>
    </row>
    <row r="1781" spans="8:9">
      <c r="H1781" s="237"/>
      <c r="I1781" s="236"/>
    </row>
    <row r="1782" spans="8:9">
      <c r="H1782" s="237"/>
      <c r="I1782" s="236"/>
    </row>
    <row r="1783" spans="8:9">
      <c r="H1783" s="237"/>
      <c r="I1783" s="236"/>
    </row>
    <row r="1784" spans="8:9">
      <c r="H1784" s="237"/>
      <c r="I1784" s="236"/>
    </row>
    <row r="1785" spans="8:9">
      <c r="H1785" s="237"/>
      <c r="I1785" s="236"/>
    </row>
    <row r="1786" spans="8:9">
      <c r="H1786" s="237"/>
      <c r="I1786" s="236"/>
    </row>
    <row r="1787" spans="8:9">
      <c r="H1787" s="237"/>
      <c r="I1787" s="236"/>
    </row>
    <row r="1788" spans="8:9">
      <c r="H1788" s="237"/>
      <c r="I1788" s="236"/>
    </row>
    <row r="1789" spans="8:9">
      <c r="H1789" s="237"/>
      <c r="I1789" s="236"/>
    </row>
    <row r="1790" spans="8:9">
      <c r="H1790" s="237"/>
      <c r="I1790" s="236"/>
    </row>
    <row r="1791" spans="8:9">
      <c r="H1791" s="237"/>
      <c r="I1791" s="236"/>
    </row>
    <row r="1792" spans="8:9">
      <c r="H1792" s="237"/>
      <c r="I1792" s="236"/>
    </row>
    <row r="1793" spans="8:9">
      <c r="H1793" s="237"/>
      <c r="I1793" s="236"/>
    </row>
    <row r="1794" spans="8:9">
      <c r="H1794" s="237"/>
      <c r="I1794" s="236"/>
    </row>
    <row r="1795" spans="8:9">
      <c r="H1795" s="237"/>
      <c r="I1795" s="236"/>
    </row>
    <row r="1796" spans="8:9">
      <c r="H1796" s="237"/>
      <c r="I1796" s="236"/>
    </row>
    <row r="1797" spans="8:9">
      <c r="H1797" s="237"/>
      <c r="I1797" s="236"/>
    </row>
    <row r="1798" spans="8:9">
      <c r="H1798" s="237"/>
      <c r="I1798" s="236"/>
    </row>
    <row r="1799" spans="8:9">
      <c r="H1799" s="237"/>
      <c r="I1799" s="236"/>
    </row>
    <row r="1800" spans="8:9">
      <c r="H1800" s="237"/>
      <c r="I1800" s="236"/>
    </row>
    <row r="1801" spans="8:9">
      <c r="H1801" s="237"/>
      <c r="I1801" s="236"/>
    </row>
    <row r="1802" spans="8:9">
      <c r="H1802" s="237"/>
      <c r="I1802" s="236"/>
    </row>
    <row r="1803" spans="8:9">
      <c r="H1803" s="237"/>
      <c r="I1803" s="236"/>
    </row>
    <row r="1804" spans="8:9">
      <c r="H1804" s="237"/>
      <c r="I1804" s="236"/>
    </row>
    <row r="1805" spans="8:9">
      <c r="H1805" s="237"/>
      <c r="I1805" s="236"/>
    </row>
    <row r="1806" spans="8:9">
      <c r="H1806" s="237"/>
      <c r="I1806" s="236"/>
    </row>
    <row r="1807" spans="8:9">
      <c r="H1807" s="237"/>
      <c r="I1807" s="236"/>
    </row>
    <row r="1808" spans="8:9">
      <c r="H1808" s="237"/>
      <c r="I1808" s="236"/>
    </row>
    <row r="1809" spans="8:9">
      <c r="H1809" s="237"/>
      <c r="I1809" s="236"/>
    </row>
    <row r="1810" spans="8:9">
      <c r="H1810" s="237"/>
      <c r="I1810" s="236"/>
    </row>
    <row r="1811" spans="8:9">
      <c r="H1811" s="237"/>
      <c r="I1811" s="236"/>
    </row>
    <row r="1812" spans="8:9">
      <c r="H1812" s="237"/>
      <c r="I1812" s="236"/>
    </row>
    <row r="1813" spans="8:9">
      <c r="H1813" s="237"/>
      <c r="I1813" s="236"/>
    </row>
    <row r="1814" spans="8:9">
      <c r="H1814" s="237"/>
      <c r="I1814" s="236"/>
    </row>
    <row r="1815" spans="8:9">
      <c r="H1815" s="237"/>
      <c r="I1815" s="236"/>
    </row>
    <row r="1816" spans="8:9">
      <c r="H1816" s="237"/>
      <c r="I1816" s="236"/>
    </row>
    <row r="1817" spans="8:9">
      <c r="H1817" s="237"/>
      <c r="I1817" s="236"/>
    </row>
    <row r="1818" spans="8:9">
      <c r="H1818" s="237"/>
      <c r="I1818" s="236"/>
    </row>
    <row r="1819" spans="8:9">
      <c r="H1819" s="237"/>
      <c r="I1819" s="236"/>
    </row>
    <row r="1820" spans="8:9">
      <c r="H1820" s="237"/>
      <c r="I1820" s="236"/>
    </row>
    <row r="1821" spans="8:9">
      <c r="H1821" s="237"/>
      <c r="I1821" s="236"/>
    </row>
    <row r="1822" spans="8:9">
      <c r="H1822" s="237"/>
      <c r="I1822" s="236"/>
    </row>
    <row r="1823" spans="8:9">
      <c r="H1823" s="237"/>
      <c r="I1823" s="236"/>
    </row>
    <row r="1824" spans="8:9">
      <c r="H1824" s="237"/>
      <c r="I1824" s="236"/>
    </row>
    <row r="1825" spans="8:9">
      <c r="H1825" s="237"/>
      <c r="I1825" s="236"/>
    </row>
    <row r="1826" spans="8:9">
      <c r="H1826" s="237"/>
      <c r="I1826" s="236"/>
    </row>
    <row r="1827" spans="8:9">
      <c r="H1827" s="237"/>
      <c r="I1827" s="236"/>
    </row>
    <row r="1828" spans="8:9">
      <c r="H1828" s="237"/>
      <c r="I1828" s="236"/>
    </row>
    <row r="1829" spans="8:9">
      <c r="H1829" s="237"/>
      <c r="I1829" s="236"/>
    </row>
    <row r="1830" spans="8:9">
      <c r="H1830" s="237"/>
      <c r="I1830" s="236"/>
    </row>
    <row r="1831" spans="8:9">
      <c r="H1831" s="237"/>
      <c r="I1831" s="236"/>
    </row>
    <row r="1832" spans="8:9">
      <c r="H1832" s="237"/>
      <c r="I1832" s="236"/>
    </row>
    <row r="1833" spans="8:9">
      <c r="H1833" s="237"/>
      <c r="I1833" s="236"/>
    </row>
    <row r="1834" spans="8:9">
      <c r="H1834" s="237"/>
      <c r="I1834" s="236"/>
    </row>
    <row r="1835" spans="8:9">
      <c r="H1835" s="237"/>
      <c r="I1835" s="236"/>
    </row>
    <row r="1836" spans="8:9">
      <c r="H1836" s="237"/>
      <c r="I1836" s="236"/>
    </row>
    <row r="1837" spans="8:9">
      <c r="H1837" s="237"/>
      <c r="I1837" s="236"/>
    </row>
    <row r="1838" spans="8:9">
      <c r="H1838" s="237"/>
      <c r="I1838" s="236"/>
    </row>
    <row r="1839" spans="8:9">
      <c r="H1839" s="237"/>
      <c r="I1839" s="236"/>
    </row>
    <row r="1840" spans="8:9">
      <c r="H1840" s="237"/>
      <c r="I1840" s="236"/>
    </row>
    <row r="1841" spans="8:9">
      <c r="H1841" s="237"/>
      <c r="I1841" s="236"/>
    </row>
    <row r="1842" spans="8:9">
      <c r="H1842" s="237"/>
      <c r="I1842" s="236"/>
    </row>
    <row r="1843" spans="8:9">
      <c r="H1843" s="237"/>
      <c r="I1843" s="236"/>
    </row>
    <row r="1844" spans="8:9">
      <c r="H1844" s="237"/>
      <c r="I1844" s="236"/>
    </row>
    <row r="1845" spans="8:9">
      <c r="H1845" s="237"/>
      <c r="I1845" s="236"/>
    </row>
    <row r="1846" spans="8:9">
      <c r="H1846" s="237"/>
      <c r="I1846" s="236"/>
    </row>
    <row r="1847" spans="8:9">
      <c r="H1847" s="237"/>
      <c r="I1847" s="236"/>
    </row>
    <row r="1848" spans="8:9">
      <c r="H1848" s="237"/>
      <c r="I1848" s="236"/>
    </row>
    <row r="1849" spans="8:9">
      <c r="H1849" s="237"/>
      <c r="I1849" s="236"/>
    </row>
    <row r="1850" spans="8:9">
      <c r="H1850" s="237"/>
      <c r="I1850" s="236"/>
    </row>
    <row r="1851" spans="8:9">
      <c r="H1851" s="237"/>
      <c r="I1851" s="236"/>
    </row>
    <row r="1852" spans="8:9">
      <c r="H1852" s="237"/>
      <c r="I1852" s="236"/>
    </row>
    <row r="1853" spans="8:9">
      <c r="H1853" s="237"/>
      <c r="I1853" s="236"/>
    </row>
    <row r="1854" spans="8:9">
      <c r="H1854" s="237"/>
      <c r="I1854" s="236"/>
    </row>
    <row r="1855" spans="8:9">
      <c r="H1855" s="237"/>
      <c r="I1855" s="236"/>
    </row>
    <row r="1856" spans="8:9">
      <c r="H1856" s="237"/>
      <c r="I1856" s="236"/>
    </row>
    <row r="1857" spans="8:9">
      <c r="H1857" s="237"/>
      <c r="I1857" s="236"/>
    </row>
    <row r="1858" spans="8:9">
      <c r="H1858" s="237"/>
      <c r="I1858" s="236"/>
    </row>
    <row r="1859" spans="8:9">
      <c r="H1859" s="237"/>
      <c r="I1859" s="236"/>
    </row>
    <row r="1860" spans="8:9">
      <c r="H1860" s="237"/>
      <c r="I1860" s="236"/>
    </row>
    <row r="1861" spans="8:9">
      <c r="H1861" s="237"/>
      <c r="I1861" s="236"/>
    </row>
    <row r="1862" spans="8:9">
      <c r="H1862" s="237"/>
      <c r="I1862" s="236"/>
    </row>
    <row r="1863" spans="8:9">
      <c r="H1863" s="237"/>
      <c r="I1863" s="236"/>
    </row>
    <row r="1864" spans="8:9">
      <c r="H1864" s="237"/>
      <c r="I1864" s="236"/>
    </row>
    <row r="1865" spans="8:9">
      <c r="H1865" s="237"/>
      <c r="I1865" s="236"/>
    </row>
    <row r="1866" spans="8:9">
      <c r="H1866" s="237"/>
      <c r="I1866" s="236"/>
    </row>
    <row r="1867" spans="8:9">
      <c r="H1867" s="237"/>
      <c r="I1867" s="236"/>
    </row>
    <row r="1868" spans="8:9">
      <c r="H1868" s="237"/>
      <c r="I1868" s="236"/>
    </row>
    <row r="1869" spans="8:9">
      <c r="H1869" s="237"/>
      <c r="I1869" s="236"/>
    </row>
    <row r="1870" spans="8:9">
      <c r="H1870" s="237"/>
      <c r="I1870" s="236"/>
    </row>
    <row r="1871" spans="8:9">
      <c r="H1871" s="237"/>
      <c r="I1871" s="236"/>
    </row>
    <row r="1872" spans="8:9">
      <c r="H1872" s="237"/>
      <c r="I1872" s="236"/>
    </row>
    <row r="1873" spans="8:9">
      <c r="H1873" s="237"/>
      <c r="I1873" s="236"/>
    </row>
    <row r="1874" spans="8:9">
      <c r="H1874" s="237"/>
      <c r="I1874" s="236"/>
    </row>
    <row r="1875" spans="8:9">
      <c r="H1875" s="237"/>
      <c r="I1875" s="236"/>
    </row>
    <row r="1876" spans="8:9">
      <c r="H1876" s="237"/>
      <c r="I1876" s="236"/>
    </row>
    <row r="1877" spans="8:9">
      <c r="H1877" s="237"/>
      <c r="I1877" s="236"/>
    </row>
    <row r="1878" spans="8:9">
      <c r="H1878" s="237"/>
      <c r="I1878" s="236"/>
    </row>
    <row r="1879" spans="8:9">
      <c r="H1879" s="237"/>
      <c r="I1879" s="236"/>
    </row>
    <row r="1880" spans="8:9">
      <c r="H1880" s="237"/>
      <c r="I1880" s="236"/>
    </row>
    <row r="1881" spans="8:9">
      <c r="H1881" s="237"/>
      <c r="I1881" s="236"/>
    </row>
    <row r="1882" spans="8:9">
      <c r="H1882" s="237"/>
      <c r="I1882" s="236"/>
    </row>
    <row r="1883" spans="8:9">
      <c r="H1883" s="237"/>
      <c r="I1883" s="236"/>
    </row>
    <row r="1884" spans="8:9">
      <c r="H1884" s="237"/>
      <c r="I1884" s="236"/>
    </row>
    <row r="1885" spans="8:9">
      <c r="H1885" s="237"/>
      <c r="I1885" s="236"/>
    </row>
    <row r="1886" spans="8:9">
      <c r="H1886" s="237"/>
      <c r="I1886" s="236"/>
    </row>
    <row r="1887" spans="8:9">
      <c r="H1887" s="237"/>
      <c r="I1887" s="236"/>
    </row>
    <row r="1888" spans="8:9">
      <c r="H1888" s="237"/>
      <c r="I1888" s="236"/>
    </row>
    <row r="1889" spans="8:9">
      <c r="H1889" s="237"/>
      <c r="I1889" s="236"/>
    </row>
    <row r="1890" spans="8:9">
      <c r="H1890" s="237"/>
      <c r="I1890" s="236"/>
    </row>
    <row r="1891" spans="8:9">
      <c r="H1891" s="237"/>
      <c r="I1891" s="236"/>
    </row>
    <row r="1892" spans="8:9">
      <c r="H1892" s="237"/>
      <c r="I1892" s="236"/>
    </row>
    <row r="1893" spans="8:9">
      <c r="H1893" s="237"/>
      <c r="I1893" s="236"/>
    </row>
    <row r="1894" spans="8:9">
      <c r="H1894" s="237"/>
      <c r="I1894" s="236"/>
    </row>
    <row r="1895" spans="8:9">
      <c r="H1895" s="237"/>
      <c r="I1895" s="236"/>
    </row>
    <row r="1896" spans="8:9">
      <c r="H1896" s="237"/>
      <c r="I1896" s="236"/>
    </row>
    <row r="1897" spans="8:9">
      <c r="H1897" s="237"/>
      <c r="I1897" s="236"/>
    </row>
    <row r="1898" spans="8:9">
      <c r="H1898" s="237"/>
      <c r="I1898" s="236"/>
    </row>
    <row r="1899" spans="8:9">
      <c r="H1899" s="237"/>
      <c r="I1899" s="236"/>
    </row>
    <row r="1900" spans="8:9">
      <c r="H1900" s="237"/>
      <c r="I1900" s="236"/>
    </row>
    <row r="1901" spans="8:9">
      <c r="H1901" s="237"/>
      <c r="I1901" s="236"/>
    </row>
    <row r="1902" spans="8:9">
      <c r="H1902" s="237"/>
      <c r="I1902" s="236"/>
    </row>
    <row r="1903" spans="8:9">
      <c r="H1903" s="237"/>
      <c r="I1903" s="236"/>
    </row>
    <row r="1904" spans="8:9">
      <c r="H1904" s="237"/>
      <c r="I1904" s="236"/>
    </row>
    <row r="1905" spans="8:9">
      <c r="H1905" s="237"/>
      <c r="I1905" s="236"/>
    </row>
    <row r="1906" spans="8:9">
      <c r="H1906" s="237"/>
      <c r="I1906" s="236"/>
    </row>
    <row r="1907" spans="8:9">
      <c r="H1907" s="237"/>
      <c r="I1907" s="236"/>
    </row>
    <row r="1908" spans="8:9">
      <c r="H1908" s="237"/>
      <c r="I1908" s="236"/>
    </row>
    <row r="1909" spans="8:9">
      <c r="H1909" s="237"/>
      <c r="I1909" s="236"/>
    </row>
    <row r="1910" spans="8:9">
      <c r="H1910" s="237"/>
      <c r="I1910" s="236"/>
    </row>
    <row r="1911" spans="8:9">
      <c r="H1911" s="237"/>
      <c r="I1911" s="236"/>
    </row>
    <row r="1912" spans="8:9">
      <c r="H1912" s="237"/>
      <c r="I1912" s="236"/>
    </row>
    <row r="1913" spans="8:9">
      <c r="H1913" s="237"/>
      <c r="I1913" s="236"/>
    </row>
    <row r="1914" spans="8:9">
      <c r="H1914" s="237"/>
      <c r="I1914" s="236"/>
    </row>
    <row r="1915" spans="8:9">
      <c r="H1915" s="237"/>
      <c r="I1915" s="236"/>
    </row>
    <row r="1916" spans="8:9">
      <c r="H1916" s="237"/>
      <c r="I1916" s="236"/>
    </row>
    <row r="1917" spans="8:9">
      <c r="H1917" s="237"/>
      <c r="I1917" s="236"/>
    </row>
    <row r="1918" spans="8:9">
      <c r="H1918" s="237"/>
      <c r="I1918" s="236"/>
    </row>
    <row r="1919" spans="8:9">
      <c r="H1919" s="237"/>
      <c r="I1919" s="236"/>
    </row>
    <row r="1920" spans="8:9">
      <c r="H1920" s="237"/>
      <c r="I1920" s="236"/>
    </row>
    <row r="1921" spans="8:9">
      <c r="H1921" s="237"/>
      <c r="I1921" s="236"/>
    </row>
    <row r="1922" spans="8:9">
      <c r="H1922" s="237"/>
      <c r="I1922" s="236"/>
    </row>
    <row r="1923" spans="8:9">
      <c r="H1923" s="237"/>
      <c r="I1923" s="236"/>
    </row>
    <row r="1924" spans="8:9">
      <c r="H1924" s="237"/>
      <c r="I1924" s="236"/>
    </row>
    <row r="1925" spans="8:9">
      <c r="H1925" s="237"/>
      <c r="I1925" s="236"/>
    </row>
    <row r="1926" spans="8:9">
      <c r="H1926" s="237"/>
      <c r="I1926" s="236"/>
    </row>
    <row r="1927" spans="8:9">
      <c r="H1927" s="237"/>
      <c r="I1927" s="236"/>
    </row>
    <row r="1928" spans="8:9">
      <c r="H1928" s="237"/>
      <c r="I1928" s="236"/>
    </row>
    <row r="1929" spans="8:9">
      <c r="H1929" s="237"/>
      <c r="I1929" s="236"/>
    </row>
    <row r="1930" spans="8:9">
      <c r="H1930" s="237"/>
      <c r="I1930" s="236"/>
    </row>
    <row r="1931" spans="8:9">
      <c r="H1931" s="237"/>
      <c r="I1931" s="236"/>
    </row>
    <row r="1932" spans="8:9">
      <c r="H1932" s="237"/>
      <c r="I1932" s="236"/>
    </row>
    <row r="1933" spans="8:9">
      <c r="H1933" s="237"/>
      <c r="I1933" s="236"/>
    </row>
    <row r="1934" spans="8:9">
      <c r="H1934" s="237"/>
      <c r="I1934" s="236"/>
    </row>
    <row r="1935" spans="8:9">
      <c r="H1935" s="237"/>
      <c r="I1935" s="236"/>
    </row>
    <row r="1936" spans="8:9">
      <c r="H1936" s="237"/>
      <c r="I1936" s="236"/>
    </row>
    <row r="1937" spans="8:9">
      <c r="H1937" s="237"/>
      <c r="I1937" s="236"/>
    </row>
    <row r="1938" spans="8:9">
      <c r="H1938" s="237"/>
      <c r="I1938" s="236"/>
    </row>
    <row r="1939" spans="8:9">
      <c r="H1939" s="237"/>
      <c r="I1939" s="236"/>
    </row>
    <row r="1940" spans="8:9">
      <c r="H1940" s="237"/>
      <c r="I1940" s="236"/>
    </row>
    <row r="1941" spans="8:9">
      <c r="H1941" s="237"/>
      <c r="I1941" s="236"/>
    </row>
    <row r="1942" spans="8:9">
      <c r="H1942" s="237"/>
      <c r="I1942" s="236"/>
    </row>
    <row r="1943" spans="8:9">
      <c r="H1943" s="237"/>
      <c r="I1943" s="236"/>
    </row>
    <row r="1944" spans="8:9">
      <c r="H1944" s="237"/>
      <c r="I1944" s="236"/>
    </row>
    <row r="1945" spans="8:9">
      <c r="H1945" s="237"/>
      <c r="I1945" s="236"/>
    </row>
    <row r="1946" spans="8:9">
      <c r="H1946" s="237"/>
      <c r="I1946" s="236"/>
    </row>
    <row r="1947" spans="8:9">
      <c r="H1947" s="237"/>
      <c r="I1947" s="236"/>
    </row>
    <row r="1948" spans="8:9">
      <c r="H1948" s="237"/>
      <c r="I1948" s="236"/>
    </row>
    <row r="1949" spans="8:9">
      <c r="H1949" s="237"/>
      <c r="I1949" s="236"/>
    </row>
    <row r="1950" spans="8:9">
      <c r="H1950" s="237"/>
      <c r="I1950" s="236"/>
    </row>
    <row r="1951" spans="8:9">
      <c r="H1951" s="237"/>
      <c r="I1951" s="236"/>
    </row>
    <row r="1952" spans="8:9">
      <c r="H1952" s="237"/>
      <c r="I1952" s="236"/>
    </row>
    <row r="1953" spans="8:9">
      <c r="H1953" s="237"/>
      <c r="I1953" s="236"/>
    </row>
    <row r="1954" spans="8:9">
      <c r="H1954" s="237"/>
      <c r="I1954" s="236"/>
    </row>
    <row r="1955" spans="8:9">
      <c r="H1955" s="237"/>
      <c r="I1955" s="236"/>
    </row>
    <row r="1956" spans="8:9">
      <c r="H1956" s="237"/>
      <c r="I1956" s="236"/>
    </row>
    <row r="1957" spans="8:9">
      <c r="H1957" s="237"/>
      <c r="I1957" s="236"/>
    </row>
    <row r="1958" spans="8:9">
      <c r="H1958" s="237"/>
      <c r="I1958" s="236"/>
    </row>
    <row r="1959" spans="8:9">
      <c r="H1959" s="237"/>
      <c r="I1959" s="236"/>
    </row>
    <row r="1960" spans="8:9">
      <c r="H1960" s="237"/>
      <c r="I1960" s="236"/>
    </row>
    <row r="1961" spans="8:9">
      <c r="H1961" s="237"/>
      <c r="I1961" s="236"/>
    </row>
    <row r="1962" spans="8:9">
      <c r="H1962" s="237"/>
      <c r="I1962" s="236"/>
    </row>
    <row r="1963" spans="8:9">
      <c r="H1963" s="237"/>
      <c r="I1963" s="236"/>
    </row>
    <row r="1964" spans="8:9">
      <c r="H1964" s="237"/>
      <c r="I1964" s="236"/>
    </row>
    <row r="1965" spans="8:9">
      <c r="H1965" s="237"/>
      <c r="I1965" s="236"/>
    </row>
    <row r="1966" spans="8:9">
      <c r="H1966" s="237"/>
      <c r="I1966" s="236"/>
    </row>
    <row r="1967" spans="8:9">
      <c r="H1967" s="237"/>
      <c r="I1967" s="236"/>
    </row>
    <row r="1968" spans="8:9">
      <c r="H1968" s="237"/>
      <c r="I1968" s="236"/>
    </row>
    <row r="1969" spans="8:9">
      <c r="H1969" s="237"/>
      <c r="I1969" s="236"/>
    </row>
    <row r="1970" spans="8:9">
      <c r="H1970" s="237"/>
      <c r="I1970" s="236"/>
    </row>
    <row r="1971" spans="8:9">
      <c r="H1971" s="237"/>
      <c r="I1971" s="236"/>
    </row>
    <row r="1972" spans="8:9">
      <c r="H1972" s="237"/>
      <c r="I1972" s="236"/>
    </row>
    <row r="1973" spans="8:9">
      <c r="H1973" s="237"/>
      <c r="I1973" s="236"/>
    </row>
    <row r="1974" spans="8:9">
      <c r="H1974" s="237"/>
      <c r="I1974" s="236"/>
    </row>
    <row r="1975" spans="8:9">
      <c r="H1975" s="237"/>
      <c r="I1975" s="236"/>
    </row>
    <row r="1976" spans="8:9">
      <c r="H1976" s="237"/>
      <c r="I1976" s="236"/>
    </row>
    <row r="1977" spans="8:9">
      <c r="H1977" s="237"/>
      <c r="I1977" s="236"/>
    </row>
    <row r="1978" spans="8:9">
      <c r="H1978" s="237"/>
      <c r="I1978" s="236"/>
    </row>
    <row r="1979" spans="8:9">
      <c r="H1979" s="237"/>
      <c r="I1979" s="236"/>
    </row>
    <row r="1980" spans="8:9">
      <c r="H1980" s="237"/>
      <c r="I1980" s="236"/>
    </row>
    <row r="1981" spans="8:9">
      <c r="H1981" s="237"/>
      <c r="I1981" s="236"/>
    </row>
    <row r="1982" spans="8:9">
      <c r="H1982" s="237"/>
      <c r="I1982" s="236"/>
    </row>
    <row r="1983" spans="8:9">
      <c r="H1983" s="237"/>
      <c r="I1983" s="236"/>
    </row>
    <row r="1984" spans="8:9">
      <c r="H1984" s="237"/>
      <c r="I1984" s="236"/>
    </row>
    <row r="1985" spans="8:9">
      <c r="H1985" s="237"/>
      <c r="I1985" s="236"/>
    </row>
    <row r="1986" spans="8:9">
      <c r="H1986" s="237"/>
      <c r="I1986" s="236"/>
    </row>
    <row r="1987" spans="8:9">
      <c r="H1987" s="237"/>
      <c r="I1987" s="236"/>
    </row>
    <row r="1988" spans="8:9">
      <c r="H1988" s="237"/>
      <c r="I1988" s="236"/>
    </row>
    <row r="1989" spans="8:9">
      <c r="H1989" s="237"/>
      <c r="I1989" s="236"/>
    </row>
    <row r="1990" spans="8:9">
      <c r="H1990" s="237"/>
      <c r="I1990" s="236"/>
    </row>
    <row r="1991" spans="8:9">
      <c r="H1991" s="237"/>
      <c r="I1991" s="236"/>
    </row>
    <row r="1992" spans="8:9">
      <c r="H1992" s="237"/>
      <c r="I1992" s="236"/>
    </row>
    <row r="1993" spans="8:9">
      <c r="H1993" s="237"/>
      <c r="I1993" s="236"/>
    </row>
    <row r="1994" spans="8:9">
      <c r="H1994" s="237"/>
      <c r="I1994" s="236"/>
    </row>
    <row r="1995" spans="8:9">
      <c r="H1995" s="237"/>
      <c r="I1995" s="236"/>
    </row>
    <row r="1996" spans="8:9">
      <c r="H1996" s="237"/>
      <c r="I1996" s="236"/>
    </row>
    <row r="1997" spans="8:9">
      <c r="H1997" s="237"/>
      <c r="I1997" s="236"/>
    </row>
    <row r="1998" spans="8:9">
      <c r="H1998" s="237"/>
      <c r="I1998" s="236"/>
    </row>
    <row r="1999" spans="8:9">
      <c r="H1999" s="237"/>
      <c r="I1999" s="236"/>
    </row>
    <row r="2000" spans="8:9">
      <c r="H2000" s="237"/>
      <c r="I2000" s="236"/>
    </row>
  </sheetData>
  <mergeCells count="2">
    <mergeCell ref="L4:N4"/>
    <mergeCell ref="G4:K4"/>
  </mergeCells>
  <printOptions horizontalCentered="1"/>
  <pageMargins left="0.39370078740157483" right="0.39370078740157483" top="0.31496062992125984" bottom="0.19685039370078741" header="0" footer="0"/>
  <pageSetup paperSize="9" scale="45" fitToHeight="0" orientation="landscape" r:id="rId1"/>
  <headerFooter>
    <oddHeader>&amp;C&amp;P&amp;R&amp;F</oddHead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H28"/>
  <sheetViews>
    <sheetView view="pageBreakPreview" zoomScale="90" zoomScaleNormal="100" zoomScaleSheetLayoutView="90" workbookViewId="0">
      <selection activeCell="F4" sqref="F4"/>
    </sheetView>
  </sheetViews>
  <sheetFormatPr defaultRowHeight="12.75"/>
  <cols>
    <col min="1" max="1" width="21.140625" style="175" customWidth="1"/>
    <col min="2" max="2" width="27.85546875" style="175" customWidth="1"/>
    <col min="3" max="7" width="17.85546875" style="175" customWidth="1"/>
    <col min="8" max="8" width="30.28515625" style="175" bestFit="1" customWidth="1"/>
    <col min="9" max="255" width="9.140625" style="175"/>
    <col min="256" max="256" width="5.5703125" style="175" customWidth="1"/>
    <col min="257" max="257" width="15.85546875" style="175" customWidth="1"/>
    <col min="258" max="258" width="27.85546875" style="175" customWidth="1"/>
    <col min="259" max="259" width="11.85546875" style="175" customWidth="1"/>
    <col min="260" max="263" width="18" style="175" customWidth="1"/>
    <col min="264" max="264" width="30.28515625" style="175" bestFit="1" customWidth="1"/>
    <col min="265" max="511" width="9.140625" style="175"/>
    <col min="512" max="512" width="5.5703125" style="175" customWidth="1"/>
    <col min="513" max="513" width="15.85546875" style="175" customWidth="1"/>
    <col min="514" max="514" width="27.85546875" style="175" customWidth="1"/>
    <col min="515" max="515" width="11.85546875" style="175" customWidth="1"/>
    <col min="516" max="519" width="18" style="175" customWidth="1"/>
    <col min="520" max="520" width="30.28515625" style="175" bestFit="1" customWidth="1"/>
    <col min="521" max="767" width="9.140625" style="175"/>
    <col min="768" max="768" width="5.5703125" style="175" customWidth="1"/>
    <col min="769" max="769" width="15.85546875" style="175" customWidth="1"/>
    <col min="770" max="770" width="27.85546875" style="175" customWidth="1"/>
    <col min="771" max="771" width="11.85546875" style="175" customWidth="1"/>
    <col min="772" max="775" width="18" style="175" customWidth="1"/>
    <col min="776" max="776" width="30.28515625" style="175" bestFit="1" customWidth="1"/>
    <col min="777" max="1023" width="9.140625" style="175"/>
    <col min="1024" max="1024" width="5.5703125" style="175" customWidth="1"/>
    <col min="1025" max="1025" width="15.85546875" style="175" customWidth="1"/>
    <col min="1026" max="1026" width="27.85546875" style="175" customWidth="1"/>
    <col min="1027" max="1027" width="11.85546875" style="175" customWidth="1"/>
    <col min="1028" max="1031" width="18" style="175" customWidth="1"/>
    <col min="1032" max="1032" width="30.28515625" style="175" bestFit="1" customWidth="1"/>
    <col min="1033" max="1279" width="9.140625" style="175"/>
    <col min="1280" max="1280" width="5.5703125" style="175" customWidth="1"/>
    <col min="1281" max="1281" width="15.85546875" style="175" customWidth="1"/>
    <col min="1282" max="1282" width="27.85546875" style="175" customWidth="1"/>
    <col min="1283" max="1283" width="11.85546875" style="175" customWidth="1"/>
    <col min="1284" max="1287" width="18" style="175" customWidth="1"/>
    <col min="1288" max="1288" width="30.28515625" style="175" bestFit="1" customWidth="1"/>
    <col min="1289" max="1535" width="9.140625" style="175"/>
    <col min="1536" max="1536" width="5.5703125" style="175" customWidth="1"/>
    <col min="1537" max="1537" width="15.85546875" style="175" customWidth="1"/>
    <col min="1538" max="1538" width="27.85546875" style="175" customWidth="1"/>
    <col min="1539" max="1539" width="11.85546875" style="175" customWidth="1"/>
    <col min="1540" max="1543" width="18" style="175" customWidth="1"/>
    <col min="1544" max="1544" width="30.28515625" style="175" bestFit="1" customWidth="1"/>
    <col min="1545" max="1791" width="9.140625" style="175"/>
    <col min="1792" max="1792" width="5.5703125" style="175" customWidth="1"/>
    <col min="1793" max="1793" width="15.85546875" style="175" customWidth="1"/>
    <col min="1794" max="1794" width="27.85546875" style="175" customWidth="1"/>
    <col min="1795" max="1795" width="11.85546875" style="175" customWidth="1"/>
    <col min="1796" max="1799" width="18" style="175" customWidth="1"/>
    <col min="1800" max="1800" width="30.28515625" style="175" bestFit="1" customWidth="1"/>
    <col min="1801" max="2047" width="9.140625" style="175"/>
    <col min="2048" max="2048" width="5.5703125" style="175" customWidth="1"/>
    <col min="2049" max="2049" width="15.85546875" style="175" customWidth="1"/>
    <col min="2050" max="2050" width="27.85546875" style="175" customWidth="1"/>
    <col min="2051" max="2051" width="11.85546875" style="175" customWidth="1"/>
    <col min="2052" max="2055" width="18" style="175" customWidth="1"/>
    <col min="2056" max="2056" width="30.28515625" style="175" bestFit="1" customWidth="1"/>
    <col min="2057" max="2303" width="9.140625" style="175"/>
    <col min="2304" max="2304" width="5.5703125" style="175" customWidth="1"/>
    <col min="2305" max="2305" width="15.85546875" style="175" customWidth="1"/>
    <col min="2306" max="2306" width="27.85546875" style="175" customWidth="1"/>
    <col min="2307" max="2307" width="11.85546875" style="175" customWidth="1"/>
    <col min="2308" max="2311" width="18" style="175" customWidth="1"/>
    <col min="2312" max="2312" width="30.28515625" style="175" bestFit="1" customWidth="1"/>
    <col min="2313" max="2559" width="9.140625" style="175"/>
    <col min="2560" max="2560" width="5.5703125" style="175" customWidth="1"/>
    <col min="2561" max="2561" width="15.85546875" style="175" customWidth="1"/>
    <col min="2562" max="2562" width="27.85546875" style="175" customWidth="1"/>
    <col min="2563" max="2563" width="11.85546875" style="175" customWidth="1"/>
    <col min="2564" max="2567" width="18" style="175" customWidth="1"/>
    <col min="2568" max="2568" width="30.28515625" style="175" bestFit="1" customWidth="1"/>
    <col min="2569" max="2815" width="9.140625" style="175"/>
    <col min="2816" max="2816" width="5.5703125" style="175" customWidth="1"/>
    <col min="2817" max="2817" width="15.85546875" style="175" customWidth="1"/>
    <col min="2818" max="2818" width="27.85546875" style="175" customWidth="1"/>
    <col min="2819" max="2819" width="11.85546875" style="175" customWidth="1"/>
    <col min="2820" max="2823" width="18" style="175" customWidth="1"/>
    <col min="2824" max="2824" width="30.28515625" style="175" bestFit="1" customWidth="1"/>
    <col min="2825" max="3071" width="9.140625" style="175"/>
    <col min="3072" max="3072" width="5.5703125" style="175" customWidth="1"/>
    <col min="3073" max="3073" width="15.85546875" style="175" customWidth="1"/>
    <col min="3074" max="3074" width="27.85546875" style="175" customWidth="1"/>
    <col min="3075" max="3075" width="11.85546875" style="175" customWidth="1"/>
    <col min="3076" max="3079" width="18" style="175" customWidth="1"/>
    <col min="3080" max="3080" width="30.28515625" style="175" bestFit="1" customWidth="1"/>
    <col min="3081" max="3327" width="9.140625" style="175"/>
    <col min="3328" max="3328" width="5.5703125" style="175" customWidth="1"/>
    <col min="3329" max="3329" width="15.85546875" style="175" customWidth="1"/>
    <col min="3330" max="3330" width="27.85546875" style="175" customWidth="1"/>
    <col min="3331" max="3331" width="11.85546875" style="175" customWidth="1"/>
    <col min="3332" max="3335" width="18" style="175" customWidth="1"/>
    <col min="3336" max="3336" width="30.28515625" style="175" bestFit="1" customWidth="1"/>
    <col min="3337" max="3583" width="9.140625" style="175"/>
    <col min="3584" max="3584" width="5.5703125" style="175" customWidth="1"/>
    <col min="3585" max="3585" width="15.85546875" style="175" customWidth="1"/>
    <col min="3586" max="3586" width="27.85546875" style="175" customWidth="1"/>
    <col min="3587" max="3587" width="11.85546875" style="175" customWidth="1"/>
    <col min="3588" max="3591" width="18" style="175" customWidth="1"/>
    <col min="3592" max="3592" width="30.28515625" style="175" bestFit="1" customWidth="1"/>
    <col min="3593" max="3839" width="9.140625" style="175"/>
    <col min="3840" max="3840" width="5.5703125" style="175" customWidth="1"/>
    <col min="3841" max="3841" width="15.85546875" style="175" customWidth="1"/>
    <col min="3842" max="3842" width="27.85546875" style="175" customWidth="1"/>
    <col min="3843" max="3843" width="11.85546875" style="175" customWidth="1"/>
    <col min="3844" max="3847" width="18" style="175" customWidth="1"/>
    <col min="3848" max="3848" width="30.28515625" style="175" bestFit="1" customWidth="1"/>
    <col min="3849" max="4095" width="9.140625" style="175"/>
    <col min="4096" max="4096" width="5.5703125" style="175" customWidth="1"/>
    <col min="4097" max="4097" width="15.85546875" style="175" customWidth="1"/>
    <col min="4098" max="4098" width="27.85546875" style="175" customWidth="1"/>
    <col min="4099" max="4099" width="11.85546875" style="175" customWidth="1"/>
    <col min="4100" max="4103" width="18" style="175" customWidth="1"/>
    <col min="4104" max="4104" width="30.28515625" style="175" bestFit="1" customWidth="1"/>
    <col min="4105" max="4351" width="9.140625" style="175"/>
    <col min="4352" max="4352" width="5.5703125" style="175" customWidth="1"/>
    <col min="4353" max="4353" width="15.85546875" style="175" customWidth="1"/>
    <col min="4354" max="4354" width="27.85546875" style="175" customWidth="1"/>
    <col min="4355" max="4355" width="11.85546875" style="175" customWidth="1"/>
    <col min="4356" max="4359" width="18" style="175" customWidth="1"/>
    <col min="4360" max="4360" width="30.28515625" style="175" bestFit="1" customWidth="1"/>
    <col min="4361" max="4607" width="9.140625" style="175"/>
    <col min="4608" max="4608" width="5.5703125" style="175" customWidth="1"/>
    <col min="4609" max="4609" width="15.85546875" style="175" customWidth="1"/>
    <col min="4610" max="4610" width="27.85546875" style="175" customWidth="1"/>
    <col min="4611" max="4611" width="11.85546875" style="175" customWidth="1"/>
    <col min="4612" max="4615" width="18" style="175" customWidth="1"/>
    <col min="4616" max="4616" width="30.28515625" style="175" bestFit="1" customWidth="1"/>
    <col min="4617" max="4863" width="9.140625" style="175"/>
    <col min="4864" max="4864" width="5.5703125" style="175" customWidth="1"/>
    <col min="4865" max="4865" width="15.85546875" style="175" customWidth="1"/>
    <col min="4866" max="4866" width="27.85546875" style="175" customWidth="1"/>
    <col min="4867" max="4867" width="11.85546875" style="175" customWidth="1"/>
    <col min="4868" max="4871" width="18" style="175" customWidth="1"/>
    <col min="4872" max="4872" width="30.28515625" style="175" bestFit="1" customWidth="1"/>
    <col min="4873" max="5119" width="9.140625" style="175"/>
    <col min="5120" max="5120" width="5.5703125" style="175" customWidth="1"/>
    <col min="5121" max="5121" width="15.85546875" style="175" customWidth="1"/>
    <col min="5122" max="5122" width="27.85546875" style="175" customWidth="1"/>
    <col min="5123" max="5123" width="11.85546875" style="175" customWidth="1"/>
    <col min="5124" max="5127" width="18" style="175" customWidth="1"/>
    <col min="5128" max="5128" width="30.28515625" style="175" bestFit="1" customWidth="1"/>
    <col min="5129" max="5375" width="9.140625" style="175"/>
    <col min="5376" max="5376" width="5.5703125" style="175" customWidth="1"/>
    <col min="5377" max="5377" width="15.85546875" style="175" customWidth="1"/>
    <col min="5378" max="5378" width="27.85546875" style="175" customWidth="1"/>
    <col min="5379" max="5379" width="11.85546875" style="175" customWidth="1"/>
    <col min="5380" max="5383" width="18" style="175" customWidth="1"/>
    <col min="5384" max="5384" width="30.28515625" style="175" bestFit="1" customWidth="1"/>
    <col min="5385" max="5631" width="9.140625" style="175"/>
    <col min="5632" max="5632" width="5.5703125" style="175" customWidth="1"/>
    <col min="5633" max="5633" width="15.85546875" style="175" customWidth="1"/>
    <col min="5634" max="5634" width="27.85546875" style="175" customWidth="1"/>
    <col min="5635" max="5635" width="11.85546875" style="175" customWidth="1"/>
    <col min="5636" max="5639" width="18" style="175" customWidth="1"/>
    <col min="5640" max="5640" width="30.28515625" style="175" bestFit="1" customWidth="1"/>
    <col min="5641" max="5887" width="9.140625" style="175"/>
    <col min="5888" max="5888" width="5.5703125" style="175" customWidth="1"/>
    <col min="5889" max="5889" width="15.85546875" style="175" customWidth="1"/>
    <col min="5890" max="5890" width="27.85546875" style="175" customWidth="1"/>
    <col min="5891" max="5891" width="11.85546875" style="175" customWidth="1"/>
    <col min="5892" max="5895" width="18" style="175" customWidth="1"/>
    <col min="5896" max="5896" width="30.28515625" style="175" bestFit="1" customWidth="1"/>
    <col min="5897" max="6143" width="9.140625" style="175"/>
    <col min="6144" max="6144" width="5.5703125" style="175" customWidth="1"/>
    <col min="6145" max="6145" width="15.85546875" style="175" customWidth="1"/>
    <col min="6146" max="6146" width="27.85546875" style="175" customWidth="1"/>
    <col min="6147" max="6147" width="11.85546875" style="175" customWidth="1"/>
    <col min="6148" max="6151" width="18" style="175" customWidth="1"/>
    <col min="6152" max="6152" width="30.28515625" style="175" bestFit="1" customWidth="1"/>
    <col min="6153" max="6399" width="9.140625" style="175"/>
    <col min="6400" max="6400" width="5.5703125" style="175" customWidth="1"/>
    <col min="6401" max="6401" width="15.85546875" style="175" customWidth="1"/>
    <col min="6402" max="6402" width="27.85546875" style="175" customWidth="1"/>
    <col min="6403" max="6403" width="11.85546875" style="175" customWidth="1"/>
    <col min="6404" max="6407" width="18" style="175" customWidth="1"/>
    <col min="6408" max="6408" width="30.28515625" style="175" bestFit="1" customWidth="1"/>
    <col min="6409" max="6655" width="9.140625" style="175"/>
    <col min="6656" max="6656" width="5.5703125" style="175" customWidth="1"/>
    <col min="6657" max="6657" width="15.85546875" style="175" customWidth="1"/>
    <col min="6658" max="6658" width="27.85546875" style="175" customWidth="1"/>
    <col min="6659" max="6659" width="11.85546875" style="175" customWidth="1"/>
    <col min="6660" max="6663" width="18" style="175" customWidth="1"/>
    <col min="6664" max="6664" width="30.28515625" style="175" bestFit="1" customWidth="1"/>
    <col min="6665" max="6911" width="9.140625" style="175"/>
    <col min="6912" max="6912" width="5.5703125" style="175" customWidth="1"/>
    <col min="6913" max="6913" width="15.85546875" style="175" customWidth="1"/>
    <col min="6914" max="6914" width="27.85546875" style="175" customWidth="1"/>
    <col min="6915" max="6915" width="11.85546875" style="175" customWidth="1"/>
    <col min="6916" max="6919" width="18" style="175" customWidth="1"/>
    <col min="6920" max="6920" width="30.28515625" style="175" bestFit="1" customWidth="1"/>
    <col min="6921" max="7167" width="9.140625" style="175"/>
    <col min="7168" max="7168" width="5.5703125" style="175" customWidth="1"/>
    <col min="7169" max="7169" width="15.85546875" style="175" customWidth="1"/>
    <col min="7170" max="7170" width="27.85546875" style="175" customWidth="1"/>
    <col min="7171" max="7171" width="11.85546875" style="175" customWidth="1"/>
    <col min="7172" max="7175" width="18" style="175" customWidth="1"/>
    <col min="7176" max="7176" width="30.28515625" style="175" bestFit="1" customWidth="1"/>
    <col min="7177" max="7423" width="9.140625" style="175"/>
    <col min="7424" max="7424" width="5.5703125" style="175" customWidth="1"/>
    <col min="7425" max="7425" width="15.85546875" style="175" customWidth="1"/>
    <col min="7426" max="7426" width="27.85546875" style="175" customWidth="1"/>
    <col min="7427" max="7427" width="11.85546875" style="175" customWidth="1"/>
    <col min="7428" max="7431" width="18" style="175" customWidth="1"/>
    <col min="7432" max="7432" width="30.28515625" style="175" bestFit="1" customWidth="1"/>
    <col min="7433" max="7679" width="9.140625" style="175"/>
    <col min="7680" max="7680" width="5.5703125" style="175" customWidth="1"/>
    <col min="7681" max="7681" width="15.85546875" style="175" customWidth="1"/>
    <col min="7682" max="7682" width="27.85546875" style="175" customWidth="1"/>
    <col min="7683" max="7683" width="11.85546875" style="175" customWidth="1"/>
    <col min="7684" max="7687" width="18" style="175" customWidth="1"/>
    <col min="7688" max="7688" width="30.28515625" style="175" bestFit="1" customWidth="1"/>
    <col min="7689" max="7935" width="9.140625" style="175"/>
    <col min="7936" max="7936" width="5.5703125" style="175" customWidth="1"/>
    <col min="7937" max="7937" width="15.85546875" style="175" customWidth="1"/>
    <col min="7938" max="7938" width="27.85546875" style="175" customWidth="1"/>
    <col min="7939" max="7939" width="11.85546875" style="175" customWidth="1"/>
    <col min="7940" max="7943" width="18" style="175" customWidth="1"/>
    <col min="7944" max="7944" width="30.28515625" style="175" bestFit="1" customWidth="1"/>
    <col min="7945" max="8191" width="9.140625" style="175"/>
    <col min="8192" max="8192" width="5.5703125" style="175" customWidth="1"/>
    <col min="8193" max="8193" width="15.85546875" style="175" customWidth="1"/>
    <col min="8194" max="8194" width="27.85546875" style="175" customWidth="1"/>
    <col min="8195" max="8195" width="11.85546875" style="175" customWidth="1"/>
    <col min="8196" max="8199" width="18" style="175" customWidth="1"/>
    <col min="8200" max="8200" width="30.28515625" style="175" bestFit="1" customWidth="1"/>
    <col min="8201" max="8447" width="9.140625" style="175"/>
    <col min="8448" max="8448" width="5.5703125" style="175" customWidth="1"/>
    <col min="8449" max="8449" width="15.85546875" style="175" customWidth="1"/>
    <col min="8450" max="8450" width="27.85546875" style="175" customWidth="1"/>
    <col min="8451" max="8451" width="11.85546875" style="175" customWidth="1"/>
    <col min="8452" max="8455" width="18" style="175" customWidth="1"/>
    <col min="8456" max="8456" width="30.28515625" style="175" bestFit="1" customWidth="1"/>
    <col min="8457" max="8703" width="9.140625" style="175"/>
    <col min="8704" max="8704" width="5.5703125" style="175" customWidth="1"/>
    <col min="8705" max="8705" width="15.85546875" style="175" customWidth="1"/>
    <col min="8706" max="8706" width="27.85546875" style="175" customWidth="1"/>
    <col min="8707" max="8707" width="11.85546875" style="175" customWidth="1"/>
    <col min="8708" max="8711" width="18" style="175" customWidth="1"/>
    <col min="8712" max="8712" width="30.28515625" style="175" bestFit="1" customWidth="1"/>
    <col min="8713" max="8959" width="9.140625" style="175"/>
    <col min="8960" max="8960" width="5.5703125" style="175" customWidth="1"/>
    <col min="8961" max="8961" width="15.85546875" style="175" customWidth="1"/>
    <col min="8962" max="8962" width="27.85546875" style="175" customWidth="1"/>
    <col min="8963" max="8963" width="11.85546875" style="175" customWidth="1"/>
    <col min="8964" max="8967" width="18" style="175" customWidth="1"/>
    <col min="8968" max="8968" width="30.28515625" style="175" bestFit="1" customWidth="1"/>
    <col min="8969" max="9215" width="9.140625" style="175"/>
    <col min="9216" max="9216" width="5.5703125" style="175" customWidth="1"/>
    <col min="9217" max="9217" width="15.85546875" style="175" customWidth="1"/>
    <col min="9218" max="9218" width="27.85546875" style="175" customWidth="1"/>
    <col min="9219" max="9219" width="11.85546875" style="175" customWidth="1"/>
    <col min="9220" max="9223" width="18" style="175" customWidth="1"/>
    <col min="9224" max="9224" width="30.28515625" style="175" bestFit="1" customWidth="1"/>
    <col min="9225" max="9471" width="9.140625" style="175"/>
    <col min="9472" max="9472" width="5.5703125" style="175" customWidth="1"/>
    <col min="9473" max="9473" width="15.85546875" style="175" customWidth="1"/>
    <col min="9474" max="9474" width="27.85546875" style="175" customWidth="1"/>
    <col min="9475" max="9475" width="11.85546875" style="175" customWidth="1"/>
    <col min="9476" max="9479" width="18" style="175" customWidth="1"/>
    <col min="9480" max="9480" width="30.28515625" style="175" bestFit="1" customWidth="1"/>
    <col min="9481" max="9727" width="9.140625" style="175"/>
    <col min="9728" max="9728" width="5.5703125" style="175" customWidth="1"/>
    <col min="9729" max="9729" width="15.85546875" style="175" customWidth="1"/>
    <col min="9730" max="9730" width="27.85546875" style="175" customWidth="1"/>
    <col min="9731" max="9731" width="11.85546875" style="175" customWidth="1"/>
    <col min="9732" max="9735" width="18" style="175" customWidth="1"/>
    <col min="9736" max="9736" width="30.28515625" style="175" bestFit="1" customWidth="1"/>
    <col min="9737" max="9983" width="9.140625" style="175"/>
    <col min="9984" max="9984" width="5.5703125" style="175" customWidth="1"/>
    <col min="9985" max="9985" width="15.85546875" style="175" customWidth="1"/>
    <col min="9986" max="9986" width="27.85546875" style="175" customWidth="1"/>
    <col min="9987" max="9987" width="11.85546875" style="175" customWidth="1"/>
    <col min="9988" max="9991" width="18" style="175" customWidth="1"/>
    <col min="9992" max="9992" width="30.28515625" style="175" bestFit="1" customWidth="1"/>
    <col min="9993" max="10239" width="9.140625" style="175"/>
    <col min="10240" max="10240" width="5.5703125" style="175" customWidth="1"/>
    <col min="10241" max="10241" width="15.85546875" style="175" customWidth="1"/>
    <col min="10242" max="10242" width="27.85546875" style="175" customWidth="1"/>
    <col min="10243" max="10243" width="11.85546875" style="175" customWidth="1"/>
    <col min="10244" max="10247" width="18" style="175" customWidth="1"/>
    <col min="10248" max="10248" width="30.28515625" style="175" bestFit="1" customWidth="1"/>
    <col min="10249" max="10495" width="9.140625" style="175"/>
    <col min="10496" max="10496" width="5.5703125" style="175" customWidth="1"/>
    <col min="10497" max="10497" width="15.85546875" style="175" customWidth="1"/>
    <col min="10498" max="10498" width="27.85546875" style="175" customWidth="1"/>
    <col min="10499" max="10499" width="11.85546875" style="175" customWidth="1"/>
    <col min="10500" max="10503" width="18" style="175" customWidth="1"/>
    <col min="10504" max="10504" width="30.28515625" style="175" bestFit="1" customWidth="1"/>
    <col min="10505" max="10751" width="9.140625" style="175"/>
    <col min="10752" max="10752" width="5.5703125" style="175" customWidth="1"/>
    <col min="10753" max="10753" width="15.85546875" style="175" customWidth="1"/>
    <col min="10754" max="10754" width="27.85546875" style="175" customWidth="1"/>
    <col min="10755" max="10755" width="11.85546875" style="175" customWidth="1"/>
    <col min="10756" max="10759" width="18" style="175" customWidth="1"/>
    <col min="10760" max="10760" width="30.28515625" style="175" bestFit="1" customWidth="1"/>
    <col min="10761" max="11007" width="9.140625" style="175"/>
    <col min="11008" max="11008" width="5.5703125" style="175" customWidth="1"/>
    <col min="11009" max="11009" width="15.85546875" style="175" customWidth="1"/>
    <col min="11010" max="11010" width="27.85546875" style="175" customWidth="1"/>
    <col min="11011" max="11011" width="11.85546875" style="175" customWidth="1"/>
    <col min="11012" max="11015" width="18" style="175" customWidth="1"/>
    <col min="11016" max="11016" width="30.28515625" style="175" bestFit="1" customWidth="1"/>
    <col min="11017" max="11263" width="9.140625" style="175"/>
    <col min="11264" max="11264" width="5.5703125" style="175" customWidth="1"/>
    <col min="11265" max="11265" width="15.85546875" style="175" customWidth="1"/>
    <col min="11266" max="11266" width="27.85546875" style="175" customWidth="1"/>
    <col min="11267" max="11267" width="11.85546875" style="175" customWidth="1"/>
    <col min="11268" max="11271" width="18" style="175" customWidth="1"/>
    <col min="11272" max="11272" width="30.28515625" style="175" bestFit="1" customWidth="1"/>
    <col min="11273" max="11519" width="9.140625" style="175"/>
    <col min="11520" max="11520" width="5.5703125" style="175" customWidth="1"/>
    <col min="11521" max="11521" width="15.85546875" style="175" customWidth="1"/>
    <col min="11522" max="11522" width="27.85546875" style="175" customWidth="1"/>
    <col min="11523" max="11523" width="11.85546875" style="175" customWidth="1"/>
    <col min="11524" max="11527" width="18" style="175" customWidth="1"/>
    <col min="11528" max="11528" width="30.28515625" style="175" bestFit="1" customWidth="1"/>
    <col min="11529" max="11775" width="9.140625" style="175"/>
    <col min="11776" max="11776" width="5.5703125" style="175" customWidth="1"/>
    <col min="11777" max="11777" width="15.85546875" style="175" customWidth="1"/>
    <col min="11778" max="11778" width="27.85546875" style="175" customWidth="1"/>
    <col min="11779" max="11779" width="11.85546875" style="175" customWidth="1"/>
    <col min="11780" max="11783" width="18" style="175" customWidth="1"/>
    <col min="11784" max="11784" width="30.28515625" style="175" bestFit="1" customWidth="1"/>
    <col min="11785" max="12031" width="9.140625" style="175"/>
    <col min="12032" max="12032" width="5.5703125" style="175" customWidth="1"/>
    <col min="12033" max="12033" width="15.85546875" style="175" customWidth="1"/>
    <col min="12034" max="12034" width="27.85546875" style="175" customWidth="1"/>
    <col min="12035" max="12035" width="11.85546875" style="175" customWidth="1"/>
    <col min="12036" max="12039" width="18" style="175" customWidth="1"/>
    <col min="12040" max="12040" width="30.28515625" style="175" bestFit="1" customWidth="1"/>
    <col min="12041" max="12287" width="9.140625" style="175"/>
    <col min="12288" max="12288" width="5.5703125" style="175" customWidth="1"/>
    <col min="12289" max="12289" width="15.85546875" style="175" customWidth="1"/>
    <col min="12290" max="12290" width="27.85546875" style="175" customWidth="1"/>
    <col min="12291" max="12291" width="11.85546875" style="175" customWidth="1"/>
    <col min="12292" max="12295" width="18" style="175" customWidth="1"/>
    <col min="12296" max="12296" width="30.28515625" style="175" bestFit="1" customWidth="1"/>
    <col min="12297" max="12543" width="9.140625" style="175"/>
    <col min="12544" max="12544" width="5.5703125" style="175" customWidth="1"/>
    <col min="12545" max="12545" width="15.85546875" style="175" customWidth="1"/>
    <col min="12546" max="12546" width="27.85546875" style="175" customWidth="1"/>
    <col min="12547" max="12547" width="11.85546875" style="175" customWidth="1"/>
    <col min="12548" max="12551" width="18" style="175" customWidth="1"/>
    <col min="12552" max="12552" width="30.28515625" style="175" bestFit="1" customWidth="1"/>
    <col min="12553" max="12799" width="9.140625" style="175"/>
    <col min="12800" max="12800" width="5.5703125" style="175" customWidth="1"/>
    <col min="12801" max="12801" width="15.85546875" style="175" customWidth="1"/>
    <col min="12802" max="12802" width="27.85546875" style="175" customWidth="1"/>
    <col min="12803" max="12803" width="11.85546875" style="175" customWidth="1"/>
    <col min="12804" max="12807" width="18" style="175" customWidth="1"/>
    <col min="12808" max="12808" width="30.28515625" style="175" bestFit="1" customWidth="1"/>
    <col min="12809" max="13055" width="9.140625" style="175"/>
    <col min="13056" max="13056" width="5.5703125" style="175" customWidth="1"/>
    <col min="13057" max="13057" width="15.85546875" style="175" customWidth="1"/>
    <col min="13058" max="13058" width="27.85546875" style="175" customWidth="1"/>
    <col min="13059" max="13059" width="11.85546875" style="175" customWidth="1"/>
    <col min="13060" max="13063" width="18" style="175" customWidth="1"/>
    <col min="13064" max="13064" width="30.28515625" style="175" bestFit="1" customWidth="1"/>
    <col min="13065" max="13311" width="9.140625" style="175"/>
    <col min="13312" max="13312" width="5.5703125" style="175" customWidth="1"/>
    <col min="13313" max="13313" width="15.85546875" style="175" customWidth="1"/>
    <col min="13314" max="13314" width="27.85546875" style="175" customWidth="1"/>
    <col min="13315" max="13315" width="11.85546875" style="175" customWidth="1"/>
    <col min="13316" max="13319" width="18" style="175" customWidth="1"/>
    <col min="13320" max="13320" width="30.28515625" style="175" bestFit="1" customWidth="1"/>
    <col min="13321" max="13567" width="9.140625" style="175"/>
    <col min="13568" max="13568" width="5.5703125" style="175" customWidth="1"/>
    <col min="13569" max="13569" width="15.85546875" style="175" customWidth="1"/>
    <col min="13570" max="13570" width="27.85546875" style="175" customWidth="1"/>
    <col min="13571" max="13571" width="11.85546875" style="175" customWidth="1"/>
    <col min="13572" max="13575" width="18" style="175" customWidth="1"/>
    <col min="13576" max="13576" width="30.28515625" style="175" bestFit="1" customWidth="1"/>
    <col min="13577" max="13823" width="9.140625" style="175"/>
    <col min="13824" max="13824" width="5.5703125" style="175" customWidth="1"/>
    <col min="13825" max="13825" width="15.85546875" style="175" customWidth="1"/>
    <col min="13826" max="13826" width="27.85546875" style="175" customWidth="1"/>
    <col min="13827" max="13827" width="11.85546875" style="175" customWidth="1"/>
    <col min="13828" max="13831" width="18" style="175" customWidth="1"/>
    <col min="13832" max="13832" width="30.28515625" style="175" bestFit="1" customWidth="1"/>
    <col min="13833" max="14079" width="9.140625" style="175"/>
    <col min="14080" max="14080" width="5.5703125" style="175" customWidth="1"/>
    <col min="14081" max="14081" width="15.85546875" style="175" customWidth="1"/>
    <col min="14082" max="14082" width="27.85546875" style="175" customWidth="1"/>
    <col min="14083" max="14083" width="11.85546875" style="175" customWidth="1"/>
    <col min="14084" max="14087" width="18" style="175" customWidth="1"/>
    <col min="14088" max="14088" width="30.28515625" style="175" bestFit="1" customWidth="1"/>
    <col min="14089" max="14335" width="9.140625" style="175"/>
    <col min="14336" max="14336" width="5.5703125" style="175" customWidth="1"/>
    <col min="14337" max="14337" width="15.85546875" style="175" customWidth="1"/>
    <col min="14338" max="14338" width="27.85546875" style="175" customWidth="1"/>
    <col min="14339" max="14339" width="11.85546875" style="175" customWidth="1"/>
    <col min="14340" max="14343" width="18" style="175" customWidth="1"/>
    <col min="14344" max="14344" width="30.28515625" style="175" bestFit="1" customWidth="1"/>
    <col min="14345" max="14591" width="9.140625" style="175"/>
    <col min="14592" max="14592" width="5.5703125" style="175" customWidth="1"/>
    <col min="14593" max="14593" width="15.85546875" style="175" customWidth="1"/>
    <col min="14594" max="14594" width="27.85546875" style="175" customWidth="1"/>
    <col min="14595" max="14595" width="11.85546875" style="175" customWidth="1"/>
    <col min="14596" max="14599" width="18" style="175" customWidth="1"/>
    <col min="14600" max="14600" width="30.28515625" style="175" bestFit="1" customWidth="1"/>
    <col min="14601" max="14847" width="9.140625" style="175"/>
    <col min="14848" max="14848" width="5.5703125" style="175" customWidth="1"/>
    <col min="14849" max="14849" width="15.85546875" style="175" customWidth="1"/>
    <col min="14850" max="14850" width="27.85546875" style="175" customWidth="1"/>
    <col min="14851" max="14851" width="11.85546875" style="175" customWidth="1"/>
    <col min="14852" max="14855" width="18" style="175" customWidth="1"/>
    <col min="14856" max="14856" width="30.28515625" style="175" bestFit="1" customWidth="1"/>
    <col min="14857" max="15103" width="9.140625" style="175"/>
    <col min="15104" max="15104" width="5.5703125" style="175" customWidth="1"/>
    <col min="15105" max="15105" width="15.85546875" style="175" customWidth="1"/>
    <col min="15106" max="15106" width="27.85546875" style="175" customWidth="1"/>
    <col min="15107" max="15107" width="11.85546875" style="175" customWidth="1"/>
    <col min="15108" max="15111" width="18" style="175" customWidth="1"/>
    <col min="15112" max="15112" width="30.28515625" style="175" bestFit="1" customWidth="1"/>
    <col min="15113" max="15359" width="9.140625" style="175"/>
    <col min="15360" max="15360" width="5.5703125" style="175" customWidth="1"/>
    <col min="15361" max="15361" width="15.85546875" style="175" customWidth="1"/>
    <col min="15362" max="15362" width="27.85546875" style="175" customWidth="1"/>
    <col min="15363" max="15363" width="11.85546875" style="175" customWidth="1"/>
    <col min="15364" max="15367" width="18" style="175" customWidth="1"/>
    <col min="15368" max="15368" width="30.28515625" style="175" bestFit="1" customWidth="1"/>
    <col min="15369" max="15615" width="9.140625" style="175"/>
    <col min="15616" max="15616" width="5.5703125" style="175" customWidth="1"/>
    <col min="15617" max="15617" width="15.85546875" style="175" customWidth="1"/>
    <col min="15618" max="15618" width="27.85546875" style="175" customWidth="1"/>
    <col min="15619" max="15619" width="11.85546875" style="175" customWidth="1"/>
    <col min="15620" max="15623" width="18" style="175" customWidth="1"/>
    <col min="15624" max="15624" width="30.28515625" style="175" bestFit="1" customWidth="1"/>
    <col min="15625" max="15871" width="9.140625" style="175"/>
    <col min="15872" max="15872" width="5.5703125" style="175" customWidth="1"/>
    <col min="15873" max="15873" width="15.85546875" style="175" customWidth="1"/>
    <col min="15874" max="15874" width="27.85546875" style="175" customWidth="1"/>
    <col min="15875" max="15875" width="11.85546875" style="175" customWidth="1"/>
    <col min="15876" max="15879" width="18" style="175" customWidth="1"/>
    <col min="15880" max="15880" width="30.28515625" style="175" bestFit="1" customWidth="1"/>
    <col min="15881" max="16127" width="9.140625" style="175"/>
    <col min="16128" max="16128" width="5.5703125" style="175" customWidth="1"/>
    <col min="16129" max="16129" width="15.85546875" style="175" customWidth="1"/>
    <col min="16130" max="16130" width="27.85546875" style="175" customWidth="1"/>
    <col min="16131" max="16131" width="11.85546875" style="175" customWidth="1"/>
    <col min="16132" max="16135" width="18" style="175" customWidth="1"/>
    <col min="16136" max="16136" width="30.28515625" style="175" bestFit="1" customWidth="1"/>
    <col min="16137" max="16384" width="9.140625" style="175"/>
  </cols>
  <sheetData>
    <row r="1" spans="1:8" ht="13.5" thickBot="1">
      <c r="A1" s="174"/>
      <c r="B1" s="174"/>
      <c r="C1" s="174"/>
      <c r="D1" s="174"/>
      <c r="E1" s="174"/>
      <c r="F1" s="174"/>
      <c r="G1" s="174"/>
      <c r="H1" s="174"/>
    </row>
    <row r="2" spans="1:8" ht="34.5" customHeight="1">
      <c r="A2" s="194"/>
      <c r="B2" s="195" t="s">
        <v>15</v>
      </c>
      <c r="C2" s="195" t="s">
        <v>16</v>
      </c>
      <c r="D2" s="195" t="s">
        <v>37</v>
      </c>
      <c r="E2" s="196" t="s">
        <v>17</v>
      </c>
      <c r="F2" s="195" t="s">
        <v>18</v>
      </c>
      <c r="G2" s="197" t="s">
        <v>19</v>
      </c>
      <c r="H2" s="174"/>
    </row>
    <row r="3" spans="1:8">
      <c r="A3" s="176" t="s">
        <v>34</v>
      </c>
      <c r="B3" s="185" t="s">
        <v>69</v>
      </c>
      <c r="C3" s="177"/>
      <c r="D3" s="178"/>
      <c r="E3" s="189"/>
      <c r="F3" s="178"/>
      <c r="G3" s="191"/>
      <c r="H3" s="174"/>
    </row>
    <row r="4" spans="1:8">
      <c r="A4" s="184"/>
      <c r="B4" s="185" t="str">
        <f>"MUA HANG " &amp; 'Cong No- Invoice'!L6</f>
        <v xml:space="preserve">MUA HANG </v>
      </c>
      <c r="C4" s="186">
        <f>'Cong No- Invoice'!H7</f>
        <v>0</v>
      </c>
      <c r="D4" s="187"/>
      <c r="E4" s="190"/>
      <c r="F4" s="186">
        <f>'Cong No- Invoice'!J7</f>
        <v>0</v>
      </c>
      <c r="G4" s="192"/>
      <c r="H4" s="174"/>
    </row>
    <row r="5" spans="1:8">
      <c r="A5" s="184"/>
      <c r="B5" s="185" t="s">
        <v>29</v>
      </c>
      <c r="C5" s="188"/>
      <c r="D5" s="187"/>
      <c r="E5" s="190"/>
      <c r="F5" s="186"/>
      <c r="G5" s="192"/>
      <c r="H5" s="174"/>
    </row>
    <row r="6" spans="1:8">
      <c r="A6" s="184"/>
      <c r="B6" s="185"/>
      <c r="C6" s="188"/>
      <c r="D6" s="187"/>
      <c r="E6" s="190"/>
      <c r="F6" s="186"/>
      <c r="G6" s="192"/>
      <c r="H6" s="174"/>
    </row>
    <row r="7" spans="1:8">
      <c r="A7" s="184"/>
      <c r="B7" s="185" t="s">
        <v>36</v>
      </c>
      <c r="C7" s="188"/>
      <c r="D7" s="187"/>
      <c r="E7" s="190"/>
      <c r="F7" s="186"/>
      <c r="G7" s="192"/>
      <c r="H7" s="174"/>
    </row>
    <row r="8" spans="1:8">
      <c r="A8" s="184"/>
      <c r="B8" s="185"/>
      <c r="C8" s="188"/>
      <c r="D8" s="187"/>
      <c r="E8" s="190"/>
      <c r="F8" s="186"/>
      <c r="G8" s="192"/>
      <c r="H8" s="174"/>
    </row>
    <row r="9" spans="1:8">
      <c r="A9" s="184"/>
      <c r="B9" s="185"/>
      <c r="C9" s="188"/>
      <c r="D9" s="187"/>
      <c r="E9" s="190"/>
      <c r="F9" s="186"/>
      <c r="G9" s="192"/>
      <c r="H9" s="174"/>
    </row>
    <row r="10" spans="1:8">
      <c r="A10" s="184"/>
      <c r="B10" s="185"/>
      <c r="C10" s="188"/>
      <c r="D10" s="187"/>
      <c r="E10" s="190"/>
      <c r="F10" s="186"/>
      <c r="G10" s="192"/>
      <c r="H10" s="174"/>
    </row>
    <row r="11" spans="1:8">
      <c r="A11" s="184"/>
      <c r="B11" s="185"/>
      <c r="C11" s="186"/>
      <c r="D11" s="187"/>
      <c r="E11" s="190"/>
      <c r="F11" s="188"/>
      <c r="G11" s="193"/>
      <c r="H11" s="174"/>
    </row>
    <row r="12" spans="1:8" ht="28.5" customHeight="1" thickBot="1">
      <c r="A12" s="287" t="s">
        <v>20</v>
      </c>
      <c r="B12" s="288"/>
      <c r="C12" s="238">
        <f>SUM(C3:C11)</f>
        <v>0</v>
      </c>
      <c r="D12" s="238">
        <f>SUM(D3:D11)</f>
        <v>0</v>
      </c>
      <c r="E12" s="239">
        <f>D12+C12</f>
        <v>0</v>
      </c>
      <c r="F12" s="238">
        <f>SUM(F3:F11)</f>
        <v>0</v>
      </c>
      <c r="G12" s="240">
        <f>E12-F12</f>
        <v>0</v>
      </c>
      <c r="H12" s="179"/>
    </row>
    <row r="13" spans="1:8">
      <c r="A13" s="174"/>
      <c r="B13" s="174"/>
      <c r="C13" s="174"/>
      <c r="D13" s="174"/>
      <c r="E13" s="174"/>
      <c r="F13" s="174"/>
      <c r="G13" s="180"/>
      <c r="H13" s="180"/>
    </row>
    <row r="14" spans="1:8">
      <c r="A14" s="174"/>
      <c r="B14" s="174"/>
      <c r="C14" s="174"/>
      <c r="D14" s="174"/>
      <c r="E14" s="180"/>
      <c r="F14" s="174"/>
      <c r="G14" s="181"/>
      <c r="H14" s="174"/>
    </row>
    <row r="15" spans="1:8">
      <c r="A15" s="174"/>
      <c r="B15" s="174"/>
      <c r="C15" s="174"/>
      <c r="D15" s="174"/>
      <c r="E15" s="180"/>
      <c r="F15" s="179"/>
      <c r="H15" s="174"/>
    </row>
    <row r="16" spans="1:8">
      <c r="E16" s="180"/>
      <c r="G16" s="181"/>
    </row>
    <row r="17" spans="2:7">
      <c r="E17" s="182"/>
      <c r="G17" s="181"/>
    </row>
    <row r="18" spans="2:7">
      <c r="B18" s="175" t="s">
        <v>23</v>
      </c>
    </row>
    <row r="19" spans="2:7">
      <c r="G19" s="181"/>
    </row>
    <row r="28" spans="2:7">
      <c r="D28" s="183"/>
    </row>
  </sheetData>
  <mergeCells count="1">
    <mergeCell ref="A12:B12"/>
  </mergeCells>
  <pageMargins left="0.2" right="0.2" top="0.75" bottom="0.75" header="0.3" footer="0.3"/>
  <pageSetup scale="97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Cong No- Invoice</vt:lpstr>
      <vt:lpstr>Detail-PT EURO</vt:lpstr>
      <vt:lpstr>DETAIL-EURO</vt:lpstr>
      <vt:lpstr>Total </vt:lpstr>
      <vt:lpstr>'Cong No- Invoice'!Print_Area</vt:lpstr>
      <vt:lpstr>'DETAIL-EURO'!Print_Area</vt:lpstr>
      <vt:lpstr>'Total '!Print_Area</vt:lpstr>
      <vt:lpstr>Table1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</dc:creator>
  <cp:lastModifiedBy>Quang</cp:lastModifiedBy>
  <cp:lastPrinted>2015-01-06T10:43:14Z</cp:lastPrinted>
  <dcterms:created xsi:type="dcterms:W3CDTF">2013-02-19T09:17:01Z</dcterms:created>
  <dcterms:modified xsi:type="dcterms:W3CDTF">2016-12-12T02:55:39Z</dcterms:modified>
</cp:coreProperties>
</file>