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18450" windowHeight="6825"/>
  </bookViews>
  <sheets>
    <sheet name="PICKINGLIST" sheetId="2" r:id="rId1"/>
    <sheet name="CMR" sheetId="1" state="hidden" r:id="rId2"/>
  </sheets>
  <definedNames>
    <definedName name="_xlnm.Print_Titles" localSheetId="0">PICKINGLIST!$1:$7</definedName>
  </definedNames>
  <calcPr calcId="152511"/>
</workbook>
</file>

<file path=xl/calcChain.xml><?xml version="1.0" encoding="utf-8"?>
<calcChain xmlns="http://schemas.openxmlformats.org/spreadsheetml/2006/main">
  <c r="L7" i="2" l="1"/>
  <c r="K7" i="2"/>
  <c r="H7" i="2"/>
  <c r="E3" i="1" l="1"/>
  <c r="B89" i="1" l="1"/>
  <c r="A11" i="1"/>
  <c r="A10" i="1"/>
  <c r="A19" i="1" l="1"/>
  <c r="A18" i="1"/>
</calcChain>
</file>

<file path=xl/sharedStrings.xml><?xml version="1.0" encoding="utf-8"?>
<sst xmlns="http://schemas.openxmlformats.org/spreadsheetml/2006/main" count="62" uniqueCount="62">
  <si>
    <t>1 Afzender</t>
  </si>
  <si>
    <t>CMR vrachtbrief printen voor Excel</t>
  </si>
  <si>
    <t>2 Geadresseerde</t>
  </si>
  <si>
    <t>16 Vervoerder</t>
  </si>
  <si>
    <t>3 Afleveringsadres</t>
  </si>
  <si>
    <t>17 Opvolgend Vervoerder</t>
  </si>
  <si>
    <t>4 Plaats en Datum Inontvangstneming</t>
  </si>
  <si>
    <t>18 Vorbehalt und Bemerkungen des Fahrers</t>
  </si>
  <si>
    <t>5 Bijgevoegde Documenten</t>
  </si>
  <si>
    <t>10 Statistisch nr</t>
  </si>
  <si>
    <t>11 Bruto Gewicht</t>
  </si>
  <si>
    <t>12 Volume m3</t>
  </si>
  <si>
    <t>19 Speciale</t>
  </si>
  <si>
    <t>Afzender</t>
  </si>
  <si>
    <t>Overeenkomst</t>
  </si>
  <si>
    <t>Vrachtprijs</t>
  </si>
  <si>
    <t>Kortingen</t>
  </si>
  <si>
    <t>Saldo</t>
  </si>
  <si>
    <t>Bijeenkomsten</t>
  </si>
  <si>
    <t>Totaal:</t>
  </si>
  <si>
    <t>14 Frankeringsvoorschriften</t>
  </si>
  <si>
    <t>15 Remboursement</t>
  </si>
  <si>
    <t>20 Besondere afspraken</t>
  </si>
  <si>
    <t>21 Plaats en Datum opmaken Vrachtbrief</t>
  </si>
  <si>
    <t>24 Goed Ontvangen / Plaats</t>
  </si>
  <si>
    <t>Beelaerts van Bloklandstraat 14</t>
  </si>
  <si>
    <t>EUROFAR INTERNATIONAL B.V.</t>
  </si>
  <si>
    <t>5042 PM Tilburg, The Netherlands</t>
  </si>
  <si>
    <t>Barcode</t>
  </si>
  <si>
    <t>Picture</t>
  </si>
  <si>
    <t>No.</t>
  </si>
  <si>
    <t xml:space="preserve">Article code </t>
  </si>
  <si>
    <t>Description</t>
  </si>
  <si>
    <t>PI-No.</t>
  </si>
  <si>
    <t>Packaging</t>
  </si>
  <si>
    <t>Colli</t>
  </si>
  <si>
    <t>Planning cont</t>
  </si>
  <si>
    <t>Status</t>
  </si>
  <si>
    <t>Remarks / Reason</t>
  </si>
  <si>
    <t>No. Euro pallet</t>
  </si>
  <si>
    <t>Unit</t>
  </si>
  <si>
    <t>Planning Qnt</t>
  </si>
  <si>
    <t>Picking No.</t>
  </si>
  <si>
    <t>PICKINGLIST</t>
  </si>
  <si>
    <t>Planning Date:</t>
  </si>
  <si>
    <t>Picking Date:</t>
  </si>
  <si>
    <t>Picking By:</t>
  </si>
  <si>
    <r>
      <t xml:space="preserve">13 Opmerkingen </t>
    </r>
    <r>
      <rPr>
        <sz val="9"/>
        <color rgb="FFFF0000"/>
        <rFont val="Geneva"/>
        <charset val="163"/>
      </rPr>
      <t/>
    </r>
  </si>
  <si>
    <t>Geldsoort</t>
  </si>
  <si>
    <t>Ontvanger</t>
  </si>
  <si>
    <t>7 Aantal</t>
  </si>
  <si>
    <t xml:space="preserve">6 Omschrijving </t>
  </si>
  <si>
    <t>8 Verpakking</t>
  </si>
  <si>
    <t xml:space="preserve">9 Soort </t>
  </si>
  <si>
    <t>Planning By :</t>
  </si>
  <si>
    <t>Status of picking:</t>
  </si>
  <si>
    <t>Loc</t>
  </si>
  <si>
    <t>TOTAL</t>
  </si>
  <si>
    <t>Client:</t>
  </si>
  <si>
    <t>No. of Euro Pallet :</t>
  </si>
  <si>
    <t>Invoice Pallet to client:</t>
  </si>
  <si>
    <t>Picked /
Loaded Qnt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</si>
</sst>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scheme val="minor"/>
    </font>
    <font>
      <sz val="10"/>
      <name val="Geneva"/>
      <family val="2"/>
    </font>
    <font>
      <sz val="9"/>
      <name val="Geneva"/>
      <family val="2"/>
    </font>
    <font>
      <u/>
      <sz val="10"/>
      <color theme="10"/>
      <name val="Geneva"/>
      <family val="2"/>
    </font>
    <font>
      <sz val="12"/>
      <color rgb="FF1F497D"/>
      <name val="Calibri"/>
      <family val="2"/>
      <scheme val="minor"/>
    </font>
    <font>
      <sz val="9"/>
      <color rgb="FFFF0000"/>
      <name val="Geneva"/>
      <family val="2"/>
    </font>
    <font>
      <sz val="9"/>
      <color rgb="FFFF0000"/>
      <name val="Geneva"/>
      <charset val="163"/>
    </font>
    <font>
      <b/>
      <sz val="27"/>
      <name val="Adobe Fan Heiti Std B"/>
      <family val="2"/>
      <charset val="128"/>
    </font>
    <font>
      <b/>
      <sz val="24"/>
      <color rgb="FFFF0000"/>
      <name val="Calibri"/>
      <family val="2"/>
      <charset val="163"/>
      <scheme val="minor"/>
    </font>
    <font>
      <sz val="12"/>
      <color theme="1"/>
      <name val="Calibri"/>
      <family val="2"/>
      <charset val="163"/>
      <scheme val="minor"/>
    </font>
    <font>
      <sz val="12"/>
      <color theme="0"/>
      <name val="Calibri"/>
      <family val="2"/>
      <charset val="163"/>
      <scheme val="minor"/>
    </font>
    <font>
      <b/>
      <sz val="12"/>
      <color theme="1"/>
      <name val="Calibri"/>
      <family val="2"/>
      <charset val="163"/>
      <scheme val="minor"/>
    </font>
    <font>
      <b/>
      <sz val="15"/>
      <color theme="1"/>
      <name val="Calibri"/>
      <family val="2"/>
      <charset val="163"/>
      <scheme val="minor"/>
    </font>
    <font>
      <sz val="15"/>
      <color theme="1"/>
      <name val="Calibri"/>
      <family val="2"/>
      <charset val="163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31"/>
      </patternFill>
    </fill>
    <fill>
      <patternFill patternType="solid">
        <fgColor rgb="FFC0C0C0"/>
        <bgColor indexed="64"/>
      </patternFill>
    </fill>
  </fills>
  <borders count="58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/>
      <bottom style="hair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8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/>
      <right style="medium">
        <color indexed="64"/>
      </right>
      <top/>
      <bottom style="hair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medium">
        <color indexed="64"/>
      </right>
      <top/>
      <bottom style="hair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8"/>
      </top>
      <bottom style="hair">
        <color indexed="64"/>
      </bottom>
      <diagonal/>
    </border>
    <border>
      <left/>
      <right/>
      <top style="thin">
        <color indexed="8"/>
      </top>
      <bottom style="hair">
        <color indexed="64"/>
      </bottom>
      <diagonal/>
    </border>
    <border>
      <left/>
      <right style="medium">
        <color indexed="64"/>
      </right>
      <top style="thin">
        <color indexed="8"/>
      </top>
      <bottom style="hair">
        <color indexed="64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medium">
        <color indexed="8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8"/>
      </left>
      <right/>
      <top style="medium">
        <color indexed="64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21">
    <xf numFmtId="0" fontId="0" fillId="0" borderId="0" xfId="0"/>
    <xf numFmtId="0" fontId="2" fillId="2" borderId="1" xfId="2" applyFont="1" applyFill="1" applyBorder="1"/>
    <xf numFmtId="0" fontId="2" fillId="0" borderId="2" xfId="2" applyFont="1" applyBorder="1" applyProtection="1">
      <protection locked="0"/>
    </xf>
    <xf numFmtId="0" fontId="2" fillId="0" borderId="3" xfId="2" applyFont="1" applyBorder="1" applyProtection="1"/>
    <xf numFmtId="0" fontId="2" fillId="2" borderId="4" xfId="2" applyFont="1" applyFill="1" applyBorder="1"/>
    <xf numFmtId="0" fontId="2" fillId="2" borderId="5" xfId="2" applyFont="1" applyFill="1" applyBorder="1"/>
    <xf numFmtId="0" fontId="2" fillId="2" borderId="6" xfId="2" applyFont="1" applyFill="1" applyBorder="1"/>
    <xf numFmtId="0" fontId="2" fillId="0" borderId="7" xfId="2" applyFont="1" applyBorder="1" applyProtection="1"/>
    <xf numFmtId="0" fontId="2" fillId="0" borderId="3" xfId="2" applyFont="1" applyBorder="1" applyProtection="1">
      <protection locked="0"/>
    </xf>
    <xf numFmtId="0" fontId="2" fillId="0" borderId="8" xfId="2" applyFont="1" applyBorder="1" applyProtection="1">
      <protection locked="0"/>
    </xf>
    <xf numFmtId="0" fontId="2" fillId="0" borderId="0" xfId="2" applyFont="1" applyBorder="1" applyProtection="1"/>
    <xf numFmtId="0" fontId="2" fillId="2" borderId="9" xfId="2" applyFont="1" applyFill="1" applyBorder="1"/>
    <xf numFmtId="0" fontId="2" fillId="2" borderId="10" xfId="2" applyFont="1" applyFill="1" applyBorder="1"/>
    <xf numFmtId="0" fontId="2" fillId="0" borderId="11" xfId="2" applyFont="1" applyBorder="1" applyProtection="1"/>
    <xf numFmtId="0" fontId="2" fillId="0" borderId="12" xfId="2" applyFont="1" applyBorder="1" applyProtection="1"/>
    <xf numFmtId="0" fontId="2" fillId="0" borderId="12" xfId="2" applyFont="1" applyBorder="1" applyProtection="1">
      <protection locked="0"/>
    </xf>
    <xf numFmtId="0" fontId="2" fillId="2" borderId="8" xfId="2" applyFont="1" applyFill="1" applyBorder="1"/>
    <xf numFmtId="0" fontId="2" fillId="2" borderId="0" xfId="2" applyFont="1" applyFill="1" applyBorder="1"/>
    <xf numFmtId="0" fontId="2" fillId="0" borderId="13" xfId="2" applyFont="1" applyBorder="1" applyProtection="1">
      <protection locked="0"/>
    </xf>
    <xf numFmtId="0" fontId="3" fillId="2" borderId="4" xfId="1" applyFill="1" applyBorder="1" applyAlignment="1" applyProtection="1"/>
    <xf numFmtId="0" fontId="2" fillId="0" borderId="0" xfId="2" applyFont="1" applyFill="1" applyBorder="1" applyProtection="1">
      <protection locked="0"/>
    </xf>
    <xf numFmtId="0" fontId="2" fillId="0" borderId="0" xfId="2" applyFont="1" applyFill="1" applyBorder="1" applyProtection="1"/>
    <xf numFmtId="0" fontId="1" fillId="2" borderId="14" xfId="2" applyFill="1" applyBorder="1"/>
    <xf numFmtId="0" fontId="2" fillId="2" borderId="15" xfId="2" applyFont="1" applyFill="1" applyBorder="1"/>
    <xf numFmtId="0" fontId="2" fillId="2" borderId="16" xfId="2" applyFont="1" applyFill="1" applyBorder="1"/>
    <xf numFmtId="0" fontId="2" fillId="2" borderId="17" xfId="2" applyFont="1" applyFill="1" applyBorder="1"/>
    <xf numFmtId="0" fontId="2" fillId="0" borderId="18" xfId="2" applyFont="1" applyBorder="1" applyProtection="1">
      <protection locked="0"/>
    </xf>
    <xf numFmtId="0" fontId="2" fillId="2" borderId="19" xfId="2" applyFont="1" applyFill="1" applyBorder="1"/>
    <xf numFmtId="0" fontId="1" fillId="2" borderId="20" xfId="2" applyFill="1" applyBorder="1" applyAlignment="1">
      <alignment wrapText="1"/>
    </xf>
    <xf numFmtId="0" fontId="2" fillId="2" borderId="21" xfId="2" applyFont="1" applyFill="1" applyBorder="1"/>
    <xf numFmtId="0" fontId="2" fillId="0" borderId="22" xfId="2" applyFont="1" applyBorder="1" applyProtection="1"/>
    <xf numFmtId="0" fontId="2" fillId="2" borderId="20" xfId="2" applyFont="1" applyFill="1" applyBorder="1"/>
    <xf numFmtId="0" fontId="2" fillId="2" borderId="23" xfId="2" applyFont="1" applyFill="1" applyBorder="1"/>
    <xf numFmtId="0" fontId="2" fillId="0" borderId="24" xfId="2" applyFont="1" applyBorder="1" applyProtection="1">
      <protection locked="0"/>
    </xf>
    <xf numFmtId="0" fontId="2" fillId="0" borderId="22" xfId="2" applyFont="1" applyBorder="1" applyProtection="1">
      <protection locked="0"/>
    </xf>
    <xf numFmtId="0" fontId="2" fillId="0" borderId="25" xfId="2" applyFont="1" applyBorder="1" applyProtection="1">
      <protection locked="0"/>
    </xf>
    <xf numFmtId="0" fontId="2" fillId="0" borderId="0" xfId="2" applyFont="1" applyFill="1" applyBorder="1"/>
    <xf numFmtId="0" fontId="1" fillId="0" borderId="26" xfId="2" applyBorder="1" applyProtection="1">
      <protection locked="0"/>
    </xf>
    <xf numFmtId="0" fontId="1" fillId="0" borderId="27" xfId="2" applyBorder="1" applyProtection="1"/>
    <xf numFmtId="0" fontId="2" fillId="0" borderId="27" xfId="2" applyFont="1" applyBorder="1" applyProtection="1"/>
    <xf numFmtId="0" fontId="2" fillId="0" borderId="30" xfId="2" applyFont="1" applyBorder="1" applyProtection="1"/>
    <xf numFmtId="0" fontId="1" fillId="0" borderId="0" xfId="2" applyFill="1" applyBorder="1" applyProtection="1">
      <protection locked="0"/>
    </xf>
    <xf numFmtId="0" fontId="2" fillId="0" borderId="0" xfId="2" applyFont="1" applyFill="1" applyBorder="1" applyAlignment="1">
      <alignment horizontal="left"/>
    </xf>
    <xf numFmtId="0" fontId="0" fillId="0" borderId="0" xfId="0" applyFill="1"/>
    <xf numFmtId="0" fontId="5" fillId="0" borderId="3" xfId="2" applyFont="1" applyBorder="1" applyProtection="1">
      <protection locked="0"/>
    </xf>
    <xf numFmtId="0" fontId="6" fillId="0" borderId="22" xfId="2" applyFont="1" applyBorder="1" applyProtection="1">
      <protection locked="0"/>
    </xf>
    <xf numFmtId="0" fontId="2" fillId="0" borderId="3" xfId="2" applyFont="1" applyBorder="1" applyAlignment="1" applyProtection="1">
      <alignment horizontal="left"/>
    </xf>
    <xf numFmtId="0" fontId="0" fillId="3" borderId="31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 wrapText="1"/>
    </xf>
    <xf numFmtId="49" fontId="0" fillId="0" borderId="33" xfId="0" applyNumberFormat="1" applyBorder="1" applyAlignment="1">
      <alignment horizontal="left" vertical="center"/>
    </xf>
    <xf numFmtId="49" fontId="0" fillId="0" borderId="32" xfId="0" applyNumberFormat="1" applyBorder="1" applyAlignment="1">
      <alignment horizontal="left" vertical="center"/>
    </xf>
    <xf numFmtId="49" fontId="0" fillId="0" borderId="32" xfId="0" applyNumberFormat="1" applyBorder="1" applyAlignment="1">
      <alignment horizontal="left" vertical="center" wrapText="1"/>
    </xf>
    <xf numFmtId="49" fontId="0" fillId="0" borderId="32" xfId="0" applyNumberFormat="1" applyBorder="1" applyAlignment="1">
      <alignment horizontal="right" vertical="center"/>
    </xf>
    <xf numFmtId="0" fontId="0" fillId="0" borderId="32" xfId="0" applyBorder="1" applyAlignment="1">
      <alignment horizontal="right" vertical="center"/>
    </xf>
    <xf numFmtId="4" fontId="0" fillId="0" borderId="32" xfId="0" applyNumberFormat="1" applyBorder="1" applyAlignment="1">
      <alignment horizontal="right" vertical="center"/>
    </xf>
    <xf numFmtId="49" fontId="0" fillId="0" borderId="34" xfId="0" applyNumberFormat="1" applyBorder="1" applyAlignment="1">
      <alignment horizontal="left" vertical="center"/>
    </xf>
    <xf numFmtId="0" fontId="2" fillId="0" borderId="0" xfId="2" applyFont="1" applyBorder="1" applyProtection="1">
      <protection locked="0"/>
    </xf>
    <xf numFmtId="0" fontId="2" fillId="2" borderId="14" xfId="2" applyFont="1" applyFill="1" applyBorder="1"/>
    <xf numFmtId="0" fontId="2" fillId="2" borderId="35" xfId="2" applyFont="1" applyFill="1" applyBorder="1"/>
    <xf numFmtId="0" fontId="2" fillId="0" borderId="26" xfId="2" applyFont="1" applyBorder="1" applyProtection="1">
      <protection locked="0"/>
    </xf>
    <xf numFmtId="0" fontId="2" fillId="0" borderId="18" xfId="2" applyFont="1" applyBorder="1" applyAlignment="1" applyProtection="1">
      <alignment horizontal="left"/>
    </xf>
    <xf numFmtId="0" fontId="1" fillId="0" borderId="30" xfId="2" applyBorder="1" applyProtection="1"/>
    <xf numFmtId="0" fontId="2" fillId="3" borderId="23" xfId="2" applyFont="1" applyFill="1" applyBorder="1" applyProtection="1">
      <protection locked="0"/>
    </xf>
    <xf numFmtId="0" fontId="2" fillId="3" borderId="36" xfId="2" applyFont="1" applyFill="1" applyBorder="1" applyProtection="1">
      <protection locked="0"/>
    </xf>
    <xf numFmtId="0" fontId="2" fillId="3" borderId="37" xfId="2" applyFont="1" applyFill="1" applyBorder="1" applyAlignment="1" applyProtection="1">
      <alignment horizontal="left"/>
      <protection locked="0"/>
    </xf>
    <xf numFmtId="0" fontId="2" fillId="3" borderId="38" xfId="2" applyFont="1" applyFill="1" applyBorder="1" applyAlignment="1" applyProtection="1">
      <alignment horizontal="left"/>
      <protection locked="0"/>
    </xf>
    <xf numFmtId="0" fontId="2" fillId="0" borderId="24" xfId="2" applyFont="1" applyFill="1" applyBorder="1"/>
    <xf numFmtId="0" fontId="2" fillId="0" borderId="19" xfId="2" applyFont="1" applyFill="1" applyBorder="1"/>
    <xf numFmtId="0" fontId="2" fillId="0" borderId="39" xfId="2" applyFont="1" applyFill="1" applyBorder="1"/>
    <xf numFmtId="0" fontId="2" fillId="0" borderId="40" xfId="2" applyFont="1" applyFill="1" applyBorder="1"/>
    <xf numFmtId="0" fontId="2" fillId="0" borderId="41" xfId="2" applyFont="1" applyFill="1" applyBorder="1"/>
    <xf numFmtId="0" fontId="2" fillId="2" borderId="42" xfId="2" applyFont="1" applyFill="1" applyBorder="1"/>
    <xf numFmtId="0" fontId="4" fillId="0" borderId="24" xfId="0" applyFont="1" applyBorder="1" applyAlignment="1">
      <alignment vertical="center"/>
    </xf>
    <xf numFmtId="0" fontId="2" fillId="0" borderId="29" xfId="2" applyFont="1" applyBorder="1" applyProtection="1"/>
    <xf numFmtId="0" fontId="2" fillId="0" borderId="28" xfId="2" applyFont="1" applyBorder="1" applyProtection="1">
      <protection locked="0"/>
    </xf>
    <xf numFmtId="0" fontId="2" fillId="0" borderId="43" xfId="2" applyFont="1" applyBorder="1" applyProtection="1">
      <protection locked="0"/>
    </xf>
    <xf numFmtId="0" fontId="2" fillId="0" borderId="44" xfId="2" applyFont="1" applyFill="1" applyBorder="1"/>
    <xf numFmtId="0" fontId="2" fillId="0" borderId="45" xfId="2" applyFont="1" applyFill="1" applyBorder="1"/>
    <xf numFmtId="0" fontId="2" fillId="0" borderId="46" xfId="2" applyFont="1" applyFill="1" applyBorder="1"/>
    <xf numFmtId="0" fontId="2" fillId="0" borderId="47" xfId="2" applyFont="1" applyFill="1" applyBorder="1"/>
    <xf numFmtId="0" fontId="2" fillId="0" borderId="48" xfId="2" applyFont="1" applyFill="1" applyBorder="1"/>
    <xf numFmtId="0" fontId="2" fillId="0" borderId="49" xfId="2" applyFont="1" applyFill="1" applyBorder="1"/>
    <xf numFmtId="0" fontId="4" fillId="0" borderId="44" xfId="0" applyFont="1" applyBorder="1" applyAlignment="1">
      <alignment vertical="center"/>
    </xf>
    <xf numFmtId="49" fontId="2" fillId="0" borderId="18" xfId="2" applyNumberFormat="1" applyFont="1" applyBorder="1" applyProtection="1">
      <protection locked="0"/>
    </xf>
    <xf numFmtId="0" fontId="2" fillId="5" borderId="24" xfId="2" applyFont="1" applyFill="1" applyBorder="1"/>
    <xf numFmtId="0" fontId="2" fillId="4" borderId="0" xfId="2" applyFont="1" applyFill="1" applyBorder="1"/>
    <xf numFmtId="0" fontId="2" fillId="2" borderId="50" xfId="2" applyFont="1" applyFill="1" applyBorder="1"/>
    <xf numFmtId="0" fontId="2" fillId="2" borderId="51" xfId="2" applyFont="1" applyFill="1" applyBorder="1"/>
    <xf numFmtId="0" fontId="2" fillId="2" borderId="52" xfId="2" applyFont="1" applyFill="1" applyBorder="1"/>
    <xf numFmtId="0" fontId="2" fillId="0" borderId="53" xfId="2" applyFont="1" applyBorder="1" applyProtection="1">
      <protection locked="0"/>
    </xf>
    <xf numFmtId="0" fontId="2" fillId="0" borderId="54" xfId="2" applyFont="1" applyBorder="1" applyProtection="1">
      <protection locked="0"/>
    </xf>
    <xf numFmtId="0" fontId="2" fillId="0" borderId="18" xfId="2" applyFont="1" applyBorder="1" applyAlignment="1" applyProtection="1">
      <alignment horizontal="left" vertical="center"/>
      <protection locked="0"/>
    </xf>
    <xf numFmtId="0" fontId="2" fillId="0" borderId="3" xfId="2" applyFont="1" applyBorder="1" applyAlignment="1" applyProtection="1">
      <alignment horizontal="left" vertical="center"/>
      <protection locked="0"/>
    </xf>
    <xf numFmtId="0" fontId="2" fillId="0" borderId="12" xfId="2" applyFont="1" applyBorder="1" applyAlignment="1" applyProtection="1">
      <alignment horizontal="left" vertical="center"/>
      <protection locked="0"/>
    </xf>
    <xf numFmtId="0" fontId="2" fillId="0" borderId="18" xfId="2" applyNumberFormat="1" applyFont="1" applyBorder="1" applyProtection="1">
      <protection locked="0"/>
    </xf>
    <xf numFmtId="0" fontId="4" fillId="0" borderId="47" xfId="0" applyFont="1" applyBorder="1" applyAlignment="1">
      <alignment vertical="center"/>
    </xf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Fill="1"/>
    <xf numFmtId="0" fontId="9" fillId="0" borderId="0" xfId="0" applyFont="1" applyAlignment="1">
      <alignment horizontal="left"/>
    </xf>
    <xf numFmtId="49" fontId="10" fillId="0" borderId="0" xfId="0" applyNumberFormat="1" applyFont="1" applyFill="1"/>
    <xf numFmtId="49" fontId="9" fillId="0" borderId="0" xfId="0" applyNumberFormat="1" applyFont="1" applyFill="1" applyAlignment="1">
      <alignment horizontal="left" vertical="center"/>
    </xf>
    <xf numFmtId="0" fontId="9" fillId="0" borderId="31" xfId="0" applyFont="1" applyBorder="1"/>
    <xf numFmtId="0" fontId="11" fillId="0" borderId="31" xfId="0" applyFont="1" applyBorder="1" applyAlignment="1">
      <alignment horizontal="right"/>
    </xf>
    <xf numFmtId="3" fontId="9" fillId="0" borderId="31" xfId="0" applyNumberFormat="1" applyFont="1" applyBorder="1"/>
    <xf numFmtId="4" fontId="9" fillId="0" borderId="31" xfId="0" applyNumberFormat="1" applyFont="1" applyBorder="1"/>
    <xf numFmtId="49" fontId="12" fillId="0" borderId="0" xfId="0" applyNumberFormat="1" applyFont="1"/>
    <xf numFmtId="49" fontId="13" fillId="0" borderId="0" xfId="0" applyNumberFormat="1" applyFont="1" applyAlignment="1">
      <alignment horizontal="left" vertical="center"/>
    </xf>
    <xf numFmtId="0" fontId="9" fillId="0" borderId="0" xfId="0" applyFont="1" applyFill="1" applyAlignment="1">
      <alignment horizontal="right"/>
    </xf>
    <xf numFmtId="0" fontId="8" fillId="0" borderId="0" xfId="0" applyFont="1" applyAlignment="1">
      <alignment horizontal="center" vertical="center"/>
    </xf>
    <xf numFmtId="0" fontId="2" fillId="0" borderId="18" xfId="2" applyFont="1" applyBorder="1" applyAlignment="1" applyProtection="1">
      <alignment horizontal="left" vertical="center"/>
      <protection locked="0"/>
    </xf>
    <xf numFmtId="0" fontId="2" fillId="0" borderId="3" xfId="2" applyFont="1" applyBorder="1" applyAlignment="1" applyProtection="1">
      <alignment horizontal="left" vertical="center"/>
      <protection locked="0"/>
    </xf>
    <xf numFmtId="0" fontId="2" fillId="0" borderId="12" xfId="2" applyFont="1" applyBorder="1" applyAlignment="1" applyProtection="1">
      <alignment horizontal="left" vertical="center"/>
      <protection locked="0"/>
    </xf>
    <xf numFmtId="0" fontId="2" fillId="0" borderId="55" xfId="2" applyFont="1" applyBorder="1" applyAlignment="1" applyProtection="1">
      <alignment horizontal="left" vertical="center"/>
      <protection locked="0"/>
    </xf>
    <xf numFmtId="0" fontId="2" fillId="0" borderId="57" xfId="2" applyFont="1" applyBorder="1" applyAlignment="1" applyProtection="1">
      <alignment horizontal="left" vertical="center"/>
      <protection locked="0"/>
    </xf>
    <xf numFmtId="0" fontId="2" fillId="0" borderId="56" xfId="2" applyFont="1" applyBorder="1" applyAlignment="1" applyProtection="1">
      <alignment horizontal="left" vertical="center"/>
      <protection locked="0"/>
    </xf>
    <xf numFmtId="0" fontId="7" fillId="2" borderId="4" xfId="2" applyNumberFormat="1" applyFont="1" applyFill="1" applyBorder="1" applyAlignment="1">
      <alignment horizontal="center" vertical="center"/>
    </xf>
    <xf numFmtId="0" fontId="7" fillId="2" borderId="0" xfId="2" applyNumberFormat="1" applyFont="1" applyFill="1" applyBorder="1" applyAlignment="1">
      <alignment horizontal="center" vertical="center"/>
    </xf>
    <xf numFmtId="0" fontId="7" fillId="2" borderId="19" xfId="2" applyNumberFormat="1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Standaard 2" xfId="2"/>
  </cellStyles>
  <dxfs count="32"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left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WarehousePickingListMng_PickingList_ReportView">
              <xs:complexType>
                <xs:sequence>
                  <xs:element name="WarehousePickingListID" type="xs:int"/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583"/>
                      </xs:restriction>
                    </xs:simpleType>
                  </xs:element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N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EuroPalletQnt" type="xs:int" minOccurs="0"/>
                  <xs:element name="IsInvoicePalletToClient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Planne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laningDat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laningTim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RealPickingDat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icke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ickingStatus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WarehousePickingListMng_PickingListProductDetail_ReportView" minOccurs="0" maxOccurs="unbounded">
              <xs:complexType>
                <xs:sequence>
                  <xs:element name="WarehousePickingListProductDetailID" type="xs:int"/>
                  <xs:element name="WarehousePickingListID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WarehouseArea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arcod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ImageF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owIndex" type="xs:int" minOccurs="0"/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Unit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Quantity" type="xs:int" minOccurs="0"/>
                  <xs:element name="Colli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laningQuantity" type="xs:int" minOccurs="0"/>
                  <xs:element name="PlanningIn40HC" type="xs:decimal" minOccurs="0"/>
                  <xs:element name="ItemPickingStatus" minOccurs="0">
                    <xs:simpleType>
                      <xs:restriction base="xs:string">
                        <xs:maxLength value="12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</xs:sequence>
        </xs:complexType>
        <xs:unique name="Constraint1" msdata:PrimaryKey="true">
          <xs:selector xpath=".//mstns:WarehousePickingListMng_PickingList_ReportView"/>
          <xs:field xpath="mstns:WarehousePickingListID"/>
        </xs:unique>
        <xs:unique name="WarehousePickingListMng_PickingListProductDetail_ReportView_Constraint1" msdata:ConstraintName="Constraint1" msdata:PrimaryKey="true">
          <xs:selector xpath=".//mstns:WarehousePickingListMng_PickingListProductDetail_ReportView"/>
          <xs:field xpath="mstns:WarehousePickingListProductDetailID"/>
        </xs:unique>
      </xs:element>
    </xs:schema>
  </Schema>
  <Map ID="2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0:N10" tableType="xml" headerRowCount="0" insertRow="1" totalsRowShown="0" headerRowDxfId="31" headerRowBorderDxfId="30" tableBorderDxfId="29" totalsRowBorderDxfId="28">
  <tableColumns count="14">
    <tableColumn id="1" uniqueName="ns1:WarehouseAreaUD" name="ns1:WarehouseAreaUD" headerRowDxfId="27" dataDxfId="26">
      <xmlColumnPr mapId="2" xpath="/ns1:ReportDataObject/ns1:WarehousePickingListMng_PickingListProductDetail_ReportView/ns1:WarehouseAreaUD" xmlDataType="string"/>
    </tableColumn>
    <tableColumn id="2" uniqueName="ns1:Barcode" name="ns1:Barcode" headerRowDxfId="25" dataDxfId="24">
      <xmlColumnPr mapId="2" xpath="/ns1:ReportDataObject/ns1:WarehousePickingListMng_PickingListProductDetail_ReportView/ns1:Barcode" xmlDataType="string"/>
    </tableColumn>
    <tableColumn id="3" uniqueName="ns1:ImageFile" name="ns1:ImageFile" headerRowDxfId="23" dataDxfId="22">
      <xmlColumnPr mapId="2" xpath="/ns1:ReportDataObject/ns1:WarehousePickingListMng_PickingListProductDetail_ReportView/ns1:ImageFile" xmlDataType="string"/>
    </tableColumn>
    <tableColumn id="4" uniqueName="ns1:RowIndex" name="ns1:RowIndex" headerRowDxfId="21" dataDxfId="20">
      <xmlColumnPr mapId="2" xpath="/ns1:ReportDataObject/ns1:WarehousePickingListMng_PickingListProductDetail_ReportView/ns1:RowIndex" xmlDataType="int"/>
    </tableColumn>
    <tableColumn id="5" uniqueName="ns1:ArticleCode" name="ns1:ArticleCode" headerRowDxfId="19" dataDxfId="18">
      <xmlColumnPr mapId="2" xpath="/ns1:ReportDataObject/ns1:WarehousePickingListMng_PickingListProductDetail_ReportView/ns1:ArticleCode" xmlDataType="string"/>
    </tableColumn>
    <tableColumn id="6" uniqueName="ns1:Description" name="ns1:Description" headerRowDxfId="17" dataDxfId="16">
      <xmlColumnPr mapId="2" xpath="/ns1:ReportDataObject/ns1:WarehousePickingListMng_PickingListProductDetail_ReportView/ns1:Description" xmlDataType="string"/>
    </tableColumn>
    <tableColumn id="7" uniqueName="ns1:Unit" name="ns1:Unit" headerRowDxfId="15" dataDxfId="14">
      <xmlColumnPr mapId="2" xpath="/ns1:ReportDataObject/ns1:WarehousePickingListMng_PickingListProductDetail_ReportView/ns1:Unit" xmlDataType="string"/>
    </tableColumn>
    <tableColumn id="8" uniqueName="ns1:Quantity" name="ns1:Quantity" headerRowDxfId="13" dataDxfId="12">
      <xmlColumnPr mapId="2" xpath="/ns1:ReportDataObject/ns1:WarehousePickingListMng_PickingListProductDetail_ReportView/ns1:Quantity" xmlDataType="int"/>
    </tableColumn>
    <tableColumn id="9" uniqueName="ns1:Colli" name="ns1:Colli" headerRowDxfId="11" dataDxfId="10">
      <xmlColumnPr mapId="2" xpath="/ns1:ReportDataObject/ns1:WarehousePickingListMng_PickingListProductDetail_ReportView/ns1:Colli" xmlDataType="string"/>
    </tableColumn>
    <tableColumn id="10" uniqueName="ns1:PackagingMethodNM" name="ns1:PackagingMethodNM" headerRowDxfId="9" dataDxfId="8">
      <xmlColumnPr mapId="2" xpath="/ns1:ReportDataObject/ns1:WarehousePickingListMng_PickingListProductDetail_ReportView/ns1:PackagingMethodNM" xmlDataType="string"/>
    </tableColumn>
    <tableColumn id="11" uniqueName="ns1:PlaningQuantity" name="ns1:PlaningQuantity" headerRowDxfId="7" dataDxfId="6">
      <xmlColumnPr mapId="2" xpath="/ns1:ReportDataObject/ns1:WarehousePickingListMng_PickingListProductDetail_ReportView/ns1:PlaningQuantity" xmlDataType="int"/>
    </tableColumn>
    <tableColumn id="12" uniqueName="ns1:PlanningIn40HC" name="ns1:PlanningIn40HC" headerRowDxfId="5" dataDxfId="4">
      <xmlColumnPr mapId="2" xpath="/ns1:ReportDataObject/ns1:WarehousePickingListMng_PickingListProductDetail_ReportView/ns1:PlanningIn40HC" xmlDataType="decimal"/>
    </tableColumn>
    <tableColumn id="13" uniqueName="ns1:ItemPickingStatus" name="ns1:ItemPickingStatus" headerRowDxfId="3" dataDxfId="2">
      <xmlColumnPr mapId="2" xpath="/ns1:ReportDataObject/ns1:WarehousePickingListMng_PickingListProductDetail_ReportView/ns1:ItemPickingStatus" xmlDataType="string"/>
    </tableColumn>
    <tableColumn id="14" uniqueName="ns1:Remark" name="ns1:Remark" headerRowDxfId="1" dataDxfId="0">
      <xmlColumnPr mapId="2" xpath="/ns1:ReportDataObject/ns1:WarehousePickingListMng_PickingListProductDetail_ReportView/ns1:Remark" xmlDataType="string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F1" connectionId="0">
    <xmlCellPr id="1" uniqueName="ns1:ClientNM">
      <xmlPr mapId="2" xpath="/ns1:ReportDataObject/ns1:WarehousePickingListMng_PickingList_ReportView/ns1:ClientNM" xmlDataType="string"/>
    </xmlCellPr>
  </singleXmlCell>
  <singleXmlCell id="3" r="F2" connectionId="0">
    <xmlCellPr id="1" uniqueName="ns1:Address">
      <xmlPr mapId="2" xpath="/ns1:ReportDataObject/ns1:WarehousePickingListMng_PickingList_ReportView/ns1:Address" xmlDataType="string"/>
    </xmlCellPr>
  </singleXmlCell>
  <singleXmlCell id="4" r="C3" connectionId="0">
    <xmlCellPr id="1" uniqueName="ns1:ReceiptNo">
      <xmlPr mapId="2" xpath="/ns1:ReportDataObject/ns1:WarehousePickingListMng_PickingList_ReportView/ns1:ReceiptNo" xmlDataType="string"/>
    </xmlCellPr>
  </singleXmlCell>
  <singleXmlCell id="5" r="C4" connectionId="0">
    <xmlCellPr id="1" uniqueName="ns1:OrderNo">
      <xmlPr mapId="2" xpath="/ns1:ReportDataObject/ns1:WarehousePickingListMng_PickingList_ReportView/ns1:OrderNo" xmlDataType="string"/>
    </xmlCellPr>
  </singleXmlCell>
  <singleXmlCell id="6" r="F4" connectionId="0">
    <xmlCellPr id="1" uniqueName="ns1:EuroPalletQnt">
      <xmlPr mapId="2" xpath="/ns1:ReportDataObject/ns1:WarehousePickingListMng_PickingList_ReportView/ns1:EuroPalletQnt" xmlDataType="int"/>
    </xmlCellPr>
  </singleXmlCell>
  <singleXmlCell id="7" r="F5" connectionId="0">
    <xmlCellPr id="1" uniqueName="ns1:IsInvoicePalletToClient">
      <xmlPr mapId="2" xpath="/ns1:ReportDataObject/ns1:WarehousePickingListMng_PickingList_ReportView/ns1:IsInvoicePalletToClient" xmlDataType="string"/>
    </xmlCellPr>
  </singleXmlCell>
  <singleXmlCell id="14" r="N5" connectionId="0">
    <xmlCellPr id="1" uniqueName="ns1:CMRNo">
      <xmlPr mapId="2" xpath="/ns1:ReportDataObject/ns1:WarehousePickingListMng_PickingList_ReportView/ns1:CMRNo" xmlDataType="string"/>
    </xmlCellPr>
  </singleXmlCell>
  <singleXmlCell id="8" r="M1" connectionId="0">
    <xmlCellPr id="1" uniqueName="ns1:PlannerName">
      <xmlPr mapId="2" xpath="/ns1:ReportDataObject/ns1:WarehousePickingListMng_PickingList_ReportView/ns1:PlannerName" xmlDataType="string"/>
    </xmlCellPr>
  </singleXmlCell>
  <singleXmlCell id="9" r="M2" connectionId="0">
    <xmlCellPr id="1" uniqueName="ns1:PlaningDate">
      <xmlPr mapId="2" xpath="/ns1:ReportDataObject/ns1:WarehousePickingListMng_PickingList_ReportView/ns1:PlaningDate" xmlDataType="string"/>
    </xmlCellPr>
  </singleXmlCell>
  <singleXmlCell id="10" r="M3" connectionId="0">
    <xmlCellPr id="1" uniqueName="ns1:RealPickingDate">
      <xmlPr mapId="2" xpath="/ns1:ReportDataObject/ns1:WarehousePickingListMng_PickingList_ReportView/ns1:RealPickingDate" xmlDataType="string"/>
    </xmlCellPr>
  </singleXmlCell>
  <singleXmlCell id="11" r="M4" connectionId="0">
    <xmlCellPr id="1" uniqueName="ns1:PickerName">
      <xmlPr mapId="2" xpath="/ns1:ReportDataObject/ns1:WarehousePickingListMng_PickingList_ReportView/ns1:PickerName" xmlDataType="string"/>
    </xmlCellPr>
  </singleXmlCell>
  <singleXmlCell id="12" r="M5" connectionId="0">
    <xmlCellPr id="1" uniqueName="ns1:PickingStatus">
      <xmlPr mapId="2" xpath="/ns1:ReportDataObject/ns1:WarehousePickingListMng_PickingList_ReportView/ns1:PickingStatu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N10"/>
  <sheetViews>
    <sheetView tabSelected="1" view="pageBreakPreview" zoomScaleNormal="100" zoomScaleSheetLayoutView="100" workbookViewId="0">
      <selection activeCell="K19" sqref="K19"/>
    </sheetView>
  </sheetViews>
  <sheetFormatPr defaultRowHeight="15"/>
  <cols>
    <col min="1" max="1" width="7.28515625" customWidth="1"/>
    <col min="2" max="3" width="18.7109375" customWidth="1"/>
    <col min="4" max="4" width="5.42578125" customWidth="1"/>
    <col min="5" max="5" width="19.7109375" customWidth="1"/>
    <col min="6" max="6" width="59.42578125" customWidth="1"/>
    <col min="7" max="7" width="6.42578125" customWidth="1"/>
    <col min="8" max="8" width="8.140625" customWidth="1"/>
    <col min="9" max="9" width="5.5703125" customWidth="1"/>
    <col min="10" max="10" width="12.85546875" customWidth="1"/>
    <col min="11" max="11" width="9.28515625" customWidth="1"/>
    <col min="12" max="12" width="9.85546875" customWidth="1"/>
    <col min="13" max="13" width="11.42578125" customWidth="1"/>
    <col min="14" max="14" width="28.28515625" customWidth="1"/>
  </cols>
  <sheetData>
    <row r="1" spans="1:14" ht="30.75" customHeight="1">
      <c r="A1" s="111" t="s">
        <v>43</v>
      </c>
      <c r="B1" s="111"/>
      <c r="C1" s="111"/>
      <c r="D1" s="96"/>
      <c r="E1" s="96" t="s">
        <v>58</v>
      </c>
      <c r="F1" s="108"/>
      <c r="G1" s="96"/>
      <c r="H1" s="96"/>
      <c r="I1" s="96"/>
      <c r="J1" s="96"/>
      <c r="K1" s="96" t="s">
        <v>54</v>
      </c>
      <c r="L1" s="97"/>
      <c r="M1" s="97"/>
      <c r="N1" s="96"/>
    </row>
    <row r="2" spans="1:14" ht="57" customHeight="1">
      <c r="A2" s="111"/>
      <c r="B2" s="111"/>
      <c r="C2" s="111"/>
      <c r="D2" s="96"/>
      <c r="E2" s="98"/>
      <c r="F2" s="109"/>
      <c r="G2" s="98"/>
      <c r="H2" s="98"/>
      <c r="I2" s="98"/>
      <c r="J2" s="98"/>
      <c r="K2" s="98" t="s">
        <v>44</v>
      </c>
      <c r="L2" s="99"/>
      <c r="M2" s="103"/>
      <c r="N2" s="97"/>
    </row>
    <row r="3" spans="1:14" ht="15" customHeight="1">
      <c r="A3" s="96"/>
      <c r="B3" s="96" t="s">
        <v>42</v>
      </c>
      <c r="C3" s="97"/>
      <c r="D3" s="96"/>
      <c r="E3" s="96"/>
      <c r="F3" s="96"/>
      <c r="G3" s="96"/>
      <c r="H3" s="96"/>
      <c r="I3" s="96"/>
      <c r="J3" s="96"/>
      <c r="K3" s="100" t="s">
        <v>45</v>
      </c>
      <c r="L3" s="97"/>
      <c r="M3" s="97"/>
      <c r="N3" s="96"/>
    </row>
    <row r="4" spans="1:14" ht="15" customHeight="1">
      <c r="A4" s="96"/>
      <c r="B4" s="96" t="s">
        <v>33</v>
      </c>
      <c r="C4" s="97"/>
      <c r="D4" s="96"/>
      <c r="E4" s="110" t="s">
        <v>59</v>
      </c>
      <c r="F4" s="101"/>
      <c r="G4" s="101"/>
      <c r="H4" s="96"/>
      <c r="I4" s="96"/>
      <c r="J4" s="96"/>
      <c r="K4" s="100" t="s">
        <v>46</v>
      </c>
      <c r="L4" s="97"/>
      <c r="M4" s="97"/>
      <c r="N4" s="96"/>
    </row>
    <row r="5" spans="1:14" ht="15" customHeight="1">
      <c r="A5" s="96"/>
      <c r="B5" s="96"/>
      <c r="C5" s="96"/>
      <c r="D5" s="96"/>
      <c r="E5" s="110" t="s">
        <v>60</v>
      </c>
      <c r="F5" s="97"/>
      <c r="G5" s="96"/>
      <c r="H5" s="96"/>
      <c r="I5" s="96"/>
      <c r="J5" s="96"/>
      <c r="K5" s="96" t="s">
        <v>55</v>
      </c>
      <c r="L5" s="97"/>
      <c r="M5" s="97"/>
      <c r="N5" s="102"/>
    </row>
    <row r="6" spans="1:14" ht="10.5" customHeight="1">
      <c r="A6" s="96"/>
      <c r="B6" s="96"/>
      <c r="C6" s="96"/>
      <c r="D6" s="96"/>
      <c r="E6" s="100"/>
      <c r="F6" s="97"/>
      <c r="G6" s="96"/>
      <c r="H6" s="96"/>
      <c r="I6" s="96"/>
      <c r="J6" s="96"/>
      <c r="K6" s="96"/>
      <c r="L6" s="97"/>
      <c r="M6" s="97"/>
      <c r="N6" s="102"/>
    </row>
    <row r="7" spans="1:14" ht="15" customHeight="1">
      <c r="A7" s="104"/>
      <c r="B7" s="104"/>
      <c r="C7" s="104"/>
      <c r="D7" s="104"/>
      <c r="E7" s="104"/>
      <c r="F7" s="105" t="s">
        <v>57</v>
      </c>
      <c r="G7" s="104"/>
      <c r="H7" s="106">
        <f>SUM(Table1[ns1:Quantity])</f>
        <v>0</v>
      </c>
      <c r="I7" s="104"/>
      <c r="J7" s="104"/>
      <c r="K7" s="106">
        <f>SUM(Table1[ns1:PlaningQuantity])</f>
        <v>0</v>
      </c>
      <c r="L7" s="107">
        <f>SUM(Table1[ns1:PlanningIn40HC])</f>
        <v>0</v>
      </c>
      <c r="M7" s="104"/>
      <c r="N7" s="104"/>
    </row>
    <row r="8" spans="1:14" ht="41.25" customHeight="1">
      <c r="A8" s="47" t="s">
        <v>56</v>
      </c>
      <c r="B8" s="48" t="s">
        <v>28</v>
      </c>
      <c r="C8" s="48" t="s">
        <v>29</v>
      </c>
      <c r="D8" s="48" t="s">
        <v>30</v>
      </c>
      <c r="E8" s="48" t="s">
        <v>31</v>
      </c>
      <c r="F8" s="48" t="s">
        <v>32</v>
      </c>
      <c r="G8" s="48" t="s">
        <v>40</v>
      </c>
      <c r="H8" s="48" t="s">
        <v>61</v>
      </c>
      <c r="I8" s="48" t="s">
        <v>35</v>
      </c>
      <c r="J8" s="48" t="s">
        <v>34</v>
      </c>
      <c r="K8" s="48" t="s">
        <v>41</v>
      </c>
      <c r="L8" s="48" t="s">
        <v>36</v>
      </c>
      <c r="M8" s="47" t="s">
        <v>37</v>
      </c>
      <c r="N8" s="48" t="s">
        <v>38</v>
      </c>
    </row>
    <row r="9" spans="1:14" hidden="1"/>
    <row r="10" spans="1:14">
      <c r="A10" s="49"/>
      <c r="B10" s="50"/>
      <c r="C10" s="50"/>
      <c r="D10" s="53"/>
      <c r="E10" s="50"/>
      <c r="F10" s="51"/>
      <c r="G10" s="50"/>
      <c r="H10" s="53"/>
      <c r="I10" s="52"/>
      <c r="J10" s="50"/>
      <c r="K10" s="53"/>
      <c r="L10" s="54"/>
      <c r="M10" s="51"/>
      <c r="N10" s="55"/>
    </row>
  </sheetData>
  <mergeCells count="1">
    <mergeCell ref="A1:C2"/>
  </mergeCells>
  <pageMargins left="0" right="0" top="0" bottom="0" header="0.31496062992125984" footer="0.31496062992125984"/>
  <pageSetup paperSize="9" scale="65" fitToHeight="0" orientation="landscape" horizontalDpi="180" verticalDpi="180" r:id="rId1"/>
  <headerFooter>
    <oddFooter>Page &amp;P of &amp;N</oddFooter>
  </headerFooter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112"/>
  <sheetViews>
    <sheetView view="pageBreakPreview" zoomScale="90" zoomScaleNormal="100" zoomScaleSheetLayoutView="90" workbookViewId="0">
      <selection activeCell="E5" sqref="E5"/>
    </sheetView>
  </sheetViews>
  <sheetFormatPr defaultRowHeight="15"/>
  <cols>
    <col min="1" max="1" width="17.140625" customWidth="1"/>
    <col min="2" max="2" width="35.85546875" customWidth="1"/>
    <col min="3" max="3" width="13.5703125" customWidth="1"/>
    <col min="4" max="4" width="7.5703125" customWidth="1"/>
    <col min="5" max="5" width="13.42578125" customWidth="1"/>
    <col min="7" max="7" width="15.140625" customWidth="1"/>
    <col min="8" max="8" width="14.85546875" bestFit="1" customWidth="1"/>
    <col min="9" max="9" width="15.7109375" customWidth="1"/>
  </cols>
  <sheetData>
    <row r="1" spans="1:9">
      <c r="A1" s="22" t="s">
        <v>0</v>
      </c>
      <c r="B1" s="23"/>
      <c r="C1" s="23"/>
      <c r="D1" s="23"/>
      <c r="E1" s="24" t="s">
        <v>1</v>
      </c>
      <c r="F1" s="23"/>
      <c r="G1" s="23"/>
      <c r="H1" s="23"/>
      <c r="I1" s="25"/>
    </row>
    <row r="2" spans="1:9">
      <c r="A2" s="26" t="s">
        <v>26</v>
      </c>
      <c r="B2" s="3"/>
      <c r="C2" s="3"/>
      <c r="D2" s="3"/>
      <c r="E2" s="4"/>
      <c r="F2" s="17"/>
      <c r="G2" s="17"/>
      <c r="H2" s="17"/>
      <c r="I2" s="27"/>
    </row>
    <row r="3" spans="1:9" ht="15.75">
      <c r="A3" s="72" t="s">
        <v>25</v>
      </c>
      <c r="B3" s="3"/>
      <c r="C3" s="3"/>
      <c r="D3" s="3"/>
      <c r="E3" s="118" t="str">
        <f>IF(PICKINGLIST!N5 =0,"","NL   " &amp; PICKINGLIST!N5)</f>
        <v/>
      </c>
      <c r="F3" s="119"/>
      <c r="G3" s="119"/>
      <c r="H3" s="119"/>
      <c r="I3" s="120"/>
    </row>
    <row r="4" spans="1:9" ht="15.75">
      <c r="A4" s="72" t="s">
        <v>27</v>
      </c>
      <c r="B4" s="3"/>
      <c r="C4" s="3"/>
      <c r="D4" s="3"/>
      <c r="E4" s="118"/>
      <c r="F4" s="119"/>
      <c r="G4" s="119"/>
      <c r="H4" s="119"/>
      <c r="I4" s="120"/>
    </row>
    <row r="5" spans="1:9" ht="15.75">
      <c r="A5" s="95"/>
      <c r="B5" s="3"/>
      <c r="C5" s="3"/>
      <c r="D5" s="3"/>
      <c r="E5" s="19"/>
      <c r="F5" s="17"/>
      <c r="G5" s="17"/>
      <c r="H5" s="17"/>
      <c r="I5" s="27"/>
    </row>
    <row r="6" spans="1:9" ht="15.75">
      <c r="A6" s="72"/>
      <c r="B6" s="3"/>
      <c r="C6" s="3"/>
      <c r="D6" s="3"/>
      <c r="E6" s="19"/>
      <c r="F6" s="17"/>
      <c r="G6" s="17"/>
      <c r="H6" s="17"/>
      <c r="I6" s="27"/>
    </row>
    <row r="7" spans="1:9" ht="15.75">
      <c r="A7" s="82"/>
      <c r="B7" s="3"/>
      <c r="C7" s="3"/>
      <c r="D7" s="3"/>
      <c r="E7" s="19"/>
      <c r="F7" s="17"/>
      <c r="G7" s="17"/>
      <c r="H7" s="17"/>
      <c r="I7" s="27"/>
    </row>
    <row r="8" spans="1:9" ht="16.5" thickBot="1">
      <c r="A8" s="72"/>
      <c r="B8" s="3"/>
      <c r="C8" s="3"/>
      <c r="D8" s="3"/>
      <c r="E8" s="4"/>
      <c r="F8" s="17"/>
      <c r="G8" s="17"/>
      <c r="H8" s="17"/>
      <c r="I8" s="27"/>
    </row>
    <row r="9" spans="1:9">
      <c r="A9" s="28" t="s">
        <v>2</v>
      </c>
      <c r="B9" s="5"/>
      <c r="C9" s="5"/>
      <c r="D9" s="5"/>
      <c r="E9" s="6" t="s">
        <v>3</v>
      </c>
      <c r="F9" s="1"/>
      <c r="G9" s="1"/>
      <c r="H9" s="1"/>
      <c r="I9" s="29"/>
    </row>
    <row r="10" spans="1:9">
      <c r="A10" s="94" t="str">
        <f>IF(PICKINGLIST!F1 =0,"",PICKINGLIST!F1)</f>
        <v/>
      </c>
      <c r="B10" s="3"/>
      <c r="C10" s="3"/>
      <c r="D10" s="7"/>
      <c r="E10" s="8"/>
      <c r="F10" s="3"/>
      <c r="G10" s="3"/>
      <c r="H10" s="3"/>
      <c r="I10" s="30"/>
    </row>
    <row r="11" spans="1:9">
      <c r="A11" s="94" t="str">
        <f>IF(PICKINGLIST!F2 = 0,"",PICKINGLIST!F2)</f>
        <v/>
      </c>
      <c r="B11" s="3"/>
      <c r="C11" s="3"/>
      <c r="D11" s="7"/>
      <c r="E11" s="8"/>
      <c r="F11" s="3"/>
      <c r="G11" s="3"/>
      <c r="H11" s="3"/>
      <c r="I11" s="30"/>
    </row>
    <row r="12" spans="1:9">
      <c r="A12" s="26"/>
      <c r="B12" s="3"/>
      <c r="C12" s="3"/>
      <c r="D12" s="7"/>
      <c r="E12" s="8"/>
      <c r="F12" s="3"/>
      <c r="G12" s="3"/>
      <c r="H12" s="3"/>
      <c r="I12" s="30"/>
    </row>
    <row r="13" spans="1:9">
      <c r="A13" s="26"/>
      <c r="B13" s="3"/>
      <c r="C13" s="3"/>
      <c r="D13" s="7"/>
      <c r="E13" s="8"/>
      <c r="F13" s="3"/>
      <c r="G13" s="3"/>
      <c r="H13" s="3"/>
      <c r="I13" s="30"/>
    </row>
    <row r="14" spans="1:9">
      <c r="A14" s="26"/>
      <c r="B14" s="3"/>
      <c r="C14" s="3"/>
      <c r="D14" s="7"/>
      <c r="E14" s="8"/>
      <c r="F14" s="3"/>
      <c r="G14" s="3"/>
      <c r="H14" s="3"/>
      <c r="I14" s="30"/>
    </row>
    <row r="15" spans="1:9">
      <c r="A15" s="26"/>
      <c r="B15" s="3"/>
      <c r="C15" s="3"/>
      <c r="D15" s="7"/>
      <c r="E15" s="56"/>
      <c r="F15" s="10"/>
      <c r="G15" s="10"/>
      <c r="H15" s="10"/>
      <c r="I15" s="30"/>
    </row>
    <row r="16" spans="1:9">
      <c r="A16" s="26"/>
      <c r="B16" s="3"/>
      <c r="C16" s="3"/>
      <c r="D16" s="7"/>
      <c r="E16" s="9"/>
      <c r="F16" s="10"/>
      <c r="G16" s="10"/>
      <c r="H16" s="10"/>
      <c r="I16" s="30"/>
    </row>
    <row r="17" spans="1:9">
      <c r="A17" s="31" t="s">
        <v>4</v>
      </c>
      <c r="B17" s="5"/>
      <c r="C17" s="5"/>
      <c r="D17" s="5"/>
      <c r="E17" s="11" t="s">
        <v>5</v>
      </c>
      <c r="F17" s="5"/>
      <c r="G17" s="5"/>
      <c r="H17" s="5"/>
      <c r="I17" s="32"/>
    </row>
    <row r="18" spans="1:9">
      <c r="A18" s="83" t="str">
        <f>A10</f>
        <v/>
      </c>
      <c r="B18" s="3"/>
      <c r="C18" s="3"/>
      <c r="D18" s="7"/>
      <c r="E18" s="44"/>
      <c r="F18" s="3"/>
      <c r="G18" s="3"/>
      <c r="H18" s="3"/>
      <c r="I18" s="30"/>
    </row>
    <row r="19" spans="1:9">
      <c r="A19" s="83" t="str">
        <f>A11</f>
        <v/>
      </c>
      <c r="B19" s="3"/>
      <c r="C19" s="3"/>
      <c r="D19" s="7"/>
      <c r="E19" s="8"/>
      <c r="F19" s="3"/>
      <c r="G19" s="3"/>
      <c r="H19" s="3"/>
      <c r="I19" s="30"/>
    </row>
    <row r="20" spans="1:9">
      <c r="A20" s="26"/>
      <c r="B20" s="3"/>
      <c r="C20" s="3"/>
      <c r="D20" s="7"/>
      <c r="E20" s="8"/>
      <c r="F20" s="3"/>
      <c r="G20" s="3"/>
      <c r="H20" s="3"/>
      <c r="I20" s="30"/>
    </row>
    <row r="21" spans="1:9">
      <c r="A21" s="26"/>
      <c r="B21" s="3"/>
      <c r="C21" s="3"/>
      <c r="D21" s="7"/>
      <c r="E21" s="8"/>
      <c r="F21" s="3"/>
      <c r="G21" s="3"/>
      <c r="H21" s="3"/>
      <c r="I21" s="30"/>
    </row>
    <row r="22" spans="1:9">
      <c r="A22" s="26"/>
      <c r="B22" s="3"/>
      <c r="C22" s="3"/>
      <c r="D22" s="7"/>
      <c r="E22" s="8"/>
      <c r="F22" s="3"/>
      <c r="G22" s="3"/>
      <c r="H22" s="3"/>
      <c r="I22" s="30"/>
    </row>
    <row r="23" spans="1:9">
      <c r="A23" s="26"/>
      <c r="B23" s="3"/>
      <c r="C23" s="3"/>
      <c r="D23" s="7"/>
      <c r="E23" s="8"/>
      <c r="F23" s="3"/>
      <c r="G23" s="3"/>
      <c r="H23" s="3"/>
      <c r="I23" s="30"/>
    </row>
    <row r="24" spans="1:9">
      <c r="A24" s="26"/>
      <c r="B24" s="3"/>
      <c r="C24" s="3"/>
      <c r="D24" s="7"/>
      <c r="E24" s="8"/>
      <c r="F24" s="3"/>
      <c r="G24" s="3"/>
      <c r="H24" s="3"/>
      <c r="I24" s="30"/>
    </row>
    <row r="25" spans="1:9">
      <c r="A25" s="31" t="s">
        <v>6</v>
      </c>
      <c r="B25" s="5"/>
      <c r="C25" s="5"/>
      <c r="D25" s="12"/>
      <c r="E25" s="8"/>
      <c r="F25" s="3"/>
      <c r="G25" s="3"/>
      <c r="H25" s="3"/>
      <c r="I25" s="30"/>
    </row>
    <row r="26" spans="1:9">
      <c r="A26" s="26"/>
      <c r="B26" s="3"/>
      <c r="C26" s="3"/>
      <c r="D26" s="7"/>
      <c r="E26" s="8"/>
      <c r="F26" s="3"/>
      <c r="G26" s="3"/>
      <c r="H26" s="3"/>
      <c r="I26" s="30"/>
    </row>
    <row r="27" spans="1:9">
      <c r="A27" s="26"/>
      <c r="B27" s="3"/>
      <c r="C27" s="3"/>
      <c r="D27" s="7"/>
      <c r="E27" s="8"/>
      <c r="F27" s="3"/>
      <c r="G27" s="3"/>
      <c r="H27" s="3"/>
      <c r="I27" s="30"/>
    </row>
    <row r="28" spans="1:9">
      <c r="A28" s="26"/>
      <c r="B28" s="3"/>
      <c r="C28" s="3"/>
      <c r="D28" s="7"/>
      <c r="E28" s="8"/>
      <c r="F28" s="3"/>
      <c r="G28" s="3"/>
      <c r="H28" s="3"/>
      <c r="I28" s="30"/>
    </row>
    <row r="29" spans="1:9">
      <c r="A29" s="26"/>
      <c r="B29" s="3"/>
      <c r="C29" s="3"/>
      <c r="D29" s="7"/>
      <c r="E29" s="8"/>
      <c r="F29" s="3"/>
      <c r="G29" s="3"/>
      <c r="H29" s="3"/>
      <c r="I29" s="30"/>
    </row>
    <row r="30" spans="1:9">
      <c r="A30" s="26"/>
      <c r="B30" s="3"/>
      <c r="C30" s="3"/>
      <c r="D30" s="7"/>
      <c r="E30" s="9"/>
      <c r="F30" s="10"/>
      <c r="G30" s="10"/>
      <c r="H30" s="10"/>
      <c r="I30" s="30"/>
    </row>
    <row r="31" spans="1:9">
      <c r="A31" s="33"/>
      <c r="B31" s="10"/>
      <c r="C31" s="10"/>
      <c r="D31" s="13"/>
      <c r="E31" s="11" t="s">
        <v>7</v>
      </c>
      <c r="F31" s="5"/>
      <c r="G31" s="5"/>
      <c r="H31" s="5"/>
      <c r="I31" s="32"/>
    </row>
    <row r="32" spans="1:9">
      <c r="A32" s="31" t="s">
        <v>8</v>
      </c>
      <c r="B32" s="5"/>
      <c r="C32" s="5"/>
      <c r="D32" s="12"/>
      <c r="E32" s="44"/>
      <c r="F32" s="3"/>
      <c r="G32" s="3"/>
      <c r="H32" s="3"/>
      <c r="I32" s="30"/>
    </row>
    <row r="33" spans="1:9">
      <c r="A33" s="26"/>
      <c r="B33" s="3"/>
      <c r="C33" s="3"/>
      <c r="D33" s="7"/>
      <c r="E33" s="8"/>
      <c r="F33" s="3"/>
      <c r="G33" s="3"/>
      <c r="H33" s="3"/>
      <c r="I33" s="30"/>
    </row>
    <row r="34" spans="1:9">
      <c r="A34" s="26"/>
      <c r="B34" s="3"/>
      <c r="C34" s="3"/>
      <c r="D34" s="7"/>
      <c r="E34" s="8"/>
      <c r="F34" s="3"/>
      <c r="G34" s="3"/>
      <c r="H34" s="3"/>
      <c r="I34" s="30"/>
    </row>
    <row r="35" spans="1:9">
      <c r="A35" s="26"/>
      <c r="B35" s="3"/>
      <c r="C35" s="3"/>
      <c r="D35" s="7"/>
      <c r="E35" s="8"/>
      <c r="F35" s="3"/>
      <c r="G35" s="3"/>
      <c r="H35" s="3"/>
      <c r="I35" s="30"/>
    </row>
    <row r="36" spans="1:9">
      <c r="A36" s="26"/>
      <c r="B36" s="3"/>
      <c r="C36" s="3"/>
      <c r="D36" s="7"/>
      <c r="E36" s="8"/>
      <c r="F36" s="3"/>
      <c r="G36" s="3"/>
      <c r="H36" s="3"/>
      <c r="I36" s="30"/>
    </row>
    <row r="37" spans="1:9">
      <c r="A37" s="26"/>
      <c r="B37" s="3"/>
      <c r="C37" s="3"/>
      <c r="D37" s="7"/>
      <c r="E37" s="8"/>
      <c r="F37" s="3"/>
      <c r="G37" s="3"/>
      <c r="H37" s="3"/>
      <c r="I37" s="30"/>
    </row>
    <row r="38" spans="1:9" ht="15.75" thickBot="1">
      <c r="A38" s="59"/>
      <c r="B38" s="39"/>
      <c r="C38" s="39"/>
      <c r="D38" s="73"/>
      <c r="E38" s="74"/>
      <c r="F38" s="39"/>
      <c r="G38" s="39"/>
      <c r="H38" s="39"/>
      <c r="I38" s="40"/>
    </row>
    <row r="39" spans="1:9">
      <c r="A39" s="57" t="s">
        <v>51</v>
      </c>
      <c r="B39" s="23"/>
      <c r="C39" s="23"/>
      <c r="D39" s="23" t="s">
        <v>50</v>
      </c>
      <c r="E39" s="23" t="s">
        <v>52</v>
      </c>
      <c r="F39" s="23" t="s">
        <v>53</v>
      </c>
      <c r="G39" s="71" t="s">
        <v>9</v>
      </c>
      <c r="H39" s="24" t="s">
        <v>10</v>
      </c>
      <c r="I39" s="58" t="s">
        <v>11</v>
      </c>
    </row>
    <row r="40" spans="1:9">
      <c r="A40" s="112"/>
      <c r="B40" s="113"/>
      <c r="C40" s="114"/>
      <c r="D40" s="15"/>
      <c r="E40" s="14"/>
      <c r="F40" s="14"/>
      <c r="G40" s="14"/>
      <c r="H40" s="14"/>
      <c r="I40" s="45"/>
    </row>
    <row r="41" spans="1:9">
      <c r="A41" s="112"/>
      <c r="B41" s="113"/>
      <c r="C41" s="114"/>
      <c r="D41" s="15"/>
      <c r="E41" s="14"/>
      <c r="F41" s="14"/>
      <c r="G41" s="14"/>
      <c r="H41" s="14"/>
      <c r="I41" s="34"/>
    </row>
    <row r="42" spans="1:9">
      <c r="A42" s="112"/>
      <c r="B42" s="113"/>
      <c r="C42" s="114"/>
      <c r="D42" s="14"/>
      <c r="E42" s="14"/>
      <c r="F42" s="14"/>
      <c r="G42" s="14"/>
      <c r="H42" s="14"/>
      <c r="I42" s="34"/>
    </row>
    <row r="43" spans="1:9">
      <c r="A43" s="112"/>
      <c r="B43" s="113"/>
      <c r="C43" s="114"/>
      <c r="D43" s="14"/>
      <c r="E43" s="14"/>
      <c r="F43" s="14"/>
      <c r="G43" s="14"/>
      <c r="H43" s="14"/>
      <c r="I43" s="34"/>
    </row>
    <row r="44" spans="1:9">
      <c r="A44" s="112"/>
      <c r="B44" s="113"/>
      <c r="C44" s="114"/>
      <c r="D44" s="14"/>
      <c r="E44" s="14"/>
      <c r="F44" s="14"/>
      <c r="G44" s="14"/>
      <c r="H44" s="14"/>
      <c r="I44" s="34"/>
    </row>
    <row r="45" spans="1:9">
      <c r="A45" s="112"/>
      <c r="B45" s="113"/>
      <c r="C45" s="114"/>
      <c r="D45" s="14"/>
      <c r="E45" s="14"/>
      <c r="F45" s="14"/>
      <c r="G45" s="14"/>
      <c r="H45" s="14"/>
      <c r="I45" s="34"/>
    </row>
    <row r="46" spans="1:9">
      <c r="A46" s="112"/>
      <c r="B46" s="113"/>
      <c r="C46" s="114"/>
      <c r="D46" s="14"/>
      <c r="E46" s="14"/>
      <c r="F46" s="14"/>
      <c r="G46" s="14"/>
      <c r="H46" s="14"/>
      <c r="I46" s="34"/>
    </row>
    <row r="47" spans="1:9">
      <c r="A47" s="112"/>
      <c r="B47" s="113"/>
      <c r="C47" s="114"/>
      <c r="D47" s="14"/>
      <c r="E47" s="14"/>
      <c r="F47" s="14"/>
      <c r="G47" s="14"/>
      <c r="H47" s="14"/>
      <c r="I47" s="34"/>
    </row>
    <row r="48" spans="1:9">
      <c r="A48" s="112"/>
      <c r="B48" s="113"/>
      <c r="C48" s="114"/>
      <c r="D48" s="14"/>
      <c r="E48" s="14"/>
      <c r="F48" s="14"/>
      <c r="G48" s="14"/>
      <c r="H48" s="14"/>
      <c r="I48" s="34"/>
    </row>
    <row r="49" spans="1:9">
      <c r="A49" s="112"/>
      <c r="B49" s="113"/>
      <c r="C49" s="114"/>
      <c r="D49" s="14"/>
      <c r="E49" s="14"/>
      <c r="F49" s="14"/>
      <c r="G49" s="14"/>
      <c r="H49" s="14"/>
      <c r="I49" s="34"/>
    </row>
    <row r="50" spans="1:9">
      <c r="A50" s="112"/>
      <c r="B50" s="113"/>
      <c r="C50" s="114"/>
      <c r="D50" s="14"/>
      <c r="E50" s="14"/>
      <c r="F50" s="14"/>
      <c r="G50" s="14"/>
      <c r="H50" s="14"/>
      <c r="I50" s="34"/>
    </row>
    <row r="51" spans="1:9">
      <c r="A51" s="112"/>
      <c r="B51" s="113"/>
      <c r="C51" s="114"/>
      <c r="D51" s="14"/>
      <c r="E51" s="14"/>
      <c r="F51" s="14"/>
      <c r="G51" s="14"/>
      <c r="H51" s="14"/>
      <c r="I51" s="34"/>
    </row>
    <row r="52" spans="1:9">
      <c r="A52" s="112"/>
      <c r="B52" s="113"/>
      <c r="C52" s="114"/>
      <c r="D52" s="14"/>
      <c r="E52" s="14"/>
      <c r="F52" s="14"/>
      <c r="G52" s="14"/>
      <c r="H52" s="14"/>
      <c r="I52" s="34"/>
    </row>
    <row r="53" spans="1:9">
      <c r="A53" s="112"/>
      <c r="B53" s="113"/>
      <c r="C53" s="114"/>
      <c r="D53" s="14"/>
      <c r="E53" s="14"/>
      <c r="F53" s="14"/>
      <c r="G53" s="14"/>
      <c r="H53" s="14"/>
      <c r="I53" s="34"/>
    </row>
    <row r="54" spans="1:9">
      <c r="A54" s="112"/>
      <c r="B54" s="113"/>
      <c r="C54" s="114"/>
      <c r="D54" s="14"/>
      <c r="E54" s="14"/>
      <c r="F54" s="14"/>
      <c r="G54" s="14"/>
      <c r="H54" s="14"/>
      <c r="I54" s="34"/>
    </row>
    <row r="55" spans="1:9">
      <c r="A55" s="112"/>
      <c r="B55" s="113"/>
      <c r="C55" s="114"/>
      <c r="D55" s="14"/>
      <c r="E55" s="14"/>
      <c r="F55" s="14"/>
      <c r="G55" s="14"/>
      <c r="H55" s="14"/>
      <c r="I55" s="34"/>
    </row>
    <row r="56" spans="1:9">
      <c r="A56" s="115"/>
      <c r="B56" s="116"/>
      <c r="C56" s="117"/>
      <c r="D56" s="14"/>
      <c r="E56" s="14"/>
      <c r="F56" s="14"/>
      <c r="G56" s="14"/>
      <c r="H56" s="14"/>
      <c r="I56" s="34"/>
    </row>
    <row r="57" spans="1:9">
      <c r="A57" s="115"/>
      <c r="B57" s="116"/>
      <c r="C57" s="117"/>
      <c r="D57" s="14"/>
      <c r="E57" s="14"/>
      <c r="F57" s="14"/>
      <c r="G57" s="14"/>
      <c r="H57" s="14"/>
      <c r="I57" s="34"/>
    </row>
    <row r="58" spans="1:9">
      <c r="A58" s="115"/>
      <c r="B58" s="116"/>
      <c r="C58" s="117"/>
      <c r="D58" s="14"/>
      <c r="E58" s="14"/>
      <c r="F58" s="14"/>
      <c r="G58" s="14"/>
      <c r="H58" s="14"/>
      <c r="I58" s="34"/>
    </row>
    <row r="59" spans="1:9">
      <c r="A59" s="115"/>
      <c r="B59" s="116"/>
      <c r="C59" s="117"/>
      <c r="D59" s="14"/>
      <c r="E59" s="14"/>
      <c r="F59" s="14"/>
      <c r="G59" s="14"/>
      <c r="H59" s="14"/>
      <c r="I59" s="34"/>
    </row>
    <row r="60" spans="1:9">
      <c r="A60" s="112"/>
      <c r="B60" s="113"/>
      <c r="C60" s="114"/>
      <c r="D60" s="14"/>
      <c r="E60" s="14"/>
      <c r="F60" s="14"/>
      <c r="G60" s="14"/>
      <c r="H60" s="14"/>
      <c r="I60" s="34"/>
    </row>
    <row r="61" spans="1:9">
      <c r="A61" s="112"/>
      <c r="B61" s="113"/>
      <c r="C61" s="114"/>
      <c r="D61" s="14"/>
      <c r="E61" s="14"/>
      <c r="F61" s="14"/>
      <c r="G61" s="14"/>
      <c r="H61" s="14"/>
      <c r="I61" s="34"/>
    </row>
    <row r="62" spans="1:9">
      <c r="A62" s="112"/>
      <c r="B62" s="113"/>
      <c r="C62" s="114"/>
      <c r="D62" s="14"/>
      <c r="E62" s="14"/>
      <c r="F62" s="14"/>
      <c r="G62" s="14"/>
      <c r="H62" s="14"/>
      <c r="I62" s="34"/>
    </row>
    <row r="63" spans="1:9">
      <c r="A63" s="115"/>
      <c r="B63" s="116"/>
      <c r="C63" s="117"/>
      <c r="D63" s="14"/>
      <c r="E63" s="14"/>
      <c r="F63" s="14"/>
      <c r="G63" s="14"/>
      <c r="H63" s="14"/>
      <c r="I63" s="34"/>
    </row>
    <row r="64" spans="1:9">
      <c r="A64" s="112"/>
      <c r="B64" s="113"/>
      <c r="C64" s="114"/>
      <c r="D64" s="14"/>
      <c r="E64" s="14"/>
      <c r="F64" s="14"/>
      <c r="G64" s="14"/>
      <c r="H64" s="14"/>
      <c r="I64" s="34"/>
    </row>
    <row r="65" spans="1:9">
      <c r="A65" s="112"/>
      <c r="B65" s="113"/>
      <c r="C65" s="114"/>
      <c r="D65" s="14"/>
      <c r="E65" s="14"/>
      <c r="F65" s="14"/>
      <c r="G65" s="14"/>
      <c r="H65" s="14"/>
      <c r="I65" s="34"/>
    </row>
    <row r="66" spans="1:9">
      <c r="A66" s="112"/>
      <c r="B66" s="113"/>
      <c r="C66" s="114"/>
      <c r="D66" s="14"/>
      <c r="E66" s="14"/>
      <c r="F66" s="14"/>
      <c r="G66" s="14"/>
      <c r="H66" s="14"/>
      <c r="I66" s="34"/>
    </row>
    <row r="67" spans="1:9">
      <c r="A67" s="112"/>
      <c r="B67" s="113"/>
      <c r="C67" s="114"/>
      <c r="D67" s="14"/>
      <c r="E67" s="14"/>
      <c r="F67" s="14"/>
      <c r="G67" s="14"/>
      <c r="H67" s="14"/>
      <c r="I67" s="34"/>
    </row>
    <row r="68" spans="1:9">
      <c r="A68" s="112"/>
      <c r="B68" s="113"/>
      <c r="C68" s="114"/>
      <c r="D68" s="14"/>
      <c r="E68" s="14"/>
      <c r="F68" s="14"/>
      <c r="G68" s="14"/>
      <c r="H68" s="14"/>
      <c r="I68" s="34"/>
    </row>
    <row r="69" spans="1:9">
      <c r="A69" s="115"/>
      <c r="B69" s="116"/>
      <c r="C69" s="117"/>
      <c r="D69" s="14"/>
      <c r="E69" s="14"/>
      <c r="F69" s="14"/>
      <c r="G69" s="14"/>
      <c r="H69" s="14"/>
      <c r="I69" s="34"/>
    </row>
    <row r="70" spans="1:9">
      <c r="A70" s="112"/>
      <c r="B70" s="113"/>
      <c r="C70" s="114"/>
      <c r="D70" s="14"/>
      <c r="E70" s="14"/>
      <c r="F70" s="14"/>
      <c r="G70" s="14"/>
      <c r="H70" s="14"/>
      <c r="I70" s="34"/>
    </row>
    <row r="71" spans="1:9">
      <c r="A71" s="112"/>
      <c r="B71" s="113"/>
      <c r="C71" s="114"/>
      <c r="D71" s="14"/>
      <c r="E71" s="14"/>
      <c r="F71" s="14"/>
      <c r="G71" s="14"/>
      <c r="H71" s="14"/>
      <c r="I71" s="34"/>
    </row>
    <row r="72" spans="1:9">
      <c r="A72" s="112"/>
      <c r="B72" s="113"/>
      <c r="C72" s="114"/>
      <c r="D72" s="14"/>
      <c r="E72" s="14"/>
      <c r="F72" s="14"/>
      <c r="G72" s="14"/>
      <c r="H72" s="14"/>
      <c r="I72" s="34"/>
    </row>
    <row r="73" spans="1:9">
      <c r="A73" s="91"/>
      <c r="B73" s="92"/>
      <c r="C73" s="93"/>
      <c r="D73" s="14"/>
      <c r="E73" s="14"/>
      <c r="F73" s="14"/>
      <c r="G73" s="14"/>
      <c r="H73" s="14"/>
      <c r="I73" s="34"/>
    </row>
    <row r="74" spans="1:9">
      <c r="A74" s="112"/>
      <c r="B74" s="113"/>
      <c r="C74" s="114"/>
      <c r="D74" s="14"/>
      <c r="E74" s="14"/>
      <c r="F74" s="14"/>
      <c r="G74" s="14"/>
      <c r="H74" s="14"/>
      <c r="I74" s="34"/>
    </row>
    <row r="75" spans="1:9" ht="15.75" thickBot="1">
      <c r="A75" s="115"/>
      <c r="B75" s="116"/>
      <c r="C75" s="117"/>
      <c r="D75" s="14"/>
      <c r="E75" s="14"/>
      <c r="F75" s="14"/>
      <c r="G75" s="14"/>
      <c r="H75" s="14"/>
      <c r="I75" s="34"/>
    </row>
    <row r="76" spans="1:9">
      <c r="A76" s="57" t="s">
        <v>47</v>
      </c>
      <c r="B76" s="23"/>
      <c r="C76" s="23"/>
      <c r="D76" s="23"/>
      <c r="E76" s="86" t="s">
        <v>12</v>
      </c>
      <c r="F76" s="23"/>
      <c r="G76" s="24" t="s">
        <v>13</v>
      </c>
      <c r="H76" s="24" t="s">
        <v>48</v>
      </c>
      <c r="I76" s="58" t="s">
        <v>49</v>
      </c>
    </row>
    <row r="77" spans="1:9">
      <c r="A77" s="26"/>
      <c r="B77" s="3"/>
      <c r="C77" s="3"/>
      <c r="D77" s="3"/>
      <c r="E77" s="16" t="s">
        <v>14</v>
      </c>
      <c r="F77" s="17"/>
      <c r="G77" s="18"/>
      <c r="H77" s="18"/>
      <c r="I77" s="35"/>
    </row>
    <row r="78" spans="1:9">
      <c r="A78" s="26"/>
      <c r="B78" s="3"/>
      <c r="C78" s="3"/>
      <c r="D78" s="3"/>
      <c r="E78" s="11" t="s">
        <v>15</v>
      </c>
      <c r="F78" s="5"/>
      <c r="G78" s="18"/>
      <c r="H78" s="18"/>
      <c r="I78" s="35"/>
    </row>
    <row r="79" spans="1:9">
      <c r="A79" s="26"/>
      <c r="B79" s="3"/>
      <c r="C79" s="3"/>
      <c r="D79" s="3"/>
      <c r="E79" s="16" t="s">
        <v>16</v>
      </c>
      <c r="F79" s="17"/>
      <c r="G79" s="18"/>
      <c r="H79" s="18"/>
      <c r="I79" s="35"/>
    </row>
    <row r="80" spans="1:9" ht="14.25" customHeight="1">
      <c r="A80" s="26"/>
      <c r="B80" s="3"/>
      <c r="C80" s="3"/>
      <c r="D80" s="3"/>
      <c r="E80" s="16" t="s">
        <v>17</v>
      </c>
      <c r="F80" s="17"/>
      <c r="G80" s="18"/>
      <c r="H80" s="18"/>
      <c r="I80" s="35"/>
    </row>
    <row r="81" spans="1:9">
      <c r="A81" s="26"/>
      <c r="B81" s="3"/>
      <c r="C81" s="3"/>
      <c r="D81" s="3"/>
      <c r="E81" s="16" t="s">
        <v>18</v>
      </c>
      <c r="F81" s="17"/>
      <c r="G81" s="18"/>
      <c r="H81" s="18"/>
      <c r="I81" s="35"/>
    </row>
    <row r="82" spans="1:9" ht="15.75" thickBot="1">
      <c r="A82" s="59"/>
      <c r="B82" s="39"/>
      <c r="C82" s="39"/>
      <c r="D82" s="39"/>
      <c r="E82" s="87" t="s">
        <v>19</v>
      </c>
      <c r="F82" s="88"/>
      <c r="G82" s="89"/>
      <c r="H82" s="89"/>
      <c r="I82" s="90"/>
    </row>
    <row r="83" spans="1:9">
      <c r="A83" s="84" t="s">
        <v>20</v>
      </c>
      <c r="B83" s="85"/>
      <c r="C83" s="17"/>
      <c r="D83" s="17"/>
      <c r="E83" s="17"/>
      <c r="F83" s="17"/>
      <c r="G83" s="17"/>
      <c r="H83" s="17"/>
      <c r="I83" s="27"/>
    </row>
    <row r="84" spans="1:9">
      <c r="A84" s="68"/>
      <c r="B84" s="69"/>
      <c r="C84" s="69"/>
      <c r="D84" s="69"/>
      <c r="E84" s="69"/>
      <c r="F84" s="69"/>
      <c r="G84" s="69"/>
      <c r="H84" s="69"/>
      <c r="I84" s="70"/>
    </row>
    <row r="85" spans="1:9">
      <c r="A85" s="79"/>
      <c r="B85" s="80"/>
      <c r="C85" s="80"/>
      <c r="D85" s="80"/>
      <c r="E85" s="80"/>
      <c r="F85" s="80"/>
      <c r="G85" s="80"/>
      <c r="H85" s="80"/>
      <c r="I85" s="81"/>
    </row>
    <row r="86" spans="1:9">
      <c r="A86" s="76"/>
      <c r="B86" s="77"/>
      <c r="C86" s="77"/>
      <c r="D86" s="77"/>
      <c r="E86" s="77"/>
      <c r="F86" s="77"/>
      <c r="G86" s="77"/>
      <c r="H86" s="77"/>
      <c r="I86" s="78"/>
    </row>
    <row r="87" spans="1:9">
      <c r="A87" s="66"/>
      <c r="B87" s="36"/>
      <c r="C87" s="36"/>
      <c r="D87" s="36"/>
      <c r="E87" s="36"/>
      <c r="F87" s="36"/>
      <c r="G87" s="36"/>
      <c r="H87" s="36"/>
      <c r="I87" s="67"/>
    </row>
    <row r="88" spans="1:9">
      <c r="A88" s="31" t="s">
        <v>21</v>
      </c>
      <c r="B88" s="5"/>
      <c r="C88" s="5"/>
      <c r="D88" s="5"/>
      <c r="E88" s="11" t="s">
        <v>22</v>
      </c>
      <c r="F88" s="5"/>
      <c r="G88" s="5"/>
      <c r="H88" s="5"/>
      <c r="I88" s="32"/>
    </row>
    <row r="89" spans="1:9" ht="14.25" customHeight="1">
      <c r="A89" s="26" t="s">
        <v>39</v>
      </c>
      <c r="B89" s="46" t="str">
        <f>IF(PICKINGLIST!F4 = 0, "", PICKINGLIST!F4)</f>
        <v/>
      </c>
      <c r="C89" s="3"/>
      <c r="D89" s="3"/>
      <c r="E89" s="2"/>
      <c r="F89" s="3"/>
      <c r="G89" s="3"/>
      <c r="H89" s="3"/>
      <c r="I89" s="30"/>
    </row>
    <row r="90" spans="1:9" ht="14.25" customHeight="1">
      <c r="A90" s="26"/>
      <c r="B90" s="3"/>
      <c r="C90" s="3"/>
      <c r="D90" s="10"/>
      <c r="E90" s="75"/>
      <c r="F90" s="10"/>
      <c r="G90" s="3"/>
      <c r="H90" s="3"/>
      <c r="I90" s="30"/>
    </row>
    <row r="91" spans="1:9">
      <c r="A91" s="31" t="s">
        <v>23</v>
      </c>
      <c r="B91" s="5"/>
      <c r="C91" s="62"/>
      <c r="D91" s="63"/>
      <c r="E91" s="64"/>
      <c r="F91" s="65"/>
      <c r="G91" s="5" t="s">
        <v>24</v>
      </c>
      <c r="H91" s="5"/>
      <c r="I91" s="32"/>
    </row>
    <row r="92" spans="1:9">
      <c r="A92" s="60"/>
      <c r="B92" s="3"/>
      <c r="C92" s="3"/>
      <c r="D92" s="60"/>
      <c r="E92" s="3"/>
      <c r="F92" s="30"/>
      <c r="G92" s="3"/>
      <c r="H92" s="3"/>
      <c r="I92" s="30"/>
    </row>
    <row r="93" spans="1:9">
      <c r="A93" s="26"/>
      <c r="B93" s="3"/>
      <c r="C93" s="3"/>
      <c r="D93" s="26"/>
      <c r="E93" s="3"/>
      <c r="F93" s="30"/>
      <c r="G93" s="3"/>
      <c r="H93" s="3"/>
      <c r="I93" s="30"/>
    </row>
    <row r="94" spans="1:9">
      <c r="A94" s="26"/>
      <c r="B94" s="3"/>
      <c r="C94" s="3"/>
      <c r="D94" s="26"/>
      <c r="E94" s="3"/>
      <c r="F94" s="30"/>
      <c r="G94" s="3"/>
      <c r="H94" s="3"/>
      <c r="I94" s="30"/>
    </row>
    <row r="95" spans="1:9">
      <c r="A95" s="26"/>
      <c r="B95" s="3"/>
      <c r="C95" s="3"/>
      <c r="D95" s="26"/>
      <c r="E95" s="3"/>
      <c r="F95" s="30"/>
      <c r="G95" s="3"/>
      <c r="H95" s="3"/>
      <c r="I95" s="30"/>
    </row>
    <row r="96" spans="1:9">
      <c r="A96" s="26"/>
      <c r="B96" s="3"/>
      <c r="C96" s="3"/>
      <c r="D96" s="26"/>
      <c r="E96" s="3"/>
      <c r="F96" s="30"/>
      <c r="G96" s="3"/>
      <c r="H96" s="3"/>
      <c r="I96" s="30"/>
    </row>
    <row r="97" spans="1:9">
      <c r="A97" s="26"/>
      <c r="B97" s="3"/>
      <c r="C97" s="3"/>
      <c r="D97" s="26"/>
      <c r="E97" s="3"/>
      <c r="F97" s="30"/>
      <c r="G97" s="3"/>
      <c r="H97" s="3"/>
      <c r="I97" s="30"/>
    </row>
    <row r="98" spans="1:9" ht="15.75" thickBot="1">
      <c r="A98" s="37"/>
      <c r="B98" s="38"/>
      <c r="C98" s="38"/>
      <c r="D98" s="37"/>
      <c r="E98" s="38"/>
      <c r="F98" s="61"/>
      <c r="G98" s="39"/>
      <c r="H98" s="39"/>
      <c r="I98" s="40"/>
    </row>
    <row r="99" spans="1:9">
      <c r="A99" s="36"/>
      <c r="B99" s="36"/>
      <c r="C99" s="36"/>
      <c r="D99" s="36"/>
      <c r="E99" s="36"/>
      <c r="F99" s="36"/>
      <c r="G99" s="36"/>
      <c r="H99" s="36"/>
      <c r="I99" s="36"/>
    </row>
    <row r="100" spans="1:9">
      <c r="A100" s="36"/>
      <c r="B100" s="36"/>
      <c r="C100" s="36"/>
      <c r="D100" s="36"/>
      <c r="E100" s="36"/>
      <c r="F100" s="36"/>
      <c r="G100" s="21"/>
      <c r="H100" s="36"/>
      <c r="I100" s="36"/>
    </row>
    <row r="101" spans="1:9">
      <c r="A101" s="20"/>
      <c r="B101" s="20"/>
      <c r="C101" s="20"/>
      <c r="D101" s="20"/>
      <c r="E101" s="20"/>
      <c r="F101" s="20"/>
      <c r="G101" s="20"/>
      <c r="H101" s="20"/>
      <c r="I101" s="20"/>
    </row>
    <row r="102" spans="1:9">
      <c r="A102" s="20"/>
      <c r="B102" s="20"/>
      <c r="C102" s="20"/>
      <c r="D102" s="20"/>
      <c r="E102" s="20"/>
      <c r="F102" s="20"/>
      <c r="G102" s="20"/>
      <c r="H102" s="20"/>
      <c r="I102" s="20"/>
    </row>
    <row r="103" spans="1:9">
      <c r="A103" s="20"/>
      <c r="B103" s="20"/>
      <c r="C103" s="20"/>
      <c r="D103" s="20"/>
      <c r="E103" s="20"/>
      <c r="F103" s="20"/>
      <c r="G103" s="20"/>
      <c r="H103" s="20"/>
      <c r="I103" s="20"/>
    </row>
    <row r="104" spans="1:9">
      <c r="A104" s="20"/>
      <c r="B104" s="20"/>
      <c r="C104" s="20"/>
      <c r="D104" s="20"/>
      <c r="E104" s="20"/>
      <c r="F104" s="20"/>
      <c r="G104" s="20"/>
      <c r="H104" s="20"/>
      <c r="I104" s="20"/>
    </row>
    <row r="105" spans="1:9">
      <c r="A105" s="20"/>
      <c r="B105" s="20"/>
      <c r="C105" s="20"/>
      <c r="D105" s="20"/>
      <c r="E105" s="20"/>
      <c r="F105" s="20"/>
      <c r="G105" s="20"/>
      <c r="H105" s="20"/>
      <c r="I105" s="20"/>
    </row>
    <row r="106" spans="1:9">
      <c r="A106" s="36"/>
      <c r="B106" s="36"/>
      <c r="C106" s="36"/>
      <c r="D106" s="41"/>
      <c r="E106" s="20"/>
      <c r="F106" s="20"/>
      <c r="G106" s="20"/>
      <c r="H106" s="20"/>
      <c r="I106" s="20"/>
    </row>
    <row r="107" spans="1:9">
      <c r="A107" s="42"/>
      <c r="B107" s="36"/>
      <c r="C107" s="36"/>
      <c r="D107" s="41"/>
      <c r="E107" s="20"/>
      <c r="F107" s="20"/>
      <c r="G107" s="20"/>
      <c r="H107" s="20"/>
      <c r="I107" s="20"/>
    </row>
    <row r="108" spans="1:9">
      <c r="A108" s="36"/>
      <c r="B108" s="20"/>
      <c r="C108" s="20"/>
      <c r="D108" s="20"/>
      <c r="E108" s="20"/>
      <c r="F108" s="20"/>
      <c r="G108" s="20"/>
      <c r="H108" s="20"/>
      <c r="I108" s="20"/>
    </row>
    <row r="109" spans="1:9">
      <c r="A109" s="36"/>
      <c r="B109" s="20"/>
      <c r="C109" s="20"/>
      <c r="D109" s="20"/>
      <c r="E109" s="20"/>
      <c r="F109" s="20"/>
      <c r="G109" s="20"/>
      <c r="H109" s="20"/>
      <c r="I109" s="20"/>
    </row>
    <row r="110" spans="1:9">
      <c r="A110" s="36"/>
      <c r="B110" s="36"/>
      <c r="C110" s="20"/>
      <c r="D110" s="21"/>
      <c r="E110" s="21"/>
      <c r="F110" s="21"/>
      <c r="G110" s="21"/>
      <c r="H110" s="21"/>
      <c r="I110" s="21"/>
    </row>
    <row r="111" spans="1:9">
      <c r="A111" s="43"/>
      <c r="B111" s="43"/>
      <c r="C111" s="43"/>
      <c r="D111" s="43"/>
      <c r="E111" s="43"/>
      <c r="F111" s="43"/>
      <c r="G111" s="43"/>
      <c r="H111" s="43"/>
      <c r="I111" s="43"/>
    </row>
    <row r="112" spans="1:9">
      <c r="A112" s="43"/>
      <c r="B112" s="43"/>
      <c r="C112" s="43"/>
      <c r="D112" s="43"/>
      <c r="E112" s="43"/>
      <c r="F112" s="43"/>
      <c r="G112" s="43"/>
      <c r="H112" s="43"/>
      <c r="I112" s="43"/>
    </row>
  </sheetData>
  <mergeCells count="36">
    <mergeCell ref="E3:I4"/>
    <mergeCell ref="A75:C75"/>
    <mergeCell ref="A56:C56"/>
    <mergeCell ref="A63:C63"/>
    <mergeCell ref="A64:C64"/>
    <mergeCell ref="A72:C72"/>
    <mergeCell ref="A74:C74"/>
    <mergeCell ref="A67:C67"/>
    <mergeCell ref="A68:C68"/>
    <mergeCell ref="A69:C69"/>
    <mergeCell ref="A51:C51"/>
    <mergeCell ref="A58:C58"/>
    <mergeCell ref="A59:C59"/>
    <mergeCell ref="A70:C70"/>
    <mergeCell ref="A71:C71"/>
    <mergeCell ref="A52:C52"/>
    <mergeCell ref="A65:C65"/>
    <mergeCell ref="A66:C66"/>
    <mergeCell ref="A55:C55"/>
    <mergeCell ref="A54:C54"/>
    <mergeCell ref="A50:C50"/>
    <mergeCell ref="A57:C57"/>
    <mergeCell ref="A60:C60"/>
    <mergeCell ref="A61:C61"/>
    <mergeCell ref="A62:C62"/>
    <mergeCell ref="A53:C53"/>
    <mergeCell ref="A49:C49"/>
    <mergeCell ref="A48:C48"/>
    <mergeCell ref="A40:C40"/>
    <mergeCell ref="A42:C42"/>
    <mergeCell ref="A41:C41"/>
    <mergeCell ref="A47:C47"/>
    <mergeCell ref="A46:C46"/>
    <mergeCell ref="A45:C45"/>
    <mergeCell ref="A44:C44"/>
    <mergeCell ref="A43:C43"/>
  </mergeCells>
  <pageMargins left="0.78740157480314965" right="0.31496062992125984" top="0.59055118110236227" bottom="0.23622047244094491" header="0.31496062992125984" footer="0.31496062992125984"/>
  <pageSetup paperSize="9" scale="6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PICKINGLIST</vt:lpstr>
      <vt:lpstr>CMR</vt:lpstr>
      <vt:lpstr>PICKINGLIST!Print_Titles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Quang</cp:lastModifiedBy>
  <cp:lastPrinted>2015-07-07T04:13:43Z</cp:lastPrinted>
  <dcterms:created xsi:type="dcterms:W3CDTF">2012-05-29T12:57:55Z</dcterms:created>
  <dcterms:modified xsi:type="dcterms:W3CDTF">2016-12-12T03:03:41Z</dcterms:modified>
</cp:coreProperties>
</file>