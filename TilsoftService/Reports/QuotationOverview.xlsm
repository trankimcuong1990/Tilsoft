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QuotationOverview" sheetId="1" r:id="rId1"/>
    <sheet name="GetReportData" sheetId="2" r:id="rId2"/>
    <sheet name="ReportHeader" sheetId="3" r:id="rId3"/>
  </sheets>
  <definedNames>
    <definedName name="_xlnm._FilterDatabase" localSheetId="0" hidden="1">QuotationOverview!$A$5:$AF$5</definedName>
  </definedNames>
  <calcPr calcId="162913"/>
</workbook>
</file>

<file path=xl/calcChain.xml><?xml version="1.0" encoding="utf-8"?>
<calcChain xmlns="http://schemas.openxmlformats.org/spreadsheetml/2006/main">
  <c r="G6" i="1" l="1"/>
  <c r="H6" i="1"/>
  <c r="F6" i="1"/>
  <c r="AF6" i="1" l="1"/>
  <c r="AE6" i="1"/>
  <c r="AD6" i="1"/>
  <c r="AC6" i="1"/>
  <c r="AB6" i="1" l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I3" i="1" s="1"/>
  <c r="E6" i="1"/>
  <c r="D6" i="1"/>
  <c r="C6" i="1"/>
  <c r="B6" i="1"/>
  <c r="A6" i="1"/>
  <c r="J4" i="1"/>
  <c r="I4" i="1"/>
  <c r="J3" i="1"/>
  <c r="F1" i="1"/>
  <c r="L2" i="1" s="1"/>
  <c r="M2" i="1" l="1"/>
  <c r="N2" i="1"/>
</calcChain>
</file>

<file path=xl/sharedStrings.xml><?xml version="1.0" encoding="utf-8"?>
<sst xmlns="http://schemas.openxmlformats.org/spreadsheetml/2006/main" count="61" uniqueCount="59">
  <si>
    <t>LDS</t>
  </si>
  <si>
    <t>QUOTATION OVERVIEW</t>
  </si>
  <si>
    <t>#</t>
  </si>
  <si>
    <t>CLIENT</t>
  </si>
  <si>
    <t>FACTORY</t>
  </si>
  <si>
    <t>FACTORY ORDER</t>
  </si>
  <si>
    <t>ART.CODE</t>
  </si>
  <si>
    <t>DESCRIPTION</t>
  </si>
  <si>
    <t>QNT / 40HC</t>
  </si>
  <si>
    <t>ORDER QNT</t>
  </si>
  <si>
    <t>ORDER QNT/40HC</t>
  </si>
  <si>
    <t>DIFF.CODE</t>
  </si>
  <si>
    <t>REMARK OLD PRICE</t>
  </si>
  <si>
    <t>FACTORY PRICE 1</t>
  </si>
  <si>
    <t>TARGET PRICE 1</t>
  </si>
  <si>
    <t>FACTORY PRICE2</t>
  </si>
  <si>
    <t>TARGET PRICE 2</t>
  </si>
  <si>
    <t>FACTORY PRICE3</t>
  </si>
  <si>
    <t>TARGET PRICE 3</t>
  </si>
  <si>
    <t>PRICE STATUS</t>
  </si>
  <si>
    <t>STATUS DATE</t>
  </si>
  <si>
    <t>REMARK</t>
  </si>
  <si>
    <t>STATUS</t>
  </si>
  <si>
    <t>PRICE UPDATED DATE</t>
  </si>
  <si>
    <t>WAITING COMMENT</t>
  </si>
  <si>
    <t>B/L</t>
  </si>
  <si>
    <t>CONTAINER</t>
  </si>
  <si>
    <t>PURCHASING INVOICE</t>
  </si>
  <si>
    <t>ETD</t>
  </si>
  <si>
    <t>ORDER TYPE</t>
  </si>
  <si>
    <t>ClientUD</t>
  </si>
  <si>
    <t>FactoryUD</t>
  </si>
  <si>
    <t>FactoryOrderUD</t>
  </si>
  <si>
    <t>ArticleCode</t>
  </si>
  <si>
    <t>Description</t>
  </si>
  <si>
    <t>Qnt40HC</t>
  </si>
  <si>
    <t>OrderQnt</t>
  </si>
  <si>
    <t>OrderQnt40HC</t>
  </si>
  <si>
    <t>PriceDifferenceCode</t>
  </si>
  <si>
    <t>OldPrice1</t>
  </si>
  <si>
    <t>OldPrice2</t>
  </si>
  <si>
    <t>OldPrice3</t>
  </si>
  <si>
    <t>OldPriceRemark</t>
  </si>
  <si>
    <t>FactoryPrice1</t>
  </si>
  <si>
    <t>FurnindoPrice1</t>
  </si>
  <si>
    <t>FactoryPrice2</t>
  </si>
  <si>
    <t>FurnindoPrice2</t>
  </si>
  <si>
    <t>FactoryPrice3</t>
  </si>
  <si>
    <t>FurnindoPrice3</t>
  </si>
  <si>
    <t>QuotationStatusNM</t>
  </si>
  <si>
    <t>StatusUpdatedDate</t>
  </si>
  <si>
    <t>Remark</t>
  </si>
  <si>
    <t>ProductionStatus</t>
  </si>
  <si>
    <t>PriceUpdatedDate</t>
  </si>
  <si>
    <t>WaitingComment</t>
  </si>
  <si>
    <t>BLNo</t>
  </si>
  <si>
    <t>ContainerNo</t>
  </si>
  <si>
    <t>PurchasingInvoiceNo</t>
  </si>
  <si>
    <t>OrderTypeNM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</si>
</sst>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\ _B_F_-;\-* #,##0\ _B_F_-;_-* &quot;-&quot;\ _B_F_-;_-@_-"/>
    <numFmt numFmtId="165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FF0000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8"/>
      <color theme="1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/>
  </cellStyleXfs>
  <cellXfs count="18">
    <xf numFmtId="0" fontId="0" fillId="0" borderId="0" xfId="0" applyNumberFormat="1" applyFont="1" applyFill="1" applyBorder="1"/>
    <xf numFmtId="49" fontId="2" fillId="0" borderId="1" xfId="1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/>
    <xf numFmtId="49" fontId="4" fillId="0" borderId="0" xfId="0" applyNumberFormat="1" applyFont="1" applyFill="1" applyBorder="1"/>
    <xf numFmtId="0" fontId="3" fillId="0" borderId="0" xfId="0" applyNumberFormat="1" applyFont="1" applyFill="1" applyBorder="1"/>
    <xf numFmtId="0" fontId="5" fillId="2" borderId="2" xfId="0" applyNumberFormat="1" applyFont="1" applyFill="1" applyBorder="1" applyAlignment="1">
      <alignment horizontal="center" vertical="center" wrapText="1"/>
    </xf>
    <xf numFmtId="0" fontId="5" fillId="3" borderId="2" xfId="0" applyNumberFormat="1" applyFont="1" applyFill="1" applyBorder="1" applyAlignment="1">
      <alignment horizontal="center" vertical="center" wrapText="1"/>
    </xf>
    <xf numFmtId="3" fontId="5" fillId="3" borderId="2" xfId="0" applyNumberFormat="1" applyFont="1" applyFill="1" applyBorder="1" applyAlignment="1">
      <alignment horizontal="right" vertical="center" wrapText="1"/>
    </xf>
    <xf numFmtId="4" fontId="5" fillId="3" borderId="2" xfId="0" applyNumberFormat="1" applyFont="1" applyFill="1" applyBorder="1" applyAlignment="1">
      <alignment horizontal="right" vertical="center" wrapText="1"/>
    </xf>
    <xf numFmtId="0" fontId="3" fillId="3" borderId="2" xfId="0" applyNumberFormat="1" applyFont="1" applyFill="1" applyBorder="1"/>
    <xf numFmtId="0" fontId="3" fillId="0" borderId="2" xfId="0" applyNumberFormat="1" applyFont="1" applyFill="1" applyBorder="1"/>
    <xf numFmtId="0" fontId="3" fillId="0" borderId="2" xfId="0" applyNumberFormat="1" applyFont="1" applyFill="1" applyBorder="1" applyAlignment="1">
      <alignment horizontal="center" vertical="top"/>
    </xf>
    <xf numFmtId="0" fontId="3" fillId="0" borderId="2" xfId="0" applyNumberFormat="1" applyFont="1" applyFill="1" applyBorder="1" applyAlignment="1">
      <alignment horizontal="left" vertical="top"/>
    </xf>
    <xf numFmtId="3" fontId="3" fillId="0" borderId="2" xfId="0" applyNumberFormat="1" applyFont="1" applyFill="1" applyBorder="1" applyAlignment="1">
      <alignment horizontal="right" vertical="top"/>
    </xf>
    <xf numFmtId="4" fontId="3" fillId="0" borderId="2" xfId="0" applyNumberFormat="1" applyFont="1" applyFill="1" applyBorder="1" applyAlignment="1">
      <alignment horizontal="right" vertical="top"/>
    </xf>
    <xf numFmtId="165" fontId="3" fillId="0" borderId="2" xfId="0" applyNumberFormat="1" applyFont="1" applyFill="1" applyBorder="1" applyAlignment="1">
      <alignment horizontal="right" vertical="top"/>
    </xf>
    <xf numFmtId="14" fontId="3" fillId="0" borderId="2" xfId="0" applyNumberFormat="1" applyFont="1" applyFill="1" applyBorder="1" applyAlignment="1">
      <alignment horizontal="center" vertical="top"/>
    </xf>
    <xf numFmtId="0" fontId="6" fillId="0" borderId="0" xfId="0" applyNumberFormat="1" applyFon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6"/>
  <sheetViews>
    <sheetView tabSelected="1" workbookViewId="0">
      <pane xSplit="10" ySplit="5" topLeftCell="K6" activePane="bottomRight" state="frozen"/>
      <selection pane="topRight" activeCell="J1" sqref="J1"/>
      <selection pane="bottomLeft" activeCell="A6" sqref="A6"/>
      <selection pane="bottomRight" activeCell="F17" sqref="F17"/>
    </sheetView>
  </sheetViews>
  <sheetFormatPr defaultRowHeight="11.25" x14ac:dyDescent="0.2"/>
  <cols>
    <col min="1" max="1" width="4.85546875" style="4" customWidth="1"/>
    <col min="2" max="2" width="9.140625" style="4" customWidth="1"/>
    <col min="3" max="3" width="11.28515625" style="4" customWidth="1"/>
    <col min="4" max="4" width="9.7109375" style="4" customWidth="1"/>
    <col min="5" max="5" width="15.28515625" style="4" customWidth="1"/>
    <col min="6" max="6" width="42.28515625" style="4" customWidth="1"/>
    <col min="7" max="7" width="12.5703125" style="4" customWidth="1"/>
    <col min="8" max="10" width="6.85546875" style="4" customWidth="1"/>
    <col min="11" max="11" width="5" style="4" customWidth="1"/>
    <col min="12" max="14" width="7.28515625" style="4" customWidth="1"/>
    <col min="15" max="21" width="9.28515625" style="4" customWidth="1"/>
    <col min="22" max="22" width="9.140625" style="4" customWidth="1"/>
    <col min="23" max="23" width="9.5703125" style="4" customWidth="1"/>
    <col min="24" max="24" width="15" style="4" customWidth="1"/>
    <col min="25" max="25" width="6.140625" style="4" bestFit="1" customWidth="1"/>
    <col min="26" max="26" width="9.5703125" style="4" customWidth="1"/>
    <col min="27" max="27" width="16.140625" style="4" bestFit="1" customWidth="1"/>
    <col min="28" max="28" width="9.5703125" style="4" customWidth="1"/>
    <col min="29" max="29" width="8.85546875" style="4" bestFit="1" customWidth="1"/>
    <col min="30" max="30" width="9" style="4" bestFit="1" customWidth="1"/>
    <col min="31" max="32" width="10.85546875" style="4" bestFit="1" customWidth="1"/>
    <col min="33" max="16384" width="9.140625" style="4"/>
  </cols>
  <sheetData>
    <row r="1" spans="1:32" ht="18" x14ac:dyDescent="0.25">
      <c r="A1" s="1" t="s">
        <v>1</v>
      </c>
      <c r="C1" s="2"/>
      <c r="D1" s="2"/>
      <c r="E1" s="3"/>
      <c r="F1" s="17">
        <f>ReportHeader!A2</f>
        <v>0</v>
      </c>
      <c r="G1" s="17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32" ht="33.75" x14ac:dyDescent="0.2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29</v>
      </c>
      <c r="H2" s="5" t="s">
        <v>8</v>
      </c>
      <c r="I2" s="5" t="s">
        <v>9</v>
      </c>
      <c r="J2" s="5" t="s">
        <v>10</v>
      </c>
      <c r="K2" s="5" t="s">
        <v>11</v>
      </c>
      <c r="L2" s="5" t="str">
        <f>"PRICE "&amp;(VALUE(LEFT($F$1,4))-3)&amp;"-"&amp;SUBSTITUTE(VALUE(LEFT($F$1,4))-2,"20","")</f>
        <v>PRICE -3--2</v>
      </c>
      <c r="M2" s="5" t="str">
        <f>"PRICE "&amp;(VALUE(LEFT($F$1,4))-2)&amp;"-"&amp;SUBSTITUTE(VALUE(LEFT($F$1,4))-1,"20","")</f>
        <v>PRICE -2--1</v>
      </c>
      <c r="N2" s="5" t="str">
        <f>"PRICE "&amp;(VALUE(LEFT($F$1,4))-1)&amp;"-"&amp;SUBSTITUTE(VALUE(LEFT($F$1,4)),"20","")</f>
        <v>PRICE -1-0</v>
      </c>
      <c r="O2" s="5" t="s">
        <v>12</v>
      </c>
      <c r="P2" s="5" t="s">
        <v>13</v>
      </c>
      <c r="Q2" s="5" t="s">
        <v>14</v>
      </c>
      <c r="R2" s="5" t="s">
        <v>15</v>
      </c>
      <c r="S2" s="5" t="s">
        <v>16</v>
      </c>
      <c r="T2" s="5" t="s">
        <v>17</v>
      </c>
      <c r="U2" s="5" t="s">
        <v>18</v>
      </c>
      <c r="V2" s="5" t="s">
        <v>19</v>
      </c>
      <c r="W2" s="5" t="s">
        <v>20</v>
      </c>
      <c r="X2" s="5" t="s">
        <v>21</v>
      </c>
      <c r="Y2" s="5" t="s">
        <v>22</v>
      </c>
      <c r="Z2" s="5" t="s">
        <v>23</v>
      </c>
      <c r="AA2" s="5" t="s">
        <v>24</v>
      </c>
      <c r="AB2" s="5" t="s">
        <v>0</v>
      </c>
      <c r="AC2" s="5" t="s">
        <v>25</v>
      </c>
      <c r="AD2" s="5" t="s">
        <v>28</v>
      </c>
      <c r="AE2" s="5" t="s">
        <v>26</v>
      </c>
      <c r="AF2" s="5" t="s">
        <v>27</v>
      </c>
    </row>
    <row r="3" spans="1:32" x14ac:dyDescent="0.2">
      <c r="A3" s="6"/>
      <c r="B3" s="6"/>
      <c r="C3" s="6"/>
      <c r="D3" s="6"/>
      <c r="E3" s="6"/>
      <c r="F3" s="6"/>
      <c r="G3" s="6"/>
      <c r="H3" s="7"/>
      <c r="I3" s="7">
        <f t="shared" ref="I3:J3" si="0">SUM(I6:I50000)</f>
        <v>0</v>
      </c>
      <c r="J3" s="8">
        <f t="shared" si="0"/>
        <v>0</v>
      </c>
      <c r="K3" s="8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9"/>
      <c r="Z3" s="9"/>
      <c r="AA3" s="9"/>
      <c r="AB3" s="9"/>
      <c r="AC3" s="9"/>
      <c r="AD3" s="9"/>
      <c r="AE3" s="9"/>
      <c r="AF3" s="9"/>
    </row>
    <row r="4" spans="1:32" x14ac:dyDescent="0.2">
      <c r="A4" s="6"/>
      <c r="B4" s="6"/>
      <c r="C4" s="6"/>
      <c r="D4" s="6"/>
      <c r="E4" s="6"/>
      <c r="F4" s="6"/>
      <c r="G4" s="6"/>
      <c r="H4" s="7"/>
      <c r="I4" s="7">
        <f t="shared" ref="I4:J4" si="1">SUBTOTAL(9,I6:I50000)</f>
        <v>0</v>
      </c>
      <c r="J4" s="8">
        <f t="shared" si="1"/>
        <v>0</v>
      </c>
      <c r="K4" s="8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9"/>
      <c r="Z4" s="9"/>
      <c r="AA4" s="9"/>
      <c r="AB4" s="9"/>
      <c r="AC4" s="9"/>
      <c r="AD4" s="9"/>
      <c r="AE4" s="9"/>
      <c r="AF4" s="9"/>
    </row>
    <row r="5" spans="1:32" x14ac:dyDescent="0.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x14ac:dyDescent="0.2">
      <c r="A6" s="10">
        <f>ROW()-5</f>
        <v>1</v>
      </c>
      <c r="B6" s="11" t="str">
        <f>GetReportData!A2&amp;""</f>
        <v/>
      </c>
      <c r="C6" s="11" t="str">
        <f>GetReportData!B2&amp;""</f>
        <v/>
      </c>
      <c r="D6" s="11" t="str">
        <f>GetReportData!C2&amp;""</f>
        <v/>
      </c>
      <c r="E6" s="12" t="str">
        <f>GetReportData!D2&amp;""</f>
        <v/>
      </c>
      <c r="F6" s="12" t="str">
        <f>GetReportData!E2&amp;""</f>
        <v/>
      </c>
      <c r="G6" s="12" t="str">
        <f>GetReportData!AE2&amp;""</f>
        <v/>
      </c>
      <c r="H6" s="13">
        <f>GetReportData!F2</f>
        <v>0</v>
      </c>
      <c r="I6" s="13">
        <f>GetReportData!G2</f>
        <v>0</v>
      </c>
      <c r="J6" s="14">
        <f>GetReportData!H2</f>
        <v>0</v>
      </c>
      <c r="K6" s="11" t="str">
        <f>GetReportData!I2&amp;""</f>
        <v/>
      </c>
      <c r="L6" s="15">
        <f>GetReportData!J2</f>
        <v>0</v>
      </c>
      <c r="M6" s="15">
        <f>GetReportData!K2</f>
        <v>0</v>
      </c>
      <c r="N6" s="15">
        <f>GetReportData!L2</f>
        <v>0</v>
      </c>
      <c r="O6" s="11" t="str">
        <f>GetReportData!M2&amp;""</f>
        <v/>
      </c>
      <c r="P6" s="15">
        <f>GetReportData!N2</f>
        <v>0</v>
      </c>
      <c r="Q6" s="15">
        <f>GetReportData!O2</f>
        <v>0</v>
      </c>
      <c r="R6" s="15">
        <f>GetReportData!P2</f>
        <v>0</v>
      </c>
      <c r="S6" s="15">
        <f>GetReportData!Q2</f>
        <v>0</v>
      </c>
      <c r="T6" s="15">
        <f>GetReportData!R2</f>
        <v>0</v>
      </c>
      <c r="U6" s="15">
        <f>GetReportData!S2</f>
        <v>0</v>
      </c>
      <c r="V6" s="11" t="str">
        <f>GetReportData!T2&amp;""</f>
        <v/>
      </c>
      <c r="W6" s="16" t="str">
        <f>IF(ISBLANK(GetReportData!U2),"",DATEVALUE(GetReportData!U2&amp;""))</f>
        <v/>
      </c>
      <c r="X6" s="11" t="str">
        <f>GetReportData!V2&amp;""</f>
        <v/>
      </c>
      <c r="Y6" s="11" t="str">
        <f>GetReportData!W2&amp;""</f>
        <v/>
      </c>
      <c r="Z6" s="16" t="str">
        <f>IF(ISBLANK(GetReportData!X2),"",DATEVALUE(GetReportData!X2&amp;""))</f>
        <v/>
      </c>
      <c r="AA6" s="11" t="str">
        <f>GetReportData!Y2&amp;""</f>
        <v/>
      </c>
      <c r="AB6" s="16" t="str">
        <f>IF(ISBLANK(GetReportData!Z2),"",DATEVALUE(GetReportData!Z2&amp;""))</f>
        <v/>
      </c>
      <c r="AC6" s="10" t="str">
        <f>GetReportData!AA2&amp;""</f>
        <v/>
      </c>
      <c r="AD6" s="10" t="str">
        <f>GetReportData!AB2&amp;""</f>
        <v/>
      </c>
      <c r="AE6" s="10" t="str">
        <f>GetReportData!AC2&amp;""</f>
        <v/>
      </c>
      <c r="AF6" s="10" t="str">
        <f>GetReportData!AD2&amp;""</f>
        <v/>
      </c>
    </row>
  </sheetData>
  <autoFilter ref="A5:AF5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"/>
  <sheetViews>
    <sheetView topLeftCell="N1" workbookViewId="0">
      <selection activeCell="Y8" sqref="Y8"/>
    </sheetView>
  </sheetViews>
  <sheetFormatPr defaultRowHeight="15" x14ac:dyDescent="0.25"/>
  <cols>
    <col min="6" max="6" width="11" customWidth="1"/>
  </cols>
  <sheetData>
    <row r="1" spans="1:31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0</v>
      </c>
      <c r="AA1" t="s">
        <v>55</v>
      </c>
      <c r="AB1" t="s">
        <v>28</v>
      </c>
      <c r="AC1" t="s">
        <v>56</v>
      </c>
      <c r="AD1" t="s">
        <v>57</v>
      </c>
      <c r="AE1" t="s"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13" sqref="K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QuotationOverview</vt:lpstr>
      <vt:lpstr>GetReportData</vt:lpstr>
      <vt:lpstr>ReportHeader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2019-09-17T05:02:27Z</dcterms:modified>
</cp:coreProperties>
</file>