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ilsoft\TILSOFTv1\SOLUTION\TilsoftService\Reports\"/>
    </mc:Choice>
  </mc:AlternateContent>
  <bookViews>
    <workbookView xWindow="0" yWindow="0" windowWidth="28800" windowHeight="12435"/>
  </bookViews>
  <sheets>
    <sheet name="Inventory" sheetId="1" r:id="rId1"/>
    <sheet name="CommonData" sheetId="4" r:id="rId2"/>
    <sheet name="InventoryData" sheetId="8" r:id="rId3"/>
    <sheet name="ClientData" sheetId="9" r:id="rId4"/>
  </sheets>
  <definedNames>
    <definedName name="_xlnm._FilterDatabase" localSheetId="0" hidden="1">Inventory!$A$8:$Q$8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P3" i="1" l="1"/>
  <c r="D5" i="1" l="1"/>
  <c r="G9" i="1" l="1"/>
  <c r="F9" i="1" l="1"/>
  <c r="E9" i="1" l="1"/>
  <c r="O9" i="1" l="1"/>
  <c r="N9" i="1"/>
  <c r="Q9" i="1"/>
  <c r="P9" i="1"/>
  <c r="M9" i="1"/>
  <c r="Q7" i="1" l="1"/>
  <c r="Q6" i="1"/>
  <c r="N6" i="1"/>
  <c r="N7" i="1"/>
  <c r="P7" i="1"/>
  <c r="P6" i="1"/>
  <c r="M7" i="1"/>
  <c r="M6" i="1"/>
  <c r="O7" i="1"/>
  <c r="O6" i="1"/>
  <c r="J9" i="1"/>
  <c r="K9" i="1"/>
  <c r="L9" i="1"/>
  <c r="I9" i="1"/>
  <c r="J7" i="1" l="1"/>
  <c r="J6" i="1"/>
  <c r="I6" i="1"/>
  <c r="I7" i="1"/>
  <c r="K7" i="1"/>
  <c r="K6" i="1"/>
  <c r="L7" i="1"/>
  <c r="L6" i="1"/>
  <c r="H9" i="1"/>
  <c r="C9" i="1"/>
  <c r="B9" i="1"/>
  <c r="A9" i="1"/>
  <c r="H7" i="1" l="1"/>
  <c r="H6" i="1"/>
  <c r="C3" i="1"/>
</calcChain>
</file>

<file path=xl/sharedStrings.xml><?xml version="1.0" encoding="utf-8"?>
<sst xmlns="http://schemas.openxmlformats.org/spreadsheetml/2006/main" count="45" uniqueCount="45">
  <si>
    <t>INVENTORY REPORT</t>
  </si>
  <si>
    <t>ProductionItemID</t>
  </si>
  <si>
    <t>ProductionItemUD</t>
  </si>
  <si>
    <t>ProductionItemNM</t>
  </si>
  <si>
    <t>TotalBeginning</t>
  </si>
  <si>
    <t>TotalReceiving</t>
  </si>
  <si>
    <t>TotalDelivering</t>
  </si>
  <si>
    <t>TotalEndingInventory</t>
  </si>
  <si>
    <t>FactoryWarehouseID</t>
  </si>
  <si>
    <t>PrimaryID</t>
  </si>
  <si>
    <t>ReportDate</t>
  </si>
  <si>
    <t>StartDate</t>
  </si>
  <si>
    <t>EndDate</t>
  </si>
  <si>
    <t>FactoryWarehouseNM</t>
  </si>
  <si>
    <t>ProductionTeamID</t>
  </si>
  <si>
    <t>ProductionItemTypeID</t>
  </si>
  <si>
    <t>UnitNM</t>
  </si>
  <si>
    <t>TOTAL</t>
  </si>
  <si>
    <t>SUB TOTAL</t>
  </si>
  <si>
    <t>#</t>
  </si>
  <si>
    <t>CODE</t>
  </si>
  <si>
    <t>NAME</t>
  </si>
  <si>
    <t>ProductionTeamNM</t>
  </si>
  <si>
    <t>SubUnitNM</t>
  </si>
  <si>
    <t>TotalBeginningConversionFactor</t>
  </si>
  <si>
    <t>TotalReceivingConversionFactor</t>
  </si>
  <si>
    <t>TotalDeliveringConversionFactor</t>
  </si>
  <si>
    <t>TotalEndingInventoryConversionFactor</t>
  </si>
  <si>
    <t>BEGINNING
(2)</t>
  </si>
  <si>
    <t>RECEIVING
(2)</t>
  </si>
  <si>
    <t>DELIVERING
(2)</t>
  </si>
  <si>
    <t>ENDING
(2)</t>
  </si>
  <si>
    <t>UNIT
(2)</t>
  </si>
  <si>
    <t>UNIT
(1)</t>
  </si>
  <si>
    <t>BEGINNING
(1)</t>
  </si>
  <si>
    <t>RECEIVING
(1)</t>
  </si>
  <si>
    <t>DELIVERING
(1)</t>
  </si>
  <si>
    <t>ENDING
(1)</t>
  </si>
  <si>
    <t>From - To (Date)</t>
  </si>
  <si>
    <t>Report Date</t>
  </si>
  <si>
    <t>ClientUD</t>
  </si>
  <si>
    <t>CLIENT</t>
  </si>
  <si>
    <t>MaterialColorNM</t>
  </si>
  <si>
    <t>MATERIAL COLOR</t>
  </si>
  <si>
    <t>FRAME 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</si>
</sst>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/>
  </cellStyleXfs>
  <cellXfs count="39">
    <xf numFmtId="0" fontId="0" fillId="0" borderId="0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 vertical="top"/>
    </xf>
    <xf numFmtId="0" fontId="2" fillId="0" borderId="0" xfId="0" applyNumberFormat="1" applyFont="1" applyFill="1" applyBorder="1" applyAlignment="1">
      <alignment horizontal="right" vertical="top"/>
    </xf>
    <xf numFmtId="0" fontId="2" fillId="0" borderId="0" xfId="1" applyNumberFormat="1" applyFont="1" applyFill="1" applyBorder="1" applyAlignment="1">
      <alignment horizontal="center" vertical="center"/>
    </xf>
    <xf numFmtId="0" fontId="2" fillId="0" borderId="0" xfId="1" applyNumberFormat="1" applyFont="1" applyFill="1" applyBorder="1" applyAlignment="1">
      <alignment horizontal="right" vertical="top"/>
    </xf>
    <xf numFmtId="0" fontId="2" fillId="0" borderId="0" xfId="0" applyNumberFormat="1" applyFont="1" applyFill="1" applyBorder="1" applyAlignment="1">
      <alignment horizontal="center" vertical="top" wrapText="1"/>
    </xf>
    <xf numFmtId="0" fontId="2" fillId="0" borderId="0" xfId="0" applyNumberFormat="1" applyFont="1" applyFill="1" applyBorder="1" applyAlignment="1">
      <alignment vertical="center"/>
    </xf>
    <xf numFmtId="0" fontId="2" fillId="0" borderId="1" xfId="0" applyNumberFormat="1" applyFont="1" applyFill="1" applyBorder="1" applyAlignment="1">
      <alignment horizontal="center" vertical="top" wrapText="1"/>
    </xf>
    <xf numFmtId="0" fontId="2" fillId="0" borderId="1" xfId="0" applyNumberFormat="1" applyFont="1" applyFill="1" applyBorder="1" applyAlignment="1">
      <alignment horizontal="left" vertical="top" wrapText="1"/>
    </xf>
    <xf numFmtId="0" fontId="2" fillId="0" borderId="0" xfId="0" applyNumberFormat="1" applyFont="1" applyFill="1" applyBorder="1" applyAlignment="1">
      <alignment horizontal="left" vertical="top" wrapText="1"/>
    </xf>
    <xf numFmtId="0" fontId="3" fillId="2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/>
    <xf numFmtId="0" fontId="3" fillId="4" borderId="1" xfId="1" applyNumberFormat="1" applyFont="1" applyFill="1" applyBorder="1" applyAlignment="1">
      <alignment horizontal="center" vertical="center" wrapText="1"/>
    </xf>
    <xf numFmtId="0" fontId="3" fillId="5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>
      <alignment horizontal="center" vertical="center" wrapText="1"/>
    </xf>
    <xf numFmtId="0" fontId="3" fillId="4" borderId="1" xfId="0" applyNumberFormat="1" applyFont="1" applyFill="1" applyBorder="1" applyAlignment="1">
      <alignment horizontal="center" vertical="center" wrapText="1"/>
    </xf>
    <xf numFmtId="0" fontId="5" fillId="5" borderId="1" xfId="0" applyNumberFormat="1" applyFont="1" applyFill="1" applyBorder="1" applyAlignment="1">
      <alignment horizontal="center" vertical="top" wrapText="1"/>
    </xf>
    <xf numFmtId="0" fontId="3" fillId="3" borderId="3" xfId="0" applyNumberFormat="1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right" vertical="center"/>
    </xf>
    <xf numFmtId="164" fontId="3" fillId="5" borderId="1" xfId="1" applyNumberFormat="1" applyFont="1" applyFill="1" applyBorder="1" applyAlignment="1">
      <alignment horizontal="right" vertical="center"/>
    </xf>
    <xf numFmtId="164" fontId="3" fillId="5" borderId="1" xfId="1" applyNumberFormat="1" applyFont="1" applyFill="1" applyBorder="1" applyAlignment="1">
      <alignment horizontal="right" vertical="center" wrapText="1"/>
    </xf>
    <xf numFmtId="164" fontId="3" fillId="7" borderId="1" xfId="1" applyNumberFormat="1" applyFont="1" applyFill="1" applyBorder="1" applyAlignment="1">
      <alignment horizontal="right" vertical="center" wrapText="1"/>
    </xf>
    <xf numFmtId="164" fontId="3" fillId="0" borderId="1" xfId="0" applyNumberFormat="1" applyFont="1" applyFill="1" applyBorder="1" applyAlignment="1">
      <alignment horizontal="right" vertical="top" wrapText="1"/>
    </xf>
    <xf numFmtId="164" fontId="2" fillId="0" borderId="1" xfId="0" applyNumberFormat="1" applyFont="1" applyFill="1" applyBorder="1"/>
    <xf numFmtId="164" fontId="5" fillId="5" borderId="1" xfId="0" applyNumberFormat="1" applyFont="1" applyFill="1" applyBorder="1" applyAlignment="1">
      <alignment horizontal="right" vertical="top" wrapText="1"/>
    </xf>
    <xf numFmtId="164" fontId="5" fillId="7" borderId="1" xfId="0" applyNumberFormat="1" applyFont="1" applyFill="1" applyBorder="1" applyAlignment="1">
      <alignment horizontal="right" vertical="top" wrapText="1"/>
    </xf>
    <xf numFmtId="0" fontId="3" fillId="7" borderId="1" xfId="1" applyNumberFormat="1" applyFont="1" applyFill="1" applyBorder="1" applyAlignment="1">
      <alignment horizontal="right" vertical="center" wrapText="1"/>
    </xf>
    <xf numFmtId="0" fontId="5" fillId="7" borderId="1" xfId="0" applyNumberFormat="1" applyFont="1" applyFill="1" applyBorder="1" applyAlignment="1">
      <alignment horizontal="center" vertical="top" wrapText="1"/>
    </xf>
    <xf numFmtId="0" fontId="3" fillId="3" borderId="3" xfId="0" applyNumberFormat="1" applyFont="1" applyFill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3" fillId="3" borderId="2" xfId="0" applyNumberFormat="1" applyFont="1" applyFill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"/>
  <sheetViews>
    <sheetView showZeros="0" tabSelected="1" view="pageBreakPreview" zoomScale="80" zoomScaleNormal="80" zoomScaleSheetLayoutView="80" workbookViewId="0">
      <pane ySplit="8" topLeftCell="A9" activePane="bottomLeft" state="frozen"/>
      <selection pane="bottomLeft" activeCell="H7" sqref="H7"/>
    </sheetView>
  </sheetViews>
  <sheetFormatPr defaultRowHeight="15" x14ac:dyDescent="0.25"/>
  <cols>
    <col min="1" max="1" width="4.42578125" style="2" customWidth="1"/>
    <col min="2" max="2" width="23.140625" style="6" customWidth="1"/>
    <col min="3" max="3" width="44.42578125" style="10" customWidth="1"/>
    <col min="4" max="4" width="36.7109375" style="10" customWidth="1"/>
    <col min="5" max="5" width="12" style="10" customWidth="1"/>
    <col min="6" max="7" width="15.7109375" style="10" customWidth="1"/>
    <col min="8" max="8" width="9.140625" style="2" customWidth="1"/>
    <col min="9" max="9" width="15.7109375" style="3" customWidth="1"/>
    <col min="10" max="10" width="15.7109375" style="5" bestFit="1" customWidth="1"/>
    <col min="11" max="12" width="15.7109375" style="5" customWidth="1"/>
    <col min="13" max="13" width="9.140625" style="1" customWidth="1"/>
    <col min="14" max="16" width="15.7109375" style="1" customWidth="1"/>
    <col min="17" max="17" width="15.5703125" style="1" customWidth="1"/>
    <col min="18" max="16384" width="9.140625" style="1"/>
  </cols>
  <sheetData>
    <row r="1" spans="1:17" ht="15" customHeight="1" x14ac:dyDescent="0.25">
      <c r="A1" s="36" t="s">
        <v>0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</row>
    <row r="2" spans="1:17" ht="15" customHeight="1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</row>
    <row r="3" spans="1:17" x14ac:dyDescent="0.25">
      <c r="A3" s="35" t="s">
        <v>38</v>
      </c>
      <c r="B3" s="35"/>
      <c r="C3" s="13" t="str">
        <f>CommonData!B2 &amp; " - " &amp; CommonData!C2</f>
        <v xml:space="preserve"> - </v>
      </c>
      <c r="D3" s="13"/>
      <c r="E3" s="13"/>
      <c r="F3" s="13"/>
      <c r="G3" s="13"/>
      <c r="H3" s="14"/>
      <c r="I3" s="14"/>
      <c r="J3" s="4"/>
      <c r="K3" s="4"/>
      <c r="L3" s="4"/>
      <c r="O3" s="4" t="s">
        <v>39</v>
      </c>
      <c r="P3" s="1">
        <f>CommonData!A2</f>
        <v>0</v>
      </c>
    </row>
    <row r="5" spans="1:17" s="7" customFormat="1" ht="28.5" x14ac:dyDescent="0.25">
      <c r="A5" s="11" t="s">
        <v>19</v>
      </c>
      <c r="B5" s="12" t="s">
        <v>20</v>
      </c>
      <c r="C5" s="12" t="s">
        <v>21</v>
      </c>
      <c r="D5" s="12" t="str">
        <f>IF(CommonData!E2 &lt;&gt; 0, "TEAM", "WAREHOUSE")</f>
        <v>WAREHOUSE</v>
      </c>
      <c r="E5" s="12" t="s">
        <v>41</v>
      </c>
      <c r="F5" s="12" t="s">
        <v>43</v>
      </c>
      <c r="G5" s="12" t="s">
        <v>44</v>
      </c>
      <c r="H5" s="19" t="s">
        <v>33</v>
      </c>
      <c r="I5" s="19" t="s">
        <v>34</v>
      </c>
      <c r="J5" s="16" t="s">
        <v>35</v>
      </c>
      <c r="K5" s="16" t="s">
        <v>36</v>
      </c>
      <c r="L5" s="16" t="s">
        <v>37</v>
      </c>
      <c r="M5" s="18" t="s">
        <v>32</v>
      </c>
      <c r="N5" s="18" t="s">
        <v>28</v>
      </c>
      <c r="O5" s="18" t="s">
        <v>29</v>
      </c>
      <c r="P5" s="18" t="s">
        <v>30</v>
      </c>
      <c r="Q5" s="18" t="s">
        <v>31</v>
      </c>
    </row>
    <row r="6" spans="1:17" s="7" customFormat="1" x14ac:dyDescent="0.25">
      <c r="A6" s="37" t="s">
        <v>17</v>
      </c>
      <c r="B6" s="38"/>
      <c r="C6" s="38"/>
      <c r="D6" s="34"/>
      <c r="E6" s="21"/>
      <c r="F6" s="32"/>
      <c r="G6" s="33"/>
      <c r="H6" s="17">
        <f>SUM(H9:H9)</f>
        <v>0</v>
      </c>
      <c r="I6" s="22">
        <f>SUM(I9:I9)</f>
        <v>0</v>
      </c>
      <c r="J6" s="23">
        <f>SUM(J9:J9)</f>
        <v>0</v>
      </c>
      <c r="K6" s="23">
        <f>SUM(K9:K9)</f>
        <v>0</v>
      </c>
      <c r="L6" s="24">
        <f t="shared" ref="L6" si="0">SUM(L9:L9)</f>
        <v>0</v>
      </c>
      <c r="M6" s="30">
        <f>SUM(M9:M9)</f>
        <v>0</v>
      </c>
      <c r="N6" s="25">
        <f>SUM(N9:N9)</f>
        <v>0</v>
      </c>
      <c r="O6" s="25">
        <f>SUM(O9:O9)</f>
        <v>0</v>
      </c>
      <c r="P6" s="25">
        <f>SUM(P9:P9)</f>
        <v>0</v>
      </c>
      <c r="Q6" s="25">
        <f>SUM(Q9:Q9)</f>
        <v>0</v>
      </c>
    </row>
    <row r="7" spans="1:17" s="7" customFormat="1" x14ac:dyDescent="0.25">
      <c r="A7" s="37" t="s">
        <v>18</v>
      </c>
      <c r="B7" s="38"/>
      <c r="C7" s="38"/>
      <c r="D7" s="34"/>
      <c r="E7" s="21"/>
      <c r="F7" s="32"/>
      <c r="G7" s="33"/>
      <c r="H7" s="17">
        <f>SUBTOTAL(9, H9:H9)</f>
        <v>0</v>
      </c>
      <c r="I7" s="22">
        <f>SUBTOTAL(9, I9:I9)</f>
        <v>0</v>
      </c>
      <c r="J7" s="23">
        <f>SUBTOTAL(9, J9:J9)</f>
        <v>0</v>
      </c>
      <c r="K7" s="23">
        <f>SUBTOTAL(9, K9:K9)</f>
        <v>0</v>
      </c>
      <c r="L7" s="24">
        <f t="shared" ref="L7" si="1">SUBTOTAL(9, L9:L9)</f>
        <v>0</v>
      </c>
      <c r="M7" s="30">
        <f>SUBTOTAL(9, M9:M9)</f>
        <v>0</v>
      </c>
      <c r="N7" s="25">
        <f>SUBTOTAL(9, N9:N9)</f>
        <v>0</v>
      </c>
      <c r="O7" s="25">
        <f>SUBTOTAL(9, O9:O9)</f>
        <v>0</v>
      </c>
      <c r="P7" s="25">
        <f>SUBTOTAL(9, P9:P9)</f>
        <v>0</v>
      </c>
      <c r="Q7" s="25">
        <f>SUBTOTAL(9, Q9:Q9)</f>
        <v>0</v>
      </c>
    </row>
    <row r="8" spans="1:17" x14ac:dyDescent="0.25">
      <c r="A8" s="8"/>
      <c r="B8" s="8"/>
      <c r="C8" s="9"/>
      <c r="D8" s="9"/>
      <c r="E8" s="8"/>
      <c r="F8" s="8"/>
      <c r="G8" s="8"/>
      <c r="H8" s="8"/>
      <c r="I8" s="26"/>
      <c r="J8" s="26"/>
      <c r="K8" s="26"/>
      <c r="L8" s="26"/>
      <c r="M8" s="15"/>
      <c r="N8" s="27"/>
      <c r="O8" s="27"/>
      <c r="P8" s="27"/>
      <c r="Q8" s="27"/>
    </row>
    <row r="9" spans="1:17" x14ac:dyDescent="0.25">
      <c r="A9" s="8">
        <f>InventoryData!L2</f>
        <v>0</v>
      </c>
      <c r="B9" s="9">
        <f>InventoryData!E2</f>
        <v>0</v>
      </c>
      <c r="C9" s="9">
        <f>InventoryData!F2</f>
        <v>0</v>
      </c>
      <c r="D9" s="9">
        <f>InventoryData!U2</f>
        <v>0</v>
      </c>
      <c r="E9" s="8">
        <f>InventoryData!M2</f>
        <v>0</v>
      </c>
      <c r="F9" s="8">
        <f>InventoryData!S2</f>
        <v>0</v>
      </c>
      <c r="G9" s="8">
        <f>InventoryData!T2</f>
        <v>0</v>
      </c>
      <c r="H9" s="20">
        <f>InventoryData!G2</f>
        <v>0</v>
      </c>
      <c r="I9" s="28" t="str">
        <f>IF(InventoryData!H2 = 0, "-", InventoryData!H2)</f>
        <v>-</v>
      </c>
      <c r="J9" s="28" t="str">
        <f>IF(InventoryData!I2 = 0, "-", InventoryData!I2)</f>
        <v>-</v>
      </c>
      <c r="K9" s="28" t="str">
        <f>IF(InventoryData!J2 = 0, "-", InventoryData!J2)</f>
        <v>-</v>
      </c>
      <c r="L9" s="28" t="str">
        <f>IF(InventoryData!K2 = 0, "-", InventoryData!K2)</f>
        <v>-</v>
      </c>
      <c r="M9" s="31">
        <f>InventoryData!N2</f>
        <v>0</v>
      </c>
      <c r="N9" s="29" t="str">
        <f>IF(InventoryData!O2 = 0, "-", InventoryData!O2)</f>
        <v>-</v>
      </c>
      <c r="O9" s="29" t="str">
        <f>IF(InventoryData!P2 = 0, "-", InventoryData!P2)</f>
        <v>-</v>
      </c>
      <c r="P9" s="29" t="str">
        <f>IF(InventoryData!Q2 = 0, "-", InventoryData!Q2)</f>
        <v>-</v>
      </c>
      <c r="Q9" s="29" t="str">
        <f>IF(InventoryData!R2 = 0, "-", InventoryData!R2)</f>
        <v>-</v>
      </c>
    </row>
  </sheetData>
  <autoFilter ref="A8:Q8"/>
  <mergeCells count="4">
    <mergeCell ref="A3:B3"/>
    <mergeCell ref="A1:Q2"/>
    <mergeCell ref="A6:C6"/>
    <mergeCell ref="A7:C7"/>
  </mergeCells>
  <pageMargins left="0.7" right="0.7" top="0.75" bottom="0.75" header="0.3" footer="0.3"/>
  <pageSetup scale="3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"/>
  <sheetViews>
    <sheetView zoomScale="80" zoomScaleNormal="80" workbookViewId="0">
      <selection activeCell="E2" sqref="E2"/>
    </sheetView>
  </sheetViews>
  <sheetFormatPr defaultRowHeight="15" x14ac:dyDescent="0.25"/>
  <cols>
    <col min="1" max="1" width="11.42578125" style="1" bestFit="1" customWidth="1"/>
    <col min="2" max="2" width="9.42578125" style="1" bestFit="1" customWidth="1"/>
    <col min="3" max="3" width="8.7109375" style="1" bestFit="1" customWidth="1"/>
    <col min="4" max="4" width="21.5703125" style="1" bestFit="1" customWidth="1"/>
    <col min="5" max="5" width="19.5703125" style="1" bestFit="1" customWidth="1"/>
    <col min="6" max="16384" width="9.140625" style="1"/>
  </cols>
  <sheetData>
    <row r="1" spans="1:5" x14ac:dyDescent="0.25">
      <c r="A1" s="1" t="s">
        <v>10</v>
      </c>
      <c r="B1" s="1" t="s">
        <v>11</v>
      </c>
      <c r="C1" s="1" t="s">
        <v>12</v>
      </c>
      <c r="D1" s="1" t="s">
        <v>13</v>
      </c>
      <c r="E1" s="1" t="s">
        <v>22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1"/>
  <sheetViews>
    <sheetView topLeftCell="D1" zoomScale="80" zoomScaleNormal="80" workbookViewId="0">
      <selection activeCell="Q15" sqref="Q15"/>
    </sheetView>
  </sheetViews>
  <sheetFormatPr defaultRowHeight="15" x14ac:dyDescent="0.25"/>
  <cols>
    <col min="1" max="1" width="17.140625" style="1" bestFit="1" customWidth="1"/>
    <col min="2" max="2" width="20.140625" style="1" bestFit="1" customWidth="1"/>
    <col min="3" max="3" width="18" style="1" bestFit="1" customWidth="1"/>
    <col min="4" max="4" width="22.140625" style="1" bestFit="1" customWidth="1"/>
    <col min="5" max="5" width="18" style="1" bestFit="1" customWidth="1"/>
    <col min="6" max="6" width="18.7109375" style="1" bestFit="1" customWidth="1"/>
    <col min="7" max="7" width="8.85546875" style="1" bestFit="1" customWidth="1"/>
    <col min="8" max="8" width="14.42578125" style="1" bestFit="1" customWidth="1"/>
    <col min="9" max="9" width="14.28515625" style="1" bestFit="1" customWidth="1"/>
    <col min="10" max="10" width="14.85546875" style="1" bestFit="1" customWidth="1"/>
    <col min="11" max="11" width="20.7109375" style="1" bestFit="1" customWidth="1"/>
    <col min="12" max="12" width="10.5703125" style="1" bestFit="1" customWidth="1"/>
    <col min="13" max="13" width="10.5703125" style="1" customWidth="1"/>
    <col min="14" max="14" width="12.140625" style="1" bestFit="1" customWidth="1"/>
    <col min="15" max="15" width="30.28515625" style="1" bestFit="1" customWidth="1"/>
    <col min="16" max="16" width="30.140625" style="1" bestFit="1" customWidth="1"/>
    <col min="17" max="17" width="30.7109375" style="1" bestFit="1" customWidth="1"/>
    <col min="18" max="18" width="36.7109375" style="1" bestFit="1" customWidth="1"/>
    <col min="19" max="19" width="17.28515625" style="1" bestFit="1" customWidth="1"/>
    <col min="20" max="16384" width="9.140625" style="1"/>
  </cols>
  <sheetData>
    <row r="1" spans="1:19" x14ac:dyDescent="0.25">
      <c r="A1" s="1" t="s">
        <v>1</v>
      </c>
      <c r="B1" s="1" t="s">
        <v>8</v>
      </c>
      <c r="C1" s="1" t="s">
        <v>14</v>
      </c>
      <c r="D1" s="1" t="s">
        <v>15</v>
      </c>
      <c r="E1" s="1" t="s">
        <v>2</v>
      </c>
      <c r="F1" s="1" t="s">
        <v>3</v>
      </c>
      <c r="G1" s="1" t="s">
        <v>16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9</v>
      </c>
      <c r="M1" s="1" t="s">
        <v>40</v>
      </c>
      <c r="N1" s="1" t="s">
        <v>23</v>
      </c>
      <c r="O1" s="1" t="s">
        <v>24</v>
      </c>
      <c r="P1" s="1" t="s">
        <v>25</v>
      </c>
      <c r="Q1" s="1" t="s">
        <v>26</v>
      </c>
      <c r="R1" s="1" t="s">
        <v>27</v>
      </c>
      <c r="S1" s="1" t="s">
        <v>42</v>
      </c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80" zoomScaleNormal="80" workbookViewId="0">
      <selection activeCell="K9" sqref="K9"/>
    </sheetView>
  </sheetViews>
  <sheetFormatPr defaultColWidth="9" defaultRowHeight="15" x14ac:dyDescent="0.25"/>
  <cols>
    <col min="1" max="16384" width="9" style="1"/>
  </cols>
  <sheetData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Inventory</vt:lpstr>
      <vt:lpstr>CommonData</vt:lpstr>
      <vt:lpstr>InventoryData</vt:lpstr>
      <vt:lpstr>ClientData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2018-03-27T06:11:04Z</dcterms:created>
  <dcterms:modified xsi:type="dcterms:W3CDTF">2019-08-09T03:07:35Z</dcterms:modified>
</cp:coreProperties>
</file>