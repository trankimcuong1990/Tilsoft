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lientOverviewDelta3" sheetId="1" r:id="rId1"/>
    <sheet name="Data1" sheetId="2" r:id="rId2"/>
    <sheet name="Data2" sheetId="3" r:id="rId3"/>
  </sheets>
  <definedNames>
    <definedName name="_xlnm._FilterDatabase" localSheetId="0" hidden="1">ClientOverviewDelta3!$A$6:$R$6</definedName>
  </definedNames>
  <calcPr calcId="152511"/>
</workbook>
</file>

<file path=xl/calcChain.xml><?xml version="1.0" encoding="utf-8"?>
<calcChain xmlns="http://schemas.openxmlformats.org/spreadsheetml/2006/main">
  <c r="L7" i="1" l="1"/>
  <c r="R5" i="1"/>
  <c r="Q5" i="1"/>
  <c r="O5" i="1"/>
  <c r="R4" i="1"/>
  <c r="Q4" i="1"/>
  <c r="O4" i="1"/>
  <c r="E5" i="1"/>
  <c r="E4" i="1"/>
  <c r="R7" i="1"/>
  <c r="Q7" i="1"/>
  <c r="P7" i="1"/>
  <c r="P5" i="1" s="1"/>
  <c r="O7" i="1"/>
  <c r="N7" i="1"/>
  <c r="N5" i="1" s="1"/>
  <c r="M7" i="1"/>
  <c r="M5" i="1" s="1"/>
  <c r="K7" i="1"/>
  <c r="K5" i="1" s="1"/>
  <c r="J7" i="1"/>
  <c r="I7" i="1"/>
  <c r="I4" i="1" s="1"/>
  <c r="H7" i="1"/>
  <c r="G7" i="1"/>
  <c r="G5" i="1" s="1"/>
  <c r="F7" i="1"/>
  <c r="E7" i="1"/>
  <c r="D7" i="1"/>
  <c r="C7" i="1"/>
  <c r="B7" i="1"/>
  <c r="A7" i="1"/>
  <c r="H1" i="1"/>
  <c r="E1" i="1"/>
  <c r="A2" i="1"/>
  <c r="L5" i="1" l="1"/>
  <c r="P4" i="1"/>
  <c r="G4" i="1"/>
  <c r="I5" i="1"/>
  <c r="K4" i="1"/>
  <c r="M4" i="1"/>
  <c r="L4" i="1" s="1"/>
  <c r="N4" i="1"/>
</calcChain>
</file>

<file path=xl/sharedStrings.xml><?xml version="1.0" encoding="utf-8"?>
<sst xmlns="http://schemas.openxmlformats.org/spreadsheetml/2006/main" count="23" uniqueCount="23">
  <si>
    <t>Season</t>
  </si>
  <si>
    <t>DELTA 3 OVERVIEW</t>
  </si>
  <si>
    <t>Ex.Rate</t>
  </si>
  <si>
    <t>#</t>
  </si>
  <si>
    <t>Image</t>
  </si>
  <si>
    <t>Code</t>
  </si>
  <si>
    <t>Name</t>
  </si>
  <si>
    <t>Ordered Qnt</t>
  </si>
  <si>
    <t>Qnt / 40HC</t>
  </si>
  <si>
    <t>Ordered Qnt / 40HC</t>
  </si>
  <si>
    <t>FOB in USD (Company)</t>
  </si>
  <si>
    <t>Total in USD (Company)</t>
  </si>
  <si>
    <t>Sale U.Price (USD)</t>
  </si>
  <si>
    <t>Sale Amount (USD)</t>
  </si>
  <si>
    <t>% Gross Margin After COMM, DAM, LC, INT</t>
  </si>
  <si>
    <t>Gross Margin After COMM, DAM, LC, INT</t>
  </si>
  <si>
    <t>Commission Amount (USD)</t>
  </si>
  <si>
    <t>Damage Cost (USD)</t>
  </si>
  <si>
    <t>LC Cost (USD)</t>
  </si>
  <si>
    <t>Interest (USD)</t>
  </si>
  <si>
    <t>Transport (USD)</t>
  </si>
  <si>
    <t>TOTAL</t>
  </si>
  <si>
    <t>SUB-TOTAL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</si>
</sst>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"/>
    <numFmt numFmtId="165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 applyNumberFormat="1" applyFont="1" applyFill="1" applyBorder="1"/>
    <xf numFmtId="0" fontId="2" fillId="0" borderId="0" xfId="0" applyNumberFormat="1" applyFont="1" applyFill="1" applyBorder="1"/>
    <xf numFmtId="0" fontId="3" fillId="0" borderId="0" xfId="0" applyNumberFormat="1" applyFont="1" applyFill="1" applyBorder="1"/>
    <xf numFmtId="0" fontId="2" fillId="2" borderId="1" xfId="0" applyNumberFormat="1" applyFont="1" applyFill="1" applyBorder="1" applyAlignment="1">
      <alignment horizontal="center" vertical="center" wrapText="1"/>
    </xf>
    <xf numFmtId="0" fontId="3" fillId="0" borderId="1" xfId="0" applyNumberFormat="1" applyFont="1" applyFill="1" applyBorder="1"/>
    <xf numFmtId="0" fontId="3" fillId="3" borderId="1" xfId="0" applyNumberFormat="1" applyFont="1" applyFill="1" applyBorder="1"/>
    <xf numFmtId="0" fontId="2" fillId="3" borderId="1" xfId="0" applyNumberFormat="1" applyFont="1" applyFill="1" applyBorder="1" applyAlignment="1">
      <alignment horizontal="right"/>
    </xf>
    <xf numFmtId="0" fontId="2" fillId="3" borderId="1" xfId="0" applyNumberFormat="1" applyFont="1" applyFill="1" applyBorder="1"/>
    <xf numFmtId="0" fontId="3" fillId="0" borderId="1" xfId="0" applyNumberFormat="1" applyFont="1" applyFill="1" applyBorder="1" applyAlignment="1">
      <alignment vertical="top"/>
    </xf>
    <xf numFmtId="0" fontId="3" fillId="0" borderId="1" xfId="0" applyNumberFormat="1" applyFont="1" applyFill="1" applyBorder="1" applyAlignment="1">
      <alignment horizontal="center" vertical="top"/>
    </xf>
    <xf numFmtId="164" fontId="2" fillId="3" borderId="1" xfId="0" applyNumberFormat="1" applyFont="1" applyFill="1" applyBorder="1"/>
    <xf numFmtId="164" fontId="3" fillId="0" borderId="1" xfId="0" applyNumberFormat="1" applyFont="1" applyFill="1" applyBorder="1" applyAlignment="1">
      <alignment vertical="top"/>
    </xf>
    <xf numFmtId="3" fontId="2" fillId="3" borderId="1" xfId="0" applyNumberFormat="1" applyFont="1" applyFill="1" applyBorder="1"/>
    <xf numFmtId="3" fontId="3" fillId="0" borderId="1" xfId="0" applyNumberFormat="1" applyFont="1" applyFill="1" applyBorder="1" applyAlignment="1">
      <alignment vertical="top"/>
    </xf>
    <xf numFmtId="165" fontId="3" fillId="0" borderId="1" xfId="0" applyNumberFormat="1" applyFont="1" applyFill="1" applyBorder="1" applyAlignment="1">
      <alignment vertical="top"/>
    </xf>
    <xf numFmtId="10" fontId="3" fillId="0" borderId="1" xfId="1" applyNumberFormat="1" applyFont="1" applyFill="1" applyBorder="1" applyAlignment="1">
      <alignment vertical="top"/>
    </xf>
    <xf numFmtId="10" fontId="2" fillId="3" borderId="1" xfId="1" applyNumberFormat="1" applyFont="1" applyFill="1" applyBorder="1"/>
    <xf numFmtId="165" fontId="2" fillId="3" borderId="1" xfId="0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7"/>
  <sheetViews>
    <sheetView tabSelected="1" workbookViewId="0">
      <pane xSplit="5" ySplit="6" topLeftCell="F7" activePane="bottomRight" state="frozen"/>
      <selection pane="topRight" activeCell="F1" sqref="F1"/>
      <selection pane="bottomLeft" activeCell="A7" sqref="A7"/>
      <selection pane="bottomRight"/>
    </sheetView>
  </sheetViews>
  <sheetFormatPr defaultRowHeight="15" x14ac:dyDescent="0.25"/>
  <cols>
    <col min="2" max="2" width="14.140625" customWidth="1"/>
    <col min="4" max="4" width="26.5703125" customWidth="1"/>
    <col min="8" max="8" width="9.28515625" bestFit="1" customWidth="1"/>
    <col min="9" max="9" width="10.85546875" bestFit="1" customWidth="1"/>
    <col min="10" max="10" width="9.28515625" bestFit="1" customWidth="1"/>
    <col min="11" max="11" width="10.85546875" bestFit="1" customWidth="1"/>
    <col min="13" max="13" width="9.85546875" bestFit="1" customWidth="1"/>
    <col min="14" max="18" width="9.28515625" bestFit="1" customWidth="1"/>
  </cols>
  <sheetData>
    <row r="1" spans="1:19" x14ac:dyDescent="0.25">
      <c r="A1" s="1" t="s">
        <v>1</v>
      </c>
      <c r="B1" s="2"/>
      <c r="C1" s="2"/>
      <c r="D1" s="1" t="s">
        <v>0</v>
      </c>
      <c r="E1" s="2">
        <f>Data2!C2</f>
        <v>0</v>
      </c>
      <c r="F1" s="2"/>
      <c r="G1" s="1" t="s">
        <v>2</v>
      </c>
      <c r="H1" s="2">
        <f>Data2!D2</f>
        <v>0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x14ac:dyDescent="0.25">
      <c r="A2" s="2" t="str">
        <f>Data2!B2&amp;" ("&amp;Data2!A2&amp;")"</f>
        <v xml:space="preserve"> ()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76.5" x14ac:dyDescent="0.25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3" t="s">
        <v>8</v>
      </c>
      <c r="G3" s="3" t="s">
        <v>9</v>
      </c>
      <c r="H3" s="3" t="s">
        <v>10</v>
      </c>
      <c r="I3" s="3" t="s">
        <v>11</v>
      </c>
      <c r="J3" s="3" t="s">
        <v>12</v>
      </c>
      <c r="K3" s="3" t="s">
        <v>13</v>
      </c>
      <c r="L3" s="3" t="s">
        <v>14</v>
      </c>
      <c r="M3" s="3" t="s">
        <v>15</v>
      </c>
      <c r="N3" s="3" t="s">
        <v>16</v>
      </c>
      <c r="O3" s="3" t="s">
        <v>17</v>
      </c>
      <c r="P3" s="3" t="s">
        <v>18</v>
      </c>
      <c r="Q3" s="3" t="s">
        <v>19</v>
      </c>
      <c r="R3" s="3" t="s">
        <v>20</v>
      </c>
      <c r="S3" s="2"/>
    </row>
    <row r="4" spans="1:19" x14ac:dyDescent="0.25">
      <c r="A4" s="5"/>
      <c r="B4" s="5"/>
      <c r="C4" s="5"/>
      <c r="D4" s="6" t="s">
        <v>21</v>
      </c>
      <c r="E4" s="12">
        <f>SUM(E7:E2000)</f>
        <v>0</v>
      </c>
      <c r="F4" s="7"/>
      <c r="G4" s="10">
        <f t="shared" ref="G4:R4" si="0">SUM(G7:G2000)</f>
        <v>0</v>
      </c>
      <c r="H4" s="7"/>
      <c r="I4" s="17">
        <f t="shared" si="0"/>
        <v>0</v>
      </c>
      <c r="J4" s="7"/>
      <c r="K4" s="17">
        <f t="shared" si="0"/>
        <v>0</v>
      </c>
      <c r="L4" s="16" t="e">
        <f>M4/I4</f>
        <v>#DIV/0!</v>
      </c>
      <c r="M4" s="17">
        <f t="shared" si="0"/>
        <v>0</v>
      </c>
      <c r="N4" s="17">
        <f t="shared" si="0"/>
        <v>0</v>
      </c>
      <c r="O4" s="17">
        <f t="shared" si="0"/>
        <v>0</v>
      </c>
      <c r="P4" s="17">
        <f t="shared" si="0"/>
        <v>0</v>
      </c>
      <c r="Q4" s="17">
        <f t="shared" si="0"/>
        <v>0</v>
      </c>
      <c r="R4" s="17">
        <f t="shared" si="0"/>
        <v>0</v>
      </c>
      <c r="S4" s="2"/>
    </row>
    <row r="5" spans="1:19" x14ac:dyDescent="0.25">
      <c r="A5" s="5"/>
      <c r="B5" s="5"/>
      <c r="C5" s="5"/>
      <c r="D5" s="6" t="s">
        <v>22</v>
      </c>
      <c r="E5" s="12">
        <f>SUBTOTAL(9,E7:E2000)</f>
        <v>0</v>
      </c>
      <c r="F5" s="7"/>
      <c r="G5" s="10">
        <f t="shared" ref="G5:R5" si="1">SUBTOTAL(9,G7:G2000)</f>
        <v>0</v>
      </c>
      <c r="H5" s="7"/>
      <c r="I5" s="17">
        <f t="shared" si="1"/>
        <v>0</v>
      </c>
      <c r="J5" s="7"/>
      <c r="K5" s="17">
        <f t="shared" si="1"/>
        <v>0</v>
      </c>
      <c r="L5" s="16" t="e">
        <f>M5/I5</f>
        <v>#DIV/0!</v>
      </c>
      <c r="M5" s="17">
        <f t="shared" si="1"/>
        <v>0</v>
      </c>
      <c r="N5" s="17">
        <f t="shared" si="1"/>
        <v>0</v>
      </c>
      <c r="O5" s="17">
        <f t="shared" si="1"/>
        <v>0</v>
      </c>
      <c r="P5" s="17">
        <f t="shared" si="1"/>
        <v>0</v>
      </c>
      <c r="Q5" s="17">
        <f t="shared" si="1"/>
        <v>0</v>
      </c>
      <c r="R5" s="17">
        <f t="shared" si="1"/>
        <v>0</v>
      </c>
      <c r="S5" s="2"/>
    </row>
    <row r="6" spans="1:19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2"/>
    </row>
    <row r="7" spans="1:19" ht="60.95" customHeight="1" x14ac:dyDescent="0.25">
      <c r="A7" s="8">
        <f>ROW()-6</f>
        <v>1</v>
      </c>
      <c r="B7" s="8">
        <f>Data1!D2</f>
        <v>0</v>
      </c>
      <c r="C7" s="9">
        <f>Data1!F2</f>
        <v>0</v>
      </c>
      <c r="D7" s="8">
        <f>Data1!G2</f>
        <v>0</v>
      </c>
      <c r="E7" s="13">
        <f>Data1!J2</f>
        <v>0</v>
      </c>
      <c r="F7" s="13">
        <f>Data1!K2</f>
        <v>0</v>
      </c>
      <c r="G7" s="11">
        <f>Data1!L2</f>
        <v>0</v>
      </c>
      <c r="H7" s="14">
        <f>Data1!H2</f>
        <v>0</v>
      </c>
      <c r="I7" s="14">
        <f>Data1!M2</f>
        <v>0</v>
      </c>
      <c r="J7" s="14">
        <f>Data1!I2</f>
        <v>0</v>
      </c>
      <c r="K7" s="14">
        <f>Data1!N2</f>
        <v>0</v>
      </c>
      <c r="L7" s="15">
        <f>Data1!P2/100</f>
        <v>0</v>
      </c>
      <c r="M7" s="14">
        <f>Data1!O2</f>
        <v>0</v>
      </c>
      <c r="N7" s="14">
        <f>Data1!S2</f>
        <v>0</v>
      </c>
      <c r="O7" s="14">
        <f>Data1!T2</f>
        <v>0</v>
      </c>
      <c r="P7" s="14">
        <f>Data1!Q2</f>
        <v>0</v>
      </c>
      <c r="Q7" s="14">
        <f>Data1!R2</f>
        <v>0</v>
      </c>
      <c r="R7" s="14">
        <f>Data1!U2</f>
        <v>0</v>
      </c>
      <c r="S7" s="2"/>
    </row>
  </sheetData>
  <autoFilter ref="A6:R6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E1" workbookViewId="0">
      <selection activeCell="E1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16" sqref="F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ClientOverviewDelta3</vt:lpstr>
      <vt:lpstr>Data1</vt:lpstr>
      <vt:lpstr>Data2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2019-03-19T05:38:07Z</dcterms:modified>
</cp:coreProperties>
</file>