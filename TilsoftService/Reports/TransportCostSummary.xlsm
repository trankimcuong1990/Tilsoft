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0" yWindow="0" windowWidth="28800" windowHeight="12435" tabRatio="863"/>
  </bookViews>
  <sheets>
    <sheet name="FORWARDER-INVOICE-REP" sheetId="2" r:id="rId1"/>
    <sheet name="TRANSPORT-CHARGE-TO-CLIENT-REP" sheetId="7" r:id="rId2"/>
    <sheet name="NON-FOB_DELIVERY-TRANSPORT" sheetId="10" r:id="rId3"/>
    <sheet name="FOB_DELIVERY-TRANSPORT" sheetId="12" r:id="rId4"/>
    <sheet name="TransportInvoice" sheetId="3" r:id="rId5"/>
    <sheet name="TransportInvoiceDetail" sheetId="4" r:id="rId6"/>
    <sheet name="ChargeClientInvoice" sheetId="5" r:id="rId7"/>
    <sheet name="ChargeClientInvoiceDetail" sheetId="6" r:id="rId8"/>
    <sheet name="NonFobDelivery" sheetId="8" r:id="rId9"/>
    <sheet name="FobDelivery" sheetId="9" r:id="rId10"/>
    <sheet name="ExchangeRate" sheetId="13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7" i="12" l="1"/>
  <c r="AB7" i="12"/>
  <c r="AA7" i="12"/>
  <c r="S7" i="12"/>
  <c r="R7" i="12"/>
  <c r="Q7" i="12"/>
  <c r="S7" i="10"/>
  <c r="R7" i="10"/>
  <c r="Q7" i="10"/>
  <c r="G1" i="12" l="1"/>
  <c r="G1" i="10"/>
  <c r="I2" i="7"/>
  <c r="F2" i="2"/>
  <c r="M7" i="12" l="1"/>
  <c r="B7" i="12"/>
  <c r="C7" i="12"/>
  <c r="D7" i="12"/>
  <c r="E7" i="12"/>
  <c r="F7" i="12"/>
  <c r="G7" i="12"/>
  <c r="H7" i="12"/>
  <c r="I7" i="12"/>
  <c r="I5" i="12" s="1"/>
  <c r="J7" i="12"/>
  <c r="K7" i="12"/>
  <c r="L7" i="12"/>
  <c r="N7" i="12"/>
  <c r="O7" i="12"/>
  <c r="P7" i="12"/>
  <c r="Q5" i="12"/>
  <c r="T7" i="12"/>
  <c r="U7" i="12"/>
  <c r="U5" i="12" s="1"/>
  <c r="V7" i="12"/>
  <c r="W7" i="12"/>
  <c r="X7" i="12"/>
  <c r="Y7" i="12"/>
  <c r="Y5" i="12" s="1"/>
  <c r="Z7" i="12"/>
  <c r="AC4" i="12"/>
  <c r="A7" i="12"/>
  <c r="AB5" i="12"/>
  <c r="AA5" i="12"/>
  <c r="AB4" i="12"/>
  <c r="AA4" i="12"/>
  <c r="X4" i="12"/>
  <c r="Z5" i="12"/>
  <c r="Z4" i="12"/>
  <c r="Y4" i="12"/>
  <c r="W5" i="12"/>
  <c r="V5" i="12"/>
  <c r="T5" i="12"/>
  <c r="W4" i="12"/>
  <c r="V4" i="12"/>
  <c r="T4" i="12"/>
  <c r="P4" i="12"/>
  <c r="L4" i="12"/>
  <c r="S5" i="12"/>
  <c r="R5" i="12"/>
  <c r="O5" i="12"/>
  <c r="N5" i="12"/>
  <c r="K5" i="12"/>
  <c r="J5" i="12"/>
  <c r="S4" i="12"/>
  <c r="R4" i="12"/>
  <c r="O4" i="12"/>
  <c r="N4" i="12"/>
  <c r="K4" i="12"/>
  <c r="J4" i="12"/>
  <c r="M7" i="10"/>
  <c r="M4" i="10" s="1"/>
  <c r="R5" i="10"/>
  <c r="S5" i="10"/>
  <c r="Q5" i="10"/>
  <c r="R4" i="10"/>
  <c r="S4" i="10"/>
  <c r="Q4" i="10"/>
  <c r="O5" i="10"/>
  <c r="P5" i="10"/>
  <c r="N5" i="10"/>
  <c r="J5" i="10"/>
  <c r="K5" i="10"/>
  <c r="L5" i="10"/>
  <c r="I5" i="10"/>
  <c r="O4" i="10"/>
  <c r="P4" i="10"/>
  <c r="N4" i="10"/>
  <c r="J4" i="10"/>
  <c r="K4" i="10"/>
  <c r="L4" i="10"/>
  <c r="I4" i="10"/>
  <c r="B7" i="10"/>
  <c r="C7" i="10"/>
  <c r="D7" i="10"/>
  <c r="E7" i="10"/>
  <c r="F7" i="10"/>
  <c r="G7" i="10"/>
  <c r="H7" i="10"/>
  <c r="I7" i="10"/>
  <c r="J7" i="10"/>
  <c r="K7" i="10"/>
  <c r="L7" i="10"/>
  <c r="N7" i="10"/>
  <c r="O7" i="10"/>
  <c r="P7" i="10"/>
  <c r="A7" i="10"/>
  <c r="M5" i="10" l="1"/>
  <c r="U4" i="12"/>
  <c r="I4" i="12"/>
  <c r="AC5" i="12"/>
  <c r="Q4" i="12"/>
  <c r="X5" i="12"/>
  <c r="M4" i="12"/>
  <c r="M5" i="12"/>
  <c r="L5" i="12"/>
  <c r="P5" i="12"/>
  <c r="H9" i="7"/>
  <c r="G9" i="7"/>
  <c r="F9" i="7"/>
  <c r="E9" i="7"/>
  <c r="D9" i="7"/>
  <c r="C9" i="7"/>
  <c r="B9" i="7"/>
  <c r="A9" i="7"/>
  <c r="I9" i="7" l="1"/>
  <c r="F6" i="7"/>
  <c r="F7" i="7"/>
  <c r="X6" i="2"/>
  <c r="W6" i="2"/>
  <c r="V6" i="2"/>
  <c r="X7" i="2"/>
  <c r="W7" i="2"/>
  <c r="V7" i="2"/>
  <c r="U7" i="2"/>
  <c r="U6" i="2"/>
  <c r="O7" i="2"/>
  <c r="P7" i="2"/>
  <c r="Q7" i="2"/>
  <c r="R7" i="2"/>
  <c r="O6" i="2"/>
  <c r="P6" i="2"/>
  <c r="Q6" i="2"/>
  <c r="R6" i="2"/>
  <c r="N7" i="2"/>
  <c r="N6" i="2"/>
  <c r="M7" i="2"/>
  <c r="M6" i="2"/>
  <c r="L7" i="2"/>
  <c r="K7" i="2"/>
  <c r="L6" i="2"/>
  <c r="K6" i="2"/>
  <c r="G7" i="2"/>
  <c r="H7" i="2"/>
  <c r="F7" i="2"/>
  <c r="G6" i="2"/>
  <c r="H6" i="2"/>
  <c r="F6" i="2"/>
  <c r="H6" i="7" l="1"/>
  <c r="H7" i="7"/>
  <c r="G6" i="7"/>
  <c r="G7" i="7"/>
  <c r="E7" i="7"/>
  <c r="E6" i="7"/>
  <c r="E9" i="2"/>
  <c r="D9" i="2"/>
  <c r="C9" i="2"/>
  <c r="B9" i="2"/>
  <c r="A9" i="2"/>
  <c r="Q9" i="2" s="1"/>
  <c r="J9" i="2" l="1"/>
  <c r="N9" i="2"/>
  <c r="G9" i="2"/>
  <c r="K9" i="2"/>
  <c r="O9" i="2"/>
  <c r="S9" i="2"/>
  <c r="H9" i="2"/>
  <c r="L9" i="2"/>
  <c r="P9" i="2"/>
  <c r="T9" i="2"/>
  <c r="I9" i="2"/>
  <c r="F9" i="2" s="1"/>
  <c r="U9" i="2" s="1"/>
  <c r="M9" i="2"/>
  <c r="W9" i="2" s="1"/>
  <c r="V9" i="2" l="1"/>
  <c r="R9" i="2"/>
  <c r="X9" i="2" s="1"/>
  <c r="Y9" i="2" s="1"/>
  <c r="Y7" i="2" l="1"/>
  <c r="Y6" i="2"/>
  <c r="I7" i="7"/>
  <c r="I6" i="7"/>
</calcChain>
</file>

<file path=xl/sharedStrings.xml><?xml version="1.0" encoding="utf-8"?>
<sst xmlns="http://schemas.openxmlformats.org/spreadsheetml/2006/main" count="180" uniqueCount="95">
  <si>
    <t>TransportInvoiceID</t>
  </si>
  <si>
    <t>RefNo</t>
  </si>
  <si>
    <t>InvoiceDate</t>
  </si>
  <si>
    <t>InvoiceNo</t>
  </si>
  <si>
    <t>MonthOfCommercialInvoice</t>
  </si>
  <si>
    <t>Season</t>
  </si>
  <si>
    <t>KeyID</t>
  </si>
  <si>
    <t>TransportCostItemID</t>
  </si>
  <si>
    <t>TransportCostItemNM</t>
  </si>
  <si>
    <t>SubTotalAmount</t>
  </si>
  <si>
    <t>OTHER</t>
  </si>
  <si>
    <t>DEMURRAGE</t>
  </si>
  <si>
    <t>DETENTION</t>
  </si>
  <si>
    <t>OTHER COST</t>
  </si>
  <si>
    <t>WAITING HOURS</t>
  </si>
  <si>
    <t>CONGESTION SURCHARGE</t>
  </si>
  <si>
    <t>FORWARDER INVOICE - REPORT</t>
  </si>
  <si>
    <t>Exchange Rate</t>
  </si>
  <si>
    <t>EUROFAR NO</t>
  </si>
  <si>
    <t>FORWARDER INOVICE DATE</t>
  </si>
  <si>
    <t>FORWARDER INVOICE NO</t>
  </si>
  <si>
    <t>MONTH OF COMMERCIAL INVOICE</t>
  </si>
  <si>
    <t>SEAFREIGHT</t>
  </si>
  <si>
    <t>LSF</t>
  </si>
  <si>
    <t>ENS FEE</t>
  </si>
  <si>
    <t>CHARGES / BL</t>
  </si>
  <si>
    <t>CHARGES / CONTAINER</t>
  </si>
  <si>
    <t>TRANSPORT</t>
  </si>
  <si>
    <t>GAS MEASSUREMENT</t>
  </si>
  <si>
    <t>TOTAL SEAFREIGHT</t>
  </si>
  <si>
    <t>TOTAL HANDLING</t>
  </si>
  <si>
    <t>TOTAL TRUCKING</t>
  </si>
  <si>
    <t>TOTAL OTHER</t>
  </si>
  <si>
    <t>TOTAL INVOICE</t>
  </si>
  <si>
    <t>Total</t>
  </si>
  <si>
    <t>Sub-Total</t>
  </si>
  <si>
    <t>Sub Total</t>
  </si>
  <si>
    <t>EUROFAR INVOICE NO</t>
  </si>
  <si>
    <t>EUROFAR INVOICE DATE</t>
  </si>
  <si>
    <t>HANDLING</t>
  </si>
  <si>
    <t>BARGE/
TRUCKING</t>
  </si>
  <si>
    <t>TRANSPORT CHARGE TO CLIENT - REPORT</t>
  </si>
  <si>
    <t>Exchage Rage:</t>
  </si>
  <si>
    <t>ECommercialInvoiceID</t>
  </si>
  <si>
    <t>ClientCostType2ID</t>
  </si>
  <si>
    <t>TransportCostType2NM</t>
  </si>
  <si>
    <t>TotalAmount</t>
  </si>
  <si>
    <t>COMMERCIAL INVOICE NO</t>
  </si>
  <si>
    <t>COMMERCIAL INVOICE DATE</t>
  </si>
  <si>
    <t>CLIENT ID</t>
  </si>
  <si>
    <t>CLIENT NAME</t>
  </si>
  <si>
    <t>B/L</t>
  </si>
  <si>
    <t>TERM OF DELIVERY</t>
  </si>
  <si>
    <t>FORWARDER</t>
  </si>
  <si>
    <t>TYPE AND NUMBER OF CONTAINER</t>
  </si>
  <si>
    <t>TOTAL</t>
  </si>
  <si>
    <t>TOTAL TRUCKING (estimate)</t>
  </si>
  <si>
    <t>NON-FOB DELIVERIES - TRANSPORT</t>
  </si>
  <si>
    <t>EInvoiceNo</t>
  </si>
  <si>
    <t>ClientUD</t>
  </si>
  <si>
    <t>ClientNM</t>
  </si>
  <si>
    <t>BLNo</t>
  </si>
  <si>
    <t>DeliveryTerm</t>
  </si>
  <si>
    <t>ForwarderNM</t>
  </si>
  <si>
    <t>Container</t>
  </si>
  <si>
    <t>TotalSeaFreightChargeForwarder</t>
  </si>
  <si>
    <t>TotalHandlingChargeForwarder</t>
  </si>
  <si>
    <t>TotalTruckingChargeForwarder</t>
  </si>
  <si>
    <t>TotalOtherChargeForwarder</t>
  </si>
  <si>
    <t>TotalCostChargeForwarder</t>
  </si>
  <si>
    <t>TotalSeaFreightOfferForwarder</t>
  </si>
  <si>
    <t>TotalHandlingOfferForwarder</t>
  </si>
  <si>
    <t>TotalTruckingOfferForwarder</t>
  </si>
  <si>
    <t>DeltaSeaFreightForwarder</t>
  </si>
  <si>
    <t>DeltaHandlingForwarder</t>
  </si>
  <si>
    <t>DeltaTruckingForwarder</t>
  </si>
  <si>
    <t>BookingID</t>
  </si>
  <si>
    <t>TotalSeaFreightChargeClient</t>
  </si>
  <si>
    <t>TotalHandlingChargeClient</t>
  </si>
  <si>
    <t>TotalTruckingChargeClient</t>
  </si>
  <si>
    <t>TotalOtherChargeClient</t>
  </si>
  <si>
    <t>TotalSeaFreightOfferClient</t>
  </si>
  <si>
    <t>TotalHandlingOfferClient</t>
  </si>
  <si>
    <t>TotalTruckingOfferClient</t>
  </si>
  <si>
    <t>DeltaSeaFreightClient</t>
  </si>
  <si>
    <t>DeltaHandlingClient</t>
  </si>
  <si>
    <t>DeltaTruckingClient</t>
  </si>
  <si>
    <t>Exchage Rage</t>
  </si>
  <si>
    <t>CHARGED BY FORWARDER</t>
  </si>
  <si>
    <t>OFFER PRICE FORWARDER</t>
  </si>
  <si>
    <t>DIFFERENCE OFFER - CHARGED</t>
  </si>
  <si>
    <t>CHARGED TO CLIENT</t>
  </si>
  <si>
    <t>DIFFERENCE OFFER - CHARGED TO CLIENT</t>
  </si>
  <si>
    <t>OFFER CHARGE TO CLIENT</t>
  </si>
  <si>
    <t>SettingValue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</si>
</sst>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[$€-413]\ * #,##0.00_ ;_ [$€-413]\ * \-#,##0.00_ ;_ [$€-413]\ * &quot;-&quot;??_ ;_ @_ "/>
    <numFmt numFmtId="165" formatCode="_([$$-409]* #,##0.00_);_([$$-409]* \(#,##0.00\);_([$$-409]* &quot;-&quot;??_);_(@_)"/>
    <numFmt numFmtId="166" formatCode="[$-409]d\-mmm\-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C6E0B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 applyNumberFormat="1" applyFont="1" applyFill="1" applyBorder="1"/>
    <xf numFmtId="0" fontId="0" fillId="2" borderId="1" xfId="0" applyNumberFormat="1" applyFont="1" applyFill="1" applyBorder="1" applyAlignment="1">
      <alignment horizontal="center" vertical="center" wrapText="1"/>
    </xf>
    <xf numFmtId="0" fontId="0" fillId="2" borderId="2" xfId="0" applyNumberFormat="1" applyFont="1" applyFill="1" applyBorder="1" applyAlignment="1">
      <alignment horizontal="center" vertical="center" wrapText="1"/>
    </xf>
    <xf numFmtId="0" fontId="0" fillId="3" borderId="2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/>
    </xf>
    <xf numFmtId="0" fontId="1" fillId="2" borderId="1" xfId="0" applyNumberFormat="1" applyFont="1" applyFill="1" applyBorder="1" applyAlignment="1">
      <alignment horizontal="center" vertical="center" wrapText="1"/>
    </xf>
    <xf numFmtId="164" fontId="0" fillId="0" borderId="1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 wrapText="1"/>
    </xf>
    <xf numFmtId="1" fontId="0" fillId="2" borderId="1" xfId="0" applyNumberFormat="1" applyFont="1" applyFill="1" applyBorder="1" applyAlignment="1">
      <alignment horizontal="center" vertical="center" wrapText="1"/>
    </xf>
    <xf numFmtId="1" fontId="0" fillId="3" borderId="2" xfId="0" applyNumberFormat="1" applyFont="1" applyFill="1" applyBorder="1" applyAlignment="1">
      <alignment horizontal="center" vertical="center" wrapText="1"/>
    </xf>
    <xf numFmtId="1" fontId="3" fillId="4" borderId="1" xfId="0" applyNumberFormat="1" applyFont="1" applyFill="1" applyBorder="1" applyAlignment="1">
      <alignment horizontal="center" vertical="center" wrapText="1"/>
    </xf>
    <xf numFmtId="1" fontId="3" fillId="5" borderId="1" xfId="0" applyNumberFormat="1" applyFont="1" applyFill="1" applyBorder="1" applyAlignment="1">
      <alignment horizontal="center" vertical="center" wrapText="1"/>
    </xf>
    <xf numFmtId="1" fontId="3" fillId="6" borderId="1" xfId="0" applyNumberFormat="1" applyFont="1" applyFill="1" applyBorder="1" applyAlignment="1">
      <alignment horizontal="center" vertical="center" wrapText="1"/>
    </xf>
    <xf numFmtId="1" fontId="3" fillId="7" borderId="1" xfId="0" applyNumberFormat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left" vertical="center"/>
    </xf>
    <xf numFmtId="1" fontId="3" fillId="3" borderId="1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horizontal="center" vertical="center"/>
    </xf>
    <xf numFmtId="165" fontId="0" fillId="0" borderId="1" xfId="0" applyNumberFormat="1" applyFont="1" applyFill="1" applyBorder="1"/>
    <xf numFmtId="165" fontId="0" fillId="0" borderId="0" xfId="0" applyNumberFormat="1" applyFont="1" applyFill="1" applyBorder="1"/>
    <xf numFmtId="165" fontId="3" fillId="4" borderId="1" xfId="0" applyNumberFormat="1" applyFont="1" applyFill="1" applyBorder="1" applyAlignment="1">
      <alignment horizontal="center" vertical="center" wrapText="1"/>
    </xf>
    <xf numFmtId="165" fontId="3" fillId="3" borderId="1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/>
    <xf numFmtId="164" fontId="3" fillId="5" borderId="1" xfId="0" applyNumberFormat="1" applyFont="1" applyFill="1" applyBorder="1" applyAlignment="1">
      <alignment horizontal="center" vertical="center" wrapText="1"/>
    </xf>
    <xf numFmtId="164" fontId="3" fillId="6" borderId="1" xfId="0" applyNumberFormat="1" applyFont="1" applyFill="1" applyBorder="1" applyAlignment="1">
      <alignment horizontal="center" vertical="center" wrapText="1"/>
    </xf>
    <xf numFmtId="164" fontId="3" fillId="7" borderId="1" xfId="0" applyNumberFormat="1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/>
    </xf>
    <xf numFmtId="0" fontId="0" fillId="2" borderId="2" xfId="0" applyNumberFormat="1" applyFont="1" applyFill="1" applyBorder="1" applyAlignment="1">
      <alignment horizontal="left" vertical="center" wrapText="1"/>
    </xf>
    <xf numFmtId="1" fontId="0" fillId="2" borderId="2" xfId="0" applyNumberFormat="1" applyFont="1" applyFill="1" applyBorder="1" applyAlignment="1">
      <alignment horizontal="left" vertical="center" wrapText="1"/>
    </xf>
    <xf numFmtId="0" fontId="0" fillId="0" borderId="1" xfId="0" applyNumberFormat="1" applyFont="1" applyFill="1" applyBorder="1" applyAlignment="1">
      <alignment horizontal="left" vertical="center" wrapText="1"/>
    </xf>
    <xf numFmtId="166" fontId="0" fillId="0" borderId="0" xfId="0" applyNumberFormat="1" applyFont="1" applyFill="1" applyBorder="1" applyAlignment="1">
      <alignment horizontal="left" vertical="center"/>
    </xf>
    <xf numFmtId="166" fontId="0" fillId="2" borderId="2" xfId="0" applyNumberFormat="1" applyFont="1" applyFill="1" applyBorder="1" applyAlignment="1">
      <alignment horizontal="left" vertical="center" wrapText="1"/>
    </xf>
    <xf numFmtId="166" fontId="0" fillId="0" borderId="1" xfId="0" applyNumberFormat="1" applyFont="1" applyFill="1" applyBorder="1" applyAlignment="1">
      <alignment horizontal="left" vertical="center"/>
    </xf>
    <xf numFmtId="166" fontId="0" fillId="2" borderId="2" xfId="0" applyNumberFormat="1" applyFont="1" applyFill="1" applyBorder="1" applyAlignment="1">
      <alignment horizontal="center" vertical="center" wrapText="1"/>
    </xf>
    <xf numFmtId="166" fontId="1" fillId="2" borderId="2" xfId="0" applyNumberFormat="1" applyFont="1" applyFill="1" applyBorder="1" applyAlignment="1">
      <alignment horizontal="left" vertical="center" wrapText="1"/>
    </xf>
    <xf numFmtId="39" fontId="4" fillId="0" borderId="0" xfId="0" applyNumberFormat="1" applyFont="1" applyFill="1" applyBorder="1" applyAlignment="1">
      <alignment horizontal="left" vertical="center"/>
    </xf>
    <xf numFmtId="164" fontId="4" fillId="0" borderId="0" xfId="0" applyNumberFormat="1" applyFont="1" applyFill="1" applyBorder="1" applyAlignment="1">
      <alignment horizontal="left" vertical="center"/>
    </xf>
    <xf numFmtId="1" fontId="3" fillId="8" borderId="1" xfId="0" applyNumberFormat="1" applyFont="1" applyFill="1" applyBorder="1" applyAlignment="1">
      <alignment horizontal="center" vertical="center" wrapText="1"/>
    </xf>
    <xf numFmtId="165" fontId="3" fillId="8" borderId="1" xfId="0" applyNumberFormat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4" fontId="4" fillId="0" borderId="0" xfId="0" applyNumberFormat="1" applyFont="1" applyFill="1" applyBorder="1" applyAlignment="1">
      <alignment horizontal="right" vertical="center"/>
    </xf>
    <xf numFmtId="166" fontId="0" fillId="0" borderId="1" xfId="0" applyNumberFormat="1" applyFont="1" applyFill="1" applyBorder="1" applyAlignment="1">
      <alignment horizontal="left" vertical="center" wrapText="1"/>
    </xf>
    <xf numFmtId="0" fontId="0" fillId="7" borderId="1" xfId="0" applyNumberFormat="1" applyFont="1" applyFill="1" applyBorder="1" applyAlignment="1">
      <alignment horizontal="center" vertical="center" wrapText="1"/>
    </xf>
    <xf numFmtId="0" fontId="0" fillId="7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/>
    <xf numFmtId="0" fontId="1" fillId="7" borderId="1" xfId="0" applyNumberFormat="1" applyFont="1" applyFill="1" applyBorder="1" applyAlignment="1">
      <alignment horizontal="left" vertical="center" wrapText="1"/>
    </xf>
    <xf numFmtId="164" fontId="3" fillId="4" borderId="1" xfId="0" applyNumberFormat="1" applyFont="1" applyFill="1" applyBorder="1" applyAlignment="1">
      <alignment horizontal="center" vertical="center" wrapText="1"/>
    </xf>
    <xf numFmtId="164" fontId="3" fillId="9" borderId="1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/>
    <xf numFmtId="0" fontId="0" fillId="0" borderId="1" xfId="0" applyNumberFormat="1" applyFont="1" applyFill="1" applyBorder="1"/>
    <xf numFmtId="166" fontId="0" fillId="0" borderId="0" xfId="0" applyNumberFormat="1" applyFont="1" applyFill="1" applyBorder="1"/>
    <xf numFmtId="166" fontId="0" fillId="7" borderId="1" xfId="0" applyNumberFormat="1" applyFont="1" applyFill="1" applyBorder="1" applyAlignment="1">
      <alignment horizontal="center" vertical="center" wrapText="1"/>
    </xf>
    <xf numFmtId="164" fontId="3" fillId="12" borderId="1" xfId="0" applyNumberFormat="1" applyFont="1" applyFill="1" applyBorder="1" applyAlignment="1">
      <alignment horizontal="center" vertical="center" wrapText="1"/>
    </xf>
    <xf numFmtId="165" fontId="3" fillId="11" borderId="1" xfId="0" applyNumberFormat="1" applyFont="1" applyFill="1" applyBorder="1" applyAlignment="1">
      <alignment horizontal="center" vertical="center" wrapText="1"/>
    </xf>
    <xf numFmtId="164" fontId="3" fillId="11" borderId="1" xfId="0" applyNumberFormat="1" applyFont="1" applyFill="1" applyBorder="1" applyAlignment="1">
      <alignment horizontal="center" vertical="center" wrapText="1"/>
    </xf>
    <xf numFmtId="164" fontId="3" fillId="13" borderId="1" xfId="0" applyNumberFormat="1" applyFont="1" applyFill="1" applyBorder="1" applyAlignment="1">
      <alignment horizontal="center" vertical="center" wrapText="1"/>
    </xf>
    <xf numFmtId="164" fontId="3" fillId="14" borderId="1" xfId="0" applyNumberFormat="1" applyFont="1" applyFill="1" applyBorder="1" applyAlignment="1">
      <alignment horizontal="center" vertical="center" wrapText="1"/>
    </xf>
    <xf numFmtId="165" fontId="3" fillId="6" borderId="1" xfId="0" applyNumberFormat="1" applyFont="1" applyFill="1" applyBorder="1" applyAlignment="1">
      <alignment horizontal="center" vertical="center" wrapText="1"/>
    </xf>
    <xf numFmtId="165" fontId="3" fillId="12" borderId="1" xfId="0" applyNumberFormat="1" applyFont="1" applyFill="1" applyBorder="1" applyAlignment="1">
      <alignment horizontal="center" vertical="center" wrapText="1"/>
    </xf>
    <xf numFmtId="165" fontId="3" fillId="9" borderId="1" xfId="0" applyNumberFormat="1" applyFont="1" applyFill="1" applyBorder="1" applyAlignment="1">
      <alignment horizontal="center" vertical="center" wrapText="1"/>
    </xf>
    <xf numFmtId="165" fontId="3" fillId="13" borderId="1" xfId="0" applyNumberFormat="1" applyFont="1" applyFill="1" applyBorder="1" applyAlignment="1">
      <alignment horizontal="center" vertical="center" wrapText="1"/>
    </xf>
    <xf numFmtId="165" fontId="3" fillId="14" borderId="1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/>
    <xf numFmtId="39" fontId="4" fillId="0" borderId="0" xfId="0" applyNumberFormat="1" applyFont="1" applyFill="1" applyBorder="1" applyAlignment="1">
      <alignment horizontal="right" vertical="center"/>
    </xf>
    <xf numFmtId="165" fontId="0" fillId="4" borderId="3" xfId="0" applyNumberFormat="1" applyFont="1" applyFill="1" applyBorder="1" applyAlignment="1">
      <alignment horizontal="center"/>
    </xf>
    <xf numFmtId="164" fontId="0" fillId="10" borderId="3" xfId="0" applyNumberFormat="1" applyFont="1" applyFill="1" applyBorder="1" applyAlignment="1">
      <alignment horizontal="center"/>
    </xf>
    <xf numFmtId="164" fontId="0" fillId="12" borderId="3" xfId="0" applyNumberFormat="1" applyFont="1" applyFill="1" applyBorder="1" applyAlignment="1">
      <alignment horizontal="center"/>
    </xf>
    <xf numFmtId="164" fontId="0" fillId="14" borderId="3" xfId="0" applyNumberFormat="1" applyFont="1" applyFill="1" applyBorder="1" applyAlignment="1">
      <alignment horizontal="center"/>
    </xf>
    <xf numFmtId="164" fontId="0" fillId="11" borderId="3" xfId="0" applyNumberFormat="1" applyFont="1" applyFill="1" applyBorder="1" applyAlignment="1">
      <alignment horizontal="center"/>
    </xf>
    <xf numFmtId="164" fontId="0" fillId="1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D7EE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Y9"/>
  <sheetViews>
    <sheetView showZeros="0" tabSelected="1" topLeftCell="B1" zoomScale="85" zoomScaleNormal="85" workbookViewId="0">
      <pane xSplit="11" ySplit="8" topLeftCell="M9" activePane="bottomRight" state="frozen"/>
      <selection activeCell="B1" sqref="B1"/>
      <selection pane="topRight" activeCell="M1" sqref="M1"/>
      <selection pane="bottomLeft" activeCell="B9" sqref="B9"/>
      <selection pane="bottomRight" activeCell="H29" sqref="H29"/>
    </sheetView>
  </sheetViews>
  <sheetFormatPr defaultRowHeight="15" x14ac:dyDescent="0.25"/>
  <cols>
    <col min="1" max="1" width="3.42578125" hidden="1" customWidth="1"/>
    <col min="2" max="2" width="13.7109375" style="7" customWidth="1"/>
    <col min="3" max="3" width="13.7109375" style="34" customWidth="1"/>
    <col min="4" max="4" width="12.5703125" style="30" customWidth="1"/>
    <col min="5" max="5" width="14.28515625" style="7" customWidth="1"/>
    <col min="6" max="8" width="13.7109375" style="21" customWidth="1"/>
    <col min="9" max="10" width="13.7109375" style="21" hidden="1" customWidth="1"/>
    <col min="11" max="18" width="13.7109375" style="24" customWidth="1"/>
    <col min="19" max="20" width="13.7109375" style="24" hidden="1" customWidth="1"/>
    <col min="21" max="21" width="13.7109375" style="21" customWidth="1"/>
    <col min="22" max="25" width="13.7109375" style="24" customWidth="1"/>
  </cols>
  <sheetData>
    <row r="2" spans="1:25" ht="18.75" x14ac:dyDescent="0.25">
      <c r="B2" s="16" t="s">
        <v>16</v>
      </c>
      <c r="E2" s="19" t="s">
        <v>17</v>
      </c>
      <c r="F2" s="67">
        <f>ExchangeRate!A2</f>
        <v>0</v>
      </c>
    </row>
    <row r="4" spans="1:25" s="4" customFormat="1" ht="45" x14ac:dyDescent="0.25">
      <c r="B4" s="1" t="s">
        <v>18</v>
      </c>
      <c r="C4" s="37" t="s">
        <v>19</v>
      </c>
      <c r="D4" s="2" t="s">
        <v>20</v>
      </c>
      <c r="E4" s="3" t="s">
        <v>21</v>
      </c>
      <c r="F4" s="22" t="s">
        <v>22</v>
      </c>
      <c r="G4" s="22" t="s">
        <v>23</v>
      </c>
      <c r="H4" s="22" t="s">
        <v>10</v>
      </c>
      <c r="I4" s="23" t="s">
        <v>24</v>
      </c>
      <c r="J4" s="23" t="s">
        <v>22</v>
      </c>
      <c r="K4" s="25" t="s">
        <v>25</v>
      </c>
      <c r="L4" s="25" t="s">
        <v>26</v>
      </c>
      <c r="M4" s="26" t="s">
        <v>27</v>
      </c>
      <c r="N4" s="27" t="s">
        <v>11</v>
      </c>
      <c r="O4" s="27" t="s">
        <v>12</v>
      </c>
      <c r="P4" s="27" t="s">
        <v>14</v>
      </c>
      <c r="Q4" s="27" t="s">
        <v>28</v>
      </c>
      <c r="R4" s="27" t="s">
        <v>13</v>
      </c>
      <c r="S4" s="28" t="s">
        <v>15</v>
      </c>
      <c r="T4" s="28" t="s">
        <v>13</v>
      </c>
      <c r="U4" s="22" t="s">
        <v>29</v>
      </c>
      <c r="V4" s="25" t="s">
        <v>30</v>
      </c>
      <c r="W4" s="26" t="s">
        <v>31</v>
      </c>
      <c r="X4" s="27" t="s">
        <v>32</v>
      </c>
      <c r="Y4" s="29" t="s">
        <v>33</v>
      </c>
    </row>
    <row r="5" spans="1:25" s="4" customFormat="1" hidden="1" x14ac:dyDescent="0.25">
      <c r="B5" s="9"/>
      <c r="C5" s="35"/>
      <c r="D5" s="32"/>
      <c r="E5" s="10"/>
      <c r="F5" s="11"/>
      <c r="G5" s="11">
        <v>4</v>
      </c>
      <c r="H5" s="11">
        <v>18</v>
      </c>
      <c r="I5" s="17">
        <v>12</v>
      </c>
      <c r="J5" s="17">
        <v>1</v>
      </c>
      <c r="K5" s="12">
        <v>10</v>
      </c>
      <c r="L5" s="12">
        <v>9</v>
      </c>
      <c r="M5" s="13">
        <v>8</v>
      </c>
      <c r="N5" s="14">
        <v>13</v>
      </c>
      <c r="O5" s="14">
        <v>14</v>
      </c>
      <c r="P5" s="14">
        <v>15</v>
      </c>
      <c r="Q5" s="14">
        <v>16</v>
      </c>
      <c r="R5" s="14"/>
      <c r="S5" s="17">
        <v>19</v>
      </c>
      <c r="T5" s="17">
        <v>17</v>
      </c>
      <c r="U5" s="11"/>
      <c r="V5" s="12"/>
      <c r="W5" s="13"/>
      <c r="X5" s="14"/>
      <c r="Y5" s="15"/>
    </row>
    <row r="6" spans="1:25" s="4" customFormat="1" x14ac:dyDescent="0.25">
      <c r="B6" s="18" t="s">
        <v>34</v>
      </c>
      <c r="C6" s="35"/>
      <c r="D6" s="31"/>
      <c r="E6" s="3"/>
      <c r="F6" s="22">
        <f>SUM(F9:F900000)</f>
        <v>0</v>
      </c>
      <c r="G6" s="22">
        <f t="shared" ref="G6:H6" si="0">SUM(G9:G900000)</f>
        <v>0</v>
      </c>
      <c r="H6" s="22">
        <f t="shared" si="0"/>
        <v>0</v>
      </c>
      <c r="I6" s="23"/>
      <c r="J6" s="23"/>
      <c r="K6" s="25">
        <f>SUM(K9:K900000)</f>
        <v>0</v>
      </c>
      <c r="L6" s="25">
        <f>SUM(L9:L900000)</f>
        <v>0</v>
      </c>
      <c r="M6" s="26">
        <f>SUM(M9:M900000)</f>
        <v>0</v>
      </c>
      <c r="N6" s="27">
        <f>SUM(N9:N900000)</f>
        <v>0</v>
      </c>
      <c r="O6" s="27">
        <f t="shared" ref="O6:R6" si="1">SUM(O9:O900000)</f>
        <v>0</v>
      </c>
      <c r="P6" s="27">
        <f t="shared" si="1"/>
        <v>0</v>
      </c>
      <c r="Q6" s="27">
        <f t="shared" si="1"/>
        <v>0</v>
      </c>
      <c r="R6" s="27">
        <f t="shared" si="1"/>
        <v>0</v>
      </c>
      <c r="S6" s="28"/>
      <c r="T6" s="28"/>
      <c r="U6" s="22">
        <f>SUM(U9:U900000)</f>
        <v>0</v>
      </c>
      <c r="V6" s="25">
        <f>SUM(V9:V900000)</f>
        <v>0</v>
      </c>
      <c r="W6" s="26">
        <f>SUM(W9:W900000)</f>
        <v>0</v>
      </c>
      <c r="X6" s="27">
        <f>SUM(X9:X900000)</f>
        <v>0</v>
      </c>
      <c r="Y6" s="29" t="e">
        <f>SUM(Y9:Y900000)</f>
        <v>#DIV/0!</v>
      </c>
    </row>
    <row r="7" spans="1:25" s="4" customFormat="1" x14ac:dyDescent="0.25">
      <c r="B7" s="18" t="s">
        <v>35</v>
      </c>
      <c r="C7" s="35"/>
      <c r="D7" s="31"/>
      <c r="E7" s="3"/>
      <c r="F7" s="22">
        <f>SUBTOTAL(9,F9:F900000)</f>
        <v>0</v>
      </c>
      <c r="G7" s="22">
        <f t="shared" ref="G7:H7" si="2">SUBTOTAL(9,G9:G900000)</f>
        <v>0</v>
      </c>
      <c r="H7" s="22">
        <f t="shared" si="2"/>
        <v>0</v>
      </c>
      <c r="I7" s="23"/>
      <c r="J7" s="23"/>
      <c r="K7" s="25">
        <f>SUBTOTAL(9,K9:K900000)</f>
        <v>0</v>
      </c>
      <c r="L7" s="25">
        <f>SUBTOTAL(9,L9:L900000)</f>
        <v>0</v>
      </c>
      <c r="M7" s="26">
        <f>SUBTOTAL(9,M9:M900000)</f>
        <v>0</v>
      </c>
      <c r="N7" s="27">
        <f>SUBTOTAL(9,N9:N900000)</f>
        <v>0</v>
      </c>
      <c r="O7" s="27">
        <f t="shared" ref="O7:R7" si="3">SUBTOTAL(9,O9:O900000)</f>
        <v>0</v>
      </c>
      <c r="P7" s="27">
        <f t="shared" si="3"/>
        <v>0</v>
      </c>
      <c r="Q7" s="27">
        <f t="shared" si="3"/>
        <v>0</v>
      </c>
      <c r="R7" s="27">
        <f t="shared" si="3"/>
        <v>0</v>
      </c>
      <c r="S7" s="28"/>
      <c r="T7" s="28"/>
      <c r="U7" s="22">
        <f>SUBTOTAL(9,U9:U900000)</f>
        <v>0</v>
      </c>
      <c r="V7" s="25">
        <f>SUBTOTAL(9,V9:V900000)</f>
        <v>0</v>
      </c>
      <c r="W7" s="26">
        <f>SUBTOTAL(9,W9:W900000)</f>
        <v>0</v>
      </c>
      <c r="X7" s="27">
        <f>SUBTOTAL(9,X9:X900000)</f>
        <v>0</v>
      </c>
      <c r="Y7" s="29" t="e">
        <f>SUBTOTAL(9,Y9:Y900000)</f>
        <v>#DIV/0!</v>
      </c>
    </row>
    <row r="8" spans="1:25" s="4" customFormat="1" x14ac:dyDescent="0.25">
      <c r="B8" s="5"/>
      <c r="C8" s="35"/>
      <c r="D8" s="31"/>
      <c r="E8" s="3"/>
      <c r="F8" s="22"/>
      <c r="G8" s="22"/>
      <c r="H8" s="22"/>
      <c r="I8" s="23"/>
      <c r="J8" s="23"/>
      <c r="K8" s="25"/>
      <c r="L8" s="25"/>
      <c r="M8" s="26"/>
      <c r="N8" s="27"/>
      <c r="O8" s="27"/>
      <c r="P8" s="27"/>
      <c r="Q8" s="27"/>
      <c r="R8" s="27"/>
      <c r="S8" s="28"/>
      <c r="T8" s="28"/>
      <c r="U8" s="22"/>
      <c r="V8" s="25"/>
      <c r="W8" s="26"/>
      <c r="X8" s="27"/>
      <c r="Y8" s="29"/>
    </row>
    <row r="9" spans="1:25" ht="17.25" customHeight="1" x14ac:dyDescent="0.25">
      <c r="A9">
        <f>TransportInvoice!A2</f>
        <v>0</v>
      </c>
      <c r="B9" s="8">
        <f>TransportInvoice!B2</f>
        <v>0</v>
      </c>
      <c r="C9" s="36">
        <f>TransportInvoice!C2</f>
        <v>0</v>
      </c>
      <c r="D9" s="33">
        <f>TransportInvoice!D2</f>
        <v>0</v>
      </c>
      <c r="E9" s="8">
        <f>TransportInvoice!E2</f>
        <v>0</v>
      </c>
      <c r="F9" s="20">
        <f>I9+J9</f>
        <v>0</v>
      </c>
      <c r="G9" s="20">
        <f>_xlfn.IFNA(VLOOKUP(A9&amp;"_"&amp;$G$5,TransportInvoiceDetail!$A$1:$F$900000,5,FALSE),0)</f>
        <v>0</v>
      </c>
      <c r="H9" s="20">
        <f>_xlfn.IFNA(VLOOKUP(A9&amp;"_"&amp;$H$5,TransportInvoiceDetail!$A$1:$F$900000,5,FALSE),0)</f>
        <v>0</v>
      </c>
      <c r="I9" s="20">
        <f>_xlfn.IFNA(VLOOKUP(A9&amp;"_"&amp;$I$5,TransportInvoiceDetail!$A$1:$F$900000,5,FALSE),0)</f>
        <v>0</v>
      </c>
      <c r="J9" s="20">
        <f>_xlfn.IFNA(VLOOKUP(A9&amp;"_"&amp;$J$5,TransportInvoiceDetail!$A$1:$F$900000,5,FALSE),0)</f>
        <v>0</v>
      </c>
      <c r="K9" s="6">
        <f>_xlfn.IFNA(VLOOKUP(A9&amp;"_"&amp;$K$5,TransportInvoiceDetail!$A$1:$F$900000,5,FALSE),0)</f>
        <v>0</v>
      </c>
      <c r="L9" s="6">
        <f>_xlfn.IFNA(VLOOKUP(A9&amp;"_"&amp;$L$5,TransportInvoiceDetail!$A$1:$F$900000,5,FALSE),0)</f>
        <v>0</v>
      </c>
      <c r="M9" s="6">
        <f>_xlfn.IFNA(VLOOKUP(A9&amp;"_"&amp;$M$5,TransportInvoiceDetail!$A$1:$F$900000,5,FALSE),0)</f>
        <v>0</v>
      </c>
      <c r="N9" s="6">
        <f>_xlfn.IFNA(VLOOKUP(A9&amp;"_"&amp;$N$5,TransportInvoiceDetail!$A$1:$F$900000,5,FALSE),0)</f>
        <v>0</v>
      </c>
      <c r="O9" s="6">
        <f>_xlfn.IFNA(VLOOKUP(A9&amp;"_"&amp;$O$5,TransportInvoiceDetail!$A$1:$F$900000,5,FALSE),0)</f>
        <v>0</v>
      </c>
      <c r="P9" s="6">
        <f>_xlfn.IFNA(VLOOKUP(A9&amp;"_"&amp;$P$5,TransportInvoiceDetail!$A$1:$F$900000,5,FALSE),0)</f>
        <v>0</v>
      </c>
      <c r="Q9" s="6">
        <f>_xlfn.IFNA(VLOOKUP(A9&amp;"_"&amp;$Q$5,TransportInvoiceDetail!$A$1:$F$900000,5,FALSE),0)</f>
        <v>0</v>
      </c>
      <c r="R9" s="6">
        <f>S9+T9</f>
        <v>0</v>
      </c>
      <c r="S9" s="6">
        <f>_xlfn.IFNA(VLOOKUP(A9&amp;"_"&amp;$S$5,TransportInvoiceDetail!$A$1:$F$900000,5,FALSE),0)</f>
        <v>0</v>
      </c>
      <c r="T9" s="6">
        <f>_xlfn.IFNA(VLOOKUP(A9&amp;"_"&amp;$T$5,TransportInvoiceDetail!$A$1:$F$900000,5,FALSE),0)</f>
        <v>0</v>
      </c>
      <c r="U9" s="20">
        <f>F9+G9+H9</f>
        <v>0</v>
      </c>
      <c r="V9" s="6">
        <f>K9+L9</f>
        <v>0</v>
      </c>
      <c r="W9" s="6">
        <f>M9</f>
        <v>0</v>
      </c>
      <c r="X9" s="6">
        <f>SUM(N9:R9)</f>
        <v>0</v>
      </c>
      <c r="Y9" s="6" t="e">
        <f>U9/$F$2+V9+W9+X9</f>
        <v>#DIV/0!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9"/>
  <sheetViews>
    <sheetView showZeros="0" topLeftCell="B1" zoomScale="85" zoomScaleNormal="85" workbookViewId="0">
      <pane ySplit="8" topLeftCell="A9" activePane="bottomLeft" state="frozen"/>
      <selection activeCell="B1" sqref="B1"/>
      <selection pane="bottomLeft" activeCell="L7" sqref="L7"/>
    </sheetView>
  </sheetViews>
  <sheetFormatPr defaultRowHeight="15" x14ac:dyDescent="0.25"/>
  <cols>
    <col min="1" max="1" width="3.7109375" hidden="1" customWidth="1"/>
    <col min="2" max="2" width="13.7109375" style="34" customWidth="1"/>
    <col min="3" max="3" width="12.5703125" style="34" customWidth="1"/>
    <col min="4" max="4" width="14.28515625" style="7" customWidth="1"/>
    <col min="5" max="5" width="13.7109375" style="21" customWidth="1"/>
    <col min="6" max="9" width="13.7109375" style="24" customWidth="1"/>
  </cols>
  <sheetData>
    <row r="2" spans="1:9" ht="18.75" x14ac:dyDescent="0.25">
      <c r="B2" s="16" t="s">
        <v>41</v>
      </c>
      <c r="D2" s="19"/>
      <c r="E2" s="39"/>
      <c r="H2" s="40" t="s">
        <v>42</v>
      </c>
      <c r="I2" s="44">
        <f>ExchangeRate!A2</f>
        <v>0</v>
      </c>
    </row>
    <row r="4" spans="1:9" s="4" customFormat="1" ht="45" x14ac:dyDescent="0.25">
      <c r="B4" s="37" t="s">
        <v>37</v>
      </c>
      <c r="C4" s="37" t="s">
        <v>38</v>
      </c>
      <c r="D4" s="3" t="s">
        <v>21</v>
      </c>
      <c r="E4" s="42" t="s">
        <v>22</v>
      </c>
      <c r="F4" s="43" t="s">
        <v>39</v>
      </c>
      <c r="G4" s="43" t="s">
        <v>40</v>
      </c>
      <c r="H4" s="43" t="s">
        <v>10</v>
      </c>
      <c r="I4" s="29" t="s">
        <v>33</v>
      </c>
    </row>
    <row r="5" spans="1:9" s="4" customFormat="1" hidden="1" x14ac:dyDescent="0.25">
      <c r="B5" s="35"/>
      <c r="C5" s="35"/>
      <c r="D5" s="10"/>
      <c r="E5" s="41">
        <v>1</v>
      </c>
      <c r="F5" s="41">
        <v>2</v>
      </c>
      <c r="G5" s="41">
        <v>3</v>
      </c>
      <c r="H5" s="41">
        <v>4</v>
      </c>
      <c r="I5" s="15"/>
    </row>
    <row r="6" spans="1:9" s="4" customFormat="1" x14ac:dyDescent="0.25">
      <c r="B6" s="38" t="s">
        <v>34</v>
      </c>
      <c r="C6" s="35"/>
      <c r="D6" s="3"/>
      <c r="E6" s="42">
        <f t="shared" ref="E6" si="0">SUM(E9:E900000)</f>
        <v>0</v>
      </c>
      <c r="F6" s="43">
        <f>SUM(F9:F900000)</f>
        <v>0</v>
      </c>
      <c r="G6" s="43">
        <f>SUM(G9:G900000)</f>
        <v>0</v>
      </c>
      <c r="H6" s="43">
        <f>SUM(H9:H900000)</f>
        <v>0</v>
      </c>
      <c r="I6" s="29" t="e">
        <f>SUM(I9:I900000)</f>
        <v>#DIV/0!</v>
      </c>
    </row>
    <row r="7" spans="1:9" s="4" customFormat="1" x14ac:dyDescent="0.25">
      <c r="B7" s="38" t="s">
        <v>36</v>
      </c>
      <c r="C7" s="35"/>
      <c r="D7" s="3"/>
      <c r="E7" s="42">
        <f t="shared" ref="E7" si="1">SUBTOTAL(9,E9:E900000)</f>
        <v>0</v>
      </c>
      <c r="F7" s="43">
        <f>SUBTOTAL(9,F9:F900000)</f>
        <v>0</v>
      </c>
      <c r="G7" s="43">
        <f>SUBTOTAL(9,G9:G900000)</f>
        <v>0</v>
      </c>
      <c r="H7" s="43">
        <f>SUBTOTAL(9,H9:H900000)</f>
        <v>0</v>
      </c>
      <c r="I7" s="29" t="e">
        <f>SUBTOTAL(9,I9:I900000)</f>
        <v>#DIV/0!</v>
      </c>
    </row>
    <row r="8" spans="1:9" s="4" customFormat="1" x14ac:dyDescent="0.25">
      <c r="B8" s="35"/>
      <c r="C8" s="35"/>
      <c r="D8" s="3"/>
      <c r="E8" s="42"/>
      <c r="F8" s="43"/>
      <c r="G8" s="43"/>
      <c r="H8" s="43"/>
      <c r="I8" s="29"/>
    </row>
    <row r="9" spans="1:9" ht="17.25" customHeight="1" x14ac:dyDescent="0.25">
      <c r="A9">
        <f>ChargeClientInvoice!A2</f>
        <v>0</v>
      </c>
      <c r="B9" s="36">
        <f>ChargeClientInvoice!B2</f>
        <v>0</v>
      </c>
      <c r="C9" s="45">
        <f>ChargeClientInvoice!C2</f>
        <v>0</v>
      </c>
      <c r="D9" s="8">
        <f>ChargeClientInvoice!D2</f>
        <v>0</v>
      </c>
      <c r="E9" s="20">
        <f>_xlfn.IFNA(VLOOKUP(A9&amp;"_"&amp;$E$5,ChargeClientInvoiceDetail!$A$1:$F$900000,5,FALSE),0)</f>
        <v>0</v>
      </c>
      <c r="F9" s="6">
        <f>_xlfn.IFNA(VLOOKUP(A9&amp;"_"&amp;$F$5,ChargeClientInvoiceDetail!$A$1:$F$900000,5,FALSE),0)</f>
        <v>0</v>
      </c>
      <c r="G9" s="6">
        <f>_xlfn.IFNA(VLOOKUP(A9&amp;"_"&amp;$G$5,ChargeClientInvoiceDetail!$A$1:$F$900000,5,FALSE),0)</f>
        <v>0</v>
      </c>
      <c r="H9" s="6">
        <f>_xlfn.IFNA(VLOOKUP(A9&amp;"_"&amp;$H$5,ChargeClientInvoiceDetail!$A$1:$F$900000,5,FALSE),0)</f>
        <v>0</v>
      </c>
      <c r="I9" s="6" t="e">
        <f>E9/$I$2+F9+G9+H9</f>
        <v>#DIV/0!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7"/>
  <sheetViews>
    <sheetView showZeros="0" zoomScale="85" zoomScaleNormal="85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L7" sqref="L7"/>
    </sheetView>
  </sheetViews>
  <sheetFormatPr defaultRowHeight="15" x14ac:dyDescent="0.25"/>
  <cols>
    <col min="1" max="1" width="13.7109375" customWidth="1"/>
    <col min="2" max="2" width="13.7109375" style="54" customWidth="1"/>
    <col min="3" max="3" width="10.28515625" customWidth="1"/>
    <col min="4" max="4" width="22.7109375" customWidth="1"/>
    <col min="5" max="5" width="18.7109375" customWidth="1"/>
    <col min="6" max="6" width="13.7109375" customWidth="1"/>
    <col min="7" max="7" width="17.7109375" customWidth="1"/>
    <col min="8" max="8" width="13.85546875" customWidth="1"/>
    <col min="9" max="9" width="15.7109375" style="21" customWidth="1"/>
    <col min="10" max="12" width="13.7109375" style="24" customWidth="1"/>
    <col min="13" max="13" width="15.7109375" style="24" customWidth="1"/>
    <col min="14" max="16" width="13.7109375" style="24" customWidth="1"/>
    <col min="17" max="17" width="15.42578125" style="24" customWidth="1"/>
    <col min="18" max="19" width="13.7109375" style="24" customWidth="1"/>
  </cols>
  <sheetData>
    <row r="1" spans="1:19" ht="18.75" x14ac:dyDescent="0.3">
      <c r="A1" s="48" t="s">
        <v>57</v>
      </c>
      <c r="F1" s="52" t="s">
        <v>87</v>
      </c>
      <c r="G1" s="52">
        <f>ExchangeRate!A2</f>
        <v>0</v>
      </c>
    </row>
    <row r="2" spans="1:19" x14ac:dyDescent="0.25">
      <c r="I2" s="68" t="s">
        <v>88</v>
      </c>
      <c r="J2" s="68"/>
      <c r="K2" s="68"/>
      <c r="L2" s="68"/>
      <c r="M2" s="68"/>
      <c r="N2" s="69" t="s">
        <v>89</v>
      </c>
      <c r="O2" s="69"/>
      <c r="P2" s="69"/>
      <c r="Q2" s="70" t="s">
        <v>90</v>
      </c>
      <c r="R2" s="70"/>
      <c r="S2" s="70"/>
    </row>
    <row r="3" spans="1:19" ht="45" x14ac:dyDescent="0.25">
      <c r="A3" s="46" t="s">
        <v>47</v>
      </c>
      <c r="B3" s="55" t="s">
        <v>48</v>
      </c>
      <c r="C3" s="47" t="s">
        <v>49</v>
      </c>
      <c r="D3" s="47" t="s">
        <v>50</v>
      </c>
      <c r="E3" s="47" t="s">
        <v>51</v>
      </c>
      <c r="F3" s="46" t="s">
        <v>52</v>
      </c>
      <c r="G3" s="47" t="s">
        <v>53</v>
      </c>
      <c r="H3" s="46" t="s">
        <v>54</v>
      </c>
      <c r="I3" s="22" t="s">
        <v>29</v>
      </c>
      <c r="J3" s="50" t="s">
        <v>30</v>
      </c>
      <c r="K3" s="50" t="s">
        <v>31</v>
      </c>
      <c r="L3" s="50" t="s">
        <v>32</v>
      </c>
      <c r="M3" s="50" t="s">
        <v>55</v>
      </c>
      <c r="N3" s="26" t="s">
        <v>29</v>
      </c>
      <c r="O3" s="26" t="s">
        <v>30</v>
      </c>
      <c r="P3" s="26" t="s">
        <v>56</v>
      </c>
      <c r="Q3" s="56" t="s">
        <v>29</v>
      </c>
      <c r="R3" s="51" t="s">
        <v>30</v>
      </c>
      <c r="S3" s="51" t="s">
        <v>31</v>
      </c>
    </row>
    <row r="4" spans="1:19" x14ac:dyDescent="0.25">
      <c r="A4" s="49" t="s">
        <v>34</v>
      </c>
      <c r="B4" s="55"/>
      <c r="C4" s="47"/>
      <c r="D4" s="47"/>
      <c r="E4" s="47"/>
      <c r="F4" s="46"/>
      <c r="G4" s="47"/>
      <c r="H4" s="46"/>
      <c r="I4" s="22">
        <f>SUM(I7:I700000)</f>
        <v>0</v>
      </c>
      <c r="J4" s="50">
        <f t="shared" ref="J4:M4" si="0">SUM(J7:J700000)</f>
        <v>0</v>
      </c>
      <c r="K4" s="50">
        <f t="shared" si="0"/>
        <v>0</v>
      </c>
      <c r="L4" s="50">
        <f t="shared" si="0"/>
        <v>0</v>
      </c>
      <c r="M4" s="50" t="e">
        <f t="shared" si="0"/>
        <v>#DIV/0!</v>
      </c>
      <c r="N4" s="26">
        <f>SUM(N7:N700000)</f>
        <v>0</v>
      </c>
      <c r="O4" s="26">
        <f t="shared" ref="O4:P4" si="1">SUM(O7:O700000)</f>
        <v>0</v>
      </c>
      <c r="P4" s="26">
        <f t="shared" si="1"/>
        <v>0</v>
      </c>
      <c r="Q4" s="51">
        <f>SUM(Q7:Q700000)</f>
        <v>0</v>
      </c>
      <c r="R4" s="51">
        <f t="shared" ref="R4:S4" si="2">SUM(R7:R700000)</f>
        <v>0</v>
      </c>
      <c r="S4" s="51">
        <f t="shared" si="2"/>
        <v>0</v>
      </c>
    </row>
    <row r="5" spans="1:19" x14ac:dyDescent="0.25">
      <c r="A5" s="49" t="s">
        <v>36</v>
      </c>
      <c r="B5" s="55"/>
      <c r="C5" s="47"/>
      <c r="D5" s="47"/>
      <c r="E5" s="47"/>
      <c r="F5" s="46"/>
      <c r="G5" s="47"/>
      <c r="H5" s="46"/>
      <c r="I5" s="22">
        <f>SUBTOTAL(9,I7:I700000)</f>
        <v>0</v>
      </c>
      <c r="J5" s="50">
        <f t="shared" ref="J5:M5" si="3">SUBTOTAL(9,J7:J700000)</f>
        <v>0</v>
      </c>
      <c r="K5" s="50">
        <f t="shared" si="3"/>
        <v>0</v>
      </c>
      <c r="L5" s="50">
        <f t="shared" si="3"/>
        <v>0</v>
      </c>
      <c r="M5" s="50" t="e">
        <f t="shared" si="3"/>
        <v>#DIV/0!</v>
      </c>
      <c r="N5" s="26">
        <f>SUBTOTAL(9,N7:N700000)</f>
        <v>0</v>
      </c>
      <c r="O5" s="26">
        <f t="shared" ref="O5:P5" si="4">SUBTOTAL(9,O7:O700000)</f>
        <v>0</v>
      </c>
      <c r="P5" s="26">
        <f t="shared" si="4"/>
        <v>0</v>
      </c>
      <c r="Q5" s="51">
        <f>SUBTOTAL(9,Q7:Q700000)</f>
        <v>0</v>
      </c>
      <c r="R5" s="51">
        <f t="shared" ref="R5:S5" si="5">SUBTOTAL(9,R7:R700000)</f>
        <v>0</v>
      </c>
      <c r="S5" s="51">
        <f t="shared" si="5"/>
        <v>0</v>
      </c>
    </row>
    <row r="6" spans="1:19" x14ac:dyDescent="0.25">
      <c r="A6" s="46"/>
      <c r="B6" s="55"/>
      <c r="C6" s="47"/>
      <c r="D6" s="47"/>
      <c r="E6" s="47"/>
      <c r="F6" s="46"/>
      <c r="G6" s="47"/>
      <c r="H6" s="46"/>
      <c r="I6" s="22"/>
      <c r="J6" s="50"/>
      <c r="K6" s="50"/>
      <c r="L6" s="50"/>
      <c r="M6" s="50"/>
      <c r="N6" s="26"/>
      <c r="O6" s="26"/>
      <c r="P6" s="26"/>
      <c r="Q6" s="51"/>
      <c r="R6" s="51"/>
      <c r="S6" s="51"/>
    </row>
    <row r="7" spans="1:19" x14ac:dyDescent="0.25">
      <c r="A7" s="53">
        <f>NonFobDelivery!A2</f>
        <v>0</v>
      </c>
      <c r="B7" s="36">
        <f>NonFobDelivery!B2</f>
        <v>0</v>
      </c>
      <c r="C7" s="53">
        <f>NonFobDelivery!C2</f>
        <v>0</v>
      </c>
      <c r="D7" s="53">
        <f>NonFobDelivery!D2</f>
        <v>0</v>
      </c>
      <c r="E7" s="53">
        <f>NonFobDelivery!E2</f>
        <v>0</v>
      </c>
      <c r="F7" s="53">
        <f>NonFobDelivery!F2</f>
        <v>0</v>
      </c>
      <c r="G7" s="53">
        <f>NonFobDelivery!G2</f>
        <v>0</v>
      </c>
      <c r="H7" s="53">
        <f>NonFobDelivery!H2</f>
        <v>0</v>
      </c>
      <c r="I7" s="20">
        <f>NonFobDelivery!I2</f>
        <v>0</v>
      </c>
      <c r="J7" s="6">
        <f>NonFobDelivery!J2</f>
        <v>0</v>
      </c>
      <c r="K7" s="6">
        <f>NonFobDelivery!K2</f>
        <v>0</v>
      </c>
      <c r="L7" s="6">
        <f>NonFobDelivery!L2</f>
        <v>0</v>
      </c>
      <c r="M7" s="6" t="e">
        <f>I7/$G$1+J7+K7+L7</f>
        <v>#DIV/0!</v>
      </c>
      <c r="N7" s="6">
        <f>NonFobDelivery!N2</f>
        <v>0</v>
      </c>
      <c r="O7" s="6">
        <f>NonFobDelivery!O2</f>
        <v>0</v>
      </c>
      <c r="P7" s="6">
        <f>NonFobDelivery!P2</f>
        <v>0</v>
      </c>
      <c r="Q7" s="6">
        <f>I7-N7</f>
        <v>0</v>
      </c>
      <c r="R7" s="6">
        <f>J7-O7</f>
        <v>0</v>
      </c>
      <c r="S7" s="6">
        <f>K7-P7</f>
        <v>0</v>
      </c>
    </row>
  </sheetData>
  <mergeCells count="3">
    <mergeCell ref="I2:M2"/>
    <mergeCell ref="N2:P2"/>
    <mergeCell ref="Q2:S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7"/>
  <sheetViews>
    <sheetView showZeros="0" zoomScale="85" zoomScaleNormal="85" workbookViewId="0">
      <pane xSplit="8" ySplit="6" topLeftCell="Q7" activePane="bottomRight" state="frozen"/>
      <selection pane="topRight" activeCell="I1" sqref="I1"/>
      <selection pane="bottomLeft" activeCell="A7" sqref="A7"/>
      <selection pane="bottomRight" activeCell="AC8" sqref="AC8"/>
    </sheetView>
  </sheetViews>
  <sheetFormatPr defaultRowHeight="15" x14ac:dyDescent="0.25"/>
  <cols>
    <col min="1" max="1" width="13.7109375" customWidth="1"/>
    <col min="2" max="2" width="13.7109375" style="54" customWidth="1"/>
    <col min="3" max="3" width="10.28515625" customWidth="1"/>
    <col min="4" max="4" width="22.7109375" customWidth="1"/>
    <col min="5" max="5" width="18.7109375" customWidth="1"/>
    <col min="6" max="6" width="13.7109375" customWidth="1"/>
    <col min="7" max="7" width="17.7109375" customWidth="1"/>
    <col min="8" max="8" width="13.85546875" customWidth="1"/>
    <col min="9" max="9" width="15.7109375" style="21" customWidth="1"/>
    <col min="10" max="12" width="13.7109375" style="24" customWidth="1"/>
    <col min="13" max="13" width="15.7109375" style="24" customWidth="1"/>
    <col min="14" max="14" width="13.7109375" style="21" customWidth="1"/>
    <col min="15" max="16" width="13.7109375" style="24" customWidth="1"/>
    <col min="17" max="17" width="15.42578125" style="21" customWidth="1"/>
    <col min="18" max="19" width="13.7109375" style="24" customWidth="1"/>
    <col min="20" max="20" width="15.7109375" style="21" customWidth="1"/>
    <col min="21" max="23" width="13.7109375" style="24" customWidth="1"/>
    <col min="24" max="24" width="13.7109375" style="21" customWidth="1"/>
    <col min="25" max="26" width="13.7109375" style="24" customWidth="1"/>
    <col min="27" max="27" width="15.42578125" style="21" customWidth="1"/>
    <col min="28" max="29" width="13.7109375" style="24" customWidth="1"/>
  </cols>
  <sheetData>
    <row r="1" spans="1:29" ht="18.75" x14ac:dyDescent="0.3">
      <c r="A1" s="48" t="s">
        <v>57</v>
      </c>
      <c r="F1" s="52" t="s">
        <v>87</v>
      </c>
      <c r="G1" s="52">
        <f>ExchangeRate!A2</f>
        <v>0</v>
      </c>
    </row>
    <row r="2" spans="1:29" x14ac:dyDescent="0.25">
      <c r="I2" s="68" t="s">
        <v>88</v>
      </c>
      <c r="J2" s="68"/>
      <c r="K2" s="68"/>
      <c r="L2" s="68"/>
      <c r="M2" s="68"/>
      <c r="N2" s="69" t="s">
        <v>89</v>
      </c>
      <c r="O2" s="69"/>
      <c r="P2" s="69"/>
      <c r="Q2" s="70" t="s">
        <v>90</v>
      </c>
      <c r="R2" s="70"/>
      <c r="S2" s="70"/>
      <c r="T2" s="72" t="s">
        <v>91</v>
      </c>
      <c r="U2" s="72"/>
      <c r="V2" s="72"/>
      <c r="W2" s="72"/>
      <c r="X2" s="73" t="s">
        <v>93</v>
      </c>
      <c r="Y2" s="73"/>
      <c r="Z2" s="73"/>
      <c r="AA2" s="71" t="s">
        <v>92</v>
      </c>
      <c r="AB2" s="71"/>
      <c r="AC2" s="71"/>
    </row>
    <row r="3" spans="1:29" ht="45" x14ac:dyDescent="0.25">
      <c r="A3" s="46" t="s">
        <v>47</v>
      </c>
      <c r="B3" s="55" t="s">
        <v>48</v>
      </c>
      <c r="C3" s="47" t="s">
        <v>49</v>
      </c>
      <c r="D3" s="47" t="s">
        <v>50</v>
      </c>
      <c r="E3" s="47" t="s">
        <v>51</v>
      </c>
      <c r="F3" s="46" t="s">
        <v>52</v>
      </c>
      <c r="G3" s="47" t="s">
        <v>53</v>
      </c>
      <c r="H3" s="46" t="s">
        <v>54</v>
      </c>
      <c r="I3" s="22" t="s">
        <v>29</v>
      </c>
      <c r="J3" s="50" t="s">
        <v>30</v>
      </c>
      <c r="K3" s="50" t="s">
        <v>31</v>
      </c>
      <c r="L3" s="50" t="s">
        <v>32</v>
      </c>
      <c r="M3" s="50" t="s">
        <v>55</v>
      </c>
      <c r="N3" s="61" t="s">
        <v>29</v>
      </c>
      <c r="O3" s="26" t="s">
        <v>30</v>
      </c>
      <c r="P3" s="26" t="s">
        <v>56</v>
      </c>
      <c r="Q3" s="62" t="s">
        <v>29</v>
      </c>
      <c r="R3" s="51" t="s">
        <v>30</v>
      </c>
      <c r="S3" s="51" t="s">
        <v>31</v>
      </c>
      <c r="T3" s="57" t="s">
        <v>29</v>
      </c>
      <c r="U3" s="58" t="s">
        <v>30</v>
      </c>
      <c r="V3" s="58" t="s">
        <v>31</v>
      </c>
      <c r="W3" s="58" t="s">
        <v>32</v>
      </c>
      <c r="X3" s="64" t="s">
        <v>29</v>
      </c>
      <c r="Y3" s="59" t="s">
        <v>30</v>
      </c>
      <c r="Z3" s="59" t="s">
        <v>56</v>
      </c>
      <c r="AA3" s="65" t="s">
        <v>29</v>
      </c>
      <c r="AB3" s="60" t="s">
        <v>30</v>
      </c>
      <c r="AC3" s="60" t="s">
        <v>31</v>
      </c>
    </row>
    <row r="4" spans="1:29" x14ac:dyDescent="0.25">
      <c r="A4" s="49" t="s">
        <v>34</v>
      </c>
      <c r="B4" s="55"/>
      <c r="C4" s="47"/>
      <c r="D4" s="47"/>
      <c r="E4" s="47"/>
      <c r="F4" s="46"/>
      <c r="G4" s="47"/>
      <c r="H4" s="46"/>
      <c r="I4" s="22">
        <f>SUM(I7:I700000)</f>
        <v>0</v>
      </c>
      <c r="J4" s="50">
        <f t="shared" ref="J4:M4" si="0">SUM(J7:J700000)</f>
        <v>0</v>
      </c>
      <c r="K4" s="50">
        <f t="shared" si="0"/>
        <v>0</v>
      </c>
      <c r="L4" s="50">
        <f t="shared" si="0"/>
        <v>0</v>
      </c>
      <c r="M4" s="50" t="e">
        <f t="shared" si="0"/>
        <v>#DIV/0!</v>
      </c>
      <c r="N4" s="61">
        <f>SUM(N7:N700000)</f>
        <v>0</v>
      </c>
      <c r="O4" s="26">
        <f t="shared" ref="O4:P4" si="1">SUM(O7:O700000)</f>
        <v>0</v>
      </c>
      <c r="P4" s="26">
        <f t="shared" si="1"/>
        <v>0</v>
      </c>
      <c r="Q4" s="63">
        <f>SUM(Q7:Q700000)</f>
        <v>0</v>
      </c>
      <c r="R4" s="51">
        <f t="shared" ref="R4:S4" si="2">SUM(R7:R700000)</f>
        <v>0</v>
      </c>
      <c r="S4" s="51">
        <f t="shared" si="2"/>
        <v>0</v>
      </c>
      <c r="T4" s="57">
        <f>SUM(T7:T700000)</f>
        <v>0</v>
      </c>
      <c r="U4" s="58">
        <f t="shared" ref="U4:W4" si="3">SUM(U7:U700000)</f>
        <v>0</v>
      </c>
      <c r="V4" s="58">
        <f t="shared" si="3"/>
        <v>0</v>
      </c>
      <c r="W4" s="58">
        <f t="shared" si="3"/>
        <v>0</v>
      </c>
      <c r="X4" s="64">
        <f>SUM(X7:X700000)</f>
        <v>0</v>
      </c>
      <c r="Y4" s="59">
        <f t="shared" ref="Y4:Z4" si="4">SUM(Y7:Y700000)</f>
        <v>0</v>
      </c>
      <c r="Z4" s="59">
        <f t="shared" si="4"/>
        <v>0</v>
      </c>
      <c r="AA4" s="65">
        <f>SUM(AA7:AA700000)</f>
        <v>0</v>
      </c>
      <c r="AB4" s="60">
        <f t="shared" ref="AB4:AC4" si="5">SUM(AB7:AB700000)</f>
        <v>0</v>
      </c>
      <c r="AC4" s="60">
        <f t="shared" si="5"/>
        <v>0</v>
      </c>
    </row>
    <row r="5" spans="1:29" x14ac:dyDescent="0.25">
      <c r="A5" s="49" t="s">
        <v>36</v>
      </c>
      <c r="B5" s="55"/>
      <c r="C5" s="47"/>
      <c r="D5" s="47"/>
      <c r="E5" s="47"/>
      <c r="F5" s="46"/>
      <c r="G5" s="47"/>
      <c r="H5" s="46"/>
      <c r="I5" s="22">
        <f>SUBTOTAL(9,I7:I700000)</f>
        <v>0</v>
      </c>
      <c r="J5" s="50">
        <f t="shared" ref="J5:M5" si="6">SUBTOTAL(9,J7:J700000)</f>
        <v>0</v>
      </c>
      <c r="K5" s="50">
        <f t="shared" si="6"/>
        <v>0</v>
      </c>
      <c r="L5" s="50">
        <f t="shared" si="6"/>
        <v>0</v>
      </c>
      <c r="M5" s="50" t="e">
        <f t="shared" si="6"/>
        <v>#DIV/0!</v>
      </c>
      <c r="N5" s="61">
        <f>SUBTOTAL(9,N7:N700000)</f>
        <v>0</v>
      </c>
      <c r="O5" s="26">
        <f t="shared" ref="O5:P5" si="7">SUBTOTAL(9,O7:O700000)</f>
        <v>0</v>
      </c>
      <c r="P5" s="26">
        <f t="shared" si="7"/>
        <v>0</v>
      </c>
      <c r="Q5" s="63">
        <f>SUBTOTAL(9,Q7:Q700000)</f>
        <v>0</v>
      </c>
      <c r="R5" s="51">
        <f t="shared" ref="R5:S5" si="8">SUBTOTAL(9,R7:R700000)</f>
        <v>0</v>
      </c>
      <c r="S5" s="51">
        <f t="shared" si="8"/>
        <v>0</v>
      </c>
      <c r="T5" s="57">
        <f>SUBTOTAL(9,T7:T700000)</f>
        <v>0</v>
      </c>
      <c r="U5" s="58">
        <f t="shared" ref="U5:W5" si="9">SUBTOTAL(9,U7:U700000)</f>
        <v>0</v>
      </c>
      <c r="V5" s="58">
        <f t="shared" si="9"/>
        <v>0</v>
      </c>
      <c r="W5" s="58">
        <f t="shared" si="9"/>
        <v>0</v>
      </c>
      <c r="X5" s="64">
        <f>SUBTOTAL(9,X7:X700000)</f>
        <v>0</v>
      </c>
      <c r="Y5" s="59">
        <f t="shared" ref="Y5:Z5" si="10">SUBTOTAL(9,Y7:Y700000)</f>
        <v>0</v>
      </c>
      <c r="Z5" s="59">
        <f t="shared" si="10"/>
        <v>0</v>
      </c>
      <c r="AA5" s="65">
        <f>SUBTOTAL(9,AA7:AA700000)</f>
        <v>0</v>
      </c>
      <c r="AB5" s="60">
        <f t="shared" ref="AB5:AC5" si="11">SUBTOTAL(9,AB7:AB700000)</f>
        <v>0</v>
      </c>
      <c r="AC5" s="60">
        <f t="shared" si="11"/>
        <v>0</v>
      </c>
    </row>
    <row r="6" spans="1:29" x14ac:dyDescent="0.25">
      <c r="A6" s="46"/>
      <c r="B6" s="55"/>
      <c r="C6" s="47"/>
      <c r="D6" s="47"/>
      <c r="E6" s="47"/>
      <c r="F6" s="46"/>
      <c r="G6" s="47"/>
      <c r="H6" s="46"/>
      <c r="I6" s="22"/>
      <c r="J6" s="50"/>
      <c r="K6" s="50"/>
      <c r="L6" s="50"/>
      <c r="M6" s="50"/>
      <c r="N6" s="61"/>
      <c r="O6" s="26"/>
      <c r="P6" s="26"/>
      <c r="Q6" s="63"/>
      <c r="R6" s="51"/>
      <c r="S6" s="51"/>
      <c r="T6" s="57"/>
      <c r="U6" s="58"/>
      <c r="V6" s="58"/>
      <c r="W6" s="58"/>
      <c r="X6" s="64"/>
      <c r="Y6" s="59"/>
      <c r="Z6" s="59"/>
      <c r="AA6" s="65"/>
      <c r="AB6" s="60"/>
      <c r="AC6" s="60"/>
    </row>
    <row r="7" spans="1:29" x14ac:dyDescent="0.25">
      <c r="A7" s="53">
        <f>FobDelivery!A2</f>
        <v>0</v>
      </c>
      <c r="B7" s="53">
        <f>FobDelivery!B2</f>
        <v>0</v>
      </c>
      <c r="C7" s="53">
        <f>FobDelivery!C2</f>
        <v>0</v>
      </c>
      <c r="D7" s="53">
        <f>FobDelivery!D2</f>
        <v>0</v>
      </c>
      <c r="E7" s="53">
        <f>FobDelivery!E2</f>
        <v>0</v>
      </c>
      <c r="F7" s="53">
        <f>FobDelivery!F2</f>
        <v>0</v>
      </c>
      <c r="G7" s="53">
        <f>FobDelivery!G2</f>
        <v>0</v>
      </c>
      <c r="H7" s="53">
        <f>FobDelivery!H2</f>
        <v>0</v>
      </c>
      <c r="I7" s="20">
        <f>FobDelivery!I2</f>
        <v>0</v>
      </c>
      <c r="J7" s="6">
        <f>FobDelivery!J2</f>
        <v>0</v>
      </c>
      <c r="K7" s="6">
        <f>FobDelivery!K2</f>
        <v>0</v>
      </c>
      <c r="L7" s="6">
        <f>FobDelivery!L2</f>
        <v>0</v>
      </c>
      <c r="M7" s="6" t="e">
        <f>I7/$G$1+J7+K7+L7</f>
        <v>#DIV/0!</v>
      </c>
      <c r="N7" s="20">
        <f>FobDelivery!N2</f>
        <v>0</v>
      </c>
      <c r="O7" s="6">
        <f>FobDelivery!O2</f>
        <v>0</v>
      </c>
      <c r="P7" s="6">
        <f>FobDelivery!P2</f>
        <v>0</v>
      </c>
      <c r="Q7" s="20">
        <f>I7-N7</f>
        <v>0</v>
      </c>
      <c r="R7" s="6">
        <f>J7-O7</f>
        <v>0</v>
      </c>
      <c r="S7" s="6">
        <f>K7-P7</f>
        <v>0</v>
      </c>
      <c r="T7" s="20">
        <f>FobDelivery!T2</f>
        <v>0</v>
      </c>
      <c r="U7" s="6">
        <f>FobDelivery!U2</f>
        <v>0</v>
      </c>
      <c r="V7" s="6">
        <f>FobDelivery!V2</f>
        <v>0</v>
      </c>
      <c r="W7" s="6">
        <f>FobDelivery!W2</f>
        <v>0</v>
      </c>
      <c r="X7" s="20">
        <f>FobDelivery!X2</f>
        <v>0</v>
      </c>
      <c r="Y7" s="6">
        <f>FobDelivery!Y2</f>
        <v>0</v>
      </c>
      <c r="Z7" s="6">
        <f>FobDelivery!Z2</f>
        <v>0</v>
      </c>
      <c r="AA7" s="20">
        <f>X7-T7</f>
        <v>0</v>
      </c>
      <c r="AB7" s="6">
        <f>Y7-U7</f>
        <v>0</v>
      </c>
      <c r="AC7" s="6">
        <f>Z7-V7</f>
        <v>0</v>
      </c>
    </row>
  </sheetData>
  <mergeCells count="6">
    <mergeCell ref="AA2:AC2"/>
    <mergeCell ref="I2:M2"/>
    <mergeCell ref="N2:P2"/>
    <mergeCell ref="Q2:S2"/>
    <mergeCell ref="T2:W2"/>
    <mergeCell ref="X2:Z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workbookViewId="0">
      <selection activeCell="C13" sqref="C13"/>
    </sheetView>
  </sheetViews>
  <sheetFormatPr defaultRowHeight="12.75" x14ac:dyDescent="0.2"/>
  <cols>
    <col min="1" max="1" width="16.5703125" style="66" bestFit="1" customWidth="1"/>
    <col min="2" max="2" width="5.85546875" style="66" bestFit="1" customWidth="1"/>
    <col min="3" max="3" width="10.42578125" style="66" bestFit="1" customWidth="1"/>
    <col min="4" max="4" width="8.85546875" style="66" bestFit="1" customWidth="1"/>
    <col min="5" max="5" width="23.7109375" style="66" bestFit="1" customWidth="1"/>
    <col min="6" max="6" width="7" style="66" bestFit="1" customWidth="1"/>
    <col min="7" max="16384" width="9.140625" style="66"/>
  </cols>
  <sheetData>
    <row r="1" spans="1:6" x14ac:dyDescent="0.2">
      <c r="A1" s="66" t="s">
        <v>0</v>
      </c>
      <c r="B1" s="66" t="s">
        <v>1</v>
      </c>
      <c r="C1" s="66" t="s">
        <v>2</v>
      </c>
      <c r="D1" s="66" t="s">
        <v>3</v>
      </c>
      <c r="E1" s="66" t="s">
        <v>4</v>
      </c>
      <c r="F1" s="66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"/>
  <sheetViews>
    <sheetView workbookViewId="0">
      <selection activeCell="D34" sqref="D34"/>
    </sheetView>
  </sheetViews>
  <sheetFormatPr defaultRowHeight="12.75" x14ac:dyDescent="0.2"/>
  <cols>
    <col min="1" max="1" width="5.5703125" style="66" bestFit="1" customWidth="1"/>
    <col min="2" max="2" width="16.5703125" style="66" bestFit="1" customWidth="1"/>
    <col min="3" max="3" width="18.28515625" style="66" bestFit="1" customWidth="1"/>
    <col min="4" max="4" width="19.140625" style="66" bestFit="1" customWidth="1"/>
    <col min="5" max="5" width="14.7109375" style="66" bestFit="1" customWidth="1"/>
    <col min="6" max="6" width="7" style="66" bestFit="1" customWidth="1"/>
    <col min="7" max="16384" width="9.140625" style="66"/>
  </cols>
  <sheetData>
    <row r="1" spans="1:6" x14ac:dyDescent="0.2">
      <c r="A1" s="66" t="s">
        <v>6</v>
      </c>
      <c r="B1" s="66" t="s">
        <v>0</v>
      </c>
      <c r="C1" s="66" t="s">
        <v>7</v>
      </c>
      <c r="D1" s="66" t="s">
        <v>8</v>
      </c>
      <c r="E1" s="66" t="s">
        <v>9</v>
      </c>
      <c r="F1" s="66" t="s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"/>
  <sheetViews>
    <sheetView workbookViewId="0">
      <selection sqref="A1:XFD1048576"/>
    </sheetView>
  </sheetViews>
  <sheetFormatPr defaultRowHeight="12.75" x14ac:dyDescent="0.2"/>
  <cols>
    <col min="1" max="1" width="19.42578125" style="66" bestFit="1" customWidth="1"/>
    <col min="2" max="2" width="8.85546875" style="66" bestFit="1" customWidth="1"/>
    <col min="3" max="3" width="10.42578125" style="66" bestFit="1" customWidth="1"/>
    <col min="4" max="4" width="23.7109375" style="66" bestFit="1" customWidth="1"/>
    <col min="5" max="5" width="7" style="66" bestFit="1" customWidth="1"/>
    <col min="6" max="16384" width="9.140625" style="66"/>
  </cols>
  <sheetData>
    <row r="1" spans="1:5" x14ac:dyDescent="0.2">
      <c r="A1" s="66" t="s">
        <v>43</v>
      </c>
      <c r="B1" s="66" t="s">
        <v>3</v>
      </c>
      <c r="C1" s="66" t="s">
        <v>2</v>
      </c>
      <c r="D1" s="66" t="s">
        <v>4</v>
      </c>
      <c r="E1" s="66" t="s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"/>
  <sheetViews>
    <sheetView workbookViewId="0">
      <selection sqref="A1:XFD1048576"/>
    </sheetView>
  </sheetViews>
  <sheetFormatPr defaultRowHeight="12.75" x14ac:dyDescent="0.2"/>
  <cols>
    <col min="1" max="1" width="5.5703125" style="66" bestFit="1" customWidth="1"/>
    <col min="2" max="2" width="19.42578125" style="66" bestFit="1" customWidth="1"/>
    <col min="3" max="3" width="16" style="66" bestFit="1" customWidth="1"/>
    <col min="4" max="4" width="20.42578125" style="66" bestFit="1" customWidth="1"/>
    <col min="5" max="5" width="11.42578125" style="66" bestFit="1" customWidth="1"/>
    <col min="6" max="6" width="7" style="66" bestFit="1" customWidth="1"/>
    <col min="7" max="16384" width="9.140625" style="66"/>
  </cols>
  <sheetData>
    <row r="1" spans="1:6" x14ac:dyDescent="0.2">
      <c r="A1" s="66" t="s">
        <v>6</v>
      </c>
      <c r="B1" s="66" t="s">
        <v>43</v>
      </c>
      <c r="C1" s="66" t="s">
        <v>44</v>
      </c>
      <c r="D1" s="66" t="s">
        <v>45</v>
      </c>
      <c r="E1" s="66" t="s">
        <v>46</v>
      </c>
      <c r="F1" s="66" t="s"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1"/>
  <sheetViews>
    <sheetView workbookViewId="0">
      <selection activeCell="H16" sqref="H16"/>
    </sheetView>
  </sheetViews>
  <sheetFormatPr defaultRowHeight="12.75" x14ac:dyDescent="0.2"/>
  <cols>
    <col min="1" max="1" width="9.85546875" style="66" bestFit="1" customWidth="1"/>
    <col min="2" max="2" width="10.42578125" style="66" bestFit="1" customWidth="1"/>
    <col min="3" max="3" width="7.85546875" style="66" bestFit="1" customWidth="1"/>
    <col min="4" max="4" width="8.140625" style="66" bestFit="1" customWidth="1"/>
    <col min="5" max="5" width="5" style="66" bestFit="1" customWidth="1"/>
    <col min="6" max="6" width="11.85546875" style="66" bestFit="1" customWidth="1"/>
    <col min="7" max="7" width="12.140625" style="66" bestFit="1" customWidth="1"/>
    <col min="8" max="8" width="8.85546875" style="66" bestFit="1" customWidth="1"/>
    <col min="9" max="9" width="29" style="66" bestFit="1" customWidth="1"/>
    <col min="10" max="11" width="27.140625" style="66" bestFit="1" customWidth="1"/>
    <col min="12" max="12" width="24.5703125" style="66" bestFit="1" customWidth="1"/>
    <col min="13" max="13" width="23.5703125" style="66" bestFit="1" customWidth="1"/>
    <col min="14" max="14" width="27.28515625" style="66" bestFit="1" customWidth="1"/>
    <col min="15" max="16" width="25.28515625" style="66" bestFit="1" customWidth="1"/>
    <col min="17" max="17" width="23" style="66" bestFit="1" customWidth="1"/>
    <col min="18" max="19" width="21" style="66" bestFit="1" customWidth="1"/>
    <col min="20" max="20" width="7" style="66" bestFit="1" customWidth="1"/>
    <col min="21" max="21" width="9" style="66" bestFit="1" customWidth="1"/>
    <col min="22" max="16384" width="9.140625" style="66"/>
  </cols>
  <sheetData>
    <row r="1" spans="1:21" x14ac:dyDescent="0.2">
      <c r="A1" s="66" t="s">
        <v>58</v>
      </c>
      <c r="B1" s="66" t="s">
        <v>2</v>
      </c>
      <c r="C1" s="66" t="s">
        <v>59</v>
      </c>
      <c r="D1" s="66" t="s">
        <v>60</v>
      </c>
      <c r="E1" s="66" t="s">
        <v>61</v>
      </c>
      <c r="F1" s="66" t="s">
        <v>62</v>
      </c>
      <c r="G1" s="66" t="s">
        <v>63</v>
      </c>
      <c r="H1" s="66" t="s">
        <v>64</v>
      </c>
      <c r="I1" s="66" t="s">
        <v>65</v>
      </c>
      <c r="J1" s="66" t="s">
        <v>66</v>
      </c>
      <c r="K1" s="66" t="s">
        <v>67</v>
      </c>
      <c r="L1" s="66" t="s">
        <v>68</v>
      </c>
      <c r="M1" s="66" t="s">
        <v>69</v>
      </c>
      <c r="N1" s="66" t="s">
        <v>70</v>
      </c>
      <c r="O1" s="66" t="s">
        <v>71</v>
      </c>
      <c r="P1" s="66" t="s">
        <v>72</v>
      </c>
      <c r="Q1" s="66" t="s">
        <v>73</v>
      </c>
      <c r="R1" s="66" t="s">
        <v>74</v>
      </c>
      <c r="S1" s="66" t="s">
        <v>75</v>
      </c>
      <c r="T1" s="66" t="s">
        <v>5</v>
      </c>
      <c r="U1" s="66" t="s">
        <v>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"/>
  <sheetViews>
    <sheetView workbookViewId="0">
      <selection activeCell="C41" sqref="C41"/>
    </sheetView>
  </sheetViews>
  <sheetFormatPr defaultRowHeight="12.75" x14ac:dyDescent="0.2"/>
  <cols>
    <col min="1" max="1" width="9.85546875" style="66" bestFit="1" customWidth="1"/>
    <col min="2" max="2" width="10.42578125" style="66" bestFit="1" customWidth="1"/>
    <col min="3" max="3" width="7.85546875" style="66" bestFit="1" customWidth="1"/>
    <col min="4" max="4" width="8.140625" style="66" bestFit="1" customWidth="1"/>
    <col min="5" max="5" width="5" style="66" bestFit="1" customWidth="1"/>
    <col min="6" max="6" width="11.85546875" style="66" bestFit="1" customWidth="1"/>
    <col min="7" max="7" width="12.140625" style="66" bestFit="1" customWidth="1"/>
    <col min="8" max="8" width="8.85546875" style="66" bestFit="1" customWidth="1"/>
    <col min="9" max="9" width="29" style="66" bestFit="1" customWidth="1"/>
    <col min="10" max="11" width="27.140625" style="66" bestFit="1" customWidth="1"/>
    <col min="12" max="12" width="24.5703125" style="66" bestFit="1" customWidth="1"/>
    <col min="13" max="13" width="23.5703125" style="66" bestFit="1" customWidth="1"/>
    <col min="14" max="14" width="27.28515625" style="66" bestFit="1" customWidth="1"/>
    <col min="15" max="16" width="25.28515625" style="66" bestFit="1" customWidth="1"/>
    <col min="17" max="17" width="23" style="66" bestFit="1" customWidth="1"/>
    <col min="18" max="19" width="21" style="66" bestFit="1" customWidth="1"/>
    <col min="20" max="20" width="24.85546875" style="66" bestFit="1" customWidth="1"/>
    <col min="21" max="22" width="23" style="66" bestFit="1" customWidth="1"/>
    <col min="23" max="23" width="20.42578125" style="66" bestFit="1" customWidth="1"/>
    <col min="24" max="24" width="23.140625" style="66" bestFit="1" customWidth="1"/>
    <col min="25" max="26" width="21.140625" style="66" bestFit="1" customWidth="1"/>
    <col min="27" max="27" width="18.85546875" style="66" bestFit="1" customWidth="1"/>
    <col min="28" max="29" width="16.85546875" style="66" bestFit="1" customWidth="1"/>
    <col min="30" max="30" width="7" style="66" bestFit="1" customWidth="1"/>
    <col min="31" max="16384" width="9.140625" style="66"/>
  </cols>
  <sheetData>
    <row r="1" spans="1:30" x14ac:dyDescent="0.2">
      <c r="A1" s="66" t="s">
        <v>58</v>
      </c>
      <c r="B1" s="66" t="s">
        <v>2</v>
      </c>
      <c r="C1" s="66" t="s">
        <v>59</v>
      </c>
      <c r="D1" s="66" t="s">
        <v>60</v>
      </c>
      <c r="E1" s="66" t="s">
        <v>61</v>
      </c>
      <c r="F1" s="66" t="s">
        <v>62</v>
      </c>
      <c r="G1" s="66" t="s">
        <v>63</v>
      </c>
      <c r="H1" s="66" t="s">
        <v>64</v>
      </c>
      <c r="I1" s="66" t="s">
        <v>65</v>
      </c>
      <c r="J1" s="66" t="s">
        <v>66</v>
      </c>
      <c r="K1" s="66" t="s">
        <v>67</v>
      </c>
      <c r="L1" s="66" t="s">
        <v>68</v>
      </c>
      <c r="M1" s="66" t="s">
        <v>69</v>
      </c>
      <c r="N1" s="66" t="s">
        <v>70</v>
      </c>
      <c r="O1" s="66" t="s">
        <v>71</v>
      </c>
      <c r="P1" s="66" t="s">
        <v>72</v>
      </c>
      <c r="Q1" s="66" t="s">
        <v>73</v>
      </c>
      <c r="R1" s="66" t="s">
        <v>74</v>
      </c>
      <c r="S1" s="66" t="s">
        <v>75</v>
      </c>
      <c r="T1" s="66" t="s">
        <v>77</v>
      </c>
      <c r="U1" s="66" t="s">
        <v>78</v>
      </c>
      <c r="V1" s="66" t="s">
        <v>79</v>
      </c>
      <c r="W1" s="66" t="s">
        <v>80</v>
      </c>
      <c r="X1" s="66" t="s">
        <v>81</v>
      </c>
      <c r="Y1" s="66" t="s">
        <v>82</v>
      </c>
      <c r="Z1" s="66" t="s">
        <v>83</v>
      </c>
      <c r="AA1" s="66" t="s">
        <v>84</v>
      </c>
      <c r="AB1" s="66" t="s">
        <v>85</v>
      </c>
      <c r="AC1" s="66" t="s">
        <v>86</v>
      </c>
      <c r="AD1" s="66" t="s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A2" sqref="A2"/>
    </sheetView>
  </sheetViews>
  <sheetFormatPr defaultColWidth="9.28515625" defaultRowHeight="12.75" x14ac:dyDescent="0.2"/>
  <cols>
    <col min="1" max="1" width="11.28515625" style="66" bestFit="1" customWidth="1"/>
    <col min="2" max="16384" width="9.28515625" style="66"/>
  </cols>
  <sheetData>
    <row r="1" spans="1:1" x14ac:dyDescent="0.2">
      <c r="A1" s="66" t="s">
        <v>94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FORWARDER-INVOICE-REP</vt:lpstr>
      <vt:lpstr>TRANSPORT-CHARGE-TO-CLIENT-REP</vt:lpstr>
      <vt:lpstr>NON-FOB_DELIVERY-TRANSPORT</vt:lpstr>
      <vt:lpstr>FOB_DELIVERY-TRANSPORT</vt:lpstr>
      <vt:lpstr>TransportInvoice</vt:lpstr>
      <vt:lpstr>TransportInvoiceDetail</vt:lpstr>
      <vt:lpstr>ChargeClientInvoice</vt:lpstr>
      <vt:lpstr>ChargeClientInvoiceDetail</vt:lpstr>
      <vt:lpstr>NonFobDelivery</vt:lpstr>
      <vt:lpstr>FobDelivery</vt:lpstr>
      <vt:lpstr>ExchangeRate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Windows User</cp:lastModifiedBy>
  <dcterms:created xsi:type="dcterms:W3CDTF">2018-07-02T02:02:36Z</dcterms:created>
  <dcterms:modified xsi:type="dcterms:W3CDTF">2018-12-11T08:02:25Z</dcterms:modified>
</cp:coreProperties>
</file>