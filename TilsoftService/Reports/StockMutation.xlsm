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8800" windowHeight="12585"/>
  </bookViews>
  <sheets>
    <sheet name="Stock Mutatio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" l="1"/>
  <c r="L5" i="1"/>
  <c r="K4" i="1"/>
  <c r="L4" i="1"/>
  <c r="J5" i="1"/>
  <c r="J4" i="1"/>
  <c r="G5" i="1"/>
  <c r="H5" i="1"/>
  <c r="F5" i="1"/>
  <c r="G4" i="1"/>
  <c r="H4" i="1"/>
  <c r="F4" i="1"/>
</calcChain>
</file>

<file path=xl/sharedStrings.xml><?xml version="1.0" encoding="utf-8"?>
<sst xmlns="http://schemas.openxmlformats.org/spreadsheetml/2006/main" count="27" uniqueCount="27">
  <si>
    <t>ns1:ProductStatusNM</t>
  </si>
  <si>
    <t>ns1:ArticleCode</t>
  </si>
  <si>
    <t>ns1:Description</t>
  </si>
  <si>
    <t>ns1:Locations</t>
  </si>
  <si>
    <t>ns1:MutationDate</t>
  </si>
  <si>
    <t>ns1:ImportQnt</t>
  </si>
  <si>
    <t>ns1:ExportQnt</t>
  </si>
  <si>
    <t>ns1:PhysicalQnt</t>
  </si>
  <si>
    <t>ns1:StockPrice</t>
  </si>
  <si>
    <t>ns1:ImportAmount</t>
  </si>
  <si>
    <t>ns1:ExportAmount</t>
  </si>
  <si>
    <t>ns1:PhysicalAmount</t>
  </si>
  <si>
    <t>Product Status</t>
  </si>
  <si>
    <t>ArticleCode</t>
  </si>
  <si>
    <t>Description</t>
  </si>
  <si>
    <t>Location</t>
  </si>
  <si>
    <t>Mutation Date</t>
  </si>
  <si>
    <t>Num of mutation 
+</t>
  </si>
  <si>
    <t>Num of mutation 
-</t>
  </si>
  <si>
    <t>Balance (in numbers) after mutation</t>
  </si>
  <si>
    <t>Stock Price</t>
  </si>
  <si>
    <t>Value mutation 
+</t>
  </si>
  <si>
    <t>Value mutation 
-</t>
  </si>
  <si>
    <t>Balance (in value) 
after mutation</t>
  </si>
  <si>
    <t>STOCK MUTATION</t>
  </si>
  <si>
    <t>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</si>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</sst>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€-413]\ * #,##0.00_ ;_ [$€-413]\ * \-#,##0.00_ ;_ [$€-413]\ * &quot;-&quot;??_ ;_ @_ "/>
  </numFmts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b/>
      <sz val="20"/>
      <color rgb="FFFF0000"/>
      <name val="Calibri"/>
      <family val="2"/>
      <charset val="163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0" borderId="0" xfId="0" applyFont="1"/>
    <xf numFmtId="49" fontId="0" fillId="0" borderId="2" xfId="0" applyNumberFormat="1" applyFont="1" applyBorder="1" applyAlignment="1">
      <alignment horizontal="left" vertical="center"/>
    </xf>
    <xf numFmtId="49" fontId="0" fillId="0" borderId="1" xfId="0" applyNumberFormat="1" applyFont="1" applyBorder="1" applyAlignment="1">
      <alignment horizontal="left"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right" vertical="center"/>
    </xf>
    <xf numFmtId="164" fontId="0" fillId="3" borderId="1" xfId="0" applyNumberFormat="1" applyFont="1" applyFill="1" applyBorder="1" applyAlignment="1">
      <alignment horizontal="right" vertical="center"/>
    </xf>
    <xf numFmtId="3" fontId="0" fillId="3" borderId="1" xfId="0" applyNumberFormat="1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numFmt numFmtId="164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left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scheme val="minor"/>
      </font>
      <alignment horizontal="left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StockMutation_View" minOccurs="0" maxOccurs="unbounded">
              <xs:complexType>
                <xs:sequence>
                  <xs:element name="KeyID">
                    <xs:simpleType>
                      <xs:restriction base="xs:string">
                        <xs:maxLength value="71"/>
                      </xs:restriction>
                    </xs:simpleType>
                  </xs:element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GoodsID" type="xs:int" minOccurs="0"/>
                  <xs:element name="ProductStatusID" type="xs:int" minOccurs="0"/>
                  <xs:element name="ProductType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ProductStatusNM" type="xs:string" minOccurs="0"/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ocations" minOccurs="0">
                    <xs:simpleType>
                      <xs:restriction base="xs:string">
                        <xs:maxLength value="30"/>
                      </xs:restriction>
                    </xs:simpleType>
                  </xs:element>
                  <xs:element name="MutationDat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ImportQnt" type="xs:int"/>
                  <xs:element name="ExportQnt" type="xs:int"/>
                  <xs:element name="PhysicalQnt" type="xs:int" minOccurs="0"/>
                  <xs:element name="StockPrice" type="xs:decimal" minOccurs="0"/>
                  <xs:element name="ImportAmount" type="xs:decimal" minOccurs="0"/>
                  <xs:element name="ExportAmount" type="xs:decimal" minOccurs="0"/>
                  <xs:element name="PhysicalAmount" type="xs:decimal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6:L7" tableType="xml" totalsRowShown="0" headerRowDxfId="16" dataDxfId="14" headerRowBorderDxfId="15" tableBorderDxfId="13" totalsRowBorderDxfId="12">
  <autoFilter ref="A6:L7"/>
  <tableColumns count="12">
    <tableColumn id="6" uniqueName="ns1:ProductStatusNM" name="ns1:ProductStatusNM" dataDxfId="11">
      <xmlColumnPr mapId="1" xpath="/ns1:ReportDataObject/ns1:ReportMng_StockMutation_View/ns1:ProductStatusNM" xmlDataType="string"/>
    </tableColumn>
    <tableColumn id="7" uniqueName="ns1:ArticleCode" name="ns1:ArticleCode" dataDxfId="10">
      <xmlColumnPr mapId="1" xpath="/ns1:ReportDataObject/ns1:ReportMng_StockMutation_View/ns1:ArticleCode" xmlDataType="string"/>
    </tableColumn>
    <tableColumn id="8" uniqueName="ns1:Description" name="ns1:Description" dataDxfId="9">
      <xmlColumnPr mapId="1" xpath="/ns1:ReportDataObject/ns1:ReportMng_StockMutation_View/ns1:Description" xmlDataType="string"/>
    </tableColumn>
    <tableColumn id="9" uniqueName="ns1:Locations" name="ns1:Locations" dataDxfId="8">
      <xmlColumnPr mapId="1" xpath="/ns1:ReportDataObject/ns1:ReportMng_StockMutation_View/ns1:Locations" xmlDataType="string"/>
    </tableColumn>
    <tableColumn id="10" uniqueName="ns1:MutationDate" name="ns1:MutationDate" dataDxfId="7">
      <xmlColumnPr mapId="1" xpath="/ns1:ReportDataObject/ns1:ReportMng_StockMutation_View/ns1:MutationDate" xmlDataType="string"/>
    </tableColumn>
    <tableColumn id="11" uniqueName="ns1:ImportQnt" name="ns1:ImportQnt" dataDxfId="6">
      <xmlColumnPr mapId="1" xpath="/ns1:ReportDataObject/ns1:ReportMng_StockMutation_View/ns1:ImportQnt" xmlDataType="int"/>
    </tableColumn>
    <tableColumn id="12" uniqueName="ns1:ExportQnt" name="ns1:ExportQnt" dataDxfId="5">
      <xmlColumnPr mapId="1" xpath="/ns1:ReportDataObject/ns1:ReportMng_StockMutation_View/ns1:ExportQnt" xmlDataType="int"/>
    </tableColumn>
    <tableColumn id="13" uniqueName="ns1:PhysicalQnt" name="ns1:PhysicalQnt" dataDxfId="4">
      <xmlColumnPr mapId="1" xpath="/ns1:ReportDataObject/ns1:ReportMng_StockMutation_View/ns1:PhysicalQnt" xmlDataType="int"/>
    </tableColumn>
    <tableColumn id="14" uniqueName="ns1:StockPrice" name="ns1:StockPrice" dataDxfId="3">
      <xmlColumnPr mapId="1" xpath="/ns1:ReportDataObject/ns1:ReportMng_StockMutation_View/ns1:StockPrice" xmlDataType="decimal"/>
    </tableColumn>
    <tableColumn id="15" uniqueName="ns1:ImportAmount" name="ns1:ImportAmount" dataDxfId="2">
      <xmlColumnPr mapId="1" xpath="/ns1:ReportDataObject/ns1:ReportMng_StockMutation_View/ns1:ImportAmount" xmlDataType="decimal"/>
    </tableColumn>
    <tableColumn id="16" uniqueName="ns1:ExportAmount" name="ns1:ExportAmount" dataDxfId="1">
      <xmlColumnPr mapId="1" xpath="/ns1:ReportDataObject/ns1:ReportMng_StockMutation_View/ns1:ExportAmount" xmlDataType="decimal"/>
    </tableColumn>
    <tableColumn id="17" uniqueName="ns1:PhysicalAmount" name="ns1:PhysicalAmount" dataDxfId="0">
      <xmlColumnPr mapId="1" xpath="/ns1:ReportDataObject/ns1:ReportMng_StockMutation_View/ns1:PhysicalAmount" xmlDataType="decimal"/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"/>
  <sheetViews>
    <sheetView tabSelected="1" workbookViewId="0">
      <pane xSplit="3" ySplit="6" topLeftCell="D7" activePane="bottomRight" state="frozen"/>
      <selection pane="topRight" activeCell="D1" sqref="D1"/>
      <selection pane="bottomLeft" activeCell="A5" sqref="A5"/>
      <selection pane="bottomRight" activeCell="C13" sqref="C13"/>
    </sheetView>
  </sheetViews>
  <sheetFormatPr defaultRowHeight="15" x14ac:dyDescent="0.25"/>
  <cols>
    <col min="1" max="1" width="12.42578125" customWidth="1"/>
    <col min="2" max="2" width="14" customWidth="1"/>
    <col min="3" max="3" width="56.42578125" customWidth="1"/>
    <col min="4" max="4" width="14.28515625" bestFit="1" customWidth="1"/>
    <col min="5" max="5" width="10.42578125" customWidth="1"/>
    <col min="6" max="6" width="8.5703125" customWidth="1"/>
    <col min="7" max="7" width="8.28515625" customWidth="1"/>
    <col min="8" max="8" width="13.7109375" customWidth="1"/>
    <col min="9" max="9" width="11.42578125" customWidth="1"/>
    <col min="10" max="12" width="15.42578125" customWidth="1"/>
  </cols>
  <sheetData>
    <row r="1" spans="1:12" ht="26.25" x14ac:dyDescent="0.4">
      <c r="A1" s="3" t="s">
        <v>24</v>
      </c>
    </row>
    <row r="3" spans="1:12" ht="41.25" customHeight="1" x14ac:dyDescent="0.25">
      <c r="A3" s="1" t="s">
        <v>12</v>
      </c>
      <c r="B3" s="1" t="s">
        <v>13</v>
      </c>
      <c r="C3" s="1" t="s">
        <v>14</v>
      </c>
      <c r="D3" s="1" t="s">
        <v>15</v>
      </c>
      <c r="E3" s="1" t="s">
        <v>16</v>
      </c>
      <c r="F3" s="1" t="s">
        <v>17</v>
      </c>
      <c r="G3" s="1" t="s">
        <v>18</v>
      </c>
      <c r="H3" s="1" t="s">
        <v>19</v>
      </c>
      <c r="I3" s="1" t="s">
        <v>20</v>
      </c>
      <c r="J3" s="1" t="s">
        <v>21</v>
      </c>
      <c r="K3" s="1" t="s">
        <v>22</v>
      </c>
      <c r="L3" s="1" t="s">
        <v>23</v>
      </c>
    </row>
    <row r="4" spans="1:12" ht="15" customHeight="1" x14ac:dyDescent="0.25">
      <c r="A4" s="12" t="s">
        <v>25</v>
      </c>
      <c r="B4" s="13"/>
      <c r="C4" s="13"/>
      <c r="D4" s="13"/>
      <c r="E4" s="14"/>
      <c r="F4" s="10">
        <f>SUM(Table1[ns1:ImportQnt])</f>
        <v>0</v>
      </c>
      <c r="G4" s="10">
        <f>SUM(Table1[ns1:ExportQnt])</f>
        <v>0</v>
      </c>
      <c r="H4" s="10">
        <f>SUM(Table1[ns1:PhysicalQnt])</f>
        <v>0</v>
      </c>
      <c r="I4" s="11"/>
      <c r="J4" s="9">
        <f>SUM(Table1[ns1:ImportAmount])</f>
        <v>0</v>
      </c>
      <c r="K4" s="9">
        <f>SUM(Table1[ns1:ExportAmount])</f>
        <v>0</v>
      </c>
      <c r="L4" s="9">
        <f>SUM(Table1[ns1:PhysicalAmount])</f>
        <v>0</v>
      </c>
    </row>
    <row r="5" spans="1:12" ht="15" customHeight="1" x14ac:dyDescent="0.25">
      <c r="A5" s="12" t="s">
        <v>26</v>
      </c>
      <c r="B5" s="13"/>
      <c r="C5" s="13"/>
      <c r="D5" s="13"/>
      <c r="E5" s="14"/>
      <c r="F5" s="10">
        <f>SUBTOTAL(9,Table1[ns1:ImportQnt])</f>
        <v>0</v>
      </c>
      <c r="G5" s="10">
        <f>SUBTOTAL(9,Table1[ns1:ExportQnt])</f>
        <v>0</v>
      </c>
      <c r="H5" s="10">
        <f>SUBTOTAL(9,Table1[ns1:PhysicalQnt])</f>
        <v>0</v>
      </c>
      <c r="I5" s="11"/>
      <c r="J5" s="9">
        <f>SUBTOTAL(9,Table1[ns1:ImportAmount])</f>
        <v>0</v>
      </c>
      <c r="K5" s="9">
        <f>SUBTOTAL(9,Table1[ns1:ExportAmount])</f>
        <v>0</v>
      </c>
      <c r="L5" s="9">
        <f>SUBTOTAL(9,Table1[ns1:PhysicalAmount])</f>
        <v>0</v>
      </c>
    </row>
    <row r="6" spans="1:12" x14ac:dyDescent="0.25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L6" s="2" t="s">
        <v>11</v>
      </c>
    </row>
    <row r="7" spans="1:12" x14ac:dyDescent="0.25">
      <c r="A7" s="4"/>
      <c r="B7" s="5"/>
      <c r="C7" s="5"/>
      <c r="D7" s="5"/>
      <c r="E7" s="6"/>
      <c r="F7" s="7"/>
      <c r="G7" s="7"/>
      <c r="H7" s="7"/>
      <c r="I7" s="8"/>
      <c r="J7" s="8"/>
      <c r="K7" s="8"/>
      <c r="L7" s="8"/>
    </row>
  </sheetData>
  <mergeCells count="2">
    <mergeCell ref="A4:E4"/>
    <mergeCell ref="A5:E5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 Mutation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QUANG</dc:creator>
  <cp:lastModifiedBy>Quang</cp:lastModifiedBy>
  <dcterms:created xsi:type="dcterms:W3CDTF">2016-06-13T02:31:55Z</dcterms:created>
  <dcterms:modified xsi:type="dcterms:W3CDTF">2016-12-12T03:14:23Z</dcterms:modified>
</cp:coreProperties>
</file>