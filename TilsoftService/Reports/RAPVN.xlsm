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TILSOFTRepos2\SOLUTION\TilsoftService\Reports\"/>
    </mc:Choice>
  </mc:AlternateContent>
  <xr:revisionPtr revIDLastSave="0" documentId="13_ncr:1_{016EBF24-89D6-470A-8364-32EFA22BA38B}" xr6:coauthVersionLast="45" xr6:coauthVersionMax="45" xr10:uidLastSave="{00000000-0000-0000-0000-000000000000}"/>
  <bookViews>
    <workbookView xWindow="-120" yWindow="-120" windowWidth="20730" windowHeight="11310" tabRatio="580" xr2:uid="{00000000-000D-0000-FFFF-FFFF00000000}"/>
  </bookViews>
  <sheets>
    <sheet name="TOTAL ORDER" sheetId="44" r:id="rId1"/>
    <sheet name="TOTAL SHIPPED" sheetId="4" r:id="rId2"/>
    <sheet name="TOTAL LOADED" sheetId="36" r:id="rId3"/>
    <sheet name="Header" sheetId="39" state="hidden" r:id="rId4"/>
    <sheet name="Report_RAPEU_Order_View" sheetId="40" r:id="rId5"/>
    <sheet name="Report_RAPEU_Shipped_View" sheetId="41" r:id="rId6"/>
    <sheet name="Report_RAPEU_Loaded_View" sheetId="42" r:id="rId7"/>
    <sheet name="SupplierSCMResponsible" sheetId="45" r:id="rId8"/>
    <sheet name="Report_RAPEU_OnSea_View" sheetId="43" state="hidden" r:id="rId9"/>
    <sheet name="ON SEA" sheetId="31" state="hidden" r:id="rId10"/>
    <sheet name="TO BE SHIPPED" sheetId="27" state="hidden" r:id="rId11"/>
    <sheet name="Check" sheetId="30" state="hidden" r:id="rId12"/>
  </sheets>
  <definedNames>
    <definedName name="_xlnm._FilterDatabase" localSheetId="2" hidden="1">'TOTAL LOADED'!$A$6:$AV$6</definedName>
    <definedName name="_xlnm._FilterDatabase" localSheetId="0" hidden="1">'TOTAL ORDER'!$A$6:$AT$6</definedName>
    <definedName name="_xlnm._FilterDatabase" localSheetId="1" hidden="1">'TOTAL SHIPPED'!$A$6:$AY$6</definedName>
    <definedName name="_xlnm.Print_Area" localSheetId="10">'TO BE SHIPPED'!$A$1:$AF$7</definedName>
    <definedName name="_xlnm.Print_Area" localSheetId="2">'TOTAL LOADED'!$A$2:$AU$8</definedName>
    <definedName name="_xlnm.Print_Area" localSheetId="0">'TOTAL ORDER'!$A$1:$AQ$7</definedName>
    <definedName name="_xlnm.Print_Area" localSheetId="1">'TOTAL SHIPPED'!$A$2:$AX$8</definedName>
    <definedName name="_xlnm.Print_Titles" localSheetId="10">'TO BE SHIPPED'!$B:$L,'TO BE SHIPPED'!$2:$2</definedName>
    <definedName name="_xlnm.Print_Titles" localSheetId="2">'TOTAL LOADED'!#REF!</definedName>
    <definedName name="_xlnm.Print_Titles" localSheetId="0">'TOTAL ORDER'!$B:$M,'TOTAL ORDER'!$B:$M,'TOTAL ORDER'!$3:$3</definedName>
    <definedName name="_xlnm.Print_Titles" localSheetId="1">'TOTAL SHIPPED'!#REF!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T7" i="44" l="1"/>
  <c r="K7" i="44"/>
  <c r="AS7" i="44" l="1"/>
  <c r="AR7" i="44"/>
  <c r="AQ7" i="44" l="1"/>
  <c r="S7" i="4" l="1"/>
  <c r="Z7" i="44"/>
  <c r="P7" i="36"/>
  <c r="AU7" i="36" l="1"/>
  <c r="AT7" i="36"/>
  <c r="AG7" i="36"/>
  <c r="AH7" i="36"/>
  <c r="AI7" i="36"/>
  <c r="AJ7" i="36"/>
  <c r="AK7" i="36"/>
  <c r="AF7" i="36"/>
  <c r="AV7" i="36"/>
  <c r="AY7" i="4"/>
  <c r="F7" i="36" l="1"/>
  <c r="F7" i="4"/>
  <c r="F7" i="44"/>
  <c r="C7" i="44" l="1"/>
  <c r="C7" i="4"/>
  <c r="C7" i="36"/>
  <c r="D7" i="36" l="1"/>
  <c r="B7" i="36" l="1"/>
  <c r="E7" i="36"/>
  <c r="G7" i="36"/>
  <c r="K7" i="36"/>
  <c r="L7" i="36"/>
  <c r="M7" i="36"/>
  <c r="N7" i="36"/>
  <c r="O7" i="36"/>
  <c r="Q7" i="36"/>
  <c r="R7" i="36"/>
  <c r="S7" i="36"/>
  <c r="T7" i="36"/>
  <c r="U7" i="36"/>
  <c r="V7" i="36"/>
  <c r="W7" i="36"/>
  <c r="X7" i="36"/>
  <c r="Y7" i="36"/>
  <c r="Z7" i="36"/>
  <c r="AA7" i="36"/>
  <c r="AB7" i="36"/>
  <c r="AC7" i="36"/>
  <c r="AD7" i="36"/>
  <c r="AE7" i="36"/>
  <c r="AL7" i="36"/>
  <c r="AM7" i="36"/>
  <c r="AN7" i="36"/>
  <c r="AO7" i="36"/>
  <c r="AP7" i="36"/>
  <c r="AQ7" i="36"/>
  <c r="AR7" i="36"/>
  <c r="H7" i="36"/>
  <c r="I7" i="36"/>
  <c r="J7" i="36"/>
  <c r="AS7" i="36"/>
  <c r="AJ7" i="4" l="1"/>
  <c r="X7" i="44" l="1"/>
  <c r="Y7" i="44" l="1"/>
  <c r="R7" i="4" l="1"/>
  <c r="T7" i="44"/>
  <c r="A7" i="36" l="1"/>
  <c r="AX7" i="4"/>
  <c r="AW7" i="4"/>
  <c r="AT7" i="4"/>
  <c r="AU7" i="4"/>
  <c r="AV7" i="4"/>
  <c r="AS7" i="4"/>
  <c r="AP7" i="4"/>
  <c r="AQ7" i="4"/>
  <c r="AR7" i="4"/>
  <c r="AO7" i="4"/>
  <c r="AN7" i="4"/>
  <c r="AM7" i="4"/>
  <c r="AL7" i="4"/>
  <c r="AK7" i="4"/>
  <c r="AI7" i="4"/>
  <c r="AG7" i="4"/>
  <c r="AH7" i="4"/>
  <c r="AF7" i="4"/>
  <c r="AE7" i="4"/>
  <c r="AC7" i="4"/>
  <c r="AD7" i="4"/>
  <c r="AA7" i="4"/>
  <c r="AB7" i="4"/>
  <c r="X7" i="4"/>
  <c r="Y7" i="4"/>
  <c r="Z7" i="4"/>
  <c r="W7" i="4"/>
  <c r="V7" i="4"/>
  <c r="T7" i="4"/>
  <c r="U7" i="4"/>
  <c r="Q7" i="4"/>
  <c r="P7" i="4"/>
  <c r="O7" i="4"/>
  <c r="N7" i="4"/>
  <c r="M7" i="4"/>
  <c r="L7" i="4"/>
  <c r="K7" i="4"/>
  <c r="I7" i="4"/>
  <c r="J7" i="4"/>
  <c r="H7" i="4"/>
  <c r="G7" i="4"/>
  <c r="E7" i="4"/>
  <c r="D7" i="4"/>
  <c r="B7" i="4"/>
  <c r="A7" i="4"/>
  <c r="AN7" i="44"/>
  <c r="AO7" i="44"/>
  <c r="AP7" i="44"/>
  <c r="AM7" i="44"/>
  <c r="AL7" i="44"/>
  <c r="AK7" i="44"/>
  <c r="AJ7" i="44"/>
  <c r="AI7" i="44"/>
  <c r="AH7" i="44"/>
  <c r="AG7" i="44"/>
  <c r="AF7" i="44"/>
  <c r="AE7" i="44"/>
  <c r="AD7" i="44"/>
  <c r="AC7" i="44"/>
  <c r="AB7" i="44"/>
  <c r="AA7" i="44"/>
  <c r="L5" i="4" l="1"/>
  <c r="L4" i="4"/>
  <c r="M5" i="36"/>
  <c r="M4" i="36"/>
  <c r="M5" i="4"/>
  <c r="M4" i="4"/>
  <c r="O5" i="4"/>
  <c r="O4" i="4"/>
  <c r="L4" i="36"/>
  <c r="L5" i="36"/>
  <c r="N4" i="4"/>
  <c r="N5" i="4"/>
  <c r="V7" i="44"/>
  <c r="W7" i="44"/>
  <c r="U7" i="44"/>
  <c r="S7" i="44"/>
  <c r="R7" i="44"/>
  <c r="P7" i="44"/>
  <c r="Q7" i="44"/>
  <c r="O7" i="44"/>
  <c r="N7" i="44"/>
  <c r="M7" i="44"/>
  <c r="L7" i="44"/>
  <c r="I7" i="44"/>
  <c r="J7" i="44"/>
  <c r="H7" i="44"/>
  <c r="G7" i="44"/>
  <c r="E7" i="44"/>
  <c r="D7" i="44"/>
  <c r="O5" i="44" l="1"/>
  <c r="O4" i="44"/>
  <c r="L5" i="44"/>
  <c r="L4" i="44"/>
  <c r="Q5" i="44"/>
  <c r="Q4" i="44"/>
  <c r="M5" i="44"/>
  <c r="M4" i="44"/>
  <c r="P4" i="44"/>
  <c r="P5" i="44"/>
  <c r="N4" i="44"/>
  <c r="N5" i="44"/>
  <c r="B7" i="44"/>
  <c r="A7" i="44"/>
  <c r="L4" i="31" l="1"/>
  <c r="M4" i="31"/>
  <c r="N4" i="31"/>
  <c r="O4" i="31"/>
  <c r="P4" i="31"/>
  <c r="K4" i="31"/>
  <c r="L3" i="31"/>
  <c r="M3" i="31"/>
  <c r="N3" i="31"/>
  <c r="O3" i="31"/>
  <c r="P3" i="31"/>
  <c r="K3" i="31"/>
  <c r="AM7" i="27" l="1"/>
  <c r="L4" i="27"/>
  <c r="L3" i="27"/>
  <c r="K4" i="27"/>
  <c r="K3" i="27"/>
</calcChain>
</file>

<file path=xl/sharedStrings.xml><?xml version="1.0" encoding="utf-8"?>
<sst xmlns="http://schemas.openxmlformats.org/spreadsheetml/2006/main" count="596" uniqueCount="290">
  <si>
    <t>LOCATION</t>
  </si>
  <si>
    <t>CUSHION TYPE BACK</t>
  </si>
  <si>
    <t>ETD</t>
  </si>
  <si>
    <t xml:space="preserve">ETA </t>
  </si>
  <si>
    <t>PRODUCTION STATUS</t>
  </si>
  <si>
    <t>ART. DESCRIPTION</t>
  </si>
  <si>
    <t>FORWARDER</t>
  </si>
  <si>
    <t>CONT. NUMBER</t>
  </si>
  <si>
    <t>TYPE CONTAINER</t>
  </si>
  <si>
    <t>PORT OF DISCHARGE</t>
  </si>
  <si>
    <t>FEEDER</t>
  </si>
  <si>
    <t>VESSEL</t>
  </si>
  <si>
    <t>BILL NR.</t>
  </si>
  <si>
    <t>SUPPLIER</t>
  </si>
  <si>
    <t>DATE OF 
LOADING</t>
  </si>
  <si>
    <t>SEAL NUMBER</t>
  </si>
  <si>
    <t>ORDER NO.</t>
  </si>
  <si>
    <t>ART. CODE</t>
  </si>
  <si>
    <t>QNT/40FT</t>
  </si>
  <si>
    <t>ORDER QNT</t>
  </si>
  <si>
    <t>ORDER IN CONT.</t>
  </si>
  <si>
    <t>SEAT CUSHION THIICKNESS</t>
  </si>
  <si>
    <t>BACK CUSHION FINISHING</t>
  </si>
  <si>
    <t>DATE RECIEVED INSTRUCTIONS</t>
  </si>
  <si>
    <t>DATE SEND TO EU</t>
  </si>
  <si>
    <t>DATE OF APPROVAL</t>
  </si>
  <si>
    <t>STANDARD/ REQUEST</t>
  </si>
  <si>
    <t>ORDER PRIORITY</t>
  </si>
  <si>
    <t>ORDER DATE</t>
  </si>
  <si>
    <t>FINISHING AS CATALOGUE</t>
  </si>
  <si>
    <t>LDS 1</t>
  </si>
  <si>
    <t>LDS 2</t>
  </si>
  <si>
    <t>LDS 3</t>
  </si>
  <si>
    <t>LDS 4</t>
  </si>
  <si>
    <t>LABELING &amp; PACKAGING</t>
  </si>
  <si>
    <t>SUB-TOTAL</t>
  </si>
  <si>
    <t>GRANT-TOTAL</t>
  </si>
  <si>
    <t>#</t>
  </si>
  <si>
    <t>RANGE</t>
  </si>
  <si>
    <t>MATERIALS</t>
  </si>
  <si>
    <t>FRAME</t>
  </si>
  <si>
    <t>TYPE MATERIALS</t>
  </si>
  <si>
    <t>COLOR MATERIALS</t>
  </si>
  <si>
    <t>TYPE LEGS</t>
  </si>
  <si>
    <t>COLOR CUSHION</t>
  </si>
  <si>
    <t>FABRIC M2</t>
  </si>
  <si>
    <t>ns2:IndexNo</t>
  </si>
  <si>
    <t>ns2:FactoryOrderUD</t>
  </si>
  <si>
    <t>ns2:FactoryOrderDate</t>
  </si>
  <si>
    <t>ns2:ClientNM</t>
  </si>
  <si>
    <t>ns2:ArticleCode</t>
  </si>
  <si>
    <t>ns2:QntIn40HC</t>
  </si>
  <si>
    <t>ns2:Quantity</t>
  </si>
  <si>
    <t>ns2:OrderQntIn40HC</t>
  </si>
  <si>
    <t>ns2:RangeName</t>
  </si>
  <si>
    <t>ns2:MaterialNM</t>
  </si>
  <si>
    <t>ns2:FrameMaterialNM</t>
  </si>
  <si>
    <t>ns2:MaterialTypeNM</t>
  </si>
  <si>
    <t>ns2:MaterialColorNM</t>
  </si>
  <si>
    <t>ns2:TypeLeg</t>
  </si>
  <si>
    <t>ns2:CushionColorNM</t>
  </si>
  <si>
    <t>ns2:FabricWeight</t>
  </si>
  <si>
    <t>ns2:SeatCushionDimH</t>
  </si>
  <si>
    <t>ns2:CushionNM</t>
  </si>
  <si>
    <t>ns2:BackCushionFinishing</t>
  </si>
  <si>
    <t>ns2:Finishing</t>
  </si>
  <si>
    <t>ns2:Remark</t>
  </si>
  <si>
    <t>ns2:LocationNM</t>
  </si>
  <si>
    <t>ns2:FactoryUD</t>
  </si>
  <si>
    <t>ns2:ProductionStatus</t>
  </si>
  <si>
    <t>ns2:OrderPriority</t>
  </si>
  <si>
    <t>ns2:LDS1</t>
  </si>
  <si>
    <t>ns2:LDS2</t>
  </si>
  <si>
    <t>ns2:LDS3</t>
  </si>
  <si>
    <t>ns2:LDS4</t>
  </si>
  <si>
    <t>ns2:LPType</t>
  </si>
  <si>
    <t>ns2:LPDateReceiveInstruction</t>
  </si>
  <si>
    <t>ns2:LPDateSentEU</t>
  </si>
  <si>
    <t>ns2:LPApprovedDate</t>
  </si>
  <si>
    <t>CLIENT CODE</t>
  </si>
  <si>
    <t>CLIENT NAME</t>
  </si>
  <si>
    <t>ns2:ClientUD</t>
  </si>
  <si>
    <t>SALE</t>
  </si>
  <si>
    <t>ns2:SaleNM</t>
  </si>
  <si>
    <t>ns2:Description</t>
  </si>
  <si>
    <t>ns2:LoadingDate</t>
  </si>
  <si>
    <t>ns2:ETD</t>
  </si>
  <si>
    <t>ns2:ETA</t>
  </si>
  <si>
    <t>ns2:Forwarder</t>
  </si>
  <si>
    <t>ns2:ContainerNo</t>
  </si>
  <si>
    <t>ns2:SealNo</t>
  </si>
  <si>
    <t>ns2:ContainerTypeName</t>
  </si>
  <si>
    <t>ns2:PODName</t>
  </si>
  <si>
    <t>ns2:Feeder</t>
  </si>
  <si>
    <t>SHIPPED VIA</t>
  </si>
  <si>
    <t>ns2:Exporter</t>
  </si>
  <si>
    <t>Column1</t>
  </si>
  <si>
    <t>Column2</t>
  </si>
  <si>
    <t>LOADED QNT</t>
  </si>
  <si>
    <t>LOADED QNT/40HC</t>
  </si>
  <si>
    <t>ns1:RowIndex</t>
  </si>
  <si>
    <t>ns1:ProformaInvoiceNo</t>
  </si>
  <si>
    <t>ns1:FactoryOrderDate</t>
  </si>
  <si>
    <t>ns1:BuyerUD</t>
  </si>
  <si>
    <t>ns1:SaleNM</t>
  </si>
  <si>
    <t>ns1:ArticleCode</t>
  </si>
  <si>
    <t>ns1:Description</t>
  </si>
  <si>
    <t>ns1:Loadability40HC</t>
  </si>
  <si>
    <t>ns1:OrderQnt</t>
  </si>
  <si>
    <t>ns1:OrderQntIn40HC</t>
  </si>
  <si>
    <t>ns1:RangeName</t>
  </si>
  <si>
    <t>ns1:MaterialNM</t>
  </si>
  <si>
    <t>ns1:FrameMaterialNM</t>
  </si>
  <si>
    <t>ns1:MaterialTypeNM</t>
  </si>
  <si>
    <t>ns1:MaterialColorNM</t>
  </si>
  <si>
    <t>ns1:CushionColorNM</t>
  </si>
  <si>
    <t>ns1:CushionNM</t>
  </si>
  <si>
    <t>ns1:Remark</t>
  </si>
  <si>
    <t>ns1:LocationNM</t>
  </si>
  <si>
    <t>ns1:FactoryUD</t>
  </si>
  <si>
    <t>ns1:ProductionStatus</t>
  </si>
  <si>
    <t>ns1:OrderPriority</t>
  </si>
  <si>
    <t>ns1:LDS1</t>
  </si>
  <si>
    <t>PRODUCT REMARK</t>
  </si>
  <si>
    <t>SUPPLY CHAIN REMARK</t>
  </si>
  <si>
    <t>ns1:SupplyChainRemark</t>
  </si>
  <si>
    <t>REMARK</t>
  </si>
  <si>
    <t>ns1:RemarkLoanding</t>
  </si>
  <si>
    <t>ns1:BLNo</t>
  </si>
  <si>
    <t>Column3</t>
  </si>
  <si>
    <t>PRODUCTION
MANAGER</t>
  </si>
  <si>
    <t>Column4</t>
  </si>
  <si>
    <t>Column8</t>
  </si>
  <si>
    <t>Column9</t>
  </si>
  <si>
    <t>Column10</t>
  </si>
  <si>
    <t>Column11</t>
  </si>
  <si>
    <t>SHIPPED
QNT</t>
  </si>
  <si>
    <t>SHIPPED QNT/40HC</t>
  </si>
  <si>
    <t>TOBE SHIPPED QNT</t>
  </si>
  <si>
    <t>TOBE SHIPPED QNT/40HC</t>
  </si>
  <si>
    <t>ON SEA QNT</t>
  </si>
  <si>
    <t>ON SEA QNT/40HC</t>
  </si>
  <si>
    <t>ETA2</t>
  </si>
  <si>
    <t>SHIPPED QNT</t>
  </si>
  <si>
    <t>ns1:ClientUD</t>
  </si>
  <si>
    <t>ns1:ClientNM</t>
  </si>
  <si>
    <t>ns1:ThumbnailLocation</t>
  </si>
  <si>
    <t>ns1:Qnt40HC</t>
  </si>
  <si>
    <t>ns1:LoadedQnt</t>
  </si>
  <si>
    <t>ns1:LoadedQntIn40HC</t>
  </si>
  <si>
    <t>ns1:ShippedQnt</t>
  </si>
  <si>
    <t>ns1:ShippedQntIn40HC</t>
  </si>
  <si>
    <t>ns1:SupplierUD</t>
  </si>
  <si>
    <t>ns1:LoadingDate</t>
  </si>
  <si>
    <t>ns1:ETD</t>
  </si>
  <si>
    <t>ns1:ETA</t>
  </si>
  <si>
    <t>ns1:ETA2</t>
  </si>
  <si>
    <t>ns1:ForwarderNM</t>
  </si>
  <si>
    <t>ns1:ContainerNo</t>
  </si>
  <si>
    <t>ns1:SealNo</t>
  </si>
  <si>
    <t>ns1:ContainerType</t>
  </si>
  <si>
    <t>ns1:PODName</t>
  </si>
  <si>
    <t>ns1:Feeder</t>
  </si>
  <si>
    <t>ns1:Vessel</t>
  </si>
  <si>
    <t xml:space="preserve">ON SEA </t>
  </si>
  <si>
    <t>SHIPPED</t>
  </si>
  <si>
    <t>ns2:LoadedQnt</t>
  </si>
  <si>
    <t>Column12</t>
  </si>
  <si>
    <t>INVOICED TO CLIENT</t>
  </si>
  <si>
    <t>ORDER NO</t>
  </si>
  <si>
    <t>SUPPLY CHAIN RESPONSIBLE</t>
  </si>
  <si>
    <t>ORDER STATUS NO</t>
  </si>
  <si>
    <t>ORDER TYPE</t>
  </si>
  <si>
    <t>EXPORT MARKET/ITEM STANDARD</t>
  </si>
  <si>
    <t>TEST SAMPLING</t>
  </si>
  <si>
    <t>LABELLING</t>
  </si>
  <si>
    <t>Column5</t>
  </si>
  <si>
    <t>PACKAGING</t>
  </si>
  <si>
    <t>INSPECTION</t>
  </si>
  <si>
    <t>ADDITIONAL REMARKS</t>
  </si>
  <si>
    <t>DELIVERY TYPE</t>
  </si>
  <si>
    <t>SHIPMENT TO</t>
  </si>
  <si>
    <t>SHIPMENT TYPE</t>
  </si>
  <si>
    <t># CONTAINERS</t>
  </si>
  <si>
    <t>40'HC</t>
  </si>
  <si>
    <t>DELIVERY DATE CLIENT</t>
  </si>
  <si>
    <t>LDS FACTORY</t>
  </si>
  <si>
    <t>ns1:ContainerTypeNM</t>
  </si>
  <si>
    <t>ns1:BLNo2</t>
  </si>
  <si>
    <t>LABELLING
LOADING</t>
  </si>
  <si>
    <t>DELIVERY DATE</t>
  </si>
  <si>
    <t>LOADING DATE</t>
  </si>
  <si>
    <t>ETAA</t>
  </si>
  <si>
    <t>CONTAINER NO</t>
  </si>
  <si>
    <t>SEAL NO</t>
  </si>
  <si>
    <t>POD</t>
  </si>
  <si>
    <t>BL NO</t>
  </si>
  <si>
    <t>CONTAINER TYPE</t>
  </si>
  <si>
    <t>Column6</t>
  </si>
  <si>
    <t>Column7</t>
  </si>
  <si>
    <t>Column13</t>
  </si>
  <si>
    <t>Column14</t>
  </si>
  <si>
    <t>Column15</t>
  </si>
  <si>
    <t>RAP VN REPORT</t>
  </si>
  <si>
    <t>Column22</t>
  </si>
  <si>
    <t>Column23</t>
  </si>
  <si>
    <t>Column222</t>
  </si>
  <si>
    <t>Column223</t>
  </si>
  <si>
    <t>Column2222</t>
  </si>
  <si>
    <t>RANGE NAME</t>
  </si>
  <si>
    <t>FRAME MATERIAL</t>
  </si>
  <si>
    <t>MATERIAL TYPE</t>
  </si>
  <si>
    <t>MATERIAL COLOR</t>
  </si>
  <si>
    <t>CUSHION COLOR</t>
  </si>
  <si>
    <t>PLC UPDATED DATE</t>
  </si>
  <si>
    <t>PLC CONFIRMED DATE</t>
  </si>
  <si>
    <t>LOADED</t>
  </si>
  <si>
    <t>ETA1</t>
  </si>
  <si>
    <t>Season</t>
  </si>
  <si>
    <t>FactoryID</t>
  </si>
  <si>
    <t>RowIndex</t>
  </si>
  <si>
    <t>ProformaInvoiceNo</t>
  </si>
  <si>
    <t>ClientOrderNumber</t>
  </si>
  <si>
    <t>FactoryOrderDate</t>
  </si>
  <si>
    <t>ClientUD</t>
  </si>
  <si>
    <t>ClientNM</t>
  </si>
  <si>
    <t>SaleNM</t>
  </si>
  <si>
    <t>Sale2NM</t>
  </si>
  <si>
    <t>ArticleCode</t>
  </si>
  <si>
    <t>Description</t>
  </si>
  <si>
    <t>Qnt40HC</t>
  </si>
  <si>
    <t>OrderQnt</t>
  </si>
  <si>
    <t>OrderQntIn40HC</t>
  </si>
  <si>
    <t>TotalShippedQnt</t>
  </si>
  <si>
    <t>TotalShippedQntIn40HC</t>
  </si>
  <si>
    <t>ToBeShippedQnt</t>
  </si>
  <si>
    <t>ToBeShippedQntIn40HC</t>
  </si>
  <si>
    <t>LocationNM</t>
  </si>
  <si>
    <t>FactoryUD</t>
  </si>
  <si>
    <t>SupplyChainPersonNM</t>
  </si>
  <si>
    <t>ProductionStatus</t>
  </si>
  <si>
    <t>OrderTypeNM</t>
  </si>
  <si>
    <t>Rating</t>
  </si>
  <si>
    <t>ItemStandardNM</t>
  </si>
  <si>
    <t>TestSamplingOptionNM</t>
  </si>
  <si>
    <t>LabelingOptionNM</t>
  </si>
  <si>
    <t>PackagingOptionNM</t>
  </si>
  <si>
    <t>InspectionOptionNM</t>
  </si>
  <si>
    <t>AdditionalRemark</t>
  </si>
  <si>
    <t>DeliveryTypeNM</t>
  </si>
  <si>
    <t>ShipmentToOptionNM</t>
  </si>
  <si>
    <t>ShipmentTypeOptionNM</t>
  </si>
  <si>
    <t>Quantity20DC</t>
  </si>
  <si>
    <t>Quantity40DC</t>
  </si>
  <si>
    <t>Quantity40HC</t>
  </si>
  <si>
    <t>LDSClient</t>
  </si>
  <si>
    <t>DeliveryDate</t>
  </si>
  <si>
    <t>LDSFacory</t>
  </si>
  <si>
    <t>RangeName</t>
  </si>
  <si>
    <t>FrameMaterialNM</t>
  </si>
  <si>
    <t>MaterialTypeNM</t>
  </si>
  <si>
    <t>MaterialColorNM</t>
  </si>
  <si>
    <t>CushionColorNM</t>
  </si>
  <si>
    <t>LoadedQnt</t>
  </si>
  <si>
    <t>LoadedQntIn40HC</t>
  </si>
  <si>
    <t>ShippedQnt</t>
  </si>
  <si>
    <t>ShippedQntIn40HC</t>
  </si>
  <si>
    <t>LoadingDate</t>
  </si>
  <si>
    <t>ETA</t>
  </si>
  <si>
    <t>ForwarderNM</t>
  </si>
  <si>
    <t>ContainerNo</t>
  </si>
  <si>
    <t>SealNo</t>
  </si>
  <si>
    <t>ContainerTypeNM</t>
  </si>
  <si>
    <t>PODName</t>
  </si>
  <si>
    <t>Feeder</t>
  </si>
  <si>
    <t>Vessel</t>
  </si>
  <si>
    <t>BLNo</t>
  </si>
  <si>
    <t>PLCUpdatedDate</t>
  </si>
  <si>
    <t>PLCConfirmedDate</t>
  </si>
  <si>
    <t>System.DateTime</t>
  </si>
  <si>
    <t>SALE ASSISTANT</t>
  </si>
  <si>
    <t>SHIPPER</t>
  </si>
  <si>
    <t>VN Log. Assist</t>
  </si>
  <si>
    <t>CLIENT ORDER NUMBER</t>
  </si>
  <si>
    <t>COMPANY</t>
  </si>
  <si>
    <t>Client Art Code</t>
  </si>
  <si>
    <t>Client Art Name</t>
  </si>
  <si>
    <t>ClientArticleCode</t>
  </si>
  <si>
    <t>ClientArticleName</t>
  </si>
  <si>
    <t>Saler2VNNM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</si>
</sst>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(* #,##0.00_);_(* \(#,##0.00\);_(* &quot;-&quot;??_);_(@_)"/>
    <numFmt numFmtId="164" formatCode="_-* #,##0.00_-;_-* #,##0.00\-;_-* &quot;-&quot;??_-;_-@_-"/>
    <numFmt numFmtId="165" formatCode="_ * #,##0_ ;_ * \-#,##0_ ;_ * &quot;-&quot;_ ;_ @_ "/>
    <numFmt numFmtId="166" formatCode="_ * #,##0.00_ ;_ * \-#,##0.00_ ;_ * &quot;-&quot;??_ ;_ @_ "/>
    <numFmt numFmtId="167" formatCode="[$-409]d\-mmm\-yy;@"/>
    <numFmt numFmtId="168" formatCode="_-* #,##0_-;\-* #,##0_-;_-* &quot;-&quot;??_-;_-@_-"/>
    <numFmt numFmtId="169" formatCode="_ * #,##0_ ;_ * \-#,##0_ ;_ * &quot;-&quot;??_ ;_ @_ "/>
    <numFmt numFmtId="170" formatCode="_-* #,##0\ _B_F_-;\-* #,##0\ _B_F_-;_-* &quot;-&quot;\ _B_F_-;_-@_-"/>
    <numFmt numFmtId="171" formatCode="[$-409]d/mmm/yy;@"/>
    <numFmt numFmtId="172" formatCode="dd/mm/yy;@"/>
    <numFmt numFmtId="173" formatCode="_(* #,##0.0_);_(* \(#,##0.0\);_(* &quot;-&quot;??_);_(@_)"/>
    <numFmt numFmtId="174" formatCode="_-[$€-2]\ * #,##0.00_-;\-[$€-2]\ * #,##0.00_-;_-[$€-2]\ * &quot;-&quot;??_-;_-@_-"/>
    <numFmt numFmtId="175" formatCode="[$-1010000]d/m/yy;@"/>
    <numFmt numFmtId="176" formatCode="[$-409]d\-mmm\-yyyy;@"/>
    <numFmt numFmtId="177" formatCode="[$-1010000]d/m/yyyy;@"/>
  </numFmts>
  <fonts count="22">
    <font>
      <sz val="10"/>
      <name val="Arial"/>
    </font>
    <font>
      <sz val="10"/>
      <name val="Arial"/>
      <family val="2"/>
    </font>
    <font>
      <sz val="12"/>
      <name val="宋体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VNI-Times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color indexed="30"/>
      <name val="Arial"/>
      <family val="2"/>
    </font>
    <font>
      <sz val="8"/>
      <color indexed="12"/>
      <name val="Arial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name val="Arial"/>
      <family val="2"/>
    </font>
    <font>
      <sz val="10"/>
      <color theme="0"/>
      <name val="Arial"/>
      <family val="2"/>
      <charset val="163"/>
    </font>
    <font>
      <b/>
      <sz val="12"/>
      <color rgb="FFFF0000"/>
      <name val="Arial"/>
      <family val="2"/>
      <charset val="163"/>
    </font>
    <font>
      <b/>
      <sz val="16"/>
      <color rgb="FFFF0000"/>
      <name val="Arial"/>
      <family val="2"/>
      <charset val="163"/>
    </font>
    <font>
      <b/>
      <sz val="16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170" fontId="0" fillId="0" borderId="0" applyFont="0" applyFill="0" applyBorder="0" applyAlignment="0" applyProtection="0"/>
    <xf numFmtId="170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74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5" fontId="4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/>
    <xf numFmtId="164" fontId="1" fillId="0" borderId="0"/>
  </cellStyleXfs>
  <cellXfs count="241">
    <xf numFmtId="0" fontId="0" fillId="0" borderId="0" xfId="0" applyNumberFormat="1"/>
    <xf numFmtId="0" fontId="8" fillId="0" borderId="0" xfId="0" applyNumberFormat="1" applyFont="1" applyFill="1" applyAlignment="1">
      <alignment vertical="center" wrapText="1"/>
    </xf>
    <xf numFmtId="167" fontId="8" fillId="0" borderId="0" xfId="0" applyNumberFormat="1" applyFont="1" applyFill="1" applyAlignment="1">
      <alignment vertical="center" wrapText="1"/>
    </xf>
    <xf numFmtId="167" fontId="8" fillId="0" borderId="0" xfId="0" applyNumberFormat="1" applyFont="1" applyFill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vertical="center" wrapText="1"/>
    </xf>
    <xf numFmtId="167" fontId="8" fillId="0" borderId="0" xfId="0" applyNumberFormat="1" applyFont="1" applyAlignment="1">
      <alignment vertical="center" wrapText="1"/>
    </xf>
    <xf numFmtId="14" fontId="8" fillId="0" borderId="0" xfId="0" applyNumberFormat="1" applyFont="1" applyAlignment="1">
      <alignment vertical="center"/>
    </xf>
    <xf numFmtId="0" fontId="8" fillId="0" borderId="0" xfId="0" applyNumberFormat="1" applyFont="1" applyAlignment="1">
      <alignment vertical="center" shrinkToFit="1"/>
    </xf>
    <xf numFmtId="0" fontId="8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right" vertical="center"/>
    </xf>
    <xf numFmtId="171" fontId="8" fillId="0" borderId="0" xfId="0" applyNumberFormat="1" applyFont="1" applyAlignment="1">
      <alignment vertical="center"/>
    </xf>
    <xf numFmtId="171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vertical="center"/>
    </xf>
    <xf numFmtId="170" fontId="8" fillId="0" borderId="0" xfId="0" applyNumberFormat="1" applyFont="1" applyAlignment="1">
      <alignment vertical="center"/>
    </xf>
    <xf numFmtId="167" fontId="8" fillId="0" borderId="0" xfId="0" applyNumberFormat="1" applyFont="1" applyBorder="1" applyAlignment="1">
      <alignment vertical="center"/>
    </xf>
    <xf numFmtId="167" fontId="8" fillId="0" borderId="0" xfId="0" applyNumberFormat="1" applyFont="1" applyFill="1" applyBorder="1" applyAlignment="1">
      <alignment vertical="center"/>
    </xf>
    <xf numFmtId="170" fontId="8" fillId="0" borderId="0" xfId="0" applyNumberFormat="1" applyFont="1" applyBorder="1" applyAlignment="1">
      <alignment vertical="center"/>
    </xf>
    <xf numFmtId="170" fontId="8" fillId="0" borderId="0" xfId="0" applyNumberFormat="1" applyFont="1" applyAlignment="1">
      <alignment horizontal="left" vertical="center"/>
    </xf>
    <xf numFmtId="167" fontId="8" fillId="0" borderId="1" xfId="0" applyNumberFormat="1" applyFont="1" applyFill="1" applyBorder="1" applyAlignment="1">
      <alignment vertical="center"/>
    </xf>
    <xf numFmtId="170" fontId="6" fillId="4" borderId="1" xfId="0" applyFont="1" applyFill="1" applyBorder="1" applyAlignment="1">
      <alignment horizontal="center" vertical="center" wrapText="1"/>
    </xf>
    <xf numFmtId="174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NumberFormat="1" applyFont="1" applyFill="1" applyBorder="1" applyAlignment="1">
      <alignment horizontal="center" vertical="center" wrapText="1"/>
    </xf>
    <xf numFmtId="171" fontId="6" fillId="4" borderId="1" xfId="0" applyNumberFormat="1" applyFont="1" applyFill="1" applyBorder="1" applyAlignment="1">
      <alignment horizontal="center" vertical="center" wrapText="1"/>
    </xf>
    <xf numFmtId="172" fontId="6" fillId="4" borderId="1" xfId="0" applyNumberFormat="1" applyFont="1" applyFill="1" applyBorder="1" applyAlignment="1">
      <alignment horizontal="center" vertical="center" wrapText="1"/>
    </xf>
    <xf numFmtId="0" fontId="8" fillId="0" borderId="0" xfId="0" applyNumberFormat="1" applyFont="1" applyAlignment="1">
      <alignment horizontal="left" vertical="center" wrapText="1"/>
    </xf>
    <xf numFmtId="1" fontId="6" fillId="2" borderId="1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Alignment="1">
      <alignment horizontal="left" vertical="center" wrapText="1"/>
    </xf>
    <xf numFmtId="0" fontId="8" fillId="0" borderId="0" xfId="0" applyNumberFormat="1" applyFont="1" applyFill="1" applyAlignment="1">
      <alignment horizontal="left" vertical="center" wrapText="1"/>
    </xf>
    <xf numFmtId="14" fontId="8" fillId="0" borderId="0" xfId="0" applyNumberFormat="1" applyFont="1" applyFill="1" applyAlignment="1">
      <alignment horizontal="left" vertical="center" wrapText="1"/>
    </xf>
    <xf numFmtId="1" fontId="6" fillId="0" borderId="0" xfId="0" applyNumberFormat="1" applyFont="1" applyFill="1" applyAlignment="1">
      <alignment horizontal="right" vertical="center" wrapText="1"/>
    </xf>
    <xf numFmtId="167" fontId="9" fillId="0" borderId="0" xfId="0" applyNumberFormat="1" applyFont="1" applyFill="1" applyAlignment="1">
      <alignment vertical="center" wrapText="1"/>
    </xf>
    <xf numFmtId="167" fontId="10" fillId="0" borderId="0" xfId="0" applyNumberFormat="1" applyFont="1" applyFill="1" applyAlignment="1">
      <alignment horizontal="center" vertical="center" wrapText="1"/>
    </xf>
    <xf numFmtId="167" fontId="6" fillId="0" borderId="0" xfId="0" applyNumberFormat="1" applyFont="1" applyFill="1" applyAlignment="1">
      <alignment horizontal="center" vertical="center" wrapText="1"/>
    </xf>
    <xf numFmtId="167" fontId="13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7" fontId="7" fillId="0" borderId="0" xfId="0" applyNumberFormat="1" applyFont="1" applyFill="1" applyAlignment="1">
      <alignment horizontal="center" vertical="center" wrapText="1"/>
    </xf>
    <xf numFmtId="1" fontId="6" fillId="0" borderId="0" xfId="0" applyNumberFormat="1" applyFont="1" applyFill="1" applyAlignment="1">
      <alignment horizontal="center" vertical="center" wrapText="1"/>
    </xf>
    <xf numFmtId="1" fontId="8" fillId="0" borderId="0" xfId="0" applyNumberFormat="1" applyFont="1" applyFill="1" applyAlignment="1">
      <alignment horizontal="right" vertical="center" wrapText="1"/>
    </xf>
    <xf numFmtId="0" fontId="14" fillId="0" borderId="0" xfId="0" applyNumberFormat="1" applyFont="1" applyFill="1" applyBorder="1" applyAlignment="1">
      <alignment vertical="center" wrapText="1"/>
    </xf>
    <xf numFmtId="1" fontId="8" fillId="0" borderId="0" xfId="0" applyNumberFormat="1" applyFont="1" applyAlignment="1">
      <alignment horizontal="left" vertical="center" wrapText="1"/>
    </xf>
    <xf numFmtId="14" fontId="8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 vertical="center" wrapText="1"/>
    </xf>
    <xf numFmtId="167" fontId="9" fillId="0" borderId="0" xfId="0" applyNumberFormat="1" applyFont="1" applyAlignment="1">
      <alignment vertical="center" wrapText="1"/>
    </xf>
    <xf numFmtId="167" fontId="10" fillId="0" borderId="0" xfId="0" applyNumberFormat="1" applyFont="1" applyAlignment="1">
      <alignment horizontal="center" vertical="center" wrapText="1"/>
    </xf>
    <xf numFmtId="167" fontId="6" fillId="0" borderId="0" xfId="0" applyNumberFormat="1" applyFont="1" applyAlignment="1">
      <alignment horizontal="center" vertical="center" wrapText="1"/>
    </xf>
    <xf numFmtId="167" fontId="13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7" fontId="8" fillId="0" borderId="0" xfId="0" applyNumberFormat="1" applyFont="1" applyAlignment="1">
      <alignment horizontal="center" vertical="center" wrapText="1"/>
    </xf>
    <xf numFmtId="167" fontId="7" fillId="0" borderId="0" xfId="0" applyNumberFormat="1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right" vertical="center" wrapText="1"/>
    </xf>
    <xf numFmtId="4" fontId="6" fillId="4" borderId="1" xfId="2" applyNumberFormat="1" applyFont="1" applyFill="1" applyBorder="1" applyAlignment="1">
      <alignment vertical="center" wrapText="1"/>
    </xf>
    <xf numFmtId="3" fontId="6" fillId="4" borderId="1" xfId="0" applyNumberFormat="1" applyFont="1" applyFill="1" applyBorder="1" applyAlignment="1">
      <alignment horizontal="right" vertical="center" wrapText="1"/>
    </xf>
    <xf numFmtId="3" fontId="6" fillId="4" borderId="1" xfId="2" applyNumberFormat="1" applyFont="1" applyFill="1" applyBorder="1" applyAlignment="1">
      <alignment horizontal="right" vertical="center" wrapText="1"/>
    </xf>
    <xf numFmtId="4" fontId="6" fillId="4" borderId="1" xfId="2" applyNumberFormat="1" applyFont="1" applyFill="1" applyBorder="1" applyAlignment="1">
      <alignment horizontal="right" vertical="center" wrapText="1"/>
    </xf>
    <xf numFmtId="170" fontId="6" fillId="4" borderId="1" xfId="0" applyFont="1" applyFill="1" applyBorder="1" applyAlignment="1">
      <alignment horizontal="right" vertical="center" wrapText="1"/>
    </xf>
    <xf numFmtId="170" fontId="6" fillId="5" borderId="3" xfId="0" applyFont="1" applyFill="1" applyBorder="1" applyAlignment="1">
      <alignment horizontal="center" vertical="center" wrapText="1"/>
    </xf>
    <xf numFmtId="4" fontId="6" fillId="5" borderId="3" xfId="2" applyNumberFormat="1" applyFont="1" applyFill="1" applyBorder="1" applyAlignment="1">
      <alignment vertical="center" wrapText="1"/>
    </xf>
    <xf numFmtId="174" fontId="6" fillId="5" borderId="3" xfId="0" applyNumberFormat="1" applyFont="1" applyFill="1" applyBorder="1" applyAlignment="1">
      <alignment horizontal="center" vertical="center" wrapText="1"/>
    </xf>
    <xf numFmtId="0" fontId="6" fillId="5" borderId="3" xfId="0" applyNumberFormat="1" applyFont="1" applyFill="1" applyBorder="1" applyAlignment="1">
      <alignment horizontal="center" vertical="center" wrapText="1"/>
    </xf>
    <xf numFmtId="171" fontId="6" fillId="5" borderId="3" xfId="0" applyNumberFormat="1" applyFont="1" applyFill="1" applyBorder="1" applyAlignment="1">
      <alignment horizontal="center" vertical="center" wrapText="1"/>
    </xf>
    <xf numFmtId="172" fontId="6" fillId="5" borderId="3" xfId="0" applyNumberFormat="1" applyFont="1" applyFill="1" applyBorder="1" applyAlignment="1">
      <alignment horizontal="center" vertical="center" wrapText="1"/>
    </xf>
    <xf numFmtId="3" fontId="6" fillId="5" borderId="3" xfId="2" applyNumberFormat="1" applyFont="1" applyFill="1" applyBorder="1" applyAlignment="1">
      <alignment horizontal="right" vertical="center" wrapText="1"/>
    </xf>
    <xf numFmtId="4" fontId="6" fillId="5" borderId="3" xfId="2" applyNumberFormat="1" applyFont="1" applyFill="1" applyBorder="1" applyAlignment="1">
      <alignment horizontal="right" vertical="center" wrapText="1"/>
    </xf>
    <xf numFmtId="170" fontId="6" fillId="5" borderId="3" xfId="0" applyFont="1" applyFill="1" applyBorder="1" applyAlignment="1">
      <alignment horizontal="righ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 wrapText="1"/>
    </xf>
    <xf numFmtId="171" fontId="15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176" fontId="8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 shrinkToFit="1"/>
    </xf>
    <xf numFmtId="3" fontId="8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167" fontId="8" fillId="0" borderId="1" xfId="0" applyNumberFormat="1" applyFont="1" applyBorder="1" applyAlignment="1">
      <alignment horizontal="center" vertical="center"/>
    </xf>
    <xf numFmtId="170" fontId="6" fillId="3" borderId="1" xfId="0" applyFont="1" applyFill="1" applyBorder="1" applyAlignment="1">
      <alignment horizontal="center" vertical="center" wrapText="1"/>
    </xf>
    <xf numFmtId="171" fontId="6" fillId="4" borderId="1" xfId="0" applyNumberFormat="1" applyFont="1" applyFill="1" applyBorder="1" applyAlignment="1">
      <alignment horizontal="left" vertical="center" wrapText="1"/>
    </xf>
    <xf numFmtId="167" fontId="6" fillId="0" borderId="0" xfId="0" applyNumberFormat="1" applyFont="1" applyFill="1" applyAlignment="1">
      <alignment horizontal="left" vertical="center" wrapText="1"/>
    </xf>
    <xf numFmtId="167" fontId="6" fillId="0" borderId="0" xfId="0" applyNumberFormat="1" applyFont="1" applyAlignment="1">
      <alignment horizontal="left" vertical="center" wrapText="1"/>
    </xf>
    <xf numFmtId="170" fontId="6" fillId="4" borderId="1" xfId="0" applyFont="1" applyFill="1" applyBorder="1" applyAlignment="1">
      <alignment horizontal="left" vertical="center" wrapText="1"/>
    </xf>
    <xf numFmtId="170" fontId="6" fillId="5" borderId="3" xfId="0" applyFont="1" applyFill="1" applyBorder="1" applyAlignment="1">
      <alignment horizontal="left" vertical="center" wrapText="1"/>
    </xf>
    <xf numFmtId="169" fontId="13" fillId="0" borderId="0" xfId="0" applyNumberFormat="1" applyFont="1" applyFill="1" applyAlignment="1">
      <alignment horizontal="left" vertical="center" wrapText="1"/>
    </xf>
    <xf numFmtId="169" fontId="13" fillId="0" borderId="0" xfId="0" applyNumberFormat="1" applyFont="1" applyAlignment="1">
      <alignment horizontal="left" vertical="center" wrapText="1"/>
    </xf>
    <xf numFmtId="0" fontId="8" fillId="0" borderId="1" xfId="0" applyNumberFormat="1" applyFont="1" applyFill="1" applyBorder="1" applyAlignment="1">
      <alignment horizontal="right" vertical="center"/>
    </xf>
    <xf numFmtId="0" fontId="8" fillId="0" borderId="0" xfId="0" applyNumberFormat="1" applyFont="1" applyFill="1" applyBorder="1" applyAlignment="1">
      <alignment horizontal="right" vertical="center"/>
    </xf>
    <xf numFmtId="4" fontId="6" fillId="4" borderId="1" xfId="2" applyNumberFormat="1" applyFont="1" applyFill="1" applyBorder="1" applyAlignment="1">
      <alignment horizontal="left" vertical="center" wrapText="1"/>
    </xf>
    <xf numFmtId="4" fontId="6" fillId="5" borderId="3" xfId="2" applyNumberFormat="1" applyFont="1" applyFill="1" applyBorder="1" applyAlignment="1">
      <alignment horizontal="left" vertical="center" wrapText="1"/>
    </xf>
    <xf numFmtId="0" fontId="8" fillId="0" borderId="0" xfId="0" applyNumberFormat="1" applyFont="1" applyAlignment="1">
      <alignment horizontal="left" vertical="center"/>
    </xf>
    <xf numFmtId="0" fontId="8" fillId="0" borderId="0" xfId="0" applyNumberFormat="1" applyFont="1" applyBorder="1" applyAlignment="1">
      <alignment horizontal="left" vertical="center"/>
    </xf>
    <xf numFmtId="0" fontId="8" fillId="0" borderId="0" xfId="0" applyNumberFormat="1" applyFont="1" applyFill="1" applyBorder="1" applyAlignment="1">
      <alignment horizontal="left" vertical="center"/>
    </xf>
    <xf numFmtId="170" fontId="8" fillId="0" borderId="0" xfId="0" applyNumberFormat="1" applyFont="1" applyBorder="1" applyAlignment="1">
      <alignment horizontal="left" vertical="center"/>
    </xf>
    <xf numFmtId="167" fontId="8" fillId="0" borderId="1" xfId="0" applyNumberFormat="1" applyFont="1" applyBorder="1" applyAlignment="1">
      <alignment horizontal="left" vertical="center"/>
    </xf>
    <xf numFmtId="0" fontId="8" fillId="0" borderId="1" xfId="0" applyNumberFormat="1" applyFont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/>
    </xf>
    <xf numFmtId="170" fontId="6" fillId="3" borderId="1" xfId="0" applyFont="1" applyFill="1" applyBorder="1" applyAlignment="1">
      <alignment horizontal="center"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68" fontId="6" fillId="3" borderId="1" xfId="2" applyNumberFormat="1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170" fontId="6" fillId="5" borderId="1" xfId="0" applyFont="1" applyFill="1" applyBorder="1" applyAlignment="1">
      <alignment horizontal="right" vertical="center" wrapText="1"/>
    </xf>
    <xf numFmtId="170" fontId="6" fillId="5" borderId="1" xfId="0" applyFon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right" vertical="center" wrapText="1"/>
    </xf>
    <xf numFmtId="3" fontId="6" fillId="5" borderId="1" xfId="2" applyNumberFormat="1" applyFont="1" applyFill="1" applyBorder="1" applyAlignment="1">
      <alignment horizontal="right" vertical="center" wrapText="1"/>
    </xf>
    <xf numFmtId="4" fontId="6" fillId="5" borderId="1" xfId="2" applyNumberFormat="1" applyFont="1" applyFill="1" applyBorder="1" applyAlignment="1">
      <alignment horizontal="right" vertical="center" wrapText="1"/>
    </xf>
    <xf numFmtId="171" fontId="6" fillId="5" borderId="1" xfId="0" applyNumberFormat="1" applyFont="1" applyFill="1" applyBorder="1" applyAlignment="1">
      <alignment horizontal="left" vertical="center" wrapText="1"/>
    </xf>
    <xf numFmtId="172" fontId="6" fillId="5" borderId="1" xfId="0" applyNumberFormat="1" applyFont="1" applyFill="1" applyBorder="1" applyAlignment="1">
      <alignment horizontal="center" vertical="center" wrapText="1"/>
    </xf>
    <xf numFmtId="170" fontId="6" fillId="5" borderId="1" xfId="0" applyFont="1" applyFill="1" applyBorder="1" applyAlignment="1">
      <alignment horizontal="left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0" fontId="19" fillId="0" borderId="0" xfId="0" applyNumberFormat="1" applyFont="1"/>
    <xf numFmtId="166" fontId="6" fillId="3" borderId="1" xfId="2" applyNumberFormat="1" applyFont="1" applyFill="1" applyBorder="1" applyAlignment="1">
      <alignment horizontal="center" vertical="center" wrapText="1"/>
    </xf>
    <xf numFmtId="1" fontId="20" fillId="0" borderId="2" xfId="0" applyNumberFormat="1" applyFont="1" applyBorder="1" applyAlignment="1">
      <alignment vertical="center"/>
    </xf>
    <xf numFmtId="0" fontId="15" fillId="0" borderId="1" xfId="0" applyNumberFormat="1" applyFont="1" applyBorder="1" applyAlignment="1">
      <alignment vertical="center"/>
    </xf>
    <xf numFmtId="14" fontId="15" fillId="0" borderId="1" xfId="0" applyNumberFormat="1" applyFont="1" applyBorder="1" applyAlignment="1">
      <alignment vertical="center"/>
    </xf>
    <xf numFmtId="0" fontId="15" fillId="0" borderId="1" xfId="0" applyNumberFormat="1" applyFont="1" applyBorder="1" applyAlignment="1">
      <alignment vertical="center" shrinkToFit="1"/>
    </xf>
    <xf numFmtId="0" fontId="15" fillId="0" borderId="1" xfId="0" applyNumberFormat="1" applyFont="1" applyBorder="1" applyAlignment="1">
      <alignment horizontal="right" vertical="center"/>
    </xf>
    <xf numFmtId="0" fontId="15" fillId="0" borderId="1" xfId="0" applyNumberFormat="1" applyFont="1" applyBorder="1" applyAlignment="1">
      <alignment horizontal="left" vertical="center"/>
    </xf>
    <xf numFmtId="170" fontId="6" fillId="3" borderId="1" xfId="0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68" fontId="6" fillId="3" borderId="1" xfId="2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/>
    </xf>
    <xf numFmtId="170" fontId="6" fillId="3" borderId="1" xfId="0" applyFont="1" applyFill="1" applyBorder="1" applyAlignment="1">
      <alignment vertical="center"/>
    </xf>
    <xf numFmtId="170" fontId="6" fillId="3" borderId="1" xfId="0" applyFont="1" applyFill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3" fontId="6" fillId="5" borderId="3" xfId="0" applyNumberFormat="1" applyFont="1" applyFill="1" applyBorder="1" applyAlignment="1">
      <alignment horizontal="right" vertical="center" wrapText="1"/>
    </xf>
    <xf numFmtId="171" fontId="6" fillId="5" borderId="3" xfId="0" applyNumberFormat="1" applyFont="1" applyFill="1" applyBorder="1" applyAlignment="1">
      <alignment horizontal="left" vertical="center" wrapText="1"/>
    </xf>
    <xf numFmtId="1" fontId="15" fillId="0" borderId="1" xfId="0" applyNumberFormat="1" applyFont="1" applyFill="1" applyBorder="1" applyAlignment="1">
      <alignment horizontal="right" vertical="center"/>
    </xf>
    <xf numFmtId="1" fontId="15" fillId="0" borderId="1" xfId="0" applyNumberFormat="1" applyFont="1" applyFill="1" applyBorder="1" applyAlignment="1">
      <alignment horizontal="left" vertical="center"/>
    </xf>
    <xf numFmtId="0" fontId="15" fillId="0" borderId="1" xfId="0" applyNumberFormat="1" applyFont="1" applyFill="1" applyBorder="1" applyAlignment="1">
      <alignment horizontal="left" vertical="center"/>
    </xf>
    <xf numFmtId="14" fontId="15" fillId="0" borderId="1" xfId="0" applyNumberFormat="1" applyFont="1" applyFill="1" applyBorder="1" applyAlignment="1">
      <alignment horizontal="left" vertical="center"/>
    </xf>
    <xf numFmtId="1" fontId="16" fillId="0" borderId="1" xfId="0" applyNumberFormat="1" applyFont="1" applyFill="1" applyBorder="1" applyAlignment="1">
      <alignment horizontal="left" vertical="center"/>
    </xf>
    <xf numFmtId="167" fontId="16" fillId="0" borderId="1" xfId="0" applyNumberFormat="1" applyFont="1" applyFill="1" applyBorder="1" applyAlignment="1">
      <alignment horizontal="left" vertical="center"/>
    </xf>
    <xf numFmtId="167" fontId="15" fillId="0" borderId="1" xfId="0" applyNumberFormat="1" applyFont="1" applyFill="1" applyBorder="1" applyAlignment="1">
      <alignment horizontal="left" vertical="center"/>
    </xf>
    <xf numFmtId="169" fontId="15" fillId="0" borderId="1" xfId="0" applyNumberFormat="1" applyFont="1" applyFill="1" applyBorder="1" applyAlignment="1">
      <alignment horizontal="left" vertical="center"/>
    </xf>
    <xf numFmtId="169" fontId="16" fillId="0" borderId="1" xfId="0" applyNumberFormat="1" applyFont="1" applyFill="1" applyBorder="1" applyAlignment="1">
      <alignment horizontal="left" vertical="center"/>
    </xf>
    <xf numFmtId="1" fontId="8" fillId="0" borderId="1" xfId="0" applyNumberFormat="1" applyFont="1" applyFill="1" applyBorder="1" applyAlignment="1">
      <alignment horizontal="right" vertical="center"/>
    </xf>
    <xf numFmtId="49" fontId="8" fillId="0" borderId="1" xfId="0" applyNumberFormat="1" applyFont="1" applyFill="1" applyBorder="1" applyAlignment="1">
      <alignment horizontal="left" vertical="center"/>
    </xf>
    <xf numFmtId="1" fontId="6" fillId="0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Fill="1" applyBorder="1" applyAlignment="1">
      <alignment horizontal="left" vertical="center"/>
    </xf>
    <xf numFmtId="0" fontId="18" fillId="0" borderId="1" xfId="0" applyNumberFormat="1" applyFont="1" applyBorder="1"/>
    <xf numFmtId="49" fontId="8" fillId="0" borderId="1" xfId="0" applyNumberFormat="1" applyFont="1" applyFill="1" applyBorder="1" applyAlignment="1">
      <alignment horizontal="left" vertical="center" wrapText="1"/>
    </xf>
    <xf numFmtId="1" fontId="6" fillId="0" borderId="1" xfId="0" applyNumberFormat="1" applyFont="1" applyFill="1" applyBorder="1" applyAlignment="1">
      <alignment horizontal="right" vertical="center"/>
    </xf>
    <xf numFmtId="49" fontId="8" fillId="0" borderId="1" xfId="0" applyNumberFormat="1" applyFont="1" applyFill="1" applyBorder="1" applyAlignment="1">
      <alignment horizontal="right" vertical="center"/>
    </xf>
    <xf numFmtId="49" fontId="6" fillId="0" borderId="1" xfId="0" applyNumberFormat="1" applyFont="1" applyFill="1" applyBorder="1" applyAlignment="1">
      <alignment horizontal="left" vertical="center" wrapText="1"/>
    </xf>
    <xf numFmtId="0" fontId="15" fillId="0" borderId="1" xfId="0" applyNumberFormat="1" applyFont="1" applyFill="1" applyBorder="1" applyAlignment="1">
      <alignment horizontal="right" vertical="center"/>
    </xf>
    <xf numFmtId="171" fontId="15" fillId="0" borderId="1" xfId="0" applyNumberFormat="1" applyFont="1" applyBorder="1" applyAlignment="1">
      <alignment horizontal="center" vertical="center"/>
    </xf>
    <xf numFmtId="167" fontId="15" fillId="0" borderId="1" xfId="0" applyNumberFormat="1" applyFont="1" applyBorder="1" applyAlignment="1">
      <alignment vertical="center"/>
    </xf>
    <xf numFmtId="0" fontId="17" fillId="0" borderId="1" xfId="0" applyNumberFormat="1" applyFont="1" applyFill="1" applyBorder="1" applyAlignment="1">
      <alignment horizontal="right" vertical="center"/>
    </xf>
    <xf numFmtId="0" fontId="17" fillId="0" borderId="1" xfId="0" applyNumberFormat="1" applyFont="1" applyBorder="1" applyAlignment="1">
      <alignment horizontal="center" vertical="center"/>
    </xf>
    <xf numFmtId="0" fontId="17" fillId="0" borderId="1" xfId="0" applyNumberFormat="1" applyFont="1" applyBorder="1" applyAlignment="1">
      <alignment horizontal="left" vertical="center"/>
    </xf>
    <xf numFmtId="0" fontId="17" fillId="0" borderId="1" xfId="0" applyNumberFormat="1" applyFont="1" applyBorder="1" applyAlignment="1">
      <alignment horizontal="left" vertical="center" shrinkToFit="1"/>
    </xf>
    <xf numFmtId="0" fontId="17" fillId="0" borderId="1" xfId="0" applyNumberFormat="1" applyFont="1" applyBorder="1" applyAlignment="1">
      <alignment horizontal="right" vertical="center"/>
    </xf>
    <xf numFmtId="14" fontId="21" fillId="0" borderId="0" xfId="13" applyNumberFormat="1" applyFont="1" applyFill="1" applyBorder="1" applyAlignment="1">
      <alignment vertical="center"/>
    </xf>
    <xf numFmtId="0" fontId="11" fillId="0" borderId="2" xfId="13" applyNumberFormat="1" applyFont="1" applyFill="1" applyBorder="1" applyAlignment="1">
      <alignment vertical="center"/>
    </xf>
    <xf numFmtId="14" fontId="8" fillId="0" borderId="0" xfId="13" applyNumberFormat="1" applyFont="1" applyFill="1" applyBorder="1" applyAlignment="1">
      <alignment vertical="center"/>
    </xf>
    <xf numFmtId="0" fontId="8" fillId="0" borderId="0" xfId="13" applyNumberFormat="1" applyFont="1" applyFill="1" applyBorder="1" applyAlignment="1">
      <alignment vertical="center" shrinkToFit="1"/>
    </xf>
    <xf numFmtId="0" fontId="8" fillId="0" borderId="0" xfId="13" applyNumberFormat="1" applyFont="1" applyFill="1" applyBorder="1" applyAlignment="1">
      <alignment vertical="center"/>
    </xf>
    <xf numFmtId="0" fontId="8" fillId="0" borderId="0" xfId="13" applyNumberFormat="1" applyFont="1" applyFill="1" applyBorder="1" applyAlignment="1">
      <alignment horizontal="right" vertical="center"/>
    </xf>
    <xf numFmtId="0" fontId="8" fillId="0" borderId="0" xfId="13" applyNumberFormat="1" applyFont="1" applyFill="1" applyBorder="1" applyAlignment="1">
      <alignment horizontal="left" vertical="center"/>
    </xf>
    <xf numFmtId="171" fontId="8" fillId="0" borderId="0" xfId="13" applyNumberFormat="1" applyFont="1" applyFill="1" applyBorder="1" applyAlignment="1">
      <alignment vertical="center"/>
    </xf>
    <xf numFmtId="0" fontId="6" fillId="2" borderId="1" xfId="13" applyNumberFormat="1" applyFont="1" applyFill="1" applyBorder="1" applyAlignment="1">
      <alignment horizontal="center" vertical="center" wrapText="1"/>
    </xf>
    <xf numFmtId="0" fontId="6" fillId="0" borderId="0" xfId="13" applyNumberFormat="1" applyFont="1" applyFill="1" applyBorder="1" applyAlignment="1">
      <alignment horizontal="center" vertical="center"/>
    </xf>
    <xf numFmtId="170" fontId="6" fillId="4" borderId="1" xfId="13" applyNumberFormat="1" applyFont="1" applyFill="1" applyBorder="1" applyAlignment="1">
      <alignment horizontal="center" vertical="center" wrapText="1"/>
    </xf>
    <xf numFmtId="3" fontId="6" fillId="4" borderId="1" xfId="13" applyNumberFormat="1" applyFont="1" applyFill="1" applyBorder="1" applyAlignment="1">
      <alignment vertical="center" wrapText="1"/>
    </xf>
    <xf numFmtId="3" fontId="6" fillId="4" borderId="1" xfId="14" applyNumberFormat="1" applyFont="1" applyFill="1" applyBorder="1" applyAlignment="1">
      <alignment vertical="center" wrapText="1"/>
    </xf>
    <xf numFmtId="4" fontId="6" fillId="4" borderId="1" xfId="14" applyNumberFormat="1" applyFont="1" applyFill="1" applyBorder="1" applyAlignment="1">
      <alignment vertical="center" wrapText="1"/>
    </xf>
    <xf numFmtId="4" fontId="6" fillId="4" borderId="1" xfId="14" applyNumberFormat="1" applyFont="1" applyFill="1" applyBorder="1" applyAlignment="1">
      <alignment horizontal="left" vertical="center" wrapText="1"/>
    </xf>
    <xf numFmtId="171" fontId="6" fillId="4" borderId="1" xfId="13" applyNumberFormat="1" applyFont="1" applyFill="1" applyBorder="1" applyAlignment="1">
      <alignment horizontal="center" vertical="center" wrapText="1"/>
    </xf>
    <xf numFmtId="172" fontId="6" fillId="4" borderId="1" xfId="13" applyNumberFormat="1" applyFont="1" applyFill="1" applyBorder="1" applyAlignment="1">
      <alignment horizontal="center" vertical="center" wrapText="1"/>
    </xf>
    <xf numFmtId="170" fontId="6" fillId="5" borderId="1" xfId="13" applyNumberFormat="1" applyFont="1" applyFill="1" applyBorder="1" applyAlignment="1">
      <alignment horizontal="center" vertical="center" wrapText="1"/>
    </xf>
    <xf numFmtId="3" fontId="6" fillId="5" borderId="1" xfId="13" applyNumberFormat="1" applyFont="1" applyFill="1" applyBorder="1" applyAlignment="1">
      <alignment vertical="center" wrapText="1"/>
    </xf>
    <xf numFmtId="3" fontId="6" fillId="5" borderId="1" xfId="14" applyNumberFormat="1" applyFont="1" applyFill="1" applyBorder="1" applyAlignment="1">
      <alignment vertical="center" wrapText="1"/>
    </xf>
    <xf numFmtId="4" fontId="6" fillId="5" borderId="1" xfId="14" applyNumberFormat="1" applyFont="1" applyFill="1" applyBorder="1" applyAlignment="1">
      <alignment vertical="center" wrapText="1"/>
    </xf>
    <xf numFmtId="4" fontId="6" fillId="5" borderId="1" xfId="14" applyNumberFormat="1" applyFont="1" applyFill="1" applyBorder="1" applyAlignment="1">
      <alignment horizontal="left" vertical="center" wrapText="1"/>
    </xf>
    <xf numFmtId="171" fontId="6" fillId="5" borderId="1" xfId="13" applyNumberFormat="1" applyFont="1" applyFill="1" applyBorder="1" applyAlignment="1">
      <alignment horizontal="center" vertical="center" wrapText="1"/>
    </xf>
    <xf numFmtId="172" fontId="6" fillId="5" borderId="1" xfId="13" applyNumberFormat="1" applyFont="1" applyFill="1" applyBorder="1" applyAlignment="1">
      <alignment horizontal="center" vertical="center" wrapText="1"/>
    </xf>
    <xf numFmtId="0" fontId="15" fillId="0" borderId="1" xfId="13" applyNumberFormat="1" applyFont="1" applyFill="1" applyBorder="1" applyAlignment="1">
      <alignment vertical="center"/>
    </xf>
    <xf numFmtId="14" fontId="15" fillId="0" borderId="1" xfId="13" applyNumberFormat="1" applyFont="1" applyFill="1" applyBorder="1" applyAlignment="1">
      <alignment vertical="center"/>
    </xf>
    <xf numFmtId="0" fontId="15" fillId="0" borderId="1" xfId="13" applyNumberFormat="1" applyFont="1" applyFill="1" applyBorder="1" applyAlignment="1">
      <alignment vertical="center" shrinkToFit="1"/>
    </xf>
    <xf numFmtId="0" fontId="15" fillId="0" borderId="1" xfId="13" applyNumberFormat="1" applyFont="1" applyFill="1" applyBorder="1" applyAlignment="1">
      <alignment horizontal="right" vertical="center"/>
    </xf>
    <xf numFmtId="0" fontId="15" fillId="0" borderId="1" xfId="13" applyNumberFormat="1" applyFont="1" applyFill="1" applyBorder="1" applyAlignment="1">
      <alignment horizontal="left" vertical="center"/>
    </xf>
    <xf numFmtId="171" fontId="15" fillId="0" borderId="1" xfId="13" applyNumberFormat="1" applyFont="1" applyFill="1" applyBorder="1" applyAlignment="1">
      <alignment horizontal="left" vertical="center"/>
    </xf>
    <xf numFmtId="0" fontId="8" fillId="0" borderId="1" xfId="13" applyNumberFormat="1" applyFont="1" applyFill="1" applyBorder="1" applyAlignment="1">
      <alignment vertical="center"/>
    </xf>
    <xf numFmtId="0" fontId="8" fillId="0" borderId="1" xfId="13" applyNumberFormat="1" applyFont="1" applyFill="1" applyBorder="1" applyAlignment="1">
      <alignment horizontal="right" vertical="center"/>
    </xf>
    <xf numFmtId="0" fontId="8" fillId="0" borderId="1" xfId="13" applyNumberFormat="1" applyFont="1" applyFill="1" applyBorder="1" applyAlignment="1">
      <alignment horizontal="center" vertical="center"/>
    </xf>
    <xf numFmtId="0" fontId="8" fillId="0" borderId="1" xfId="13" applyNumberFormat="1" applyFont="1" applyFill="1" applyBorder="1" applyAlignment="1">
      <alignment horizontal="left" vertical="center"/>
    </xf>
    <xf numFmtId="0" fontId="8" fillId="0" borderId="1" xfId="0" applyNumberFormat="1" applyFont="1" applyFill="1" applyBorder="1" applyAlignment="1">
      <alignment vertical="center" wrapText="1"/>
    </xf>
    <xf numFmtId="14" fontId="8" fillId="0" borderId="1" xfId="13" applyNumberFormat="1" applyFont="1" applyFill="1" applyBorder="1" applyAlignment="1">
      <alignment vertical="center"/>
    </xf>
    <xf numFmtId="170" fontId="0" fillId="0" borderId="0" xfId="0" applyNumberFormat="1" applyFont="1" applyFill="1" applyBorder="1"/>
    <xf numFmtId="166" fontId="6" fillId="3" borderId="1" xfId="2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77" fontId="0" fillId="0" borderId="1" xfId="0" applyNumberFormat="1" applyBorder="1"/>
    <xf numFmtId="0" fontId="8" fillId="0" borderId="1" xfId="0" applyNumberFormat="1" applyFont="1" applyBorder="1" applyAlignment="1">
      <alignment horizontal="left"/>
    </xf>
    <xf numFmtId="177" fontId="8" fillId="0" borderId="1" xfId="0" applyNumberFormat="1" applyFont="1" applyBorder="1"/>
    <xf numFmtId="177" fontId="8" fillId="0" borderId="1" xfId="13" applyNumberFormat="1" applyFont="1" applyFill="1" applyBorder="1" applyAlignment="1">
      <alignment vertical="center"/>
    </xf>
    <xf numFmtId="170" fontId="6" fillId="3" borderId="1" xfId="0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0" fontId="11" fillId="0" borderId="0" xfId="13" applyNumberFormat="1" applyFont="1" applyFill="1" applyBorder="1" applyAlignment="1">
      <alignment vertical="center"/>
    </xf>
    <xf numFmtId="172" fontId="6" fillId="2" borderId="3" xfId="13" applyNumberFormat="1" applyFont="1" applyFill="1" applyBorder="1" applyAlignment="1">
      <alignment horizontal="center" vertical="center" wrapText="1"/>
    </xf>
    <xf numFmtId="172" fontId="6" fillId="2" borderId="4" xfId="13" applyNumberFormat="1" applyFont="1" applyFill="1" applyBorder="1" applyAlignment="1">
      <alignment horizontal="center" vertical="center" wrapText="1"/>
    </xf>
    <xf numFmtId="170" fontId="6" fillId="3" borderId="3" xfId="13" applyNumberFormat="1" applyFont="1" applyFill="1" applyBorder="1" applyAlignment="1">
      <alignment horizontal="center" vertical="center" wrapText="1"/>
    </xf>
    <xf numFmtId="170" fontId="6" fillId="3" borderId="4" xfId="13" applyNumberFormat="1" applyFont="1" applyFill="1" applyBorder="1" applyAlignment="1">
      <alignment horizontal="center" vertical="center" wrapText="1"/>
    </xf>
    <xf numFmtId="172" fontId="6" fillId="2" borderId="1" xfId="13" applyNumberFormat="1" applyFont="1" applyFill="1" applyBorder="1" applyAlignment="1">
      <alignment horizontal="center" vertical="center" wrapText="1"/>
    </xf>
    <xf numFmtId="170" fontId="6" fillId="3" borderId="1" xfId="13" applyNumberFormat="1" applyFont="1" applyFill="1" applyBorder="1" applyAlignment="1">
      <alignment horizontal="center" vertical="center" wrapText="1"/>
    </xf>
    <xf numFmtId="168" fontId="6" fillId="3" borderId="1" xfId="14" applyNumberFormat="1" applyFont="1" applyFill="1" applyBorder="1" applyAlignment="1">
      <alignment horizontal="center" vertical="center" wrapText="1"/>
    </xf>
    <xf numFmtId="166" fontId="6" fillId="3" borderId="1" xfId="14" applyNumberFormat="1" applyFont="1" applyFill="1" applyBorder="1" applyAlignment="1">
      <alignment horizontal="center" vertical="center" wrapText="1"/>
    </xf>
    <xf numFmtId="0" fontId="1" fillId="0" borderId="1" xfId="13" applyNumberFormat="1" applyFont="1" applyFill="1" applyBorder="1" applyAlignment="1">
      <alignment horizontal="center" vertical="center" wrapText="1"/>
    </xf>
    <xf numFmtId="166" fontId="6" fillId="3" borderId="3" xfId="14" applyNumberFormat="1" applyFont="1" applyFill="1" applyBorder="1" applyAlignment="1">
      <alignment horizontal="center" vertical="center" wrapText="1"/>
    </xf>
    <xf numFmtId="166" fontId="6" fillId="3" borderId="4" xfId="14" applyNumberFormat="1" applyFont="1" applyFill="1" applyBorder="1" applyAlignment="1">
      <alignment horizontal="center" vertical="center" wrapText="1"/>
    </xf>
    <xf numFmtId="171" fontId="6" fillId="2" borderId="3" xfId="13" applyNumberFormat="1" applyFont="1" applyFill="1" applyBorder="1" applyAlignment="1">
      <alignment horizontal="center" vertical="center" wrapText="1"/>
    </xf>
    <xf numFmtId="171" fontId="6" fillId="2" borderId="4" xfId="13" applyNumberFormat="1" applyFont="1" applyFill="1" applyBorder="1" applyAlignment="1">
      <alignment horizontal="center" vertical="center" wrapText="1"/>
    </xf>
    <xf numFmtId="171" fontId="6" fillId="2" borderId="1" xfId="13" applyNumberFormat="1" applyFont="1" applyFill="1" applyBorder="1" applyAlignment="1">
      <alignment horizontal="center" vertical="center" wrapText="1"/>
    </xf>
    <xf numFmtId="170" fontId="6" fillId="3" borderId="1" xfId="0" applyFont="1" applyFill="1" applyBorder="1" applyAlignment="1">
      <alignment horizontal="center" vertical="center" wrapText="1"/>
    </xf>
    <xf numFmtId="166" fontId="6" fillId="3" borderId="3" xfId="2" applyNumberFormat="1" applyFont="1" applyFill="1" applyBorder="1" applyAlignment="1">
      <alignment horizontal="center" vertical="center" wrapText="1"/>
    </xf>
    <xf numFmtId="166" fontId="6" fillId="3" borderId="4" xfId="2" applyNumberFormat="1" applyFont="1" applyFill="1" applyBorder="1" applyAlignment="1">
      <alignment horizontal="center" vertical="center" wrapText="1"/>
    </xf>
    <xf numFmtId="170" fontId="6" fillId="3" borderId="3" xfId="0" applyFont="1" applyFill="1" applyBorder="1" applyAlignment="1">
      <alignment horizontal="center" vertical="center" wrapText="1"/>
    </xf>
    <xf numFmtId="170" fontId="6" fillId="3" borderId="4" xfId="0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 wrapText="1"/>
    </xf>
    <xf numFmtId="171" fontId="6" fillId="2" borderId="1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 wrapText="1"/>
    </xf>
    <xf numFmtId="0" fontId="6" fillId="2" borderId="4" xfId="0" applyNumberFormat="1" applyFont="1" applyFill="1" applyBorder="1" applyAlignment="1">
      <alignment horizontal="center" vertical="center" wrapText="1"/>
    </xf>
    <xf numFmtId="172" fontId="6" fillId="2" borderId="1" xfId="0" applyNumberFormat="1" applyFont="1" applyFill="1" applyBorder="1" applyAlignment="1">
      <alignment horizontal="center" vertical="center" wrapText="1"/>
    </xf>
    <xf numFmtId="166" fontId="6" fillId="3" borderId="3" xfId="2" applyNumberFormat="1" applyFont="1" applyFill="1" applyBorder="1" applyAlignment="1">
      <alignment horizontal="left" vertical="center" wrapText="1"/>
    </xf>
    <xf numFmtId="166" fontId="6" fillId="3" borderId="4" xfId="2" applyNumberFormat="1" applyFont="1" applyFill="1" applyBorder="1" applyAlignment="1">
      <alignment horizontal="left" vertical="center" wrapText="1"/>
    </xf>
    <xf numFmtId="168" fontId="6" fillId="3" borderId="1" xfId="2" applyNumberFormat="1" applyFont="1" applyFill="1" applyBorder="1" applyAlignment="1">
      <alignment horizontal="center" vertical="center" wrapText="1"/>
    </xf>
    <xf numFmtId="166" fontId="6" fillId="3" borderId="1" xfId="2" applyNumberFormat="1" applyFont="1" applyFill="1" applyBorder="1" applyAlignment="1">
      <alignment horizontal="center" vertical="center" wrapText="1"/>
    </xf>
    <xf numFmtId="174" fontId="6" fillId="3" borderId="1" xfId="0" applyNumberFormat="1" applyFont="1" applyFill="1" applyBorder="1" applyAlignment="1">
      <alignment horizontal="center" vertical="center" wrapText="1"/>
    </xf>
  </cellXfs>
  <cellStyles count="15">
    <cellStyle name="_ET_STYLE_NoName_00_" xfId="1" xr:uid="{00000000-0005-0000-0000-000000000000}"/>
    <cellStyle name="Comma 2" xfId="2" xr:uid="{00000000-0005-0000-0000-000001000000}"/>
    <cellStyle name="Comma 2 2" xfId="3" xr:uid="{00000000-0005-0000-0000-000002000000}"/>
    <cellStyle name="Comma 2 3" xfId="14" xr:uid="{00000000-0005-0000-0000-000003000000}"/>
    <cellStyle name="Comma 2_HANG THANH PHAM" xfId="4" xr:uid="{00000000-0005-0000-0000-000004000000}"/>
    <cellStyle name="Komma 2" xfId="5" xr:uid="{00000000-0005-0000-0000-000005000000}"/>
    <cellStyle name="Komma 2 2" xfId="6" xr:uid="{00000000-0005-0000-0000-000006000000}"/>
    <cellStyle name="Komma_Blad1" xfId="7" xr:uid="{00000000-0005-0000-0000-000007000000}"/>
    <cellStyle name="Normal" xfId="0" builtinId="0"/>
    <cellStyle name="Normal 2" xfId="13" xr:uid="{00000000-0005-0000-0000-000009000000}"/>
    <cellStyle name="Standaard 2" xfId="8" xr:uid="{00000000-0005-0000-0000-00000A000000}"/>
    <cellStyle name="Standaard 3" xfId="9" xr:uid="{00000000-0005-0000-0000-00000B000000}"/>
    <cellStyle name="Standaard_Blad1" xfId="10" xr:uid="{00000000-0005-0000-0000-00000C000000}"/>
    <cellStyle name="Stijl 1" xfId="11" xr:uid="{00000000-0005-0000-0000-00000D000000}"/>
    <cellStyle name="Style 1" xfId="12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RAPEU_Order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OrderNumber" type="xs:string" minOccurs="0"/>
                  <xs:element name="FactoryOrder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2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OrderQnt" msdata:ReadOnly="true" type="xs:int" minOccurs="0"/>
                  <xs:element name="OrderQntIn40HC" msdata:ReadOnly="true" type="xs:decimal" minOccurs="0"/>
                  <xs:element name="TotalShippedQnt" msdata:ReadOnly="true" type="xs:int" minOccurs="0"/>
                  <xs:element name="TotalShippedQntIn40HC" msdata:ReadOnly="true" type="xs:decimal" minOccurs="0"/>
                  <xs:element name="ToBeShippedQnt" msdata:ReadOnly="true" type="xs:int" minOccurs="0"/>
                  <xs:element name="ToBeShippedQntIn40HC" msdata:ReadOnly="true" type="xs:decimal" minOccurs="0"/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Quantity20DC" type="xs:int" minOccurs="0"/>
                  <xs:element name="Quantity40DC" type="xs:int" minOccurs="0"/>
                  <xs:element name="Quantity40HC" type="xs:int" minOccurs="0"/>
                  <xs:element name="LDSClient" type="xs:date" minOccurs="0"/>
                  <xs:element name="DeliveryDate" type="xs:date" minOccurs="0"/>
                  <xs:element name="LDSFacory" type="xs:date" minOccurs="0"/>
                  <xs:element name="SupplyChainPersonNM" type="xs:string" minOccurs="0"/>
                  <xs:element name="ProductionStatus" type="xs:string" minOccurs="0"/>
                  <xs:element name="OrderTypeNM" type="xs:string" minOccurs="0"/>
                  <xs:element name="Rating" type="xs:string" minOccurs="0"/>
                  <xs:element name="ItemStandardNM" type="xs:string" minOccurs="0"/>
                  <xs:element name="TestSamplingOptionNM" type="xs:string" minOccurs="0"/>
                  <xs:element name="LabelingOptionNM" type="xs:string" minOccurs="0"/>
                  <xs:element name="PackagingOptionNM" type="xs:string" minOccurs="0"/>
                  <xs:element name="InspectionOptionNM" type="xs:string" minOccurs="0"/>
                  <xs:element name="AdditionalRemark" type="xs:string" minOccurs="0"/>
                  <xs:element name="DeliveryTypeNM" type="xs:string" minOccurs="0"/>
                  <xs:element name="ShipmentToOptionNM" type="xs:string" minOccurs="0"/>
                  <xs:element name="ShipmentTypeOptionNM" type="xs:string" minOccurs="0"/>
                  <xs:element name="RangeName" type="xs:string" minOccurs="0"/>
                  <xs:element name="FrameMaterialNM" type="xs:string" minOccurs="0"/>
                  <xs:element name="MaterialTypeNM" type="xs:string" minOccurs="0"/>
                  <xs:element name="MaterialColorNM" type="xs:string" minOccurs="0"/>
                  <xs:element name="CushionColorNM" type="xs:string" minOccurs="0"/>
                </xs:sequence>
              </xs:complexType>
            </xs:element>
            <xs:element name="Report_RAPEU_Shipped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Order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2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LoadedQnt" msdata:ReadOnly="true" type="xs:int" minOccurs="0"/>
                  <xs:element name="LoadedQntIn40HC" msdata:ReadOnly="true" type="xs:decimal" minOccurs="0"/>
                  <xs:element name="ShippedQnt" msdata:ReadOnly="true" type="xs:int" minOccurs="0"/>
                  <xs:element name="ShippedQntIn40HC" msdata:ReadOnly="true" type="xs:decimal" minOccurs="0"/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SupplyChainPersonNM" type="xs:string" minOccurs="0"/>
                  <xs:element name="ProductionStatus" type="xs:string" minOccurs="0"/>
                  <xs:element name="OrderTypeNM" type="xs:string" minOccurs="0"/>
                  <xs:element name="Rating" type="xs:string" minOccurs="0"/>
                  <xs:element name="ItemStandardNM" type="xs:string" minOccurs="0"/>
                  <xs:element name="TestSamplingOptionNM" type="xs:string" minOccurs="0"/>
                  <xs:element name="LabelingOptionNM" type="xs:string" minOccurs="0"/>
                  <xs:element name="PackagingOptionNM" type="xs:string" minOccurs="0"/>
                  <xs:element name="InspectionOptionNM" type="xs:string" minOccurs="0"/>
                  <xs:element name="AdditionalRemark" type="xs:string" minOccurs="0"/>
                  <xs:element name="DeliveryTypeNM" type="xs:string" minOccurs="0"/>
                  <xs:element name="ShipmentToOptionNM" type="xs:string" minOccurs="0"/>
                  <xs:element name="ShipmentTypeOptionNM" type="xs:string" minOccurs="0"/>
                  <xs:element name="Quantity20DC" type="xs:int" minOccurs="0"/>
                  <xs:element name="Quantity40DC" type="xs:int" minOccurs="0"/>
                  <xs:element name="Quantity40HC" type="xs:int" minOccurs="0"/>
                  <xs:element name="LDSClient" type="xs:date" minOccurs="0"/>
                  <xs:element name="DeliveryDate" type="xs:date" minOccurs="0"/>
                  <xs:element name="LDSFacory" type="xs:date" minOccurs="0"/>
                  <xs:element name="LoadingDate" type="xs:date" minOccurs="0"/>
                  <xs:element name="ETD" type="xs:date" minOccurs="0"/>
                  <xs:element name="ETA" type="xs:date" minOccurs="0"/>
                  <xs:element name="ETA2" type="xs:date" minOccurs="0"/>
                  <xs:element name="ForwarderNM" type="xs:string" minOccurs="0"/>
                  <xs:element name="ContainerNo" type="xs:string" minOccurs="0"/>
                  <xs:element name="SealNo" type="xs:string" minOccurs="0"/>
                  <xs:element name="ContainerTypeNM" type="xs:string" minOccurs="0"/>
                  <xs:element name="PODName" type="xs:string" minOccurs="0"/>
                  <xs:element name="Feeder" type="xs:string" minOccurs="0"/>
                  <xs:element name="Vessel" type="xs:string" minOccurs="0"/>
                  <xs:element name="BLNo" type="xs:string" minOccurs="0"/>
                  <xs:element name="RangeName" type="xs:string" minOccurs="0"/>
                  <xs:element name="FrameMaterialNM" type="xs:string" minOccurs="0"/>
                  <xs:element name="MaterialTypeNM" type="xs:string" minOccurs="0"/>
                  <xs:element name="MaterialColorNM" type="xs:string" minOccurs="0"/>
                  <xs:element name="CushionColorNM" type="xs:string" minOccurs="0"/>
                  <xs:element name="PLCUpdatedDate" minOccurs="0" type="xs:date"/>
                  <xs:element name="PLCConfirmedDate" minOccurs="0" type="xs:date"/>
                </xs:sequence>
              </xs:complexType>
            </xs:element>
            <xs:element name="Report_RAPEU_Loaded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OrderDate" minOccurs="0" type="xs:date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ale2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LoadedQnt" msdata:ReadOnly="true" type="xs:int" minOccurs="0"/>
                  <xs:element name="LoadedQntIn40HC" msdata:ReadOnly="true" type="xs:decimal" minOccurs="0"/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SupplyChainPersonNM" type="xs:string" minOccurs="0"/>
                  <xs:element name="ProductionStatus" type="xs:string" minOccurs="0"/>
                  <xs:element name="OrderTypeNM" type="xs:string" minOccurs="0"/>
                  <xs:element name="Rating" type="xs:string" minOccurs="0"/>
                  <xs:element name="ItemStandardNM" type="xs:string" minOccurs="0"/>
                  <xs:element name="TestSamplingOptionNM" type="xs:string" minOccurs="0"/>
                  <xs:element name="LabelingOptionNM" type="xs:string" minOccurs="0"/>
                  <xs:element name="PackagingOptionNM" type="xs:string" minOccurs="0"/>
                  <xs:element name="InspectionOptionNM" type="xs:string" minOccurs="0"/>
                  <xs:element name="AdditionalRemark" type="xs:string" minOccurs="0"/>
                  <xs:element name="DeliveryTypeNM" type="xs:string" minOccurs="0"/>
                  <xs:element name="ShipmentToOptionNM" type="xs:string" minOccurs="0"/>
                  <xs:element name="ShipmentTypeOptionNM" type="xs:string" minOccurs="0"/>
                  <xs:element name="Quantity20DC" type="xs:int" minOccurs="0"/>
                  <xs:element name="Quantity40DC" type="xs:int" minOccurs="0"/>
                  <xs:element name="Quantity40HC" type="xs:int" minOccurs="0"/>
                  <xs:element name="LDSClient" type="xs:date" minOccurs="0"/>
                  <xs:element name="DeliveryDate" type="xs:date" minOccurs="0"/>
                  <xs:element name="LDSFacory" type="xs:date" minOccurs="0"/>
                  <xs:element name="LoadingDate" type="xs:date" minOccurs="0"/>
                  <xs:element name="ETD" type="xs:date" minOccurs="0"/>
                  <xs:element name="ETA" type="xs:date" minOccurs="0"/>
                  <xs:element name="ETA2" type="xs:date" minOccurs="0"/>
                  <xs:element name="ForwarderNM" type="xs:string" minOccurs="0"/>
                  <xs:element name="ContainerNo" type="xs:string" minOccurs="0"/>
                  <xs:element name="SealNo" type="xs:string" minOccurs="0"/>
                  <xs:element name="ContainerTypeNM" type="xs:string" minOccurs="0"/>
                  <xs:element name="PODName" type="xs:string" minOccurs="0"/>
                  <xs:element name="Feeder" type="xs:string" minOccurs="0"/>
                  <xs:element name="Vessel" type="xs:string" minOccurs="0"/>
                  <xs:element name="BLNo" type="xs:string" minOccurs="0"/>
                  <xs:element name="RangeName" type="xs:string" minOccurs="0"/>
                  <xs:element name="FrameMaterialNM" type="xs:string" minOccurs="0"/>
                  <xs:element name="MaterialTypeNM" type="xs:string" minOccurs="0"/>
                  <xs:element name="MaterialColorNM" type="xs:string" minOccurs="0"/>
                  <xs:element name="CushionColorNM" type="xs:string" minOccurs="0"/>
                  <xs:element name="PLCUpdatedDate" minOccurs="0" type="xs:date"/>
                  <xs:element name="PLCConfirmedDate" minOccurs="0" type="xs:date"/>
                </xs:sequence>
              </xs:complexType>
            </xs:element>
            <xs:element name="Report_RAPEU_OnSea_View" minOccurs="0" maxOccurs="unbounded">
              <xs:complexType>
                <xs:sequence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FactoryID" type="xs:int" minOccurs="0"/>
                  <xs:element name="RowIndex" type="xs:long" minOccurs="0"/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Ord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ThumbnailLoca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LoadedQnt" msdata:ReadOnly="true" type="xs:int" minOccurs="0"/>
                  <xs:element name="LoadedQntIn40HC" msdata:ReadOnly="true" type="xs:decimal" minOccurs="0"/>
                  <xs:element name="ShippedQnt" msdata:ReadOnly="true" type="xs:int" minOccurs="0"/>
                  <xs:element name="ShippedQntIn40HC" msdata:ReadOnly="true" type="xs:decimal" minOccurs="0"/>
                  <xs:element name="OnSeaQnt" msdata:ReadOnly="true" type="xs:int" minOccurs="0"/>
                  <xs:element name="OnSeaQntIn40HC" msdata:ReadOnly="true" type="xs:decimal" minOccurs="0"/>
                  <xs:element name="IsInvoiceToClient" msdata:ReadOnly="true" type="xs:string" minOccurs="0"/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SupplyChai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Priority" msdata:ReadOnly="true" minOccurs="0">
                    <xs:simpleType>
                      <xs:restriction base="xs:string">
                        <xs:maxLength value="7"/>
                      </xs:restriction>
                    </xs:simpleType>
                  </xs:element>
                  <xs:element name="LDS1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oad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ETD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ETA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ETA2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iner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ainerType" msdata:ReadOnly="true" minOccurs="0">
                    <xs:simpleType>
                      <xs:restriction base="xs:string">
                        <xs:maxLength value="4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eeder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Vessel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markLoanding" msdata:ReadOnly="tru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</xs:sequence>
        </xs:complexType>
      </xs:element>
    </xs:schema>
  </Schema>
  <Map ID="9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13</xdr:col>
      <xdr:colOff>28575</xdr:colOff>
      <xdr:row>2</xdr:row>
      <xdr:rowOff>28575</xdr:rowOff>
    </xdr:to>
    <xdr:pic>
      <xdr:nvPicPr>
        <xdr:cNvPr id="294797" name="Picture 42" descr="s?diy&amp;LIVE">
          <a:extLst>
            <a:ext uri="{FF2B5EF4-FFF2-40B4-BE49-F238E27FC236}">
              <a16:creationId xmlns:a16="http://schemas.microsoft.com/office/drawing/2014/main" id="{00000000-0008-0000-0100-00008D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639425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28575</xdr:colOff>
      <xdr:row>2</xdr:row>
      <xdr:rowOff>28575</xdr:rowOff>
    </xdr:to>
    <xdr:pic>
      <xdr:nvPicPr>
        <xdr:cNvPr id="294798" name="Picture 43" descr="s?diy&amp;LIVE">
          <a:extLst>
            <a:ext uri="{FF2B5EF4-FFF2-40B4-BE49-F238E27FC236}">
              <a16:creationId xmlns:a16="http://schemas.microsoft.com/office/drawing/2014/main" id="{00000000-0008-0000-0100-00008E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639425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190500</xdr:colOff>
      <xdr:row>2</xdr:row>
      <xdr:rowOff>0</xdr:rowOff>
    </xdr:from>
    <xdr:to>
      <xdr:col>10</xdr:col>
      <xdr:colOff>390525</xdr:colOff>
      <xdr:row>2</xdr:row>
      <xdr:rowOff>0</xdr:rowOff>
    </xdr:to>
    <xdr:pic>
      <xdr:nvPicPr>
        <xdr:cNvPr id="294799" name="Picture 388" descr="PARTS">
          <a:extLst>
            <a:ext uri="{FF2B5EF4-FFF2-40B4-BE49-F238E27FC236}">
              <a16:creationId xmlns:a16="http://schemas.microsoft.com/office/drawing/2014/main" id="{00000000-0008-0000-0100-00008F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296525" y="0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5</xdr:row>
      <xdr:rowOff>28575</xdr:rowOff>
    </xdr:to>
    <xdr:pic>
      <xdr:nvPicPr>
        <xdr:cNvPr id="294800" name="Picture 42" descr="s?diy&amp;LIVE">
          <a:extLst>
            <a:ext uri="{FF2B5EF4-FFF2-40B4-BE49-F238E27FC236}">
              <a16:creationId xmlns:a16="http://schemas.microsoft.com/office/drawing/2014/main" id="{00000000-0008-0000-0100-000090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5</xdr:row>
      <xdr:rowOff>28575</xdr:rowOff>
    </xdr:to>
    <xdr:pic>
      <xdr:nvPicPr>
        <xdr:cNvPr id="294801" name="Picture 43" descr="s?diy&amp;LIVE">
          <a:extLst>
            <a:ext uri="{FF2B5EF4-FFF2-40B4-BE49-F238E27FC236}">
              <a16:creationId xmlns:a16="http://schemas.microsoft.com/office/drawing/2014/main" id="{00000000-0008-0000-0100-000091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2" name="Picture 42" descr="s?diy&amp;LIVE">
          <a:extLst>
            <a:ext uri="{FF2B5EF4-FFF2-40B4-BE49-F238E27FC236}">
              <a16:creationId xmlns:a16="http://schemas.microsoft.com/office/drawing/2014/main" id="{00000000-0008-0000-0100-000092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3" name="Picture 43" descr="s?diy&amp;LIVE">
          <a:extLst>
            <a:ext uri="{FF2B5EF4-FFF2-40B4-BE49-F238E27FC236}">
              <a16:creationId xmlns:a16="http://schemas.microsoft.com/office/drawing/2014/main" id="{00000000-0008-0000-0100-000093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4" name="Picture 42" descr="s?diy&amp;LIVE">
          <a:extLst>
            <a:ext uri="{FF2B5EF4-FFF2-40B4-BE49-F238E27FC236}">
              <a16:creationId xmlns:a16="http://schemas.microsoft.com/office/drawing/2014/main" id="{00000000-0008-0000-0100-000094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11</xdr:row>
      <xdr:rowOff>9526</xdr:rowOff>
    </xdr:to>
    <xdr:pic>
      <xdr:nvPicPr>
        <xdr:cNvPr id="294805" name="Picture 43" descr="s?diy&amp;LIVE">
          <a:extLst>
            <a:ext uri="{FF2B5EF4-FFF2-40B4-BE49-F238E27FC236}">
              <a16:creationId xmlns:a16="http://schemas.microsoft.com/office/drawing/2014/main" id="{00000000-0008-0000-0100-0000957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06025" y="1590675"/>
          <a:ext cx="28575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13</xdr:col>
      <xdr:colOff>28575</xdr:colOff>
      <xdr:row>2</xdr:row>
      <xdr:rowOff>28575</xdr:rowOff>
    </xdr:to>
    <xdr:pic>
      <xdr:nvPicPr>
        <xdr:cNvPr id="2" name="Picture 42" descr="s?diy&amp;LIV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658350" y="25717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28575</xdr:colOff>
      <xdr:row>2</xdr:row>
      <xdr:rowOff>28575</xdr:rowOff>
    </xdr:to>
    <xdr:pic>
      <xdr:nvPicPr>
        <xdr:cNvPr id="3" name="Picture 43" descr="s?diy&amp;LIV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658350" y="25717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10</xdr:col>
      <xdr:colOff>190500</xdr:colOff>
      <xdr:row>2</xdr:row>
      <xdr:rowOff>0</xdr:rowOff>
    </xdr:from>
    <xdr:to>
      <xdr:col>10</xdr:col>
      <xdr:colOff>390525</xdr:colOff>
      <xdr:row>2</xdr:row>
      <xdr:rowOff>0</xdr:rowOff>
    </xdr:to>
    <xdr:pic>
      <xdr:nvPicPr>
        <xdr:cNvPr id="4" name="Picture 388" descr="PART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058150" y="257175"/>
          <a:ext cx="2000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5</xdr:row>
      <xdr:rowOff>28575</xdr:rowOff>
    </xdr:to>
    <xdr:pic>
      <xdr:nvPicPr>
        <xdr:cNvPr id="5" name="Picture 42" descr="s?diy&amp;LIV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67650" y="107632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5</xdr:row>
      <xdr:rowOff>28575</xdr:rowOff>
    </xdr:to>
    <xdr:pic>
      <xdr:nvPicPr>
        <xdr:cNvPr id="6" name="Picture 43" descr="s?diy&amp;LIV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67650" y="1076325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10</xdr:row>
      <xdr:rowOff>133351</xdr:rowOff>
    </xdr:to>
    <xdr:pic>
      <xdr:nvPicPr>
        <xdr:cNvPr id="7" name="Picture 42" descr="s?diy&amp;LIV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67650" y="1076325"/>
          <a:ext cx="28575" cy="8667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10</xdr:row>
      <xdr:rowOff>133351</xdr:rowOff>
    </xdr:to>
    <xdr:pic>
      <xdr:nvPicPr>
        <xdr:cNvPr id="8" name="Picture 43" descr="s?diy&amp;LIV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67650" y="1076325"/>
          <a:ext cx="28575" cy="8667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10</xdr:row>
      <xdr:rowOff>133351</xdr:rowOff>
    </xdr:to>
    <xdr:pic>
      <xdr:nvPicPr>
        <xdr:cNvPr id="9" name="Picture 42" descr="s?diy&amp;LIVE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67650" y="1076325"/>
          <a:ext cx="28575" cy="8667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28575</xdr:colOff>
      <xdr:row>10</xdr:row>
      <xdr:rowOff>133351</xdr:rowOff>
    </xdr:to>
    <xdr:pic>
      <xdr:nvPicPr>
        <xdr:cNvPr id="10" name="Picture 43" descr="s?diy&amp;LIV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867650" y="1076325"/>
          <a:ext cx="28575" cy="8667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12</xdr:col>
      <xdr:colOff>28575</xdr:colOff>
      <xdr:row>1</xdr:row>
      <xdr:rowOff>28575</xdr:rowOff>
    </xdr:to>
    <xdr:pic>
      <xdr:nvPicPr>
        <xdr:cNvPr id="2" name="Picture 42" descr="s?diy&amp;LIV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49050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12</xdr:col>
      <xdr:colOff>28575</xdr:colOff>
      <xdr:row>1</xdr:row>
      <xdr:rowOff>28575</xdr:rowOff>
    </xdr:to>
    <xdr:pic>
      <xdr:nvPicPr>
        <xdr:cNvPr id="3" name="Picture 43" descr="s?diy&amp;LIV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449050" y="0"/>
          <a:ext cx="285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T7"/>
  <sheetViews>
    <sheetView showZeros="0" tabSelected="1" zoomScaleNormal="100" zoomScaleSheetLayoutView="115" workbookViewId="0">
      <pane xSplit="11" ySplit="6" topLeftCell="AT7" activePane="bottomRight" state="frozen"/>
      <selection pane="topRight" activeCell="L1" sqref="L1"/>
      <selection pane="bottomLeft" activeCell="A7" sqref="A7"/>
      <selection pane="bottomRight" activeCell="AU7" sqref="AU7"/>
    </sheetView>
  </sheetViews>
  <sheetFormatPr defaultRowHeight="11.25"/>
  <cols>
    <col min="1" max="1" width="5.140625" style="169" customWidth="1"/>
    <col min="2" max="3" width="7.85546875" style="169" customWidth="1"/>
    <col min="4" max="4" width="8.5703125" style="169" customWidth="1"/>
    <col min="5" max="5" width="7.5703125" style="169" customWidth="1"/>
    <col min="6" max="6" width="9.28515625" style="169" customWidth="1"/>
    <col min="7" max="8" width="14.140625" style="167" customWidth="1"/>
    <col min="9" max="9" width="15.42578125" style="168" customWidth="1"/>
    <col min="10" max="10" width="54.28515625" style="169" customWidth="1"/>
    <col min="11" max="17" width="8.7109375" style="170" customWidth="1"/>
    <col min="18" max="18" width="14.28515625" style="171" customWidth="1"/>
    <col min="19" max="20" width="13" style="170" customWidth="1"/>
    <col min="21" max="23" width="6.28515625" style="170" customWidth="1"/>
    <col min="24" max="25" width="8.5703125" style="170" customWidth="1"/>
    <col min="26" max="26" width="21.28515625" style="171" customWidth="1"/>
    <col min="27" max="27" width="6.85546875" style="170" customWidth="1"/>
    <col min="28" max="28" width="19.140625" style="171" customWidth="1"/>
    <col min="29" max="29" width="10.7109375" style="170" customWidth="1"/>
    <col min="30" max="30" width="25.5703125" style="170" customWidth="1"/>
    <col min="31" max="31" width="17.28515625" style="171" customWidth="1"/>
    <col min="32" max="32" width="18.85546875" style="169" hidden="1" customWidth="1"/>
    <col min="33" max="33" width="21.85546875" style="169" hidden="1" customWidth="1"/>
    <col min="34" max="34" width="18.85546875" style="169" customWidth="1"/>
    <col min="35" max="35" width="20.85546875" style="169" customWidth="1"/>
    <col min="36" max="36" width="16.5703125" style="172" customWidth="1"/>
    <col min="37" max="37" width="22.7109375" style="172" customWidth="1"/>
    <col min="38" max="38" width="18.7109375" style="172" customWidth="1"/>
    <col min="39" max="39" width="15.7109375" style="172" customWidth="1"/>
    <col min="40" max="40" width="8.7109375" style="172" customWidth="1"/>
    <col min="41" max="42" width="20.7109375" style="172" customWidth="1"/>
    <col min="43" max="44" width="20.7109375" style="169" customWidth="1"/>
    <col min="45" max="45" width="44.140625" style="169" customWidth="1"/>
    <col min="46" max="46" width="18.85546875" style="169" customWidth="1"/>
    <col min="47" max="16384" width="9.140625" style="169"/>
  </cols>
  <sheetData>
    <row r="1" spans="1:46" ht="20.25">
      <c r="A1" s="165" t="s">
        <v>203</v>
      </c>
      <c r="B1" s="166"/>
      <c r="C1" s="166"/>
      <c r="D1" s="166"/>
      <c r="E1" s="166"/>
      <c r="F1" s="211"/>
    </row>
    <row r="2" spans="1:46" ht="19.5" customHeight="1">
      <c r="A2" s="217" t="s">
        <v>37</v>
      </c>
      <c r="B2" s="217" t="s">
        <v>169</v>
      </c>
      <c r="C2" s="214" t="s">
        <v>283</v>
      </c>
      <c r="D2" s="217" t="s">
        <v>28</v>
      </c>
      <c r="E2" s="217" t="s">
        <v>79</v>
      </c>
      <c r="F2" s="214" t="s">
        <v>284</v>
      </c>
      <c r="G2" s="217" t="s">
        <v>82</v>
      </c>
      <c r="H2" s="217" t="s">
        <v>280</v>
      </c>
      <c r="I2" s="217" t="s">
        <v>17</v>
      </c>
      <c r="J2" s="217" t="s">
        <v>5</v>
      </c>
      <c r="K2" s="217" t="s">
        <v>18</v>
      </c>
      <c r="L2" s="218" t="s">
        <v>19</v>
      </c>
      <c r="M2" s="219" t="s">
        <v>20</v>
      </c>
      <c r="N2" s="219" t="s">
        <v>136</v>
      </c>
      <c r="O2" s="219" t="s">
        <v>137</v>
      </c>
      <c r="P2" s="219" t="s">
        <v>138</v>
      </c>
      <c r="Q2" s="219" t="s">
        <v>139</v>
      </c>
      <c r="R2" s="219" t="s">
        <v>0</v>
      </c>
      <c r="S2" s="219" t="s">
        <v>13</v>
      </c>
      <c r="T2" s="221" t="s">
        <v>281</v>
      </c>
      <c r="U2" s="216" t="s">
        <v>183</v>
      </c>
      <c r="V2" s="216"/>
      <c r="W2" s="216"/>
      <c r="X2" s="217" t="s">
        <v>185</v>
      </c>
      <c r="Y2" s="217" t="s">
        <v>186</v>
      </c>
      <c r="Z2" s="219" t="s">
        <v>170</v>
      </c>
      <c r="AA2" s="219" t="s">
        <v>171</v>
      </c>
      <c r="AB2" s="219" t="s">
        <v>172</v>
      </c>
      <c r="AC2" s="219" t="s">
        <v>27</v>
      </c>
      <c r="AD2" s="219" t="s">
        <v>173</v>
      </c>
      <c r="AE2" s="219" t="s">
        <v>174</v>
      </c>
      <c r="AF2" s="217" t="s">
        <v>175</v>
      </c>
      <c r="AG2" s="217" t="s">
        <v>177</v>
      </c>
      <c r="AH2" s="217" t="s">
        <v>178</v>
      </c>
      <c r="AI2" s="217" t="s">
        <v>179</v>
      </c>
      <c r="AJ2" s="225" t="s">
        <v>180</v>
      </c>
      <c r="AK2" s="225" t="s">
        <v>181</v>
      </c>
      <c r="AL2" s="223" t="s">
        <v>182</v>
      </c>
      <c r="AM2" s="223" t="s">
        <v>209</v>
      </c>
      <c r="AN2" s="223" t="s">
        <v>210</v>
      </c>
      <c r="AO2" s="223" t="s">
        <v>211</v>
      </c>
      <c r="AP2" s="223" t="s">
        <v>212</v>
      </c>
      <c r="AQ2" s="216" t="s">
        <v>213</v>
      </c>
      <c r="AR2" s="212" t="s">
        <v>285</v>
      </c>
      <c r="AS2" s="212" t="s">
        <v>286</v>
      </c>
      <c r="AT2" s="216" t="s">
        <v>282</v>
      </c>
    </row>
    <row r="3" spans="1:46" s="174" customFormat="1" ht="33" customHeight="1">
      <c r="A3" s="217"/>
      <c r="B3" s="217"/>
      <c r="C3" s="215"/>
      <c r="D3" s="217"/>
      <c r="E3" s="217"/>
      <c r="F3" s="215"/>
      <c r="G3" s="217"/>
      <c r="H3" s="217"/>
      <c r="I3" s="217"/>
      <c r="J3" s="217"/>
      <c r="K3" s="217"/>
      <c r="L3" s="218"/>
      <c r="M3" s="219"/>
      <c r="N3" s="219"/>
      <c r="O3" s="219"/>
      <c r="P3" s="219"/>
      <c r="Q3" s="219"/>
      <c r="R3" s="220"/>
      <c r="S3" s="220"/>
      <c r="T3" s="222"/>
      <c r="U3" s="173">
        <v>20</v>
      </c>
      <c r="V3" s="173">
        <v>40</v>
      </c>
      <c r="W3" s="173" t="s">
        <v>184</v>
      </c>
      <c r="X3" s="217"/>
      <c r="Y3" s="217"/>
      <c r="Z3" s="219"/>
      <c r="AA3" s="219"/>
      <c r="AB3" s="219"/>
      <c r="AC3" s="219"/>
      <c r="AD3" s="219"/>
      <c r="AE3" s="219"/>
      <c r="AF3" s="217"/>
      <c r="AG3" s="217"/>
      <c r="AH3" s="217"/>
      <c r="AI3" s="217"/>
      <c r="AJ3" s="225"/>
      <c r="AK3" s="225"/>
      <c r="AL3" s="224"/>
      <c r="AM3" s="224"/>
      <c r="AN3" s="224"/>
      <c r="AO3" s="224"/>
      <c r="AP3" s="224"/>
      <c r="AQ3" s="216"/>
      <c r="AR3" s="213"/>
      <c r="AS3" s="213"/>
      <c r="AT3" s="216"/>
    </row>
    <row r="4" spans="1:46" s="174" customFormat="1" ht="11.25" customHeight="1">
      <c r="A4" s="175"/>
      <c r="B4" s="175"/>
      <c r="C4" s="175"/>
      <c r="D4" s="175"/>
      <c r="E4" s="175"/>
      <c r="F4" s="175"/>
      <c r="G4" s="175"/>
      <c r="H4" s="175"/>
      <c r="I4" s="175"/>
      <c r="J4" s="175" t="s">
        <v>36</v>
      </c>
      <c r="K4" s="176"/>
      <c r="L4" s="177">
        <f>SUM(L7:L100000)</f>
        <v>0</v>
      </c>
      <c r="M4" s="178">
        <f t="shared" ref="M4:Q4" si="0">SUM(M7:M100000)</f>
        <v>0</v>
      </c>
      <c r="N4" s="177">
        <f t="shared" si="0"/>
        <v>0</v>
      </c>
      <c r="O4" s="178">
        <f t="shared" si="0"/>
        <v>0</v>
      </c>
      <c r="P4" s="177">
        <f t="shared" si="0"/>
        <v>0</v>
      </c>
      <c r="Q4" s="178">
        <f t="shared" si="0"/>
        <v>0</v>
      </c>
      <c r="R4" s="179"/>
      <c r="S4" s="178"/>
      <c r="T4" s="178"/>
      <c r="U4" s="178"/>
      <c r="V4" s="178"/>
      <c r="W4" s="178"/>
      <c r="X4" s="178"/>
      <c r="Y4" s="178"/>
      <c r="Z4" s="179"/>
      <c r="AA4" s="178"/>
      <c r="AB4" s="179"/>
      <c r="AC4" s="178"/>
      <c r="AD4" s="178"/>
      <c r="AE4" s="179"/>
      <c r="AF4" s="175"/>
      <c r="AG4" s="175"/>
      <c r="AH4" s="175"/>
      <c r="AI4" s="175"/>
      <c r="AJ4" s="180"/>
      <c r="AK4" s="180"/>
      <c r="AL4" s="180"/>
      <c r="AM4" s="180"/>
      <c r="AN4" s="180"/>
      <c r="AO4" s="180"/>
      <c r="AP4" s="180"/>
      <c r="AQ4" s="181"/>
      <c r="AR4" s="181"/>
      <c r="AS4" s="181"/>
      <c r="AT4" s="181"/>
    </row>
    <row r="5" spans="1:46" s="174" customFormat="1" ht="11.25" customHeight="1">
      <c r="A5" s="182"/>
      <c r="B5" s="182"/>
      <c r="C5" s="182"/>
      <c r="D5" s="182"/>
      <c r="E5" s="182"/>
      <c r="F5" s="182"/>
      <c r="G5" s="182"/>
      <c r="H5" s="182"/>
      <c r="I5" s="182"/>
      <c r="J5" s="182" t="s">
        <v>35</v>
      </c>
      <c r="K5" s="183"/>
      <c r="L5" s="184">
        <f>SUBTOTAL(9,L7:L100000)</f>
        <v>0</v>
      </c>
      <c r="M5" s="185">
        <f t="shared" ref="M5:Q5" si="1">SUBTOTAL(9,M7:M100000)</f>
        <v>0</v>
      </c>
      <c r="N5" s="184">
        <f t="shared" si="1"/>
        <v>0</v>
      </c>
      <c r="O5" s="185">
        <f t="shared" si="1"/>
        <v>0</v>
      </c>
      <c r="P5" s="184">
        <f t="shared" si="1"/>
        <v>0</v>
      </c>
      <c r="Q5" s="185">
        <f t="shared" si="1"/>
        <v>0</v>
      </c>
      <c r="R5" s="186"/>
      <c r="S5" s="185"/>
      <c r="T5" s="185"/>
      <c r="U5" s="185"/>
      <c r="V5" s="185"/>
      <c r="W5" s="185"/>
      <c r="X5" s="185"/>
      <c r="Y5" s="185"/>
      <c r="Z5" s="186"/>
      <c r="AA5" s="185"/>
      <c r="AB5" s="186"/>
      <c r="AC5" s="185"/>
      <c r="AD5" s="185"/>
      <c r="AE5" s="186"/>
      <c r="AF5" s="182"/>
      <c r="AG5" s="182"/>
      <c r="AH5" s="182"/>
      <c r="AI5" s="182"/>
      <c r="AJ5" s="187"/>
      <c r="AK5" s="187"/>
      <c r="AL5" s="187"/>
      <c r="AM5" s="187"/>
      <c r="AN5" s="187"/>
      <c r="AO5" s="187"/>
      <c r="AP5" s="187"/>
      <c r="AQ5" s="188"/>
      <c r="AR5" s="188"/>
      <c r="AS5" s="188"/>
      <c r="AT5" s="188"/>
    </row>
    <row r="6" spans="1:46">
      <c r="A6" s="189" t="s">
        <v>100</v>
      </c>
      <c r="B6" s="189" t="s">
        <v>129</v>
      </c>
      <c r="C6" s="189"/>
      <c r="D6" s="189" t="s">
        <v>102</v>
      </c>
      <c r="E6" s="189" t="s">
        <v>103</v>
      </c>
      <c r="F6" s="189"/>
      <c r="G6" s="190" t="s">
        <v>104</v>
      </c>
      <c r="H6" s="190" t="s">
        <v>96</v>
      </c>
      <c r="I6" s="191" t="s">
        <v>105</v>
      </c>
      <c r="J6" s="189" t="s">
        <v>106</v>
      </c>
      <c r="K6" s="192" t="s">
        <v>107</v>
      </c>
      <c r="L6" s="192" t="s">
        <v>108</v>
      </c>
      <c r="M6" s="192" t="s">
        <v>109</v>
      </c>
      <c r="N6" s="192" t="s">
        <v>135</v>
      </c>
      <c r="O6" s="192" t="s">
        <v>134</v>
      </c>
      <c r="P6" s="192" t="s">
        <v>133</v>
      </c>
      <c r="Q6" s="192" t="s">
        <v>132</v>
      </c>
      <c r="R6" s="193" t="s">
        <v>117</v>
      </c>
      <c r="S6" s="193" t="s">
        <v>125</v>
      </c>
      <c r="T6" s="193"/>
      <c r="U6" s="193" t="s">
        <v>202</v>
      </c>
      <c r="V6" s="193" t="s">
        <v>201</v>
      </c>
      <c r="W6" s="193" t="s">
        <v>200</v>
      </c>
      <c r="X6" s="193" t="s">
        <v>199</v>
      </c>
      <c r="Y6" s="193" t="s">
        <v>198</v>
      </c>
      <c r="Z6" s="193" t="s">
        <v>110</v>
      </c>
      <c r="AA6" s="193" t="s">
        <v>111</v>
      </c>
      <c r="AB6" s="193" t="s">
        <v>112</v>
      </c>
      <c r="AC6" s="193" t="s">
        <v>113</v>
      </c>
      <c r="AD6" s="193" t="s">
        <v>114</v>
      </c>
      <c r="AE6" s="193" t="s">
        <v>115</v>
      </c>
      <c r="AF6" s="193" t="s">
        <v>116</v>
      </c>
      <c r="AG6" s="193" t="s">
        <v>176</v>
      </c>
      <c r="AH6" s="193" t="s">
        <v>131</v>
      </c>
      <c r="AI6" s="193" t="s">
        <v>118</v>
      </c>
      <c r="AJ6" s="194" t="s">
        <v>119</v>
      </c>
      <c r="AK6" s="194" t="s">
        <v>97</v>
      </c>
      <c r="AL6" s="194" t="s">
        <v>204</v>
      </c>
      <c r="AM6" s="194" t="s">
        <v>207</v>
      </c>
      <c r="AN6" s="194" t="s">
        <v>206</v>
      </c>
      <c r="AO6" s="194" t="s">
        <v>208</v>
      </c>
      <c r="AP6" s="194" t="s">
        <v>205</v>
      </c>
      <c r="AQ6" s="193" t="s">
        <v>120</v>
      </c>
      <c r="AR6" s="193"/>
      <c r="AS6" s="193"/>
      <c r="AT6" s="193" t="s">
        <v>120</v>
      </c>
    </row>
    <row r="7" spans="1:46">
      <c r="A7" s="195">
        <f>Report_RAPEU_Order_View!C2</f>
        <v>0</v>
      </c>
      <c r="B7" s="195">
        <f>Report_RAPEU_Order_View!D2</f>
        <v>0</v>
      </c>
      <c r="C7" s="195" t="str">
        <f>Report_RAPEU_Order_View!E2&amp;""</f>
        <v/>
      </c>
      <c r="D7" s="200">
        <f>Report_RAPEU_Order_View!F2</f>
        <v>0</v>
      </c>
      <c r="E7" s="195">
        <f>Report_RAPEU_Order_View!G2</f>
        <v>0</v>
      </c>
      <c r="F7" s="195">
        <f>Report_RAPEU_Order_View!AU2</f>
        <v>0</v>
      </c>
      <c r="G7" s="195">
        <f>Report_RAPEU_Order_View!I2</f>
        <v>0</v>
      </c>
      <c r="H7" s="195">
        <f>Report_RAPEU_Order_View!J2</f>
        <v>0</v>
      </c>
      <c r="I7" s="195">
        <f>Report_RAPEU_Order_View!K2</f>
        <v>0</v>
      </c>
      <c r="J7" s="195">
        <f>Report_RAPEU_Order_View!L2</f>
        <v>0</v>
      </c>
      <c r="K7" s="196">
        <f>Report_RAPEU_Order_View!M2</f>
        <v>0</v>
      </c>
      <c r="L7" s="196">
        <f>Report_RAPEU_Order_View!N2</f>
        <v>0</v>
      </c>
      <c r="M7" s="196">
        <f>Report_RAPEU_Order_View!O2</f>
        <v>0</v>
      </c>
      <c r="N7" s="196">
        <f>Report_RAPEU_Order_View!P2</f>
        <v>0</v>
      </c>
      <c r="O7" s="196">
        <f>Report_RAPEU_Order_View!Q2</f>
        <v>0</v>
      </c>
      <c r="P7" s="196">
        <f>Report_RAPEU_Order_View!R2</f>
        <v>0</v>
      </c>
      <c r="Q7" s="196">
        <f>Report_RAPEU_Order_View!S2</f>
        <v>0</v>
      </c>
      <c r="R7" s="198">
        <f>Report_RAPEU_Order_View!T2</f>
        <v>0</v>
      </c>
      <c r="S7" s="198">
        <f>Report_RAPEU_Order_View!U2</f>
        <v>0</v>
      </c>
      <c r="T7" s="198">
        <f>Report_RAPEU_Order_View!AT2</f>
        <v>0</v>
      </c>
      <c r="U7" s="197">
        <f>Report_RAPEU_Order_View!AI2</f>
        <v>0</v>
      </c>
      <c r="V7" s="197">
        <f>Report_RAPEU_Order_View!AJ2</f>
        <v>0</v>
      </c>
      <c r="W7" s="197">
        <f>Report_RAPEU_Order_View!AK2</f>
        <v>0</v>
      </c>
      <c r="X7" s="200">
        <f>Report_RAPEU_Order_View!AM2</f>
        <v>0</v>
      </c>
      <c r="Y7" s="200">
        <f>DATE(YEAR(Report_RAPEU_Order_View!AN2),MONTH(Report_RAPEU_Order_View!AN2), DAY(Report_RAPEU_Order_View!AN2))</f>
        <v>0</v>
      </c>
      <c r="Z7" s="198">
        <f>Report_RAPEU_Order_View!V2</f>
        <v>0</v>
      </c>
      <c r="AA7" s="198">
        <f>Report_RAPEU_Order_View!W2</f>
        <v>0</v>
      </c>
      <c r="AB7" s="198">
        <f>Report_RAPEU_Order_View!X2</f>
        <v>0</v>
      </c>
      <c r="AC7" s="198">
        <f>Report_RAPEU_Order_View!Y2</f>
        <v>0</v>
      </c>
      <c r="AD7" s="198">
        <f>Report_RAPEU_Order_View!Z2</f>
        <v>0</v>
      </c>
      <c r="AE7" s="198">
        <f>Report_RAPEU_Order_View!AA2</f>
        <v>0</v>
      </c>
      <c r="AF7" s="198">
        <f>Report_RAPEU_Order_View!AB2</f>
        <v>0</v>
      </c>
      <c r="AG7" s="198">
        <f>Report_RAPEU_Order_View!AC2</f>
        <v>0</v>
      </c>
      <c r="AH7" s="198">
        <f>Report_RAPEU_Order_View!AD2</f>
        <v>0</v>
      </c>
      <c r="AI7" s="198">
        <f>Report_RAPEU_Order_View!AE2</f>
        <v>0</v>
      </c>
      <c r="AJ7" s="198">
        <f>Report_RAPEU_Order_View!AF2</f>
        <v>0</v>
      </c>
      <c r="AK7" s="198">
        <f>Report_RAPEU_Order_View!AG2</f>
        <v>0</v>
      </c>
      <c r="AL7" s="198">
        <f>Report_RAPEU_Order_View!AH2</f>
        <v>0</v>
      </c>
      <c r="AM7" s="198">
        <f>Report_RAPEU_Order_View!AO2</f>
        <v>0</v>
      </c>
      <c r="AN7" s="198">
        <f>Report_RAPEU_Order_View!AP2</f>
        <v>0</v>
      </c>
      <c r="AO7" s="198">
        <f>Report_RAPEU_Order_View!AQ2</f>
        <v>0</v>
      </c>
      <c r="AP7" s="198">
        <f>Report_RAPEU_Order_View!AR2</f>
        <v>0</v>
      </c>
      <c r="AQ7" s="198">
        <f>Report_RAPEU_Order_View!AS2</f>
        <v>0</v>
      </c>
      <c r="AR7" s="198">
        <f>Report_RAPEU_Order_View!AU2</f>
        <v>0</v>
      </c>
      <c r="AS7" s="198">
        <f>Report_RAPEU_Order_View!AV2</f>
        <v>0</v>
      </c>
      <c r="AT7" s="198">
        <f>Report_RAPEU_Order_View!AX2</f>
        <v>0</v>
      </c>
    </row>
  </sheetData>
  <autoFilter ref="A6:AT6" xr:uid="{00000000-0009-0000-0000-000000000000}"/>
  <mergeCells count="44">
    <mergeCell ref="AP2:AP3"/>
    <mergeCell ref="AQ2:AQ3"/>
    <mergeCell ref="AJ2:AJ3"/>
    <mergeCell ref="AK2:AK3"/>
    <mergeCell ref="AL2:AL3"/>
    <mergeCell ref="AM2:AM3"/>
    <mergeCell ref="AN2:AN3"/>
    <mergeCell ref="AO2:AO3"/>
    <mergeCell ref="R2:R3"/>
    <mergeCell ref="S2:S3"/>
    <mergeCell ref="T2:T3"/>
    <mergeCell ref="AI2:AI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2:A3"/>
    <mergeCell ref="B2:B3"/>
    <mergeCell ref="D2:D3"/>
    <mergeCell ref="E2:E3"/>
    <mergeCell ref="G2:G3"/>
    <mergeCell ref="AR2:AR3"/>
    <mergeCell ref="AS2:AS3"/>
    <mergeCell ref="F2:F3"/>
    <mergeCell ref="C2:C3"/>
    <mergeCell ref="AT2:AT3"/>
    <mergeCell ref="H2:H3"/>
    <mergeCell ref="U2:W2"/>
    <mergeCell ref="I2:I3"/>
    <mergeCell ref="J2:J3"/>
    <mergeCell ref="K2:K3"/>
    <mergeCell ref="L2:L3"/>
    <mergeCell ref="M2:M3"/>
    <mergeCell ref="N2:N3"/>
    <mergeCell ref="O2:O3"/>
    <mergeCell ref="P2:P3"/>
    <mergeCell ref="Q2:Q3"/>
  </mergeCells>
  <printOptions horizontalCentered="1"/>
  <pageMargins left="0.196850393700787" right="0.196850393700787" top="0.35433070866141703" bottom="0.35433070866141703" header="0.196850393700787" footer="0.196850393700787"/>
  <pageSetup paperSize="8" scale="19" fitToWidth="5" orientation="landscape" r:id="rId1"/>
  <headerFooter alignWithMargins="0">
    <oddHeader>&amp;R&amp;D    &amp;T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</sheetPr>
  <dimension ref="A1:AY154"/>
  <sheetViews>
    <sheetView showZeros="0" zoomScaleNormal="100" zoomScaleSheetLayoutView="85" workbookViewId="0">
      <pane xSplit="13" ySplit="6" topLeftCell="N7" activePane="bottomRight" state="frozen"/>
      <selection pane="topRight" activeCell="N1" sqref="N1"/>
      <selection pane="bottomLeft" activeCell="A7" sqref="A7"/>
      <selection pane="bottomRight" activeCell="N7" sqref="N7"/>
    </sheetView>
  </sheetViews>
  <sheetFormatPr defaultRowHeight="11.25"/>
  <cols>
    <col min="1" max="1" width="5.140625" style="55" customWidth="1"/>
    <col min="2" max="3" width="7.85546875" style="44" customWidth="1"/>
    <col min="4" max="4" width="9.140625" style="28" customWidth="1"/>
    <col min="5" max="5" width="8.140625" style="28" customWidth="1"/>
    <col min="6" max="6" width="9.85546875" style="28" customWidth="1"/>
    <col min="7" max="7" width="16.140625" style="28" customWidth="1"/>
    <col min="8" max="8" width="14.140625" style="28" customWidth="1"/>
    <col min="9" max="9" width="17" style="45" customWidth="1"/>
    <col min="10" max="10" width="40.42578125" style="28" customWidth="1"/>
    <col min="11" max="11" width="8.5703125" style="5" customWidth="1"/>
    <col min="12" max="12" width="9" style="5" customWidth="1"/>
    <col min="13" max="13" width="9.28515625" style="5" customWidth="1"/>
    <col min="14" max="14" width="8.5703125" style="46" customWidth="1"/>
    <col min="15" max="15" width="10.140625" style="5" customWidth="1"/>
    <col min="16" max="16" width="15.7109375" style="5" customWidth="1"/>
    <col min="17" max="18" width="13.140625" style="5" customWidth="1"/>
    <col min="19" max="19" width="22" style="5" customWidth="1"/>
    <col min="20" max="20" width="8" style="5" customWidth="1"/>
    <col min="21" max="21" width="14.42578125" style="83" customWidth="1"/>
    <col min="22" max="22" width="11.85546875" style="6" customWidth="1"/>
    <col min="23" max="23" width="19.42578125" style="6" customWidth="1"/>
    <col min="24" max="24" width="21.85546875" style="47" customWidth="1"/>
    <col min="25" max="25" width="21.140625" style="48" hidden="1" customWidth="1"/>
    <col min="26" max="26" width="20.7109375" style="49" hidden="1" customWidth="1"/>
    <col min="27" max="27" width="18.42578125" style="50" customWidth="1"/>
    <col min="28" max="28" width="17.85546875" style="50" customWidth="1"/>
    <col min="29" max="29" width="10.7109375" style="51" customWidth="1"/>
    <col min="30" max="30" width="20.7109375" style="87" customWidth="1"/>
    <col min="31" max="31" width="19.5703125" style="28" customWidth="1"/>
    <col min="32" max="32" width="6.140625" style="49" customWidth="1"/>
    <col min="33" max="33" width="6.28515625" style="52" customWidth="1"/>
    <col min="34" max="34" width="6.5703125" style="53" customWidth="1"/>
    <col min="35" max="35" width="10.7109375" style="54" customWidth="1"/>
    <col min="36" max="36" width="11.28515625" style="55" customWidth="1"/>
    <col min="37" max="37" width="11.28515625" style="43" customWidth="1"/>
    <col min="38" max="40" width="10.42578125" style="43" customWidth="1"/>
    <col min="41" max="41" width="30.140625" style="43" customWidth="1"/>
    <col min="42" max="42" width="14.42578125" style="43" customWidth="1"/>
    <col min="43" max="43" width="14.140625" style="43" customWidth="1"/>
    <col min="44" max="44" width="9.7109375" style="43" customWidth="1"/>
    <col min="45" max="45" width="25.85546875" style="43" customWidth="1"/>
    <col min="46" max="46" width="30.42578125" style="43" customWidth="1"/>
    <col min="47" max="47" width="25.42578125" style="43" customWidth="1"/>
    <col min="48" max="48" width="17.85546875" style="43" customWidth="1"/>
    <col min="49" max="51" width="15" style="43" customWidth="1"/>
    <col min="52" max="162" width="9.140625" style="43" customWidth="1"/>
    <col min="163" max="16384" width="9.140625" style="43"/>
  </cols>
  <sheetData>
    <row r="1" spans="1:51" ht="3" customHeight="1"/>
    <row r="2" spans="1:51" ht="20.25">
      <c r="A2" s="116" t="s">
        <v>165</v>
      </c>
      <c r="B2" s="116"/>
      <c r="C2" s="116"/>
      <c r="D2" s="116"/>
    </row>
    <row r="3" spans="1:51" s="30" customFormat="1" ht="42" customHeight="1">
      <c r="A3" s="29" t="s">
        <v>37</v>
      </c>
      <c r="B3" s="122" t="s">
        <v>16</v>
      </c>
      <c r="C3" s="208" t="s">
        <v>283</v>
      </c>
      <c r="D3" s="122" t="s">
        <v>28</v>
      </c>
      <c r="E3" s="122" t="s">
        <v>79</v>
      </c>
      <c r="F3" s="210" t="s">
        <v>284</v>
      </c>
      <c r="G3" s="122" t="s">
        <v>82</v>
      </c>
      <c r="H3" s="122" t="s">
        <v>280</v>
      </c>
      <c r="I3" s="122" t="s">
        <v>17</v>
      </c>
      <c r="J3" s="122" t="s">
        <v>5</v>
      </c>
      <c r="K3" s="122" t="s">
        <v>18</v>
      </c>
      <c r="L3" s="122" t="s">
        <v>98</v>
      </c>
      <c r="M3" s="122" t="s">
        <v>99</v>
      </c>
      <c r="N3" s="126" t="s">
        <v>143</v>
      </c>
      <c r="O3" s="123" t="s">
        <v>137</v>
      </c>
      <c r="P3" s="123" t="s">
        <v>0</v>
      </c>
      <c r="Q3" s="123" t="s">
        <v>13</v>
      </c>
      <c r="R3" s="202" t="s">
        <v>281</v>
      </c>
      <c r="S3" s="127" t="s">
        <v>170</v>
      </c>
      <c r="T3" s="122" t="s">
        <v>171</v>
      </c>
      <c r="U3" s="124" t="s">
        <v>172</v>
      </c>
      <c r="V3" s="125" t="s">
        <v>27</v>
      </c>
      <c r="W3" s="125" t="s">
        <v>173</v>
      </c>
      <c r="X3" s="122" t="s">
        <v>174</v>
      </c>
      <c r="Y3" s="122" t="s">
        <v>189</v>
      </c>
      <c r="Z3" s="122" t="s">
        <v>177</v>
      </c>
      <c r="AA3" s="122" t="s">
        <v>178</v>
      </c>
      <c r="AB3" s="122" t="s">
        <v>179</v>
      </c>
      <c r="AC3" s="122" t="s">
        <v>180</v>
      </c>
      <c r="AD3" s="122" t="s">
        <v>181</v>
      </c>
      <c r="AE3" s="122" t="s">
        <v>182</v>
      </c>
      <c r="AF3" s="128">
        <v>20</v>
      </c>
      <c r="AG3" s="129">
        <v>40</v>
      </c>
      <c r="AH3" s="129" t="s">
        <v>184</v>
      </c>
      <c r="AI3" s="122" t="s">
        <v>190</v>
      </c>
      <c r="AJ3" s="122" t="s">
        <v>186</v>
      </c>
      <c r="AK3" s="122" t="s">
        <v>191</v>
      </c>
      <c r="AL3" s="122" t="s">
        <v>2</v>
      </c>
      <c r="AM3" s="122" t="s">
        <v>217</v>
      </c>
      <c r="AN3" s="122" t="s">
        <v>142</v>
      </c>
      <c r="AO3" s="122" t="s">
        <v>6</v>
      </c>
      <c r="AP3" s="122" t="s">
        <v>193</v>
      </c>
      <c r="AQ3" s="122" t="s">
        <v>194</v>
      </c>
      <c r="AR3" s="122" t="s">
        <v>197</v>
      </c>
      <c r="AS3" s="122" t="s">
        <v>195</v>
      </c>
      <c r="AT3" s="122" t="s">
        <v>10</v>
      </c>
      <c r="AU3" s="130" t="s">
        <v>11</v>
      </c>
      <c r="AV3" s="130" t="s">
        <v>196</v>
      </c>
      <c r="AW3" s="130" t="s">
        <v>214</v>
      </c>
      <c r="AX3" s="130" t="s">
        <v>215</v>
      </c>
      <c r="AY3" s="203" t="s">
        <v>282</v>
      </c>
    </row>
    <row r="4" spans="1:51" s="15" customFormat="1" ht="11.25" customHeight="1">
      <c r="A4" s="60"/>
      <c r="B4" s="23"/>
      <c r="C4" s="23"/>
      <c r="D4" s="23"/>
      <c r="E4" s="23"/>
      <c r="F4" s="23"/>
      <c r="G4" s="23"/>
      <c r="H4" s="23"/>
      <c r="I4" s="23"/>
      <c r="J4" s="23" t="s">
        <v>36</v>
      </c>
      <c r="K4" s="57"/>
      <c r="L4" s="58">
        <f>SUM(L7:L100000)</f>
        <v>0</v>
      </c>
      <c r="M4" s="59">
        <f t="shared" ref="M4:O4" si="0">SUM(M7:M100000)</f>
        <v>0</v>
      </c>
      <c r="N4" s="58">
        <f t="shared" si="0"/>
        <v>0</v>
      </c>
      <c r="O4" s="59">
        <f t="shared" si="0"/>
        <v>0</v>
      </c>
      <c r="P4" s="58"/>
      <c r="Q4" s="59"/>
      <c r="R4" s="59"/>
      <c r="S4" s="25"/>
      <c r="T4" s="23"/>
      <c r="U4" s="81"/>
      <c r="V4" s="27"/>
      <c r="W4" s="27"/>
      <c r="X4" s="23"/>
      <c r="Y4" s="23"/>
      <c r="Z4" s="23"/>
      <c r="AA4" s="23"/>
      <c r="AB4" s="23"/>
      <c r="AC4" s="23"/>
      <c r="AD4" s="84"/>
      <c r="AE4" s="84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</row>
    <row r="5" spans="1:51" s="15" customFormat="1" ht="11.25" customHeight="1">
      <c r="A5" s="105"/>
      <c r="B5" s="106"/>
      <c r="C5" s="106"/>
      <c r="D5" s="106"/>
      <c r="E5" s="106"/>
      <c r="F5" s="106"/>
      <c r="G5" s="106"/>
      <c r="H5" s="106"/>
      <c r="I5" s="106"/>
      <c r="J5" s="106" t="s">
        <v>35</v>
      </c>
      <c r="K5" s="107"/>
      <c r="L5" s="108">
        <f>SUBTOTAL(9,L7:L100000)</f>
        <v>0</v>
      </c>
      <c r="M5" s="109">
        <f t="shared" ref="M5:O5" si="1">SUBTOTAL(9,M7:M100000)</f>
        <v>0</v>
      </c>
      <c r="N5" s="108">
        <f t="shared" si="1"/>
        <v>0</v>
      </c>
      <c r="O5" s="109">
        <f t="shared" si="1"/>
        <v>0</v>
      </c>
      <c r="P5" s="108"/>
      <c r="Q5" s="109"/>
      <c r="R5" s="109"/>
      <c r="S5" s="71"/>
      <c r="T5" s="106"/>
      <c r="U5" s="110"/>
      <c r="V5" s="111"/>
      <c r="W5" s="111"/>
      <c r="X5" s="106"/>
      <c r="Y5" s="106"/>
      <c r="Z5" s="106"/>
      <c r="AA5" s="106"/>
      <c r="AB5" s="106"/>
      <c r="AC5" s="106"/>
      <c r="AD5" s="112"/>
      <c r="AE5" s="112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</row>
    <row r="6" spans="1:51" ht="11.25" customHeight="1">
      <c r="A6" s="139" t="s">
        <v>46</v>
      </c>
      <c r="B6" s="140" t="s">
        <v>47</v>
      </c>
      <c r="C6" s="140"/>
      <c r="D6" s="141" t="s">
        <v>48</v>
      </c>
      <c r="E6" s="141" t="s">
        <v>81</v>
      </c>
      <c r="F6" s="141"/>
      <c r="G6" s="141" t="s">
        <v>83</v>
      </c>
      <c r="H6" s="141" t="s">
        <v>129</v>
      </c>
      <c r="I6" s="142" t="s">
        <v>50</v>
      </c>
      <c r="J6" s="141" t="s">
        <v>84</v>
      </c>
      <c r="K6" s="141" t="s">
        <v>51</v>
      </c>
      <c r="L6" s="141" t="s">
        <v>166</v>
      </c>
      <c r="M6" s="141" t="s">
        <v>96</v>
      </c>
      <c r="N6" s="143" t="s">
        <v>52</v>
      </c>
      <c r="O6" s="141" t="s">
        <v>53</v>
      </c>
      <c r="P6" s="141" t="s">
        <v>97</v>
      </c>
      <c r="Q6" s="141" t="s">
        <v>95</v>
      </c>
      <c r="R6" s="141"/>
      <c r="S6" s="141" t="s">
        <v>125</v>
      </c>
      <c r="T6" s="141" t="s">
        <v>67</v>
      </c>
      <c r="U6" s="144" t="s">
        <v>68</v>
      </c>
      <c r="V6" s="145" t="s">
        <v>69</v>
      </c>
      <c r="W6" s="145" t="s">
        <v>70</v>
      </c>
      <c r="X6" s="144" t="s">
        <v>71</v>
      </c>
      <c r="Y6" s="145" t="s">
        <v>85</v>
      </c>
      <c r="Z6" s="144" t="s">
        <v>86</v>
      </c>
      <c r="AA6" s="144" t="s">
        <v>87</v>
      </c>
      <c r="AB6" s="144" t="s">
        <v>131</v>
      </c>
      <c r="AC6" s="146" t="s">
        <v>88</v>
      </c>
      <c r="AD6" s="147" t="s">
        <v>89</v>
      </c>
      <c r="AE6" s="141" t="s">
        <v>90</v>
      </c>
      <c r="AF6" s="144" t="s">
        <v>91</v>
      </c>
      <c r="AG6" s="145" t="s">
        <v>92</v>
      </c>
      <c r="AH6" s="144" t="s">
        <v>93</v>
      </c>
      <c r="AI6" s="143" t="s">
        <v>128</v>
      </c>
      <c r="AJ6" s="140" t="s">
        <v>127</v>
      </c>
      <c r="AK6" s="131" t="s">
        <v>153</v>
      </c>
      <c r="AL6" s="131" t="s">
        <v>154</v>
      </c>
      <c r="AM6" s="131" t="s">
        <v>155</v>
      </c>
      <c r="AN6" s="131" t="s">
        <v>156</v>
      </c>
      <c r="AO6" s="131" t="s">
        <v>157</v>
      </c>
      <c r="AP6" s="131" t="s">
        <v>158</v>
      </c>
      <c r="AQ6" s="131" t="s">
        <v>159</v>
      </c>
      <c r="AR6" s="131" t="s">
        <v>187</v>
      </c>
      <c r="AS6" s="131" t="s">
        <v>161</v>
      </c>
      <c r="AT6" s="131" t="s">
        <v>162</v>
      </c>
      <c r="AU6" s="131" t="s">
        <v>163</v>
      </c>
      <c r="AV6" s="131" t="s">
        <v>198</v>
      </c>
      <c r="AW6" s="131" t="s">
        <v>176</v>
      </c>
      <c r="AX6" s="131" t="s">
        <v>188</v>
      </c>
      <c r="AY6" s="131"/>
    </row>
    <row r="7" spans="1:51">
      <c r="A7" s="148">
        <f>Report_RAPEU_Shipped_View!C2</f>
        <v>0</v>
      </c>
      <c r="B7" s="98">
        <f>Report_RAPEU_Shipped_View!D2</f>
        <v>0</v>
      </c>
      <c r="C7" s="98" t="str">
        <f>Report_RAPEU_Shipped_View!BF2&amp;""</f>
        <v/>
      </c>
      <c r="D7" s="200">
        <f>Report_RAPEU_Shipped_View!E2</f>
        <v>0</v>
      </c>
      <c r="E7" s="98">
        <f>Report_RAPEU_Shipped_View!F2</f>
        <v>0</v>
      </c>
      <c r="F7" s="98">
        <f>Report_RAPEU_Shipped_View!BG2</f>
        <v>0</v>
      </c>
      <c r="G7" s="98">
        <f>Report_RAPEU_Shipped_View!H2</f>
        <v>0</v>
      </c>
      <c r="H7" s="98">
        <f>Report_RAPEU_Shipped_View!I2</f>
        <v>0</v>
      </c>
      <c r="I7" s="98">
        <f>Report_RAPEU_Shipped_View!J2</f>
        <v>0</v>
      </c>
      <c r="J7" s="98">
        <f>Report_RAPEU_Shipped_View!K2</f>
        <v>0</v>
      </c>
      <c r="K7" s="98">
        <f>Report_RAPEU_Shipped_View!L2</f>
        <v>0</v>
      </c>
      <c r="L7" s="98">
        <f>Report_RAPEU_Shipped_View!M2</f>
        <v>0</v>
      </c>
      <c r="M7" s="98">
        <f>Report_RAPEU_Shipped_View!N2</f>
        <v>0</v>
      </c>
      <c r="N7" s="150">
        <f>Report_RAPEU_Shipped_View!O2</f>
        <v>0</v>
      </c>
      <c r="O7" s="98">
        <f>Report_RAPEU_Shipped_View!P2</f>
        <v>0</v>
      </c>
      <c r="P7" s="98">
        <f>Report_RAPEU_Shipped_View!Q2</f>
        <v>0</v>
      </c>
      <c r="Q7" s="98">
        <f>Report_RAPEU_Shipped_View!R2</f>
        <v>0</v>
      </c>
      <c r="R7" s="98">
        <f>Report_RAPEU_Shipped_View!BE2</f>
        <v>0</v>
      </c>
      <c r="S7" s="98">
        <f>Report_RAPEU_Shipped_View!S2</f>
        <v>0</v>
      </c>
      <c r="T7" s="98">
        <f>Report_RAPEU_Shipped_View!T2</f>
        <v>0</v>
      </c>
      <c r="U7" s="98">
        <f>Report_RAPEU_Shipped_View!U2</f>
        <v>0</v>
      </c>
      <c r="V7" s="98">
        <f>Report_RAPEU_Shipped_View!V2</f>
        <v>0</v>
      </c>
      <c r="W7" s="98">
        <f>Report_RAPEU_Shipped_View!W2</f>
        <v>0</v>
      </c>
      <c r="X7" s="98">
        <f>Report_RAPEU_Shipped_View!X2</f>
        <v>0</v>
      </c>
      <c r="Y7" s="98">
        <f>Report_RAPEU_Shipped_View!Y2</f>
        <v>0</v>
      </c>
      <c r="Z7" s="98">
        <f>Report_RAPEU_Shipped_View!Z2</f>
        <v>0</v>
      </c>
      <c r="AA7" s="98">
        <f>Report_RAPEU_Shipped_View!AA2</f>
        <v>0</v>
      </c>
      <c r="AB7" s="98">
        <f>Report_RAPEU_Shipped_View!AB2</f>
        <v>0</v>
      </c>
      <c r="AC7" s="98">
        <f>Report_RAPEU_Shipped_View!AC2</f>
        <v>0</v>
      </c>
      <c r="AD7" s="98">
        <f>Report_RAPEU_Shipped_View!AD2</f>
        <v>0</v>
      </c>
      <c r="AE7" s="98">
        <f>Report_RAPEU_Shipped_View!AE2</f>
        <v>0</v>
      </c>
      <c r="AF7" s="98">
        <f>Report_RAPEU_Shipped_View!AF2</f>
        <v>0</v>
      </c>
      <c r="AG7" s="98">
        <f>Report_RAPEU_Shipped_View!AG2</f>
        <v>0</v>
      </c>
      <c r="AH7" s="98">
        <f>Report_RAPEU_Shipped_View!AH2</f>
        <v>0</v>
      </c>
      <c r="AI7" s="200">
        <f>Report_RAPEU_Shipped_View!AJ2</f>
        <v>0</v>
      </c>
      <c r="AJ7" s="200">
        <f>DATE(YEAR(Report_RAPEU_Shipped_View!AK2),MONTH(Report_RAPEU_Shipped_View!AK2), DAY(Report_RAPEU_Shipped_View!AK2))</f>
        <v>0</v>
      </c>
      <c r="AK7" s="200">
        <f>Report_RAPEU_Shipped_View!AL2</f>
        <v>0</v>
      </c>
      <c r="AL7" s="200">
        <f>Report_RAPEU_Shipped_View!AM2</f>
        <v>0</v>
      </c>
      <c r="AM7" s="200">
        <f>Report_RAPEU_Shipped_View!AN2</f>
        <v>0</v>
      </c>
      <c r="AN7" s="200">
        <f>Report_RAPEU_Shipped_View!AO2</f>
        <v>0</v>
      </c>
      <c r="AO7" s="199">
        <f>Report_RAPEU_Shipped_View!AP2</f>
        <v>0</v>
      </c>
      <c r="AP7" s="199">
        <f>Report_RAPEU_Shipped_View!AQ2</f>
        <v>0</v>
      </c>
      <c r="AQ7" s="199">
        <f>Report_RAPEU_Shipped_View!AR2</f>
        <v>0</v>
      </c>
      <c r="AR7" s="199">
        <f>Report_RAPEU_Shipped_View!AS2</f>
        <v>0</v>
      </c>
      <c r="AS7" s="199">
        <f>Report_RAPEU_Shipped_View!AT2</f>
        <v>0</v>
      </c>
      <c r="AT7" s="199">
        <f>Report_RAPEU_Shipped_View!AU2</f>
        <v>0</v>
      </c>
      <c r="AU7" s="199">
        <f>Report_RAPEU_Shipped_View!AV2</f>
        <v>0</v>
      </c>
      <c r="AV7" s="199">
        <f>Report_RAPEU_Shipped_View!AW2</f>
        <v>0</v>
      </c>
      <c r="AW7" s="200">
        <f>Report_RAPEU_Shipped_View!BC2</f>
        <v>0</v>
      </c>
      <c r="AX7" s="200">
        <f>Report_RAPEU_Shipped_View!BD2</f>
        <v>0</v>
      </c>
      <c r="AY7" s="198">
        <f>Report_RAPEU_Shipped_View!BH2</f>
        <v>0</v>
      </c>
    </row>
    <row r="8" spans="1:51">
      <c r="A8" s="42"/>
      <c r="B8" s="31"/>
      <c r="C8" s="31"/>
      <c r="D8" s="32"/>
      <c r="E8" s="32"/>
      <c r="F8" s="32"/>
      <c r="G8" s="32"/>
      <c r="H8" s="32"/>
      <c r="I8" s="33"/>
      <c r="J8" s="32"/>
      <c r="K8" s="1"/>
      <c r="L8" s="1"/>
      <c r="M8" s="1"/>
      <c r="N8" s="34"/>
      <c r="O8" s="1"/>
      <c r="P8" s="1"/>
      <c r="Q8" s="1"/>
      <c r="R8" s="1"/>
      <c r="S8" s="1"/>
      <c r="T8" s="1"/>
      <c r="U8" s="82"/>
      <c r="V8" s="2"/>
      <c r="W8" s="2"/>
      <c r="X8" s="35"/>
      <c r="Y8" s="36"/>
      <c r="Z8" s="37"/>
      <c r="AA8" s="38"/>
      <c r="AB8" s="38"/>
      <c r="AC8" s="39"/>
      <c r="AD8" s="86"/>
      <c r="AE8" s="32"/>
      <c r="AF8" s="37"/>
      <c r="AG8" s="3"/>
      <c r="AH8" s="40"/>
      <c r="AI8" s="41"/>
      <c r="AJ8" s="42"/>
    </row>
    <row r="9" spans="1:51">
      <c r="A9" s="42"/>
      <c r="B9" s="31"/>
      <c r="C9" s="31"/>
      <c r="D9" s="32"/>
      <c r="E9" s="32"/>
      <c r="F9" s="32"/>
      <c r="G9" s="32"/>
      <c r="H9" s="32"/>
      <c r="I9" s="33"/>
      <c r="J9" s="32"/>
      <c r="K9" s="1"/>
      <c r="L9" s="1"/>
      <c r="M9" s="1"/>
      <c r="N9" s="34"/>
      <c r="O9" s="1"/>
      <c r="P9" s="1"/>
      <c r="Q9" s="1"/>
      <c r="R9" s="1"/>
      <c r="S9" s="1"/>
      <c r="T9" s="1"/>
      <c r="U9" s="82"/>
      <c r="V9" s="2"/>
      <c r="W9" s="2"/>
      <c r="X9" s="35"/>
      <c r="Y9" s="36"/>
      <c r="Z9" s="37"/>
      <c r="AA9" s="38"/>
      <c r="AB9" s="38"/>
      <c r="AC9" s="39"/>
      <c r="AD9" s="86"/>
      <c r="AE9" s="32"/>
      <c r="AF9" s="37"/>
      <c r="AG9" s="3"/>
      <c r="AH9" s="40"/>
      <c r="AI9" s="41"/>
      <c r="AJ9" s="42"/>
    </row>
    <row r="10" spans="1:51">
      <c r="A10" s="42"/>
      <c r="B10" s="31"/>
      <c r="C10" s="31"/>
      <c r="D10" s="32"/>
      <c r="E10" s="32"/>
      <c r="F10" s="32"/>
      <c r="G10" s="32"/>
      <c r="H10" s="32"/>
      <c r="I10" s="33"/>
      <c r="J10" s="32"/>
      <c r="K10" s="1"/>
      <c r="L10" s="1"/>
      <c r="M10" s="1"/>
      <c r="N10" s="34"/>
      <c r="O10" s="1"/>
      <c r="P10" s="1"/>
      <c r="Q10" s="1"/>
      <c r="R10" s="1"/>
      <c r="S10" s="1"/>
      <c r="T10" s="1"/>
      <c r="U10" s="82"/>
      <c r="V10" s="2"/>
      <c r="W10" s="2"/>
      <c r="X10" s="35"/>
      <c r="Y10" s="36"/>
      <c r="Z10" s="37"/>
      <c r="AA10" s="38"/>
      <c r="AB10" s="38"/>
      <c r="AC10" s="39"/>
      <c r="AD10" s="86"/>
      <c r="AE10" s="32"/>
      <c r="AF10" s="37"/>
      <c r="AG10" s="3"/>
      <c r="AH10" s="40"/>
      <c r="AI10" s="41"/>
      <c r="AJ10" s="42"/>
    </row>
    <row r="11" spans="1:51">
      <c r="A11" s="42"/>
      <c r="B11" s="31"/>
      <c r="C11" s="31"/>
      <c r="D11" s="32"/>
      <c r="E11" s="32"/>
      <c r="F11" s="32"/>
      <c r="G11" s="32"/>
      <c r="H11" s="32"/>
      <c r="I11" s="33"/>
      <c r="J11" s="32"/>
      <c r="K11" s="1"/>
      <c r="L11" s="1"/>
      <c r="M11" s="1"/>
      <c r="N11" s="34"/>
      <c r="O11" s="1"/>
      <c r="P11" s="1"/>
      <c r="Q11" s="1"/>
      <c r="R11" s="1"/>
      <c r="S11" s="1"/>
      <c r="T11" s="1"/>
      <c r="U11" s="82"/>
      <c r="V11" s="2"/>
      <c r="W11" s="2"/>
      <c r="X11" s="35"/>
      <c r="Y11" s="36"/>
      <c r="Z11" s="37"/>
      <c r="AA11" s="38"/>
      <c r="AB11" s="38"/>
      <c r="AC11" s="39"/>
      <c r="AD11" s="86"/>
      <c r="AE11" s="32"/>
      <c r="AF11" s="37"/>
      <c r="AG11" s="3"/>
      <c r="AH11" s="40"/>
      <c r="AI11" s="41"/>
      <c r="AJ11" s="42"/>
    </row>
    <row r="12" spans="1:51">
      <c r="A12" s="42"/>
      <c r="B12" s="31"/>
      <c r="C12" s="31"/>
      <c r="D12" s="32"/>
      <c r="E12" s="32"/>
      <c r="F12" s="32"/>
      <c r="G12" s="32"/>
      <c r="H12" s="32"/>
      <c r="I12" s="33"/>
      <c r="J12" s="32"/>
      <c r="K12" s="1"/>
      <c r="L12" s="1"/>
      <c r="M12" s="1"/>
      <c r="N12" s="34"/>
      <c r="O12" s="1"/>
      <c r="P12" s="1"/>
      <c r="Q12" s="1"/>
      <c r="R12" s="1"/>
      <c r="S12" s="1"/>
      <c r="T12" s="1"/>
      <c r="U12" s="82"/>
      <c r="V12" s="2"/>
      <c r="W12" s="2"/>
      <c r="X12" s="35"/>
      <c r="Y12" s="36"/>
      <c r="Z12" s="37"/>
      <c r="AA12" s="38"/>
      <c r="AB12" s="38"/>
      <c r="AC12" s="39"/>
      <c r="AD12" s="86"/>
      <c r="AE12" s="32"/>
      <c r="AF12" s="37"/>
      <c r="AG12" s="3"/>
      <c r="AH12" s="40"/>
      <c r="AI12" s="41"/>
      <c r="AJ12" s="42"/>
    </row>
    <row r="13" spans="1:51">
      <c r="A13" s="42"/>
      <c r="B13" s="31"/>
      <c r="C13" s="31"/>
      <c r="D13" s="32"/>
      <c r="E13" s="32"/>
      <c r="F13" s="32"/>
      <c r="G13" s="32"/>
      <c r="H13" s="32"/>
      <c r="I13" s="33"/>
      <c r="J13" s="32"/>
      <c r="K13" s="1"/>
      <c r="L13" s="1"/>
      <c r="M13" s="1"/>
      <c r="N13" s="34"/>
      <c r="O13" s="1"/>
      <c r="P13" s="1"/>
      <c r="Q13" s="1"/>
      <c r="R13" s="1"/>
      <c r="S13" s="1"/>
      <c r="T13" s="1"/>
      <c r="U13" s="82"/>
      <c r="V13" s="2"/>
      <c r="W13" s="2"/>
      <c r="X13" s="35"/>
      <c r="Y13" s="36"/>
      <c r="Z13" s="37"/>
      <c r="AA13" s="38"/>
      <c r="AB13" s="38"/>
      <c r="AC13" s="39"/>
      <c r="AD13" s="86"/>
      <c r="AE13" s="32"/>
      <c r="AF13" s="37"/>
      <c r="AG13" s="3"/>
      <c r="AH13" s="40"/>
      <c r="AI13" s="41"/>
      <c r="AJ13" s="42"/>
    </row>
    <row r="14" spans="1:51">
      <c r="A14" s="42"/>
      <c r="B14" s="31"/>
      <c r="C14" s="31"/>
      <c r="D14" s="32"/>
      <c r="E14" s="32"/>
      <c r="F14" s="32"/>
      <c r="G14" s="32"/>
      <c r="H14" s="32"/>
      <c r="I14" s="33"/>
      <c r="J14" s="32"/>
      <c r="K14" s="1"/>
      <c r="L14" s="1"/>
      <c r="M14" s="1"/>
      <c r="N14" s="34"/>
      <c r="O14" s="1"/>
      <c r="P14" s="1"/>
      <c r="Q14" s="1"/>
      <c r="R14" s="1"/>
      <c r="S14" s="1"/>
      <c r="T14" s="1"/>
      <c r="U14" s="82"/>
      <c r="V14" s="2"/>
      <c r="W14" s="2"/>
      <c r="X14" s="35"/>
      <c r="Y14" s="36"/>
      <c r="Z14" s="37"/>
      <c r="AA14" s="38"/>
      <c r="AB14" s="38"/>
      <c r="AC14" s="39"/>
      <c r="AD14" s="86"/>
      <c r="AE14" s="32"/>
      <c r="AF14" s="37"/>
      <c r="AG14" s="3"/>
      <c r="AH14" s="40"/>
      <c r="AI14" s="41"/>
      <c r="AJ14" s="42"/>
    </row>
    <row r="15" spans="1:51">
      <c r="A15" s="42"/>
      <c r="B15" s="31"/>
      <c r="C15" s="31"/>
      <c r="D15" s="32"/>
      <c r="E15" s="32"/>
      <c r="F15" s="32"/>
      <c r="G15" s="32"/>
      <c r="H15" s="32"/>
      <c r="I15" s="33"/>
      <c r="J15" s="32"/>
      <c r="K15" s="1"/>
      <c r="L15" s="1"/>
      <c r="M15" s="1"/>
      <c r="N15" s="34"/>
      <c r="O15" s="1"/>
      <c r="P15" s="1"/>
      <c r="Q15" s="1"/>
      <c r="R15" s="1"/>
      <c r="S15" s="1"/>
      <c r="T15" s="1"/>
      <c r="U15" s="82"/>
      <c r="V15" s="2"/>
      <c r="W15" s="2"/>
      <c r="X15" s="35"/>
      <c r="Y15" s="36"/>
      <c r="Z15" s="37"/>
      <c r="AA15" s="38"/>
      <c r="AB15" s="38"/>
      <c r="AC15" s="39"/>
      <c r="AD15" s="86"/>
      <c r="AE15" s="32"/>
      <c r="AF15" s="37"/>
      <c r="AG15" s="3"/>
      <c r="AH15" s="40"/>
      <c r="AI15" s="41"/>
      <c r="AJ15" s="42"/>
    </row>
    <row r="16" spans="1:51">
      <c r="A16" s="42"/>
      <c r="B16" s="31"/>
      <c r="C16" s="31"/>
      <c r="D16" s="32"/>
      <c r="E16" s="32"/>
      <c r="F16" s="32"/>
      <c r="G16" s="32"/>
      <c r="H16" s="32"/>
      <c r="I16" s="33"/>
      <c r="J16" s="32"/>
      <c r="K16" s="1"/>
      <c r="L16" s="1"/>
      <c r="M16" s="1"/>
      <c r="N16" s="34"/>
      <c r="O16" s="1"/>
      <c r="P16" s="1"/>
      <c r="Q16" s="1"/>
      <c r="R16" s="1"/>
      <c r="S16" s="1"/>
      <c r="T16" s="1"/>
      <c r="U16" s="82"/>
      <c r="V16" s="2"/>
      <c r="W16" s="2"/>
      <c r="X16" s="35"/>
      <c r="Y16" s="36"/>
      <c r="Z16" s="37"/>
      <c r="AA16" s="38"/>
      <c r="AB16" s="38"/>
      <c r="AC16" s="39"/>
      <c r="AD16" s="86"/>
      <c r="AE16" s="32"/>
      <c r="AF16" s="37"/>
      <c r="AG16" s="3"/>
      <c r="AH16" s="40"/>
      <c r="AI16" s="41"/>
      <c r="AJ16" s="42"/>
    </row>
    <row r="17" spans="1:36">
      <c r="A17" s="42"/>
      <c r="B17" s="31"/>
      <c r="C17" s="31"/>
      <c r="D17" s="32"/>
      <c r="E17" s="32"/>
      <c r="F17" s="32"/>
      <c r="G17" s="32"/>
      <c r="H17" s="32"/>
      <c r="I17" s="33"/>
      <c r="J17" s="32"/>
      <c r="K17" s="1"/>
      <c r="L17" s="1"/>
      <c r="M17" s="1"/>
      <c r="N17" s="34"/>
      <c r="O17" s="1"/>
      <c r="P17" s="1"/>
      <c r="Q17" s="1"/>
      <c r="R17" s="1"/>
      <c r="S17" s="1"/>
      <c r="T17" s="1"/>
      <c r="U17" s="82"/>
      <c r="V17" s="2"/>
      <c r="W17" s="2"/>
      <c r="X17" s="35"/>
      <c r="Y17" s="36"/>
      <c r="Z17" s="37"/>
      <c r="AA17" s="38"/>
      <c r="AB17" s="38"/>
      <c r="AC17" s="39"/>
      <c r="AD17" s="86"/>
      <c r="AE17" s="32"/>
      <c r="AF17" s="37"/>
      <c r="AG17" s="3"/>
      <c r="AH17" s="40"/>
      <c r="AI17" s="41"/>
      <c r="AJ17" s="42"/>
    </row>
    <row r="18" spans="1:36">
      <c r="A18" s="42"/>
      <c r="B18" s="31"/>
      <c r="C18" s="31"/>
      <c r="D18" s="32"/>
      <c r="E18" s="32"/>
      <c r="F18" s="32"/>
      <c r="G18" s="32"/>
      <c r="H18" s="32"/>
      <c r="I18" s="33"/>
      <c r="J18" s="32"/>
      <c r="K18" s="1"/>
      <c r="L18" s="1"/>
      <c r="M18" s="1"/>
      <c r="N18" s="34"/>
      <c r="O18" s="1"/>
      <c r="P18" s="1"/>
      <c r="Q18" s="1"/>
      <c r="R18" s="1"/>
      <c r="S18" s="1"/>
      <c r="T18" s="1"/>
      <c r="U18" s="82"/>
      <c r="V18" s="2"/>
      <c r="W18" s="2"/>
      <c r="X18" s="35"/>
      <c r="Y18" s="36"/>
      <c r="Z18" s="37"/>
      <c r="AA18" s="38"/>
      <c r="AB18" s="38"/>
      <c r="AC18" s="39"/>
      <c r="AD18" s="86"/>
      <c r="AE18" s="32"/>
      <c r="AF18" s="37"/>
      <c r="AG18" s="3"/>
      <c r="AH18" s="40"/>
      <c r="AI18" s="41"/>
      <c r="AJ18" s="42"/>
    </row>
    <row r="19" spans="1:36">
      <c r="A19" s="42"/>
      <c r="B19" s="31"/>
      <c r="C19" s="31"/>
      <c r="D19" s="32"/>
      <c r="E19" s="32"/>
      <c r="F19" s="32"/>
      <c r="G19" s="32"/>
      <c r="H19" s="32"/>
      <c r="I19" s="33"/>
      <c r="J19" s="32"/>
      <c r="K19" s="1"/>
      <c r="L19" s="1"/>
      <c r="M19" s="1"/>
      <c r="N19" s="34"/>
      <c r="O19" s="1"/>
      <c r="P19" s="1"/>
      <c r="Q19" s="1"/>
      <c r="R19" s="1"/>
      <c r="S19" s="1"/>
      <c r="T19" s="1"/>
      <c r="U19" s="82"/>
      <c r="V19" s="2"/>
      <c r="W19" s="2"/>
      <c r="X19" s="35"/>
      <c r="Y19" s="36"/>
      <c r="Z19" s="37"/>
      <c r="AA19" s="38"/>
      <c r="AB19" s="38"/>
      <c r="AC19" s="39"/>
      <c r="AD19" s="86"/>
      <c r="AE19" s="32"/>
      <c r="AF19" s="37"/>
      <c r="AG19" s="3"/>
      <c r="AH19" s="40"/>
      <c r="AI19" s="41"/>
      <c r="AJ19" s="42"/>
    </row>
    <row r="20" spans="1:36">
      <c r="A20" s="42"/>
      <c r="B20" s="31"/>
      <c r="C20" s="31"/>
      <c r="D20" s="32"/>
      <c r="E20" s="32"/>
      <c r="F20" s="32"/>
      <c r="G20" s="32"/>
      <c r="H20" s="32"/>
      <c r="I20" s="33"/>
      <c r="J20" s="32"/>
      <c r="K20" s="1"/>
      <c r="L20" s="1"/>
      <c r="M20" s="1"/>
      <c r="N20" s="34"/>
      <c r="O20" s="1"/>
      <c r="P20" s="1"/>
      <c r="Q20" s="1"/>
      <c r="R20" s="1"/>
      <c r="S20" s="1"/>
      <c r="T20" s="1"/>
      <c r="U20" s="82"/>
      <c r="V20" s="2"/>
      <c r="W20" s="2"/>
      <c r="X20" s="35"/>
      <c r="Y20" s="36"/>
      <c r="Z20" s="37"/>
      <c r="AA20" s="38"/>
      <c r="AB20" s="38"/>
      <c r="AC20" s="39"/>
      <c r="AD20" s="86"/>
      <c r="AE20" s="32"/>
      <c r="AF20" s="37"/>
      <c r="AG20" s="3"/>
      <c r="AH20" s="40"/>
      <c r="AI20" s="41"/>
      <c r="AJ20" s="42"/>
    </row>
    <row r="21" spans="1:36">
      <c r="A21" s="42"/>
      <c r="B21" s="31"/>
      <c r="C21" s="31"/>
      <c r="D21" s="32"/>
      <c r="E21" s="32"/>
      <c r="F21" s="32"/>
      <c r="G21" s="32"/>
      <c r="H21" s="32"/>
      <c r="I21" s="33"/>
      <c r="J21" s="32"/>
      <c r="K21" s="1"/>
      <c r="L21" s="1"/>
      <c r="M21" s="1"/>
      <c r="N21" s="34"/>
      <c r="O21" s="1"/>
      <c r="P21" s="1"/>
      <c r="Q21" s="1"/>
      <c r="R21" s="1"/>
      <c r="S21" s="1"/>
      <c r="T21" s="1"/>
      <c r="U21" s="82"/>
      <c r="V21" s="2"/>
      <c r="W21" s="2"/>
      <c r="X21" s="35"/>
      <c r="Y21" s="36"/>
      <c r="Z21" s="37"/>
      <c r="AA21" s="38"/>
      <c r="AB21" s="38"/>
      <c r="AC21" s="39"/>
      <c r="AD21" s="86"/>
      <c r="AE21" s="32"/>
      <c r="AF21" s="37"/>
      <c r="AG21" s="3"/>
      <c r="AH21" s="40"/>
      <c r="AI21" s="41"/>
      <c r="AJ21" s="42"/>
    </row>
    <row r="22" spans="1:36">
      <c r="A22" s="42"/>
      <c r="B22" s="31"/>
      <c r="C22" s="31"/>
      <c r="D22" s="32"/>
      <c r="E22" s="32"/>
      <c r="F22" s="32"/>
      <c r="G22" s="32"/>
      <c r="H22" s="32"/>
      <c r="I22" s="33"/>
      <c r="J22" s="32"/>
      <c r="K22" s="1"/>
      <c r="L22" s="1"/>
      <c r="M22" s="1"/>
      <c r="N22" s="34"/>
      <c r="O22" s="1"/>
      <c r="P22" s="1"/>
      <c r="Q22" s="1"/>
      <c r="R22" s="1"/>
      <c r="S22" s="1"/>
      <c r="T22" s="1"/>
      <c r="U22" s="82"/>
      <c r="V22" s="2"/>
      <c r="W22" s="2"/>
      <c r="X22" s="35"/>
      <c r="Y22" s="36"/>
      <c r="Z22" s="37"/>
      <c r="AA22" s="38"/>
      <c r="AB22" s="38"/>
      <c r="AC22" s="39"/>
      <c r="AD22" s="86"/>
      <c r="AE22" s="32"/>
      <c r="AF22" s="37"/>
      <c r="AG22" s="3"/>
      <c r="AH22" s="40"/>
      <c r="AI22" s="41"/>
      <c r="AJ22" s="42"/>
    </row>
    <row r="23" spans="1:36">
      <c r="A23" s="42"/>
      <c r="B23" s="31"/>
      <c r="C23" s="31"/>
      <c r="D23" s="32"/>
      <c r="E23" s="32"/>
      <c r="F23" s="32"/>
      <c r="G23" s="32"/>
      <c r="H23" s="32"/>
      <c r="I23" s="33"/>
      <c r="J23" s="32"/>
      <c r="K23" s="1"/>
      <c r="L23" s="1"/>
      <c r="M23" s="1"/>
      <c r="N23" s="34"/>
      <c r="O23" s="1"/>
      <c r="P23" s="1"/>
      <c r="Q23" s="1"/>
      <c r="R23" s="1"/>
      <c r="S23" s="1"/>
      <c r="T23" s="1"/>
      <c r="U23" s="82"/>
      <c r="V23" s="2"/>
      <c r="W23" s="2"/>
      <c r="X23" s="35"/>
      <c r="Y23" s="36"/>
      <c r="Z23" s="37"/>
      <c r="AA23" s="38"/>
      <c r="AB23" s="38"/>
      <c r="AC23" s="39"/>
      <c r="AD23" s="86"/>
      <c r="AE23" s="32"/>
      <c r="AF23" s="37"/>
      <c r="AG23" s="3"/>
      <c r="AH23" s="40"/>
      <c r="AI23" s="41"/>
      <c r="AJ23" s="42"/>
    </row>
    <row r="24" spans="1:36">
      <c r="A24" s="42"/>
      <c r="B24" s="31"/>
      <c r="C24" s="31"/>
      <c r="D24" s="32"/>
      <c r="E24" s="32"/>
      <c r="F24" s="32"/>
      <c r="G24" s="32"/>
      <c r="H24" s="32"/>
      <c r="I24" s="33"/>
      <c r="J24" s="32"/>
      <c r="K24" s="1"/>
      <c r="L24" s="1"/>
      <c r="M24" s="1"/>
      <c r="N24" s="34"/>
      <c r="O24" s="1"/>
      <c r="P24" s="1"/>
      <c r="Q24" s="1"/>
      <c r="R24" s="1"/>
      <c r="S24" s="1"/>
      <c r="T24" s="1"/>
      <c r="U24" s="82"/>
      <c r="V24" s="2"/>
      <c r="W24" s="2"/>
      <c r="X24" s="35"/>
      <c r="Y24" s="36"/>
      <c r="Z24" s="37"/>
      <c r="AA24" s="38"/>
      <c r="AB24" s="38"/>
      <c r="AC24" s="39"/>
      <c r="AD24" s="86"/>
      <c r="AE24" s="32"/>
      <c r="AF24" s="37"/>
      <c r="AG24" s="3"/>
      <c r="AH24" s="40"/>
      <c r="AI24" s="41"/>
      <c r="AJ24" s="42"/>
    </row>
    <row r="25" spans="1:36">
      <c r="A25" s="42"/>
      <c r="B25" s="31"/>
      <c r="C25" s="31"/>
      <c r="D25" s="32"/>
      <c r="E25" s="32"/>
      <c r="F25" s="32"/>
      <c r="G25" s="32"/>
      <c r="H25" s="32"/>
      <c r="I25" s="33"/>
      <c r="J25" s="32"/>
      <c r="K25" s="1"/>
      <c r="L25" s="1"/>
      <c r="M25" s="1"/>
      <c r="N25" s="34"/>
      <c r="O25" s="1"/>
      <c r="P25" s="1"/>
      <c r="Q25" s="1"/>
      <c r="R25" s="1"/>
      <c r="S25" s="1"/>
      <c r="T25" s="1"/>
      <c r="U25" s="82"/>
      <c r="V25" s="2"/>
      <c r="W25" s="2"/>
      <c r="X25" s="35"/>
      <c r="Y25" s="36"/>
      <c r="Z25" s="37"/>
      <c r="AA25" s="38"/>
      <c r="AB25" s="38"/>
      <c r="AC25" s="39"/>
      <c r="AD25" s="86"/>
      <c r="AE25" s="32"/>
      <c r="AF25" s="37"/>
      <c r="AG25" s="3"/>
      <c r="AH25" s="40"/>
      <c r="AI25" s="41"/>
      <c r="AJ25" s="42"/>
    </row>
    <row r="26" spans="1:36">
      <c r="A26" s="42"/>
      <c r="B26" s="31"/>
      <c r="C26" s="31"/>
      <c r="D26" s="32"/>
      <c r="E26" s="32"/>
      <c r="F26" s="32"/>
      <c r="G26" s="32"/>
      <c r="H26" s="32"/>
      <c r="I26" s="33"/>
      <c r="J26" s="32"/>
      <c r="K26" s="1"/>
      <c r="L26" s="1"/>
      <c r="M26" s="1"/>
      <c r="N26" s="34"/>
      <c r="O26" s="1"/>
      <c r="P26" s="1"/>
      <c r="Q26" s="1"/>
      <c r="R26" s="1"/>
      <c r="S26" s="1"/>
      <c r="T26" s="1"/>
      <c r="U26" s="82"/>
      <c r="V26" s="2"/>
      <c r="W26" s="2"/>
      <c r="X26" s="35"/>
      <c r="Y26" s="36"/>
      <c r="Z26" s="37"/>
      <c r="AA26" s="38"/>
      <c r="AB26" s="38"/>
      <c r="AC26" s="39"/>
      <c r="AD26" s="86"/>
      <c r="AE26" s="32"/>
      <c r="AF26" s="37"/>
      <c r="AG26" s="3"/>
      <c r="AH26" s="40"/>
      <c r="AI26" s="41"/>
      <c r="AJ26" s="42"/>
    </row>
    <row r="27" spans="1:36">
      <c r="A27" s="42"/>
      <c r="B27" s="31"/>
      <c r="C27" s="31"/>
      <c r="D27" s="32"/>
      <c r="E27" s="32"/>
      <c r="F27" s="32"/>
      <c r="G27" s="32"/>
      <c r="H27" s="32"/>
      <c r="I27" s="33"/>
      <c r="J27" s="32"/>
      <c r="K27" s="1"/>
      <c r="L27" s="1"/>
      <c r="M27" s="1"/>
      <c r="N27" s="34"/>
      <c r="O27" s="1"/>
      <c r="P27" s="1"/>
      <c r="Q27" s="1"/>
      <c r="R27" s="1"/>
      <c r="S27" s="1"/>
      <c r="T27" s="1"/>
      <c r="U27" s="82"/>
      <c r="V27" s="2"/>
      <c r="W27" s="2"/>
      <c r="X27" s="35"/>
      <c r="Y27" s="36"/>
      <c r="Z27" s="37"/>
      <c r="AA27" s="38"/>
      <c r="AB27" s="38"/>
      <c r="AC27" s="39"/>
      <c r="AD27" s="86"/>
      <c r="AE27" s="32"/>
      <c r="AF27" s="37"/>
      <c r="AG27" s="3"/>
      <c r="AH27" s="40"/>
      <c r="AI27" s="41"/>
      <c r="AJ27" s="42"/>
    </row>
    <row r="28" spans="1:36">
      <c r="A28" s="42"/>
      <c r="B28" s="31"/>
      <c r="C28" s="31"/>
      <c r="D28" s="32"/>
      <c r="E28" s="32"/>
      <c r="F28" s="32"/>
      <c r="G28" s="32"/>
      <c r="H28" s="32"/>
      <c r="I28" s="33"/>
      <c r="J28" s="32"/>
      <c r="K28" s="1"/>
      <c r="L28" s="1"/>
      <c r="M28" s="1"/>
      <c r="N28" s="34"/>
      <c r="O28" s="1"/>
      <c r="P28" s="1"/>
      <c r="Q28" s="1"/>
      <c r="R28" s="1"/>
      <c r="S28" s="1"/>
      <c r="T28" s="1"/>
      <c r="U28" s="82"/>
      <c r="V28" s="2"/>
      <c r="W28" s="2"/>
      <c r="X28" s="35"/>
      <c r="Y28" s="36"/>
      <c r="Z28" s="37"/>
      <c r="AA28" s="38"/>
      <c r="AB28" s="38"/>
      <c r="AC28" s="39"/>
      <c r="AD28" s="86"/>
      <c r="AE28" s="32"/>
      <c r="AF28" s="37"/>
      <c r="AG28" s="3"/>
      <c r="AH28" s="40"/>
      <c r="AI28" s="41"/>
      <c r="AJ28" s="42"/>
    </row>
    <row r="29" spans="1:36">
      <c r="A29" s="42"/>
      <c r="B29" s="31"/>
      <c r="C29" s="31"/>
      <c r="D29" s="32"/>
      <c r="E29" s="32"/>
      <c r="F29" s="32"/>
      <c r="G29" s="32"/>
      <c r="H29" s="32"/>
      <c r="I29" s="33"/>
      <c r="J29" s="32"/>
      <c r="K29" s="1"/>
      <c r="L29" s="1"/>
      <c r="M29" s="1"/>
      <c r="N29" s="34"/>
      <c r="O29" s="1"/>
      <c r="P29" s="1"/>
      <c r="Q29" s="1"/>
      <c r="R29" s="1"/>
      <c r="S29" s="1"/>
      <c r="T29" s="1"/>
      <c r="U29" s="82"/>
      <c r="V29" s="2"/>
      <c r="W29" s="2"/>
      <c r="X29" s="35"/>
      <c r="Y29" s="36"/>
      <c r="Z29" s="37"/>
      <c r="AA29" s="38"/>
      <c r="AB29" s="38"/>
      <c r="AC29" s="39"/>
      <c r="AD29" s="86"/>
      <c r="AE29" s="32"/>
      <c r="AF29" s="37"/>
      <c r="AG29" s="3"/>
      <c r="AH29" s="40"/>
      <c r="AI29" s="41"/>
      <c r="AJ29" s="42"/>
    </row>
    <row r="30" spans="1:36">
      <c r="A30" s="42"/>
      <c r="B30" s="31"/>
      <c r="C30" s="31"/>
      <c r="D30" s="32"/>
      <c r="E30" s="32"/>
      <c r="F30" s="32"/>
      <c r="G30" s="32"/>
      <c r="H30" s="32"/>
      <c r="I30" s="33"/>
      <c r="J30" s="32"/>
      <c r="K30" s="1"/>
      <c r="L30" s="1"/>
      <c r="M30" s="1"/>
      <c r="N30" s="34"/>
      <c r="O30" s="1"/>
      <c r="P30" s="1"/>
      <c r="Q30" s="1"/>
      <c r="R30" s="1"/>
      <c r="S30" s="1"/>
      <c r="T30" s="1"/>
      <c r="U30" s="82"/>
      <c r="V30" s="2"/>
      <c r="W30" s="2"/>
      <c r="X30" s="35"/>
      <c r="Y30" s="36"/>
      <c r="Z30" s="37"/>
      <c r="AA30" s="38"/>
      <c r="AB30" s="38"/>
      <c r="AC30" s="39"/>
      <c r="AD30" s="86"/>
      <c r="AE30" s="32"/>
      <c r="AF30" s="37"/>
      <c r="AG30" s="3"/>
      <c r="AH30" s="40"/>
      <c r="AI30" s="41"/>
      <c r="AJ30" s="42"/>
    </row>
    <row r="31" spans="1:36">
      <c r="A31" s="42"/>
      <c r="B31" s="31"/>
      <c r="C31" s="31"/>
      <c r="D31" s="32"/>
      <c r="E31" s="32"/>
      <c r="F31" s="32"/>
      <c r="G31" s="32"/>
      <c r="H31" s="32"/>
      <c r="I31" s="33"/>
      <c r="J31" s="32"/>
      <c r="K31" s="1"/>
      <c r="L31" s="1"/>
      <c r="M31" s="1"/>
      <c r="N31" s="34"/>
      <c r="O31" s="1"/>
      <c r="P31" s="1"/>
      <c r="Q31" s="1"/>
      <c r="R31" s="1"/>
      <c r="S31" s="1"/>
      <c r="T31" s="1"/>
      <c r="U31" s="82"/>
      <c r="V31" s="2"/>
      <c r="W31" s="2"/>
      <c r="X31" s="35"/>
      <c r="Y31" s="36"/>
      <c r="Z31" s="37"/>
      <c r="AA31" s="38"/>
      <c r="AB31" s="38"/>
      <c r="AC31" s="39"/>
      <c r="AD31" s="86"/>
      <c r="AE31" s="32"/>
      <c r="AF31" s="37"/>
      <c r="AG31" s="3"/>
      <c r="AH31" s="40"/>
      <c r="AI31" s="41"/>
      <c r="AJ31" s="42"/>
    </row>
    <row r="32" spans="1:36">
      <c r="A32" s="42"/>
      <c r="B32" s="31"/>
      <c r="C32" s="31"/>
      <c r="D32" s="32"/>
      <c r="E32" s="32"/>
      <c r="F32" s="32"/>
      <c r="G32" s="32"/>
      <c r="H32" s="32"/>
      <c r="I32" s="33"/>
      <c r="J32" s="32"/>
      <c r="K32" s="1"/>
      <c r="L32" s="1"/>
      <c r="M32" s="1"/>
      <c r="N32" s="34"/>
      <c r="O32" s="1"/>
      <c r="P32" s="1"/>
      <c r="Q32" s="1"/>
      <c r="R32" s="1"/>
      <c r="S32" s="1"/>
      <c r="T32" s="1"/>
      <c r="U32" s="82"/>
      <c r="V32" s="2"/>
      <c r="W32" s="2"/>
      <c r="X32" s="35"/>
      <c r="Y32" s="36"/>
      <c r="Z32" s="37"/>
      <c r="AA32" s="38"/>
      <c r="AB32" s="38"/>
      <c r="AC32" s="39"/>
      <c r="AD32" s="86"/>
      <c r="AE32" s="32"/>
      <c r="AF32" s="37"/>
      <c r="AG32" s="3"/>
      <c r="AH32" s="40"/>
      <c r="AI32" s="41"/>
      <c r="AJ32" s="42"/>
    </row>
    <row r="33" spans="1:36">
      <c r="A33" s="42"/>
      <c r="B33" s="31"/>
      <c r="C33" s="31"/>
      <c r="D33" s="32"/>
      <c r="E33" s="32"/>
      <c r="F33" s="32"/>
      <c r="G33" s="32"/>
      <c r="H33" s="32"/>
      <c r="I33" s="33"/>
      <c r="J33" s="32"/>
      <c r="K33" s="1"/>
      <c r="L33" s="1"/>
      <c r="M33" s="1"/>
      <c r="N33" s="34"/>
      <c r="O33" s="1"/>
      <c r="P33" s="1"/>
      <c r="Q33" s="1"/>
      <c r="R33" s="1"/>
      <c r="S33" s="1"/>
      <c r="T33" s="1"/>
      <c r="U33" s="82"/>
      <c r="V33" s="2"/>
      <c r="W33" s="2"/>
      <c r="X33" s="35"/>
      <c r="Y33" s="36"/>
      <c r="Z33" s="37"/>
      <c r="AA33" s="38"/>
      <c r="AB33" s="38"/>
      <c r="AC33" s="39"/>
      <c r="AD33" s="86"/>
      <c r="AE33" s="32"/>
      <c r="AF33" s="37"/>
      <c r="AG33" s="3"/>
      <c r="AH33" s="40"/>
      <c r="AI33" s="41"/>
      <c r="AJ33" s="42"/>
    </row>
    <row r="34" spans="1:36">
      <c r="A34" s="42"/>
      <c r="B34" s="31"/>
      <c r="C34" s="31"/>
      <c r="D34" s="32"/>
      <c r="E34" s="32"/>
      <c r="F34" s="32"/>
      <c r="G34" s="32"/>
      <c r="H34" s="32"/>
      <c r="I34" s="33"/>
      <c r="J34" s="32"/>
      <c r="K34" s="1"/>
      <c r="L34" s="1"/>
      <c r="M34" s="1"/>
      <c r="N34" s="34"/>
      <c r="O34" s="1"/>
      <c r="P34" s="1"/>
      <c r="Q34" s="1"/>
      <c r="R34" s="1"/>
      <c r="S34" s="1"/>
      <c r="T34" s="1"/>
      <c r="U34" s="82"/>
      <c r="V34" s="2"/>
      <c r="W34" s="2"/>
      <c r="X34" s="35"/>
      <c r="Y34" s="36"/>
      <c r="Z34" s="37"/>
      <c r="AA34" s="38"/>
      <c r="AB34" s="38"/>
      <c r="AC34" s="39"/>
      <c r="AD34" s="86"/>
      <c r="AE34" s="32"/>
      <c r="AF34" s="37"/>
      <c r="AG34" s="3"/>
      <c r="AH34" s="40"/>
      <c r="AI34" s="41"/>
      <c r="AJ34" s="42"/>
    </row>
    <row r="35" spans="1:36">
      <c r="A35" s="42"/>
      <c r="B35" s="31"/>
      <c r="C35" s="31"/>
      <c r="D35" s="32"/>
      <c r="E35" s="32"/>
      <c r="F35" s="32"/>
      <c r="G35" s="32"/>
      <c r="H35" s="32"/>
      <c r="I35" s="33"/>
      <c r="J35" s="32"/>
      <c r="K35" s="1"/>
      <c r="L35" s="1"/>
      <c r="M35" s="1"/>
      <c r="N35" s="34"/>
      <c r="O35" s="1"/>
      <c r="P35" s="1"/>
      <c r="Q35" s="1"/>
      <c r="R35" s="1"/>
      <c r="S35" s="1"/>
      <c r="T35" s="1"/>
      <c r="U35" s="82"/>
      <c r="V35" s="2"/>
      <c r="W35" s="2"/>
      <c r="X35" s="35"/>
      <c r="Y35" s="36"/>
      <c r="Z35" s="37"/>
      <c r="AA35" s="38"/>
      <c r="AB35" s="38"/>
      <c r="AC35" s="39"/>
      <c r="AD35" s="86"/>
      <c r="AE35" s="32"/>
      <c r="AF35" s="37"/>
      <c r="AG35" s="3"/>
      <c r="AH35" s="40"/>
      <c r="AI35" s="41"/>
      <c r="AJ35" s="42"/>
    </row>
    <row r="36" spans="1:36">
      <c r="A36" s="42"/>
      <c r="B36" s="31"/>
      <c r="C36" s="31"/>
      <c r="D36" s="32"/>
      <c r="E36" s="32"/>
      <c r="F36" s="32"/>
      <c r="G36" s="32"/>
      <c r="H36" s="32"/>
      <c r="I36" s="33"/>
      <c r="J36" s="32"/>
      <c r="K36" s="1"/>
      <c r="L36" s="1"/>
      <c r="M36" s="1"/>
      <c r="N36" s="34"/>
      <c r="O36" s="1"/>
      <c r="P36" s="1"/>
      <c r="Q36" s="1"/>
      <c r="R36" s="1"/>
      <c r="S36" s="1"/>
      <c r="T36" s="1"/>
      <c r="U36" s="82"/>
      <c r="V36" s="2"/>
      <c r="W36" s="2"/>
      <c r="X36" s="35"/>
      <c r="Y36" s="36"/>
      <c r="Z36" s="37"/>
      <c r="AA36" s="38"/>
      <c r="AB36" s="38"/>
      <c r="AC36" s="39"/>
      <c r="AD36" s="86"/>
      <c r="AE36" s="32"/>
      <c r="AF36" s="37"/>
      <c r="AG36" s="3"/>
      <c r="AH36" s="40"/>
      <c r="AI36" s="41"/>
      <c r="AJ36" s="42"/>
    </row>
    <row r="37" spans="1:36">
      <c r="A37" s="42"/>
      <c r="B37" s="31"/>
      <c r="C37" s="31"/>
      <c r="D37" s="32"/>
      <c r="E37" s="32"/>
      <c r="F37" s="32"/>
      <c r="G37" s="32"/>
      <c r="H37" s="32"/>
      <c r="I37" s="33"/>
      <c r="J37" s="32"/>
      <c r="K37" s="1"/>
      <c r="L37" s="1"/>
      <c r="M37" s="1"/>
      <c r="N37" s="34"/>
      <c r="O37" s="1"/>
      <c r="P37" s="1"/>
      <c r="Q37" s="1"/>
      <c r="R37" s="1"/>
      <c r="S37" s="1"/>
      <c r="T37" s="1"/>
      <c r="U37" s="82"/>
      <c r="V37" s="2"/>
      <c r="W37" s="2"/>
      <c r="X37" s="35"/>
      <c r="Y37" s="36"/>
      <c r="Z37" s="37"/>
      <c r="AA37" s="38"/>
      <c r="AB37" s="38"/>
      <c r="AC37" s="39"/>
      <c r="AD37" s="86"/>
      <c r="AE37" s="32"/>
      <c r="AF37" s="37"/>
      <c r="AG37" s="3"/>
      <c r="AH37" s="40"/>
      <c r="AI37" s="41"/>
      <c r="AJ37" s="42"/>
    </row>
    <row r="38" spans="1:36">
      <c r="A38" s="42"/>
      <c r="B38" s="31"/>
      <c r="C38" s="31"/>
      <c r="D38" s="32"/>
      <c r="E38" s="32"/>
      <c r="F38" s="32"/>
      <c r="G38" s="32"/>
      <c r="H38" s="32"/>
      <c r="I38" s="33"/>
      <c r="J38" s="32"/>
      <c r="K38" s="1"/>
      <c r="L38" s="1"/>
      <c r="M38" s="1"/>
      <c r="N38" s="34"/>
      <c r="O38" s="1"/>
      <c r="P38" s="1"/>
      <c r="Q38" s="1"/>
      <c r="R38" s="1"/>
      <c r="S38" s="1"/>
      <c r="T38" s="1"/>
      <c r="U38" s="82"/>
      <c r="V38" s="2"/>
      <c r="W38" s="2"/>
      <c r="X38" s="35"/>
      <c r="Y38" s="36"/>
      <c r="Z38" s="37"/>
      <c r="AA38" s="38"/>
      <c r="AB38" s="38"/>
      <c r="AC38" s="39"/>
      <c r="AD38" s="86"/>
      <c r="AE38" s="32"/>
      <c r="AF38" s="37"/>
      <c r="AG38" s="3"/>
      <c r="AH38" s="40"/>
      <c r="AI38" s="41"/>
      <c r="AJ38" s="42"/>
    </row>
    <row r="39" spans="1:36">
      <c r="A39" s="42"/>
      <c r="B39" s="31"/>
      <c r="C39" s="31"/>
      <c r="D39" s="32"/>
      <c r="E39" s="32"/>
      <c r="F39" s="32"/>
      <c r="G39" s="32"/>
      <c r="H39" s="32"/>
      <c r="I39" s="33"/>
      <c r="J39" s="32"/>
      <c r="K39" s="1"/>
      <c r="L39" s="1"/>
      <c r="M39" s="1"/>
      <c r="N39" s="34"/>
      <c r="O39" s="1"/>
      <c r="P39" s="1"/>
      <c r="Q39" s="1"/>
      <c r="R39" s="1"/>
      <c r="S39" s="1"/>
      <c r="T39" s="1"/>
      <c r="U39" s="82"/>
      <c r="V39" s="2"/>
      <c r="W39" s="2"/>
      <c r="X39" s="35"/>
      <c r="Y39" s="36"/>
      <c r="Z39" s="37"/>
      <c r="AA39" s="38"/>
      <c r="AB39" s="38"/>
      <c r="AC39" s="39"/>
      <c r="AD39" s="86"/>
      <c r="AE39" s="32"/>
      <c r="AF39" s="37"/>
      <c r="AG39" s="3"/>
      <c r="AH39" s="40"/>
      <c r="AI39" s="41"/>
      <c r="AJ39" s="42"/>
    </row>
    <row r="40" spans="1:36">
      <c r="A40" s="42"/>
      <c r="B40" s="31"/>
      <c r="C40" s="31"/>
      <c r="D40" s="32"/>
      <c r="E40" s="32"/>
      <c r="F40" s="32"/>
      <c r="G40" s="32"/>
      <c r="H40" s="32"/>
      <c r="I40" s="33"/>
      <c r="J40" s="32"/>
      <c r="K40" s="1"/>
      <c r="L40" s="1"/>
      <c r="M40" s="1"/>
      <c r="N40" s="34"/>
      <c r="O40" s="1"/>
      <c r="P40" s="1"/>
      <c r="Q40" s="1"/>
      <c r="R40" s="1"/>
      <c r="S40" s="1"/>
      <c r="T40" s="1"/>
      <c r="U40" s="82"/>
      <c r="V40" s="2"/>
      <c r="W40" s="2"/>
      <c r="X40" s="35"/>
      <c r="Y40" s="36"/>
      <c r="Z40" s="37"/>
      <c r="AA40" s="38"/>
      <c r="AB40" s="38"/>
      <c r="AC40" s="39"/>
      <c r="AD40" s="86"/>
      <c r="AE40" s="32"/>
      <c r="AF40" s="37"/>
      <c r="AG40" s="3"/>
      <c r="AH40" s="40"/>
      <c r="AI40" s="41"/>
      <c r="AJ40" s="42"/>
    </row>
    <row r="41" spans="1:36">
      <c r="A41" s="42"/>
      <c r="B41" s="31"/>
      <c r="C41" s="31"/>
      <c r="D41" s="32"/>
      <c r="E41" s="32"/>
      <c r="F41" s="32"/>
      <c r="G41" s="32"/>
      <c r="H41" s="32"/>
      <c r="I41" s="33"/>
      <c r="J41" s="32"/>
      <c r="K41" s="1"/>
      <c r="L41" s="1"/>
      <c r="M41" s="1"/>
      <c r="N41" s="34"/>
      <c r="O41" s="1"/>
      <c r="P41" s="1"/>
      <c r="Q41" s="1"/>
      <c r="R41" s="1"/>
      <c r="S41" s="1"/>
      <c r="T41" s="1"/>
      <c r="U41" s="82"/>
      <c r="V41" s="2"/>
      <c r="W41" s="2"/>
      <c r="X41" s="35"/>
      <c r="Y41" s="36"/>
      <c r="Z41" s="37"/>
      <c r="AA41" s="38"/>
      <c r="AB41" s="38"/>
      <c r="AC41" s="39"/>
      <c r="AD41" s="86"/>
      <c r="AE41" s="32"/>
      <c r="AF41" s="37"/>
      <c r="AG41" s="3"/>
      <c r="AH41" s="40"/>
      <c r="AI41" s="41"/>
      <c r="AJ41" s="42"/>
    </row>
    <row r="42" spans="1:36">
      <c r="A42" s="42"/>
      <c r="B42" s="31"/>
      <c r="C42" s="31"/>
      <c r="D42" s="32"/>
      <c r="E42" s="32"/>
      <c r="F42" s="32"/>
      <c r="G42" s="32"/>
      <c r="H42" s="32"/>
      <c r="I42" s="33"/>
      <c r="J42" s="32"/>
      <c r="K42" s="1"/>
      <c r="L42" s="1"/>
      <c r="M42" s="1"/>
      <c r="N42" s="34"/>
      <c r="O42" s="1"/>
      <c r="P42" s="1"/>
      <c r="Q42" s="1"/>
      <c r="R42" s="1"/>
      <c r="S42" s="1"/>
      <c r="T42" s="1"/>
      <c r="U42" s="82"/>
      <c r="V42" s="2"/>
      <c r="W42" s="2"/>
      <c r="X42" s="35"/>
      <c r="Y42" s="36"/>
      <c r="Z42" s="37"/>
      <c r="AA42" s="38"/>
      <c r="AB42" s="38"/>
      <c r="AC42" s="39"/>
      <c r="AD42" s="86"/>
      <c r="AE42" s="32"/>
      <c r="AF42" s="37"/>
      <c r="AG42" s="3"/>
      <c r="AH42" s="40"/>
      <c r="AI42" s="41"/>
      <c r="AJ42" s="42"/>
    </row>
    <row r="43" spans="1:36">
      <c r="A43" s="42"/>
      <c r="B43" s="31"/>
      <c r="C43" s="31"/>
      <c r="D43" s="32"/>
      <c r="E43" s="32"/>
      <c r="F43" s="32"/>
      <c r="G43" s="32"/>
      <c r="H43" s="32"/>
      <c r="I43" s="33"/>
      <c r="J43" s="32"/>
      <c r="K43" s="1"/>
      <c r="L43" s="1"/>
      <c r="M43" s="1"/>
      <c r="N43" s="34"/>
      <c r="O43" s="1"/>
      <c r="P43" s="1"/>
      <c r="Q43" s="1"/>
      <c r="R43" s="1"/>
      <c r="S43" s="1"/>
      <c r="T43" s="1"/>
      <c r="U43" s="82"/>
      <c r="V43" s="2"/>
      <c r="W43" s="2"/>
      <c r="X43" s="35"/>
      <c r="Y43" s="36"/>
      <c r="Z43" s="37"/>
      <c r="AA43" s="38"/>
      <c r="AB43" s="38"/>
      <c r="AC43" s="39"/>
      <c r="AD43" s="86"/>
      <c r="AE43" s="32"/>
      <c r="AF43" s="37"/>
      <c r="AG43" s="3"/>
      <c r="AH43" s="40"/>
      <c r="AI43" s="41"/>
      <c r="AJ43" s="42"/>
    </row>
    <row r="44" spans="1:36">
      <c r="A44" s="42"/>
      <c r="B44" s="31"/>
      <c r="C44" s="31"/>
      <c r="D44" s="32"/>
      <c r="E44" s="32"/>
      <c r="F44" s="32"/>
      <c r="G44" s="32"/>
      <c r="H44" s="32"/>
      <c r="I44" s="33"/>
      <c r="J44" s="32"/>
      <c r="K44" s="1"/>
      <c r="L44" s="1"/>
      <c r="M44" s="1"/>
      <c r="N44" s="34"/>
      <c r="O44" s="1"/>
      <c r="P44" s="1"/>
      <c r="Q44" s="1"/>
      <c r="R44" s="1"/>
      <c r="S44" s="1"/>
      <c r="T44" s="1"/>
      <c r="U44" s="82"/>
      <c r="V44" s="2"/>
      <c r="W44" s="2"/>
      <c r="X44" s="35"/>
      <c r="Y44" s="36"/>
      <c r="Z44" s="37"/>
      <c r="AA44" s="38"/>
      <c r="AB44" s="38"/>
      <c r="AC44" s="39"/>
      <c r="AD44" s="86"/>
      <c r="AE44" s="32"/>
      <c r="AF44" s="37"/>
      <c r="AG44" s="3"/>
      <c r="AH44" s="40"/>
      <c r="AI44" s="41"/>
      <c r="AJ44" s="42"/>
    </row>
    <row r="45" spans="1:36">
      <c r="A45" s="42"/>
      <c r="B45" s="31"/>
      <c r="C45" s="31"/>
      <c r="D45" s="32"/>
      <c r="E45" s="32"/>
      <c r="F45" s="32"/>
      <c r="G45" s="32"/>
      <c r="H45" s="32"/>
      <c r="I45" s="33"/>
      <c r="J45" s="32"/>
      <c r="K45" s="1"/>
      <c r="L45" s="1"/>
      <c r="M45" s="1"/>
      <c r="N45" s="34"/>
      <c r="O45" s="1"/>
      <c r="P45" s="1"/>
      <c r="Q45" s="1"/>
      <c r="R45" s="1"/>
      <c r="S45" s="1"/>
      <c r="T45" s="1"/>
      <c r="U45" s="82"/>
      <c r="V45" s="2"/>
      <c r="W45" s="2"/>
      <c r="X45" s="35"/>
      <c r="Y45" s="36"/>
      <c r="Z45" s="37"/>
      <c r="AA45" s="38"/>
      <c r="AB45" s="38"/>
      <c r="AC45" s="39"/>
      <c r="AD45" s="86"/>
      <c r="AE45" s="32"/>
      <c r="AF45" s="37"/>
      <c r="AG45" s="3"/>
      <c r="AH45" s="40"/>
      <c r="AI45" s="41"/>
      <c r="AJ45" s="42"/>
    </row>
    <row r="46" spans="1:36">
      <c r="A46" s="42"/>
      <c r="B46" s="31"/>
      <c r="C46" s="31"/>
      <c r="D46" s="32"/>
      <c r="E46" s="32"/>
      <c r="F46" s="32"/>
      <c r="G46" s="32"/>
      <c r="H46" s="32"/>
      <c r="I46" s="33"/>
      <c r="J46" s="32"/>
      <c r="K46" s="1"/>
      <c r="L46" s="1"/>
      <c r="M46" s="1"/>
      <c r="N46" s="34"/>
      <c r="O46" s="1"/>
      <c r="P46" s="1"/>
      <c r="Q46" s="1"/>
      <c r="R46" s="1"/>
      <c r="S46" s="1"/>
      <c r="T46" s="1"/>
      <c r="U46" s="82"/>
      <c r="V46" s="2"/>
      <c r="W46" s="2"/>
      <c r="X46" s="35"/>
      <c r="Y46" s="36"/>
      <c r="Z46" s="37"/>
      <c r="AA46" s="38"/>
      <c r="AB46" s="38"/>
      <c r="AC46" s="39"/>
      <c r="AD46" s="86"/>
      <c r="AE46" s="32"/>
      <c r="AF46" s="37"/>
      <c r="AG46" s="3"/>
      <c r="AH46" s="40"/>
      <c r="AI46" s="41"/>
      <c r="AJ46" s="42"/>
    </row>
    <row r="47" spans="1:36">
      <c r="A47" s="42"/>
      <c r="B47" s="31"/>
      <c r="C47" s="31"/>
      <c r="D47" s="32"/>
      <c r="E47" s="32"/>
      <c r="F47" s="32"/>
      <c r="G47" s="32"/>
      <c r="H47" s="32"/>
      <c r="I47" s="33"/>
      <c r="J47" s="32"/>
      <c r="K47" s="1"/>
      <c r="L47" s="1"/>
      <c r="M47" s="1"/>
      <c r="N47" s="34"/>
      <c r="O47" s="1"/>
      <c r="P47" s="1"/>
      <c r="Q47" s="1"/>
      <c r="R47" s="1"/>
      <c r="S47" s="1"/>
      <c r="T47" s="1"/>
      <c r="U47" s="82"/>
      <c r="V47" s="2"/>
      <c r="W47" s="2"/>
      <c r="X47" s="35"/>
      <c r="Y47" s="36"/>
      <c r="Z47" s="37"/>
      <c r="AA47" s="38"/>
      <c r="AB47" s="38"/>
      <c r="AC47" s="39"/>
      <c r="AD47" s="86"/>
      <c r="AE47" s="32"/>
      <c r="AF47" s="37"/>
      <c r="AG47" s="3"/>
      <c r="AH47" s="40"/>
      <c r="AI47" s="41"/>
      <c r="AJ47" s="42"/>
    </row>
    <row r="48" spans="1:36">
      <c r="A48" s="42"/>
      <c r="B48" s="31"/>
      <c r="C48" s="31"/>
      <c r="D48" s="32"/>
      <c r="E48" s="32"/>
      <c r="F48" s="32"/>
      <c r="G48" s="32"/>
      <c r="H48" s="32"/>
      <c r="I48" s="33"/>
      <c r="J48" s="32"/>
      <c r="K48" s="1"/>
      <c r="L48" s="1"/>
      <c r="M48" s="1"/>
      <c r="N48" s="34"/>
      <c r="O48" s="1"/>
      <c r="P48" s="1"/>
      <c r="Q48" s="1"/>
      <c r="R48" s="1"/>
      <c r="S48" s="1"/>
      <c r="T48" s="1"/>
      <c r="U48" s="82"/>
      <c r="V48" s="2"/>
      <c r="W48" s="2"/>
      <c r="X48" s="35"/>
      <c r="Y48" s="36"/>
      <c r="Z48" s="37"/>
      <c r="AA48" s="38"/>
      <c r="AB48" s="38"/>
      <c r="AC48" s="39"/>
      <c r="AD48" s="86"/>
      <c r="AE48" s="32"/>
      <c r="AF48" s="37"/>
      <c r="AG48" s="3"/>
      <c r="AH48" s="40"/>
      <c r="AI48" s="41"/>
      <c r="AJ48" s="42"/>
    </row>
    <row r="49" spans="1:36">
      <c r="A49" s="42"/>
      <c r="B49" s="31"/>
      <c r="C49" s="31"/>
      <c r="D49" s="32"/>
      <c r="E49" s="32"/>
      <c r="F49" s="32"/>
      <c r="G49" s="32"/>
      <c r="H49" s="32"/>
      <c r="I49" s="33"/>
      <c r="J49" s="32"/>
      <c r="K49" s="1"/>
      <c r="L49" s="1"/>
      <c r="M49" s="1"/>
      <c r="N49" s="34"/>
      <c r="O49" s="1"/>
      <c r="P49" s="1"/>
      <c r="Q49" s="1"/>
      <c r="R49" s="1"/>
      <c r="S49" s="1"/>
      <c r="T49" s="1"/>
      <c r="U49" s="82"/>
      <c r="V49" s="2"/>
      <c r="W49" s="2"/>
      <c r="X49" s="35"/>
      <c r="Y49" s="36"/>
      <c r="Z49" s="37"/>
      <c r="AA49" s="38"/>
      <c r="AB49" s="38"/>
      <c r="AC49" s="39"/>
      <c r="AD49" s="86"/>
      <c r="AE49" s="32"/>
      <c r="AF49" s="37"/>
      <c r="AG49" s="3"/>
      <c r="AH49" s="40"/>
      <c r="AI49" s="41"/>
      <c r="AJ49" s="42"/>
    </row>
    <row r="50" spans="1:36">
      <c r="A50" s="42"/>
      <c r="B50" s="31"/>
      <c r="C50" s="31"/>
      <c r="D50" s="32"/>
      <c r="E50" s="32"/>
      <c r="F50" s="32"/>
      <c r="G50" s="32"/>
      <c r="H50" s="32"/>
      <c r="I50" s="33"/>
      <c r="J50" s="32"/>
      <c r="K50" s="1"/>
      <c r="L50" s="1"/>
      <c r="M50" s="1"/>
      <c r="N50" s="34"/>
      <c r="O50" s="1"/>
      <c r="P50" s="1"/>
      <c r="Q50" s="1"/>
      <c r="R50" s="1"/>
      <c r="S50" s="1"/>
      <c r="T50" s="1"/>
      <c r="U50" s="82"/>
      <c r="V50" s="2"/>
      <c r="W50" s="2"/>
      <c r="X50" s="35"/>
      <c r="Y50" s="36"/>
      <c r="Z50" s="37"/>
      <c r="AA50" s="38"/>
      <c r="AB50" s="38"/>
      <c r="AC50" s="39"/>
      <c r="AD50" s="86"/>
      <c r="AE50" s="32"/>
      <c r="AF50" s="37"/>
      <c r="AG50" s="3"/>
      <c r="AH50" s="40"/>
      <c r="AI50" s="41"/>
      <c r="AJ50" s="42"/>
    </row>
    <row r="51" spans="1:36">
      <c r="A51" s="42"/>
      <c r="B51" s="31"/>
      <c r="C51" s="31"/>
      <c r="D51" s="32"/>
      <c r="E51" s="32"/>
      <c r="F51" s="32"/>
      <c r="G51" s="32"/>
      <c r="H51" s="32"/>
      <c r="I51" s="33"/>
      <c r="J51" s="32"/>
      <c r="K51" s="1"/>
      <c r="L51" s="1"/>
      <c r="M51" s="1"/>
      <c r="N51" s="34"/>
      <c r="O51" s="1"/>
      <c r="P51" s="1"/>
      <c r="Q51" s="1"/>
      <c r="R51" s="1"/>
      <c r="S51" s="1"/>
      <c r="T51" s="1"/>
      <c r="U51" s="82"/>
      <c r="V51" s="2"/>
      <c r="W51" s="2"/>
      <c r="X51" s="35"/>
      <c r="Y51" s="36"/>
      <c r="Z51" s="37"/>
      <c r="AA51" s="38"/>
      <c r="AB51" s="38"/>
      <c r="AC51" s="39"/>
      <c r="AD51" s="86"/>
      <c r="AE51" s="32"/>
      <c r="AF51" s="37"/>
      <c r="AG51" s="3"/>
      <c r="AH51" s="40"/>
      <c r="AI51" s="41"/>
      <c r="AJ51" s="42"/>
    </row>
    <row r="52" spans="1:36">
      <c r="A52" s="42"/>
      <c r="B52" s="31"/>
      <c r="C52" s="31"/>
      <c r="D52" s="32"/>
      <c r="E52" s="32"/>
      <c r="F52" s="32"/>
      <c r="G52" s="32"/>
      <c r="H52" s="32"/>
      <c r="I52" s="33"/>
      <c r="J52" s="32"/>
      <c r="K52" s="1"/>
      <c r="L52" s="1"/>
      <c r="M52" s="1"/>
      <c r="N52" s="34"/>
      <c r="O52" s="1"/>
      <c r="P52" s="1"/>
      <c r="Q52" s="1"/>
      <c r="R52" s="1"/>
      <c r="S52" s="1"/>
      <c r="T52" s="1"/>
      <c r="U52" s="82"/>
      <c r="V52" s="2"/>
      <c r="W52" s="2"/>
      <c r="X52" s="35"/>
      <c r="Y52" s="36"/>
      <c r="Z52" s="37"/>
      <c r="AA52" s="38"/>
      <c r="AB52" s="38"/>
      <c r="AC52" s="39"/>
      <c r="AD52" s="86"/>
      <c r="AE52" s="32"/>
      <c r="AF52" s="37"/>
      <c r="AG52" s="3"/>
      <c r="AH52" s="40"/>
      <c r="AI52" s="41"/>
      <c r="AJ52" s="42"/>
    </row>
    <row r="53" spans="1:36">
      <c r="A53" s="42"/>
      <c r="B53" s="31"/>
      <c r="C53" s="31"/>
      <c r="D53" s="32"/>
      <c r="E53" s="32"/>
      <c r="F53" s="32"/>
      <c r="G53" s="32"/>
      <c r="H53" s="32"/>
      <c r="I53" s="33"/>
      <c r="J53" s="32"/>
      <c r="K53" s="1"/>
      <c r="L53" s="1"/>
      <c r="M53" s="1"/>
      <c r="N53" s="34"/>
      <c r="O53" s="1"/>
      <c r="P53" s="1"/>
      <c r="Q53" s="1"/>
      <c r="R53" s="1"/>
      <c r="S53" s="1"/>
      <c r="T53" s="1"/>
      <c r="U53" s="82"/>
      <c r="V53" s="2"/>
      <c r="W53" s="2"/>
      <c r="X53" s="35"/>
      <c r="Y53" s="36"/>
      <c r="Z53" s="37"/>
      <c r="AA53" s="38"/>
      <c r="AB53" s="38"/>
      <c r="AC53" s="39"/>
      <c r="AD53" s="86"/>
      <c r="AE53" s="32"/>
      <c r="AF53" s="37"/>
      <c r="AG53" s="3"/>
      <c r="AH53" s="40"/>
      <c r="AI53" s="41"/>
      <c r="AJ53" s="42"/>
    </row>
    <row r="54" spans="1:36">
      <c r="A54" s="42"/>
      <c r="B54" s="31"/>
      <c r="C54" s="31"/>
      <c r="D54" s="32"/>
      <c r="E54" s="32"/>
      <c r="F54" s="32"/>
      <c r="G54" s="32"/>
      <c r="H54" s="32"/>
      <c r="I54" s="33"/>
      <c r="J54" s="32"/>
      <c r="K54" s="1"/>
      <c r="L54" s="1"/>
      <c r="M54" s="1"/>
      <c r="N54" s="34"/>
      <c r="O54" s="1"/>
      <c r="P54" s="1"/>
      <c r="Q54" s="1"/>
      <c r="R54" s="1"/>
      <c r="S54" s="1"/>
      <c r="T54" s="1"/>
      <c r="U54" s="82"/>
      <c r="V54" s="2"/>
      <c r="W54" s="2"/>
      <c r="X54" s="35"/>
      <c r="Y54" s="36"/>
      <c r="Z54" s="37"/>
      <c r="AA54" s="38"/>
      <c r="AB54" s="38"/>
      <c r="AC54" s="39"/>
      <c r="AD54" s="86"/>
      <c r="AE54" s="32"/>
      <c r="AF54" s="37"/>
      <c r="AG54" s="3"/>
      <c r="AH54" s="40"/>
      <c r="AI54" s="41"/>
      <c r="AJ54" s="42"/>
    </row>
    <row r="55" spans="1:36">
      <c r="A55" s="42"/>
      <c r="B55" s="31"/>
      <c r="C55" s="31"/>
      <c r="D55" s="32"/>
      <c r="E55" s="32"/>
      <c r="F55" s="32"/>
      <c r="G55" s="32"/>
      <c r="H55" s="32"/>
      <c r="I55" s="33"/>
      <c r="J55" s="32"/>
      <c r="K55" s="1"/>
      <c r="L55" s="1"/>
      <c r="M55" s="1"/>
      <c r="N55" s="34"/>
      <c r="O55" s="1"/>
      <c r="P55" s="1"/>
      <c r="Q55" s="1"/>
      <c r="R55" s="1"/>
      <c r="S55" s="1"/>
      <c r="T55" s="1"/>
      <c r="U55" s="82"/>
      <c r="V55" s="2"/>
      <c r="W55" s="2"/>
      <c r="X55" s="35"/>
      <c r="Y55" s="36"/>
      <c r="Z55" s="37"/>
      <c r="AA55" s="38"/>
      <c r="AB55" s="38"/>
      <c r="AC55" s="39"/>
      <c r="AD55" s="86"/>
      <c r="AE55" s="32"/>
      <c r="AF55" s="37"/>
      <c r="AG55" s="3"/>
      <c r="AH55" s="40"/>
      <c r="AI55" s="41"/>
      <c r="AJ55" s="42"/>
    </row>
    <row r="56" spans="1:36">
      <c r="A56" s="42"/>
      <c r="B56" s="31"/>
      <c r="C56" s="31"/>
      <c r="D56" s="32"/>
      <c r="E56" s="32"/>
      <c r="F56" s="32"/>
      <c r="G56" s="32"/>
      <c r="H56" s="32"/>
      <c r="I56" s="33"/>
      <c r="J56" s="32"/>
      <c r="K56" s="1"/>
      <c r="L56" s="1"/>
      <c r="M56" s="1"/>
      <c r="N56" s="34"/>
      <c r="O56" s="1"/>
      <c r="P56" s="1"/>
      <c r="Q56" s="1"/>
      <c r="R56" s="1"/>
      <c r="S56" s="1"/>
      <c r="T56" s="1"/>
      <c r="U56" s="82"/>
      <c r="V56" s="2"/>
      <c r="W56" s="2"/>
      <c r="X56" s="35"/>
      <c r="Y56" s="36"/>
      <c r="Z56" s="37"/>
      <c r="AA56" s="38"/>
      <c r="AB56" s="38"/>
      <c r="AC56" s="39"/>
      <c r="AD56" s="86"/>
      <c r="AE56" s="32"/>
      <c r="AF56" s="37"/>
      <c r="AG56" s="3"/>
      <c r="AH56" s="40"/>
      <c r="AI56" s="41"/>
      <c r="AJ56" s="42"/>
    </row>
    <row r="57" spans="1:36">
      <c r="A57" s="42"/>
      <c r="B57" s="31"/>
      <c r="C57" s="31"/>
      <c r="D57" s="32"/>
      <c r="E57" s="32"/>
      <c r="F57" s="32"/>
      <c r="G57" s="32"/>
      <c r="H57" s="32"/>
      <c r="I57" s="33"/>
      <c r="J57" s="32"/>
      <c r="K57" s="1"/>
      <c r="L57" s="1"/>
      <c r="M57" s="1"/>
      <c r="N57" s="34"/>
      <c r="O57" s="1"/>
      <c r="P57" s="1"/>
      <c r="Q57" s="1"/>
      <c r="R57" s="1"/>
      <c r="S57" s="1"/>
      <c r="T57" s="1"/>
      <c r="U57" s="82"/>
      <c r="V57" s="2"/>
      <c r="W57" s="2"/>
      <c r="X57" s="35"/>
      <c r="Y57" s="36"/>
      <c r="Z57" s="37"/>
      <c r="AA57" s="38"/>
      <c r="AB57" s="38"/>
      <c r="AC57" s="39"/>
      <c r="AD57" s="86"/>
      <c r="AE57" s="32"/>
      <c r="AF57" s="37"/>
      <c r="AG57" s="3"/>
      <c r="AH57" s="40"/>
      <c r="AI57" s="41"/>
      <c r="AJ57" s="42"/>
    </row>
    <row r="58" spans="1:36">
      <c r="A58" s="42"/>
      <c r="B58" s="31"/>
      <c r="C58" s="31"/>
      <c r="D58" s="32"/>
      <c r="E58" s="32"/>
      <c r="F58" s="32"/>
      <c r="G58" s="32"/>
      <c r="H58" s="32"/>
      <c r="I58" s="33"/>
      <c r="J58" s="32"/>
      <c r="K58" s="1"/>
      <c r="L58" s="1"/>
      <c r="M58" s="1"/>
      <c r="N58" s="34"/>
      <c r="O58" s="1"/>
      <c r="P58" s="1"/>
      <c r="Q58" s="1"/>
      <c r="R58" s="1"/>
      <c r="S58" s="1"/>
      <c r="T58" s="1"/>
      <c r="U58" s="82"/>
      <c r="V58" s="2"/>
      <c r="W58" s="2"/>
      <c r="X58" s="35"/>
      <c r="Y58" s="36"/>
      <c r="Z58" s="37"/>
      <c r="AA58" s="38"/>
      <c r="AB58" s="38"/>
      <c r="AC58" s="39"/>
      <c r="AD58" s="86"/>
      <c r="AE58" s="32"/>
      <c r="AF58" s="37"/>
      <c r="AG58" s="3"/>
      <c r="AH58" s="40"/>
      <c r="AI58" s="41"/>
      <c r="AJ58" s="42"/>
    </row>
    <row r="59" spans="1:36">
      <c r="A59" s="42"/>
      <c r="B59" s="31"/>
      <c r="C59" s="31"/>
      <c r="D59" s="32"/>
      <c r="E59" s="32"/>
      <c r="F59" s="32"/>
      <c r="G59" s="32"/>
      <c r="H59" s="32"/>
      <c r="I59" s="33"/>
      <c r="J59" s="32"/>
      <c r="K59" s="1"/>
      <c r="L59" s="1"/>
      <c r="M59" s="1"/>
      <c r="N59" s="34"/>
      <c r="O59" s="1"/>
      <c r="P59" s="1"/>
      <c r="Q59" s="1"/>
      <c r="R59" s="1"/>
      <c r="S59" s="1"/>
      <c r="T59" s="1"/>
      <c r="U59" s="82"/>
      <c r="V59" s="2"/>
      <c r="W59" s="2"/>
      <c r="X59" s="35"/>
      <c r="Y59" s="36"/>
      <c r="Z59" s="37"/>
      <c r="AA59" s="38"/>
      <c r="AB59" s="38"/>
      <c r="AC59" s="39"/>
      <c r="AD59" s="86"/>
      <c r="AE59" s="32"/>
      <c r="AF59" s="37"/>
      <c r="AG59" s="3"/>
      <c r="AH59" s="40"/>
      <c r="AI59" s="41"/>
      <c r="AJ59" s="42"/>
    </row>
    <row r="60" spans="1:36">
      <c r="A60" s="42"/>
      <c r="B60" s="31"/>
      <c r="C60" s="31"/>
      <c r="D60" s="32"/>
      <c r="E60" s="32"/>
      <c r="F60" s="32"/>
      <c r="G60" s="32"/>
      <c r="H60" s="32"/>
      <c r="I60" s="33"/>
      <c r="J60" s="32"/>
      <c r="K60" s="1"/>
      <c r="L60" s="1"/>
      <c r="M60" s="1"/>
      <c r="N60" s="34"/>
      <c r="O60" s="1"/>
      <c r="P60" s="1"/>
      <c r="Q60" s="1"/>
      <c r="R60" s="1"/>
      <c r="S60" s="1"/>
      <c r="T60" s="1"/>
      <c r="U60" s="82"/>
      <c r="V60" s="2"/>
      <c r="W60" s="2"/>
      <c r="X60" s="35"/>
      <c r="Y60" s="36"/>
      <c r="Z60" s="37"/>
      <c r="AA60" s="38"/>
      <c r="AB60" s="38"/>
      <c r="AC60" s="39"/>
      <c r="AD60" s="86"/>
      <c r="AE60" s="32"/>
      <c r="AF60" s="37"/>
      <c r="AG60" s="3"/>
      <c r="AH60" s="40"/>
      <c r="AI60" s="41"/>
      <c r="AJ60" s="42"/>
    </row>
    <row r="61" spans="1:36">
      <c r="A61" s="42"/>
      <c r="B61" s="31"/>
      <c r="C61" s="31"/>
      <c r="D61" s="32"/>
      <c r="E61" s="32"/>
      <c r="F61" s="32"/>
      <c r="G61" s="32"/>
      <c r="H61" s="32"/>
      <c r="I61" s="33"/>
      <c r="J61" s="32"/>
      <c r="K61" s="1"/>
      <c r="L61" s="1"/>
      <c r="M61" s="1"/>
      <c r="N61" s="34"/>
      <c r="O61" s="1"/>
      <c r="P61" s="1"/>
      <c r="Q61" s="1"/>
      <c r="R61" s="1"/>
      <c r="S61" s="1"/>
      <c r="T61" s="1"/>
      <c r="U61" s="82"/>
      <c r="V61" s="2"/>
      <c r="W61" s="2"/>
      <c r="X61" s="35"/>
      <c r="Y61" s="36"/>
      <c r="Z61" s="37"/>
      <c r="AA61" s="38"/>
      <c r="AB61" s="38"/>
      <c r="AC61" s="39"/>
      <c r="AD61" s="86"/>
      <c r="AE61" s="32"/>
      <c r="AF61" s="37"/>
      <c r="AG61" s="3"/>
      <c r="AH61" s="40"/>
      <c r="AI61" s="41"/>
      <c r="AJ61" s="42"/>
    </row>
    <row r="62" spans="1:36">
      <c r="A62" s="42"/>
      <c r="B62" s="31"/>
      <c r="C62" s="31"/>
      <c r="D62" s="32"/>
      <c r="E62" s="32"/>
      <c r="F62" s="32"/>
      <c r="G62" s="32"/>
      <c r="H62" s="32"/>
      <c r="I62" s="33"/>
      <c r="J62" s="32"/>
      <c r="K62" s="1"/>
      <c r="L62" s="1"/>
      <c r="M62" s="1"/>
      <c r="N62" s="34"/>
      <c r="O62" s="1"/>
      <c r="P62" s="1"/>
      <c r="Q62" s="1"/>
      <c r="R62" s="1"/>
      <c r="S62" s="1"/>
      <c r="T62" s="1"/>
      <c r="U62" s="82"/>
      <c r="V62" s="2"/>
      <c r="W62" s="2"/>
      <c r="X62" s="35"/>
      <c r="Y62" s="36"/>
      <c r="Z62" s="37"/>
      <c r="AA62" s="38"/>
      <c r="AB62" s="38"/>
      <c r="AC62" s="39"/>
      <c r="AD62" s="86"/>
      <c r="AE62" s="32"/>
      <c r="AF62" s="37"/>
      <c r="AG62" s="3"/>
      <c r="AH62" s="40"/>
      <c r="AI62" s="41"/>
      <c r="AJ62" s="42"/>
    </row>
    <row r="63" spans="1:36">
      <c r="A63" s="42"/>
      <c r="B63" s="31"/>
      <c r="C63" s="31"/>
      <c r="D63" s="32"/>
      <c r="E63" s="32"/>
      <c r="F63" s="32"/>
      <c r="G63" s="32"/>
      <c r="H63" s="32"/>
      <c r="I63" s="33"/>
      <c r="J63" s="32"/>
      <c r="K63" s="1"/>
      <c r="L63" s="1"/>
      <c r="M63" s="1"/>
      <c r="N63" s="34"/>
      <c r="O63" s="1"/>
      <c r="P63" s="1"/>
      <c r="Q63" s="1"/>
      <c r="R63" s="1"/>
      <c r="S63" s="1"/>
      <c r="T63" s="1"/>
      <c r="U63" s="82"/>
      <c r="V63" s="2"/>
      <c r="W63" s="2"/>
      <c r="X63" s="35"/>
      <c r="Y63" s="36"/>
      <c r="Z63" s="37"/>
      <c r="AA63" s="38"/>
      <c r="AB63" s="38"/>
      <c r="AC63" s="39"/>
      <c r="AD63" s="86"/>
      <c r="AE63" s="32"/>
      <c r="AF63" s="37"/>
      <c r="AG63" s="3"/>
      <c r="AH63" s="40"/>
      <c r="AI63" s="41"/>
      <c r="AJ63" s="42"/>
    </row>
    <row r="64" spans="1:36">
      <c r="A64" s="42"/>
      <c r="B64" s="31"/>
      <c r="C64" s="31"/>
      <c r="D64" s="32"/>
      <c r="E64" s="32"/>
      <c r="F64" s="32"/>
      <c r="G64" s="32"/>
      <c r="H64" s="32"/>
      <c r="I64" s="33"/>
      <c r="J64" s="32"/>
      <c r="K64" s="1"/>
      <c r="L64" s="1"/>
      <c r="M64" s="1"/>
      <c r="N64" s="34"/>
      <c r="O64" s="1"/>
      <c r="P64" s="1"/>
      <c r="Q64" s="1"/>
      <c r="R64" s="1"/>
      <c r="S64" s="1"/>
      <c r="T64" s="1"/>
      <c r="U64" s="82"/>
      <c r="V64" s="2"/>
      <c r="W64" s="2"/>
      <c r="X64" s="35"/>
      <c r="Y64" s="36"/>
      <c r="Z64" s="37"/>
      <c r="AA64" s="38"/>
      <c r="AB64" s="38"/>
      <c r="AC64" s="39"/>
      <c r="AD64" s="86"/>
      <c r="AE64" s="32"/>
      <c r="AF64" s="37"/>
      <c r="AG64" s="3"/>
      <c r="AH64" s="40"/>
      <c r="AI64" s="41"/>
      <c r="AJ64" s="42"/>
    </row>
    <row r="65" spans="1:36">
      <c r="A65" s="42"/>
      <c r="B65" s="31"/>
      <c r="C65" s="31"/>
      <c r="D65" s="32"/>
      <c r="E65" s="32"/>
      <c r="F65" s="32"/>
      <c r="G65" s="32"/>
      <c r="H65" s="32"/>
      <c r="I65" s="33"/>
      <c r="J65" s="32"/>
      <c r="K65" s="1"/>
      <c r="L65" s="1"/>
      <c r="M65" s="1"/>
      <c r="N65" s="34"/>
      <c r="O65" s="1"/>
      <c r="P65" s="1"/>
      <c r="Q65" s="1"/>
      <c r="R65" s="1"/>
      <c r="S65" s="1"/>
      <c r="T65" s="1"/>
      <c r="U65" s="82"/>
      <c r="V65" s="2"/>
      <c r="W65" s="2"/>
      <c r="X65" s="35"/>
      <c r="Y65" s="36"/>
      <c r="Z65" s="37"/>
      <c r="AA65" s="38"/>
      <c r="AB65" s="38"/>
      <c r="AC65" s="39"/>
      <c r="AD65" s="86"/>
      <c r="AE65" s="32"/>
      <c r="AF65" s="37"/>
      <c r="AG65" s="3"/>
      <c r="AH65" s="40"/>
      <c r="AI65" s="41"/>
      <c r="AJ65" s="42"/>
    </row>
    <row r="66" spans="1:36">
      <c r="A66" s="42"/>
      <c r="B66" s="31"/>
      <c r="C66" s="31"/>
      <c r="D66" s="32"/>
      <c r="E66" s="32"/>
      <c r="F66" s="32"/>
      <c r="G66" s="32"/>
      <c r="H66" s="32"/>
      <c r="I66" s="33"/>
      <c r="J66" s="32"/>
      <c r="K66" s="1"/>
      <c r="L66" s="1"/>
      <c r="M66" s="1"/>
      <c r="N66" s="34"/>
      <c r="O66" s="1"/>
      <c r="P66" s="1"/>
      <c r="Q66" s="1"/>
      <c r="R66" s="1"/>
      <c r="S66" s="1"/>
      <c r="T66" s="1"/>
      <c r="U66" s="82"/>
      <c r="V66" s="2"/>
      <c r="W66" s="2"/>
      <c r="X66" s="35"/>
      <c r="Y66" s="36"/>
      <c r="Z66" s="37"/>
      <c r="AA66" s="38"/>
      <c r="AB66" s="38"/>
      <c r="AC66" s="39"/>
      <c r="AD66" s="86"/>
      <c r="AE66" s="32"/>
      <c r="AF66" s="37"/>
      <c r="AG66" s="3"/>
      <c r="AH66" s="40"/>
      <c r="AI66" s="41"/>
      <c r="AJ66" s="42"/>
    </row>
    <row r="67" spans="1:36">
      <c r="A67" s="42"/>
      <c r="B67" s="31"/>
      <c r="C67" s="31"/>
      <c r="D67" s="32"/>
      <c r="E67" s="32"/>
      <c r="F67" s="32"/>
      <c r="G67" s="32"/>
      <c r="H67" s="32"/>
      <c r="I67" s="33"/>
      <c r="J67" s="32"/>
      <c r="K67" s="1"/>
      <c r="L67" s="1"/>
      <c r="M67" s="1"/>
      <c r="N67" s="34"/>
      <c r="O67" s="1"/>
      <c r="P67" s="1"/>
      <c r="Q67" s="1"/>
      <c r="R67" s="1"/>
      <c r="S67" s="1"/>
      <c r="T67" s="1"/>
      <c r="U67" s="82"/>
      <c r="V67" s="2"/>
      <c r="W67" s="2"/>
      <c r="X67" s="35"/>
      <c r="Y67" s="36"/>
      <c r="Z67" s="37"/>
      <c r="AA67" s="38"/>
      <c r="AB67" s="38"/>
      <c r="AC67" s="39"/>
      <c r="AD67" s="86"/>
      <c r="AE67" s="32"/>
      <c r="AF67" s="37"/>
      <c r="AG67" s="3"/>
      <c r="AH67" s="40"/>
      <c r="AI67" s="41"/>
      <c r="AJ67" s="42"/>
    </row>
    <row r="68" spans="1:36">
      <c r="A68" s="42"/>
      <c r="B68" s="31"/>
      <c r="C68" s="31"/>
      <c r="D68" s="32"/>
      <c r="E68" s="32"/>
      <c r="F68" s="32"/>
      <c r="G68" s="32"/>
      <c r="H68" s="32"/>
      <c r="I68" s="33"/>
      <c r="J68" s="32"/>
      <c r="K68" s="1"/>
      <c r="L68" s="1"/>
      <c r="M68" s="1"/>
      <c r="N68" s="34"/>
      <c r="O68" s="1"/>
      <c r="P68" s="1"/>
      <c r="Q68" s="1"/>
      <c r="R68" s="1"/>
      <c r="S68" s="1"/>
      <c r="T68" s="1"/>
      <c r="U68" s="82"/>
      <c r="V68" s="2"/>
      <c r="W68" s="2"/>
      <c r="X68" s="35"/>
      <c r="Y68" s="36"/>
      <c r="Z68" s="37"/>
      <c r="AA68" s="38"/>
      <c r="AB68" s="38"/>
      <c r="AC68" s="39"/>
      <c r="AD68" s="86"/>
      <c r="AE68" s="32"/>
      <c r="AF68" s="37"/>
      <c r="AG68" s="3"/>
      <c r="AH68" s="40"/>
      <c r="AI68" s="41"/>
      <c r="AJ68" s="42"/>
    </row>
    <row r="69" spans="1:36">
      <c r="A69" s="42"/>
      <c r="B69" s="31"/>
      <c r="C69" s="31"/>
      <c r="D69" s="32"/>
      <c r="E69" s="32"/>
      <c r="F69" s="32"/>
      <c r="G69" s="32"/>
      <c r="H69" s="32"/>
      <c r="I69" s="33"/>
      <c r="J69" s="32"/>
      <c r="K69" s="1"/>
      <c r="L69" s="1"/>
      <c r="M69" s="1"/>
      <c r="N69" s="34"/>
      <c r="O69" s="1"/>
      <c r="P69" s="1"/>
      <c r="Q69" s="1"/>
      <c r="R69" s="1"/>
      <c r="S69" s="1"/>
      <c r="T69" s="1"/>
      <c r="U69" s="82"/>
      <c r="V69" s="2"/>
      <c r="W69" s="2"/>
      <c r="X69" s="35"/>
      <c r="Y69" s="36"/>
      <c r="Z69" s="37"/>
      <c r="AA69" s="38"/>
      <c r="AB69" s="38"/>
      <c r="AC69" s="39"/>
      <c r="AD69" s="86"/>
      <c r="AE69" s="32"/>
      <c r="AF69" s="37"/>
      <c r="AG69" s="3"/>
      <c r="AH69" s="40"/>
      <c r="AI69" s="41"/>
      <c r="AJ69" s="42"/>
    </row>
    <row r="70" spans="1:36">
      <c r="A70" s="42"/>
      <c r="B70" s="31"/>
      <c r="C70" s="31"/>
      <c r="D70" s="32"/>
      <c r="E70" s="32"/>
      <c r="F70" s="32"/>
      <c r="G70" s="32"/>
      <c r="H70" s="32"/>
      <c r="I70" s="33"/>
      <c r="J70" s="32"/>
      <c r="K70" s="1"/>
      <c r="L70" s="1"/>
      <c r="M70" s="1"/>
      <c r="N70" s="34"/>
      <c r="O70" s="1"/>
      <c r="P70" s="1"/>
      <c r="Q70" s="1"/>
      <c r="R70" s="1"/>
      <c r="S70" s="1"/>
      <c r="T70" s="1"/>
      <c r="U70" s="82"/>
      <c r="V70" s="2"/>
      <c r="W70" s="2"/>
      <c r="X70" s="35"/>
      <c r="Y70" s="36"/>
      <c r="Z70" s="37"/>
      <c r="AA70" s="38"/>
      <c r="AB70" s="38"/>
      <c r="AC70" s="39"/>
      <c r="AD70" s="86"/>
      <c r="AE70" s="32"/>
      <c r="AF70" s="37"/>
      <c r="AG70" s="3"/>
      <c r="AH70" s="40"/>
      <c r="AI70" s="41"/>
      <c r="AJ70" s="42"/>
    </row>
    <row r="71" spans="1:36">
      <c r="A71" s="42"/>
      <c r="B71" s="31"/>
      <c r="C71" s="31"/>
      <c r="D71" s="32"/>
      <c r="E71" s="32"/>
      <c r="F71" s="32"/>
      <c r="G71" s="32"/>
      <c r="H71" s="32"/>
      <c r="I71" s="33"/>
      <c r="J71" s="32"/>
      <c r="K71" s="1"/>
      <c r="L71" s="1"/>
      <c r="M71" s="1"/>
      <c r="N71" s="34"/>
      <c r="O71" s="1"/>
      <c r="P71" s="1"/>
      <c r="Q71" s="1"/>
      <c r="R71" s="1"/>
      <c r="S71" s="1"/>
      <c r="T71" s="1"/>
      <c r="U71" s="82"/>
      <c r="V71" s="2"/>
      <c r="W71" s="2"/>
      <c r="X71" s="35"/>
      <c r="Y71" s="36"/>
      <c r="Z71" s="37"/>
      <c r="AA71" s="38"/>
      <c r="AB71" s="38"/>
      <c r="AC71" s="39"/>
      <c r="AD71" s="86"/>
      <c r="AE71" s="32"/>
      <c r="AF71" s="37"/>
      <c r="AG71" s="3"/>
      <c r="AH71" s="40"/>
      <c r="AI71" s="41"/>
      <c r="AJ71" s="42"/>
    </row>
    <row r="72" spans="1:36">
      <c r="A72" s="42"/>
      <c r="B72" s="31"/>
      <c r="C72" s="31"/>
      <c r="D72" s="32"/>
      <c r="E72" s="32"/>
      <c r="F72" s="32"/>
      <c r="G72" s="32"/>
      <c r="H72" s="32"/>
      <c r="I72" s="33"/>
      <c r="J72" s="32"/>
      <c r="K72" s="1"/>
      <c r="L72" s="1"/>
      <c r="M72" s="1"/>
      <c r="N72" s="34"/>
      <c r="O72" s="1"/>
      <c r="P72" s="1"/>
      <c r="Q72" s="1"/>
      <c r="R72" s="1"/>
      <c r="S72" s="1"/>
      <c r="T72" s="1"/>
      <c r="U72" s="82"/>
      <c r="V72" s="2"/>
      <c r="W72" s="2"/>
      <c r="X72" s="35"/>
      <c r="Y72" s="36"/>
      <c r="Z72" s="37"/>
      <c r="AA72" s="38"/>
      <c r="AB72" s="38"/>
      <c r="AC72" s="39"/>
      <c r="AD72" s="86"/>
      <c r="AE72" s="32"/>
      <c r="AF72" s="37"/>
      <c r="AG72" s="3"/>
      <c r="AH72" s="40"/>
      <c r="AI72" s="41"/>
      <c r="AJ72" s="42"/>
    </row>
    <row r="73" spans="1:36">
      <c r="A73" s="42"/>
      <c r="B73" s="31"/>
      <c r="C73" s="31"/>
      <c r="D73" s="32"/>
      <c r="E73" s="32"/>
      <c r="F73" s="32"/>
      <c r="G73" s="32"/>
      <c r="H73" s="32"/>
      <c r="I73" s="33"/>
      <c r="J73" s="32"/>
      <c r="K73" s="1"/>
      <c r="L73" s="1"/>
      <c r="M73" s="1"/>
      <c r="N73" s="34"/>
      <c r="O73" s="1"/>
      <c r="P73" s="1"/>
      <c r="Q73" s="1"/>
      <c r="R73" s="1"/>
      <c r="S73" s="1"/>
      <c r="T73" s="1"/>
      <c r="U73" s="82"/>
      <c r="V73" s="2"/>
      <c r="W73" s="2"/>
      <c r="X73" s="35"/>
      <c r="Y73" s="36"/>
      <c r="Z73" s="37"/>
      <c r="AA73" s="38"/>
      <c r="AB73" s="38"/>
      <c r="AC73" s="39"/>
      <c r="AD73" s="86"/>
      <c r="AE73" s="32"/>
      <c r="AF73" s="37"/>
      <c r="AG73" s="3"/>
      <c r="AH73" s="40"/>
      <c r="AI73" s="41"/>
      <c r="AJ73" s="42"/>
    </row>
    <row r="74" spans="1:36">
      <c r="A74" s="42"/>
      <c r="B74" s="31"/>
      <c r="C74" s="31"/>
      <c r="D74" s="32"/>
      <c r="E74" s="32"/>
      <c r="F74" s="32"/>
      <c r="G74" s="32"/>
      <c r="H74" s="32"/>
      <c r="I74" s="33"/>
      <c r="J74" s="32"/>
      <c r="K74" s="1"/>
      <c r="L74" s="1"/>
      <c r="M74" s="1"/>
      <c r="N74" s="34"/>
      <c r="O74" s="1"/>
      <c r="P74" s="1"/>
      <c r="Q74" s="1"/>
      <c r="R74" s="1"/>
      <c r="S74" s="1"/>
      <c r="T74" s="1"/>
      <c r="U74" s="82"/>
      <c r="V74" s="2"/>
      <c r="W74" s="2"/>
      <c r="X74" s="35"/>
      <c r="Y74" s="36"/>
      <c r="Z74" s="37"/>
      <c r="AA74" s="38"/>
      <c r="AB74" s="38"/>
      <c r="AC74" s="39"/>
      <c r="AD74" s="86"/>
      <c r="AE74" s="32"/>
      <c r="AF74" s="37"/>
      <c r="AG74" s="3"/>
      <c r="AH74" s="40"/>
      <c r="AI74" s="41"/>
      <c r="AJ74" s="42"/>
    </row>
    <row r="75" spans="1:36">
      <c r="A75" s="42"/>
      <c r="B75" s="31"/>
      <c r="C75" s="31"/>
      <c r="D75" s="32"/>
      <c r="E75" s="32"/>
      <c r="F75" s="32"/>
      <c r="G75" s="32"/>
      <c r="H75" s="32"/>
      <c r="I75" s="33"/>
      <c r="J75" s="32"/>
      <c r="K75" s="1"/>
      <c r="L75" s="1"/>
      <c r="M75" s="1"/>
      <c r="N75" s="34"/>
      <c r="O75" s="1"/>
      <c r="P75" s="1"/>
      <c r="Q75" s="1"/>
      <c r="R75" s="1"/>
      <c r="S75" s="1"/>
      <c r="T75" s="1"/>
      <c r="U75" s="82"/>
      <c r="V75" s="2"/>
      <c r="W75" s="2"/>
      <c r="X75" s="35"/>
      <c r="Y75" s="36"/>
      <c r="Z75" s="37"/>
      <c r="AA75" s="38"/>
      <c r="AB75" s="38"/>
      <c r="AC75" s="39"/>
      <c r="AD75" s="86"/>
      <c r="AE75" s="32"/>
      <c r="AF75" s="37"/>
      <c r="AG75" s="3"/>
      <c r="AH75" s="40"/>
      <c r="AI75" s="41"/>
      <c r="AJ75" s="42"/>
    </row>
    <row r="76" spans="1:36">
      <c r="A76" s="42"/>
      <c r="B76" s="31"/>
      <c r="C76" s="31"/>
      <c r="D76" s="32"/>
      <c r="E76" s="32"/>
      <c r="F76" s="32"/>
      <c r="G76" s="32"/>
      <c r="H76" s="32"/>
      <c r="I76" s="33"/>
      <c r="J76" s="32"/>
      <c r="K76" s="1"/>
      <c r="L76" s="1"/>
      <c r="M76" s="1"/>
      <c r="N76" s="34"/>
      <c r="O76" s="1"/>
      <c r="P76" s="1"/>
      <c r="Q76" s="1"/>
      <c r="R76" s="1"/>
      <c r="S76" s="1"/>
      <c r="T76" s="1"/>
      <c r="U76" s="82"/>
      <c r="V76" s="2"/>
      <c r="W76" s="2"/>
      <c r="X76" s="35"/>
      <c r="Y76" s="36"/>
      <c r="Z76" s="37"/>
      <c r="AA76" s="38"/>
      <c r="AB76" s="38"/>
      <c r="AC76" s="39"/>
      <c r="AD76" s="86"/>
      <c r="AE76" s="32"/>
      <c r="AF76" s="37"/>
      <c r="AG76" s="3"/>
      <c r="AH76" s="40"/>
      <c r="AI76" s="41"/>
      <c r="AJ76" s="42"/>
    </row>
    <row r="77" spans="1:36">
      <c r="A77" s="42"/>
      <c r="B77" s="31"/>
      <c r="C77" s="31"/>
      <c r="D77" s="32"/>
      <c r="E77" s="32"/>
      <c r="F77" s="32"/>
      <c r="G77" s="32"/>
      <c r="H77" s="32"/>
      <c r="I77" s="33"/>
      <c r="J77" s="32"/>
      <c r="K77" s="1"/>
      <c r="L77" s="1"/>
      <c r="M77" s="1"/>
      <c r="N77" s="34"/>
      <c r="O77" s="1"/>
      <c r="P77" s="1"/>
      <c r="Q77" s="1"/>
      <c r="R77" s="1"/>
      <c r="S77" s="1"/>
      <c r="T77" s="1"/>
      <c r="U77" s="82"/>
      <c r="V77" s="2"/>
      <c r="W77" s="2"/>
      <c r="X77" s="35"/>
      <c r="Y77" s="36"/>
      <c r="Z77" s="37"/>
      <c r="AA77" s="38"/>
      <c r="AB77" s="38"/>
      <c r="AC77" s="39"/>
      <c r="AD77" s="86"/>
      <c r="AE77" s="32"/>
      <c r="AF77" s="37"/>
      <c r="AG77" s="3"/>
      <c r="AH77" s="40"/>
      <c r="AI77" s="41"/>
      <c r="AJ77" s="42"/>
    </row>
    <row r="78" spans="1:36">
      <c r="A78" s="42"/>
      <c r="B78" s="31"/>
      <c r="C78" s="31"/>
      <c r="D78" s="32"/>
      <c r="E78" s="32"/>
      <c r="F78" s="32"/>
      <c r="G78" s="32"/>
      <c r="H78" s="32"/>
      <c r="I78" s="33"/>
      <c r="J78" s="32"/>
      <c r="K78" s="1"/>
      <c r="L78" s="1"/>
      <c r="M78" s="1"/>
      <c r="N78" s="34"/>
      <c r="O78" s="1"/>
      <c r="P78" s="1"/>
      <c r="Q78" s="1"/>
      <c r="R78" s="1"/>
      <c r="S78" s="1"/>
      <c r="T78" s="1"/>
      <c r="U78" s="82"/>
      <c r="V78" s="2"/>
      <c r="W78" s="2"/>
      <c r="X78" s="35"/>
      <c r="Y78" s="36"/>
      <c r="Z78" s="37"/>
      <c r="AA78" s="38"/>
      <c r="AB78" s="38"/>
      <c r="AC78" s="39"/>
      <c r="AD78" s="86"/>
      <c r="AE78" s="32"/>
      <c r="AF78" s="37"/>
      <c r="AG78" s="3"/>
      <c r="AH78" s="40"/>
      <c r="AI78" s="41"/>
      <c r="AJ78" s="42"/>
    </row>
    <row r="79" spans="1:36">
      <c r="A79" s="42"/>
      <c r="B79" s="31"/>
      <c r="C79" s="31"/>
      <c r="D79" s="32"/>
      <c r="E79" s="32"/>
      <c r="F79" s="32"/>
      <c r="G79" s="32"/>
      <c r="H79" s="32"/>
      <c r="I79" s="33"/>
      <c r="J79" s="32"/>
      <c r="K79" s="1"/>
      <c r="L79" s="1"/>
      <c r="M79" s="1"/>
      <c r="N79" s="34"/>
      <c r="O79" s="1"/>
      <c r="P79" s="1"/>
      <c r="Q79" s="1"/>
      <c r="R79" s="1"/>
      <c r="S79" s="1"/>
      <c r="T79" s="1"/>
      <c r="U79" s="82"/>
      <c r="V79" s="2"/>
      <c r="W79" s="2"/>
      <c r="X79" s="35"/>
      <c r="Y79" s="36"/>
      <c r="Z79" s="37"/>
      <c r="AA79" s="38"/>
      <c r="AB79" s="38"/>
      <c r="AC79" s="39"/>
      <c r="AD79" s="86"/>
      <c r="AE79" s="32"/>
      <c r="AF79" s="37"/>
      <c r="AG79" s="3"/>
      <c r="AH79" s="40"/>
      <c r="AI79" s="41"/>
      <c r="AJ79" s="42"/>
    </row>
    <row r="80" spans="1:36">
      <c r="A80" s="42"/>
      <c r="B80" s="31"/>
      <c r="C80" s="31"/>
      <c r="D80" s="32"/>
      <c r="E80" s="32"/>
      <c r="F80" s="32"/>
      <c r="G80" s="32"/>
      <c r="H80" s="32"/>
      <c r="I80" s="33"/>
      <c r="J80" s="32"/>
      <c r="K80" s="1"/>
      <c r="L80" s="1"/>
      <c r="M80" s="1"/>
      <c r="N80" s="34"/>
      <c r="O80" s="1"/>
      <c r="P80" s="1"/>
      <c r="Q80" s="1"/>
      <c r="R80" s="1"/>
      <c r="S80" s="1"/>
      <c r="T80" s="1"/>
      <c r="U80" s="82"/>
      <c r="V80" s="2"/>
      <c r="W80" s="2"/>
      <c r="X80" s="35"/>
      <c r="Y80" s="36"/>
      <c r="Z80" s="37"/>
      <c r="AA80" s="38"/>
      <c r="AB80" s="38"/>
      <c r="AC80" s="39"/>
      <c r="AD80" s="86"/>
      <c r="AE80" s="32"/>
      <c r="AF80" s="37"/>
      <c r="AG80" s="3"/>
      <c r="AH80" s="40"/>
      <c r="AI80" s="41"/>
      <c r="AJ80" s="42"/>
    </row>
    <row r="81" spans="1:36">
      <c r="A81" s="42"/>
      <c r="B81" s="31"/>
      <c r="C81" s="31"/>
      <c r="D81" s="32"/>
      <c r="E81" s="32"/>
      <c r="F81" s="32"/>
      <c r="G81" s="32"/>
      <c r="H81" s="32"/>
      <c r="I81" s="33"/>
      <c r="J81" s="32"/>
      <c r="K81" s="1"/>
      <c r="L81" s="1"/>
      <c r="M81" s="1"/>
      <c r="N81" s="34"/>
      <c r="O81" s="1"/>
      <c r="P81" s="1"/>
      <c r="Q81" s="1"/>
      <c r="R81" s="1"/>
      <c r="S81" s="1"/>
      <c r="T81" s="1"/>
      <c r="U81" s="82"/>
      <c r="V81" s="2"/>
      <c r="W81" s="2"/>
      <c r="X81" s="35"/>
      <c r="Y81" s="36"/>
      <c r="Z81" s="37"/>
      <c r="AA81" s="38"/>
      <c r="AB81" s="38"/>
      <c r="AC81" s="39"/>
      <c r="AD81" s="86"/>
      <c r="AE81" s="32"/>
      <c r="AF81" s="37"/>
      <c r="AG81" s="3"/>
      <c r="AH81" s="40"/>
      <c r="AI81" s="41"/>
      <c r="AJ81" s="42"/>
    </row>
    <row r="82" spans="1:36">
      <c r="A82" s="42"/>
      <c r="B82" s="31"/>
      <c r="C82" s="31"/>
      <c r="D82" s="32"/>
      <c r="E82" s="32"/>
      <c r="F82" s="32"/>
      <c r="G82" s="32"/>
      <c r="H82" s="32"/>
      <c r="I82" s="33"/>
      <c r="J82" s="32"/>
      <c r="K82" s="1"/>
      <c r="L82" s="1"/>
      <c r="M82" s="1"/>
      <c r="N82" s="34"/>
      <c r="O82" s="1"/>
      <c r="P82" s="1"/>
      <c r="Q82" s="1"/>
      <c r="R82" s="1"/>
      <c r="S82" s="1"/>
      <c r="T82" s="1"/>
      <c r="U82" s="82"/>
      <c r="V82" s="2"/>
      <c r="W82" s="2"/>
      <c r="X82" s="35"/>
      <c r="Y82" s="36"/>
      <c r="Z82" s="37"/>
      <c r="AA82" s="38"/>
      <c r="AB82" s="38"/>
      <c r="AC82" s="39"/>
      <c r="AD82" s="86"/>
      <c r="AE82" s="32"/>
      <c r="AF82" s="37"/>
      <c r="AG82" s="3"/>
      <c r="AH82" s="40"/>
      <c r="AI82" s="41"/>
      <c r="AJ82" s="42"/>
    </row>
    <row r="83" spans="1:36">
      <c r="A83" s="42"/>
      <c r="B83" s="31"/>
      <c r="C83" s="31"/>
      <c r="D83" s="32"/>
      <c r="E83" s="32"/>
      <c r="F83" s="32"/>
      <c r="G83" s="32"/>
      <c r="H83" s="32"/>
      <c r="I83" s="33"/>
      <c r="J83" s="32"/>
      <c r="K83" s="1"/>
      <c r="L83" s="1"/>
      <c r="M83" s="1"/>
      <c r="N83" s="34"/>
      <c r="O83" s="1"/>
      <c r="P83" s="1"/>
      <c r="Q83" s="1"/>
      <c r="R83" s="1"/>
      <c r="S83" s="1"/>
      <c r="T83" s="1"/>
      <c r="U83" s="82"/>
      <c r="V83" s="2"/>
      <c r="W83" s="2"/>
      <c r="X83" s="35"/>
      <c r="Y83" s="36"/>
      <c r="Z83" s="37"/>
      <c r="AA83" s="38"/>
      <c r="AB83" s="38"/>
      <c r="AC83" s="39"/>
      <c r="AD83" s="86"/>
      <c r="AE83" s="32"/>
      <c r="AF83" s="37"/>
      <c r="AG83" s="3"/>
      <c r="AH83" s="40"/>
      <c r="AI83" s="41"/>
      <c r="AJ83" s="42"/>
    </row>
    <row r="84" spans="1:36">
      <c r="A84" s="42"/>
      <c r="B84" s="31"/>
      <c r="C84" s="31"/>
      <c r="D84" s="32"/>
      <c r="E84" s="32"/>
      <c r="F84" s="32"/>
      <c r="G84" s="32"/>
      <c r="H84" s="32"/>
      <c r="I84" s="33"/>
      <c r="J84" s="32"/>
      <c r="K84" s="1"/>
      <c r="L84" s="1"/>
      <c r="M84" s="1"/>
      <c r="N84" s="34"/>
      <c r="O84" s="1"/>
      <c r="P84" s="1"/>
      <c r="Q84" s="1"/>
      <c r="R84" s="1"/>
      <c r="S84" s="1"/>
      <c r="T84" s="1"/>
      <c r="U84" s="82"/>
      <c r="V84" s="2"/>
      <c r="W84" s="2"/>
      <c r="X84" s="35"/>
      <c r="Y84" s="36"/>
      <c r="Z84" s="37"/>
      <c r="AA84" s="38"/>
      <c r="AB84" s="38"/>
      <c r="AC84" s="39"/>
      <c r="AD84" s="86"/>
      <c r="AE84" s="32"/>
      <c r="AF84" s="37"/>
      <c r="AG84" s="3"/>
      <c r="AH84" s="40"/>
      <c r="AI84" s="41"/>
      <c r="AJ84" s="42"/>
    </row>
    <row r="85" spans="1:36">
      <c r="A85" s="42"/>
      <c r="B85" s="31"/>
      <c r="C85" s="31"/>
      <c r="D85" s="32"/>
      <c r="E85" s="32"/>
      <c r="F85" s="32"/>
      <c r="G85" s="32"/>
      <c r="H85" s="32"/>
      <c r="I85" s="33"/>
      <c r="J85" s="32"/>
      <c r="K85" s="1"/>
      <c r="L85" s="1"/>
      <c r="M85" s="1"/>
      <c r="N85" s="34"/>
      <c r="O85" s="1"/>
      <c r="P85" s="1"/>
      <c r="Q85" s="1"/>
      <c r="R85" s="1"/>
      <c r="S85" s="1"/>
      <c r="T85" s="1"/>
      <c r="U85" s="82"/>
      <c r="V85" s="2"/>
      <c r="W85" s="2"/>
      <c r="X85" s="35"/>
      <c r="Y85" s="36"/>
      <c r="Z85" s="37"/>
      <c r="AA85" s="38"/>
      <c r="AB85" s="38"/>
      <c r="AC85" s="39"/>
      <c r="AD85" s="86"/>
      <c r="AE85" s="32"/>
      <c r="AF85" s="37"/>
      <c r="AG85" s="3"/>
      <c r="AH85" s="40"/>
      <c r="AI85" s="41"/>
      <c r="AJ85" s="42"/>
    </row>
    <row r="86" spans="1:36">
      <c r="A86" s="42"/>
      <c r="B86" s="31"/>
      <c r="C86" s="31"/>
      <c r="D86" s="32"/>
      <c r="E86" s="32"/>
      <c r="F86" s="32"/>
      <c r="G86" s="32"/>
      <c r="H86" s="32"/>
      <c r="I86" s="33"/>
      <c r="J86" s="32"/>
      <c r="K86" s="1"/>
      <c r="L86" s="1"/>
      <c r="M86" s="1"/>
      <c r="N86" s="34"/>
      <c r="O86" s="1"/>
      <c r="P86" s="1"/>
      <c r="Q86" s="1"/>
      <c r="R86" s="1"/>
      <c r="S86" s="1"/>
      <c r="T86" s="1"/>
      <c r="U86" s="82"/>
      <c r="V86" s="2"/>
      <c r="W86" s="2"/>
      <c r="X86" s="35"/>
      <c r="Y86" s="36"/>
      <c r="Z86" s="37"/>
      <c r="AA86" s="38"/>
      <c r="AB86" s="38"/>
      <c r="AC86" s="39"/>
      <c r="AD86" s="86"/>
      <c r="AE86" s="32"/>
      <c r="AF86" s="37"/>
      <c r="AG86" s="3"/>
      <c r="AH86" s="40"/>
      <c r="AI86" s="41"/>
      <c r="AJ86" s="42"/>
    </row>
    <row r="87" spans="1:36">
      <c r="A87" s="42"/>
      <c r="B87" s="31"/>
      <c r="C87" s="31"/>
      <c r="D87" s="32"/>
      <c r="E87" s="32"/>
      <c r="F87" s="32"/>
      <c r="G87" s="32"/>
      <c r="H87" s="32"/>
      <c r="I87" s="33"/>
      <c r="J87" s="32"/>
      <c r="K87" s="1"/>
      <c r="L87" s="1"/>
      <c r="M87" s="1"/>
      <c r="N87" s="34"/>
      <c r="O87" s="1"/>
      <c r="P87" s="1"/>
      <c r="Q87" s="1"/>
      <c r="R87" s="1"/>
      <c r="S87" s="1"/>
      <c r="T87" s="1"/>
      <c r="U87" s="82"/>
      <c r="V87" s="2"/>
      <c r="W87" s="2"/>
      <c r="X87" s="35"/>
      <c r="Y87" s="36"/>
      <c r="Z87" s="37"/>
      <c r="AA87" s="38"/>
      <c r="AB87" s="38"/>
      <c r="AC87" s="39"/>
      <c r="AD87" s="86"/>
      <c r="AE87" s="32"/>
      <c r="AF87" s="37"/>
      <c r="AG87" s="3"/>
      <c r="AH87" s="40"/>
      <c r="AI87" s="41"/>
      <c r="AJ87" s="42"/>
    </row>
    <row r="88" spans="1:36">
      <c r="A88" s="42"/>
      <c r="B88" s="31"/>
      <c r="C88" s="31"/>
      <c r="D88" s="32"/>
      <c r="E88" s="32"/>
      <c r="F88" s="32"/>
      <c r="G88" s="32"/>
      <c r="H88" s="32"/>
      <c r="I88" s="33"/>
      <c r="J88" s="32"/>
      <c r="K88" s="1"/>
      <c r="L88" s="1"/>
      <c r="M88" s="1"/>
      <c r="N88" s="34"/>
      <c r="O88" s="1"/>
      <c r="P88" s="1"/>
      <c r="Q88" s="1"/>
      <c r="R88" s="1"/>
      <c r="S88" s="1"/>
      <c r="T88" s="1"/>
      <c r="U88" s="82"/>
      <c r="V88" s="2"/>
      <c r="W88" s="2"/>
      <c r="X88" s="35"/>
      <c r="Y88" s="36"/>
      <c r="Z88" s="37"/>
      <c r="AA88" s="38"/>
      <c r="AB88" s="38"/>
      <c r="AC88" s="39"/>
      <c r="AD88" s="86"/>
      <c r="AE88" s="32"/>
      <c r="AF88" s="37"/>
      <c r="AG88" s="3"/>
      <c r="AH88" s="40"/>
      <c r="AI88" s="41"/>
      <c r="AJ88" s="42"/>
    </row>
    <row r="89" spans="1:36">
      <c r="A89" s="42"/>
      <c r="B89" s="31"/>
      <c r="C89" s="31"/>
      <c r="D89" s="32"/>
      <c r="E89" s="32"/>
      <c r="F89" s="32"/>
      <c r="G89" s="32"/>
      <c r="H89" s="32"/>
      <c r="I89" s="33"/>
      <c r="J89" s="32"/>
      <c r="K89" s="1"/>
      <c r="L89" s="1"/>
      <c r="M89" s="1"/>
      <c r="N89" s="34"/>
      <c r="O89" s="1"/>
      <c r="P89" s="1"/>
      <c r="Q89" s="1"/>
      <c r="R89" s="1"/>
      <c r="S89" s="1"/>
      <c r="T89" s="1"/>
      <c r="U89" s="82"/>
      <c r="V89" s="2"/>
      <c r="W89" s="2"/>
      <c r="X89" s="35"/>
      <c r="Y89" s="36"/>
      <c r="Z89" s="37"/>
      <c r="AA89" s="38"/>
      <c r="AB89" s="38"/>
      <c r="AC89" s="39"/>
      <c r="AD89" s="86"/>
      <c r="AE89" s="32"/>
      <c r="AF89" s="37"/>
      <c r="AG89" s="3"/>
      <c r="AH89" s="40"/>
      <c r="AI89" s="41"/>
      <c r="AJ89" s="42"/>
    </row>
    <row r="90" spans="1:36">
      <c r="A90" s="42"/>
      <c r="B90" s="31"/>
      <c r="C90" s="31"/>
      <c r="D90" s="32"/>
      <c r="E90" s="32"/>
      <c r="F90" s="32"/>
      <c r="G90" s="32"/>
      <c r="H90" s="32"/>
      <c r="I90" s="33"/>
      <c r="J90" s="32"/>
      <c r="K90" s="1"/>
      <c r="L90" s="1"/>
      <c r="M90" s="1"/>
      <c r="N90" s="34"/>
      <c r="O90" s="1"/>
      <c r="P90" s="1"/>
      <c r="Q90" s="1"/>
      <c r="R90" s="1"/>
      <c r="S90" s="1"/>
      <c r="T90" s="1"/>
      <c r="U90" s="82"/>
      <c r="V90" s="2"/>
      <c r="W90" s="2"/>
      <c r="X90" s="35"/>
      <c r="Y90" s="36"/>
      <c r="Z90" s="37"/>
      <c r="AA90" s="38"/>
      <c r="AB90" s="38"/>
      <c r="AC90" s="39"/>
      <c r="AD90" s="86"/>
      <c r="AE90" s="32"/>
      <c r="AF90" s="37"/>
      <c r="AG90" s="3"/>
      <c r="AH90" s="40"/>
      <c r="AI90" s="41"/>
      <c r="AJ90" s="42"/>
    </row>
    <row r="91" spans="1:36">
      <c r="A91" s="42"/>
      <c r="B91" s="31"/>
      <c r="C91" s="31"/>
      <c r="D91" s="32"/>
      <c r="E91" s="32"/>
      <c r="F91" s="32"/>
      <c r="G91" s="32"/>
      <c r="H91" s="32"/>
      <c r="I91" s="33"/>
      <c r="J91" s="32"/>
      <c r="K91" s="1"/>
      <c r="L91" s="1"/>
      <c r="M91" s="1"/>
      <c r="N91" s="34"/>
      <c r="O91" s="1"/>
      <c r="P91" s="1"/>
      <c r="Q91" s="1"/>
      <c r="R91" s="1"/>
      <c r="S91" s="1"/>
      <c r="T91" s="1"/>
      <c r="U91" s="82"/>
      <c r="V91" s="2"/>
      <c r="W91" s="2"/>
      <c r="X91" s="35"/>
      <c r="Y91" s="36"/>
      <c r="Z91" s="37"/>
      <c r="AA91" s="38"/>
      <c r="AB91" s="38"/>
      <c r="AC91" s="39"/>
      <c r="AD91" s="86"/>
      <c r="AE91" s="32"/>
      <c r="AF91" s="37"/>
      <c r="AG91" s="3"/>
      <c r="AH91" s="40"/>
      <c r="AI91" s="41"/>
      <c r="AJ91" s="42"/>
    </row>
    <row r="92" spans="1:36">
      <c r="A92" s="42"/>
      <c r="B92" s="31"/>
      <c r="C92" s="31"/>
      <c r="D92" s="32"/>
      <c r="E92" s="32"/>
      <c r="F92" s="32"/>
      <c r="G92" s="32"/>
      <c r="H92" s="32"/>
      <c r="I92" s="33"/>
      <c r="J92" s="32"/>
      <c r="K92" s="1"/>
      <c r="L92" s="1"/>
      <c r="M92" s="1"/>
      <c r="N92" s="34"/>
      <c r="O92" s="1"/>
      <c r="P92" s="1"/>
      <c r="Q92" s="1"/>
      <c r="R92" s="1"/>
      <c r="S92" s="1"/>
      <c r="T92" s="1"/>
      <c r="U92" s="82"/>
      <c r="V92" s="2"/>
      <c r="W92" s="2"/>
      <c r="X92" s="35"/>
      <c r="Y92" s="36"/>
      <c r="Z92" s="37"/>
      <c r="AA92" s="38"/>
      <c r="AB92" s="38"/>
      <c r="AC92" s="39"/>
      <c r="AD92" s="86"/>
      <c r="AE92" s="32"/>
      <c r="AF92" s="37"/>
      <c r="AG92" s="3"/>
      <c r="AH92" s="40"/>
      <c r="AI92" s="41"/>
      <c r="AJ92" s="42"/>
    </row>
    <row r="93" spans="1:36">
      <c r="A93" s="42"/>
      <c r="B93" s="31"/>
      <c r="C93" s="31"/>
      <c r="D93" s="32"/>
      <c r="E93" s="32"/>
      <c r="F93" s="32"/>
      <c r="G93" s="32"/>
      <c r="H93" s="32"/>
      <c r="I93" s="33"/>
      <c r="J93" s="32"/>
      <c r="K93" s="1"/>
      <c r="L93" s="1"/>
      <c r="M93" s="1"/>
      <c r="N93" s="34"/>
      <c r="O93" s="1"/>
      <c r="P93" s="1"/>
      <c r="Q93" s="1"/>
      <c r="R93" s="1"/>
      <c r="S93" s="1"/>
      <c r="T93" s="1"/>
      <c r="U93" s="82"/>
      <c r="V93" s="2"/>
      <c r="W93" s="2"/>
      <c r="X93" s="35"/>
      <c r="Y93" s="36"/>
      <c r="Z93" s="37"/>
      <c r="AA93" s="38"/>
      <c r="AB93" s="38"/>
      <c r="AC93" s="39"/>
      <c r="AD93" s="86"/>
      <c r="AE93" s="32"/>
      <c r="AF93" s="37"/>
      <c r="AG93" s="3"/>
      <c r="AH93" s="40"/>
      <c r="AI93" s="41"/>
      <c r="AJ93" s="42"/>
    </row>
    <row r="94" spans="1:36">
      <c r="A94" s="42"/>
      <c r="B94" s="31"/>
      <c r="C94" s="31"/>
      <c r="D94" s="32"/>
      <c r="E94" s="32"/>
      <c r="F94" s="32"/>
      <c r="G94" s="32"/>
      <c r="H94" s="32"/>
      <c r="I94" s="33"/>
      <c r="J94" s="32"/>
      <c r="K94" s="1"/>
      <c r="L94" s="1"/>
      <c r="M94" s="1"/>
      <c r="N94" s="34"/>
      <c r="O94" s="1"/>
      <c r="P94" s="1"/>
      <c r="Q94" s="1"/>
      <c r="R94" s="1"/>
      <c r="S94" s="1"/>
      <c r="T94" s="1"/>
      <c r="U94" s="82"/>
      <c r="V94" s="2"/>
      <c r="W94" s="2"/>
      <c r="X94" s="35"/>
      <c r="Y94" s="36"/>
      <c r="Z94" s="37"/>
      <c r="AA94" s="38"/>
      <c r="AB94" s="38"/>
      <c r="AC94" s="39"/>
      <c r="AD94" s="86"/>
      <c r="AE94" s="32"/>
      <c r="AF94" s="37"/>
      <c r="AG94" s="3"/>
      <c r="AH94" s="40"/>
      <c r="AI94" s="41"/>
      <c r="AJ94" s="42"/>
    </row>
    <row r="95" spans="1:36">
      <c r="A95" s="42"/>
      <c r="B95" s="31"/>
      <c r="C95" s="31"/>
      <c r="D95" s="32"/>
      <c r="E95" s="32"/>
      <c r="F95" s="32"/>
      <c r="G95" s="32"/>
      <c r="H95" s="32"/>
      <c r="I95" s="33"/>
      <c r="J95" s="32"/>
      <c r="K95" s="1"/>
      <c r="L95" s="1"/>
      <c r="M95" s="1"/>
      <c r="N95" s="34"/>
      <c r="O95" s="1"/>
      <c r="P95" s="1"/>
      <c r="Q95" s="1"/>
      <c r="R95" s="1"/>
      <c r="S95" s="1"/>
      <c r="T95" s="1"/>
      <c r="U95" s="82"/>
      <c r="V95" s="2"/>
      <c r="W95" s="2"/>
      <c r="X95" s="35"/>
      <c r="Y95" s="36"/>
      <c r="Z95" s="37"/>
      <c r="AA95" s="38"/>
      <c r="AB95" s="38"/>
      <c r="AC95" s="39"/>
      <c r="AD95" s="86"/>
      <c r="AE95" s="32"/>
      <c r="AF95" s="37"/>
      <c r="AG95" s="3"/>
      <c r="AH95" s="40"/>
      <c r="AI95" s="41"/>
      <c r="AJ95" s="42"/>
    </row>
    <row r="96" spans="1:36">
      <c r="A96" s="42"/>
      <c r="B96" s="31"/>
      <c r="C96" s="31"/>
      <c r="D96" s="32"/>
      <c r="E96" s="32"/>
      <c r="F96" s="32"/>
      <c r="G96" s="32"/>
      <c r="H96" s="32"/>
      <c r="I96" s="33"/>
      <c r="J96" s="32"/>
      <c r="K96" s="1"/>
      <c r="L96" s="1"/>
      <c r="M96" s="1"/>
      <c r="N96" s="34"/>
      <c r="O96" s="1"/>
      <c r="P96" s="1"/>
      <c r="Q96" s="1"/>
      <c r="R96" s="1"/>
      <c r="S96" s="1"/>
      <c r="T96" s="1"/>
      <c r="U96" s="82"/>
      <c r="V96" s="2"/>
      <c r="W96" s="2"/>
      <c r="X96" s="35"/>
      <c r="Y96" s="36"/>
      <c r="Z96" s="37"/>
      <c r="AA96" s="38"/>
      <c r="AB96" s="38"/>
      <c r="AC96" s="39"/>
      <c r="AD96" s="86"/>
      <c r="AE96" s="32"/>
      <c r="AF96" s="37"/>
      <c r="AG96" s="3"/>
      <c r="AH96" s="40"/>
      <c r="AI96" s="41"/>
      <c r="AJ96" s="42"/>
    </row>
    <row r="97" spans="1:36">
      <c r="A97" s="42"/>
      <c r="B97" s="31"/>
      <c r="C97" s="31"/>
      <c r="D97" s="32"/>
      <c r="E97" s="32"/>
      <c r="F97" s="32"/>
      <c r="G97" s="32"/>
      <c r="H97" s="32"/>
      <c r="I97" s="33"/>
      <c r="J97" s="32"/>
      <c r="K97" s="1"/>
      <c r="L97" s="1"/>
      <c r="M97" s="1"/>
      <c r="N97" s="34"/>
      <c r="O97" s="1"/>
      <c r="P97" s="1"/>
      <c r="Q97" s="1"/>
      <c r="R97" s="1"/>
      <c r="S97" s="1"/>
      <c r="T97" s="1"/>
      <c r="U97" s="82"/>
      <c r="V97" s="2"/>
      <c r="W97" s="2"/>
      <c r="X97" s="35"/>
      <c r="Y97" s="36"/>
      <c r="Z97" s="37"/>
      <c r="AA97" s="38"/>
      <c r="AB97" s="38"/>
      <c r="AC97" s="39"/>
      <c r="AD97" s="86"/>
      <c r="AE97" s="32"/>
      <c r="AF97" s="37"/>
      <c r="AG97" s="3"/>
      <c r="AH97" s="40"/>
      <c r="AI97" s="41"/>
      <c r="AJ97" s="42"/>
    </row>
    <row r="98" spans="1:36">
      <c r="A98" s="42"/>
      <c r="B98" s="31"/>
      <c r="C98" s="31"/>
      <c r="D98" s="32"/>
      <c r="E98" s="32"/>
      <c r="F98" s="32"/>
      <c r="G98" s="32"/>
      <c r="H98" s="32"/>
      <c r="I98" s="33"/>
      <c r="J98" s="32"/>
      <c r="K98" s="1"/>
      <c r="L98" s="1"/>
      <c r="M98" s="1"/>
      <c r="N98" s="34"/>
      <c r="O98" s="1"/>
      <c r="P98" s="1"/>
      <c r="Q98" s="1"/>
      <c r="R98" s="1"/>
      <c r="S98" s="1"/>
      <c r="T98" s="1"/>
      <c r="U98" s="82"/>
      <c r="V98" s="2"/>
      <c r="W98" s="2"/>
      <c r="X98" s="35"/>
      <c r="Y98" s="36"/>
      <c r="Z98" s="37"/>
      <c r="AA98" s="38"/>
      <c r="AB98" s="38"/>
      <c r="AC98" s="39"/>
      <c r="AD98" s="86"/>
      <c r="AE98" s="32"/>
      <c r="AF98" s="37"/>
      <c r="AG98" s="3"/>
      <c r="AH98" s="40"/>
      <c r="AI98" s="41"/>
      <c r="AJ98" s="42"/>
    </row>
    <row r="99" spans="1:36">
      <c r="A99" s="42"/>
      <c r="B99" s="31"/>
      <c r="C99" s="31"/>
      <c r="D99" s="32"/>
      <c r="E99" s="32"/>
      <c r="F99" s="32"/>
      <c r="G99" s="32"/>
      <c r="H99" s="32"/>
      <c r="I99" s="33"/>
      <c r="J99" s="32"/>
      <c r="K99" s="1"/>
      <c r="L99" s="1"/>
      <c r="M99" s="1"/>
      <c r="N99" s="34"/>
      <c r="O99" s="1"/>
      <c r="P99" s="1"/>
      <c r="Q99" s="1"/>
      <c r="R99" s="1"/>
      <c r="S99" s="1"/>
      <c r="T99" s="1"/>
      <c r="U99" s="82"/>
      <c r="V99" s="2"/>
      <c r="W99" s="2"/>
      <c r="X99" s="35"/>
      <c r="Y99" s="36"/>
      <c r="Z99" s="37"/>
      <c r="AA99" s="38"/>
      <c r="AB99" s="38"/>
      <c r="AC99" s="39"/>
      <c r="AD99" s="86"/>
      <c r="AE99" s="32"/>
      <c r="AF99" s="37"/>
      <c r="AG99" s="3"/>
      <c r="AH99" s="40"/>
      <c r="AI99" s="41"/>
      <c r="AJ99" s="42"/>
    </row>
    <row r="100" spans="1:36">
      <c r="A100" s="42"/>
      <c r="B100" s="31"/>
      <c r="C100" s="31"/>
      <c r="D100" s="32"/>
      <c r="E100" s="32"/>
      <c r="F100" s="32"/>
      <c r="G100" s="32"/>
      <c r="H100" s="32"/>
      <c r="I100" s="33"/>
      <c r="J100" s="32"/>
      <c r="K100" s="1"/>
      <c r="L100" s="1"/>
      <c r="M100" s="1"/>
      <c r="N100" s="34"/>
      <c r="O100" s="1"/>
      <c r="P100" s="1"/>
      <c r="Q100" s="1"/>
      <c r="R100" s="1"/>
      <c r="S100" s="1"/>
      <c r="T100" s="1"/>
      <c r="U100" s="82"/>
      <c r="V100" s="2"/>
      <c r="W100" s="2"/>
      <c r="X100" s="35"/>
      <c r="Y100" s="36"/>
      <c r="Z100" s="37"/>
      <c r="AA100" s="38"/>
      <c r="AB100" s="38"/>
      <c r="AC100" s="39"/>
      <c r="AD100" s="86"/>
      <c r="AE100" s="32"/>
      <c r="AF100" s="37"/>
      <c r="AG100" s="3"/>
      <c r="AH100" s="40"/>
      <c r="AI100" s="41"/>
      <c r="AJ100" s="42"/>
    </row>
    <row r="101" spans="1:36">
      <c r="A101" s="42"/>
      <c r="B101" s="31"/>
      <c r="C101" s="31"/>
      <c r="D101" s="32"/>
      <c r="E101" s="32"/>
      <c r="F101" s="32"/>
      <c r="G101" s="32"/>
      <c r="H101" s="32"/>
      <c r="I101" s="33"/>
      <c r="J101" s="32"/>
      <c r="K101" s="1"/>
      <c r="L101" s="1"/>
      <c r="M101" s="1"/>
      <c r="N101" s="34"/>
      <c r="O101" s="1"/>
      <c r="P101" s="1"/>
      <c r="Q101" s="1"/>
      <c r="R101" s="1"/>
      <c r="S101" s="1"/>
      <c r="T101" s="1"/>
      <c r="U101" s="82"/>
      <c r="V101" s="2"/>
      <c r="W101" s="2"/>
      <c r="X101" s="35"/>
      <c r="Y101" s="36"/>
      <c r="Z101" s="37"/>
      <c r="AA101" s="38"/>
      <c r="AB101" s="38"/>
      <c r="AC101" s="39"/>
      <c r="AD101" s="86"/>
      <c r="AE101" s="32"/>
      <c r="AF101" s="37"/>
      <c r="AG101" s="3"/>
      <c r="AH101" s="40"/>
      <c r="AI101" s="41"/>
      <c r="AJ101" s="42"/>
    </row>
    <row r="102" spans="1:36">
      <c r="A102" s="42"/>
      <c r="B102" s="31"/>
      <c r="C102" s="31"/>
      <c r="D102" s="32"/>
      <c r="E102" s="32"/>
      <c r="F102" s="32"/>
      <c r="G102" s="32"/>
      <c r="H102" s="32"/>
      <c r="I102" s="33"/>
      <c r="J102" s="32"/>
      <c r="K102" s="1"/>
      <c r="L102" s="1"/>
      <c r="M102" s="1"/>
      <c r="N102" s="34"/>
      <c r="O102" s="1"/>
      <c r="P102" s="1"/>
      <c r="Q102" s="1"/>
      <c r="R102" s="1"/>
      <c r="S102" s="1"/>
      <c r="T102" s="1"/>
      <c r="U102" s="82"/>
      <c r="V102" s="2"/>
      <c r="W102" s="2"/>
      <c r="X102" s="35"/>
      <c r="Y102" s="36"/>
      <c r="Z102" s="37"/>
      <c r="AA102" s="38"/>
      <c r="AB102" s="38"/>
      <c r="AC102" s="39"/>
      <c r="AD102" s="86"/>
      <c r="AE102" s="32"/>
      <c r="AF102" s="37"/>
      <c r="AG102" s="3"/>
      <c r="AH102" s="40"/>
      <c r="AI102" s="41"/>
      <c r="AJ102" s="42"/>
    </row>
    <row r="103" spans="1:36">
      <c r="A103" s="42"/>
      <c r="B103" s="31"/>
      <c r="C103" s="31"/>
      <c r="D103" s="32"/>
      <c r="E103" s="32"/>
      <c r="F103" s="32"/>
      <c r="G103" s="32"/>
      <c r="H103" s="32"/>
      <c r="I103" s="33"/>
      <c r="J103" s="32"/>
      <c r="K103" s="1"/>
      <c r="L103" s="1"/>
      <c r="M103" s="1"/>
      <c r="N103" s="34"/>
      <c r="O103" s="1"/>
      <c r="P103" s="1"/>
      <c r="Q103" s="1"/>
      <c r="R103" s="1"/>
      <c r="S103" s="1"/>
      <c r="T103" s="1"/>
      <c r="U103" s="82"/>
      <c r="V103" s="2"/>
      <c r="W103" s="2"/>
      <c r="X103" s="35"/>
      <c r="Y103" s="36"/>
      <c r="Z103" s="37"/>
      <c r="AA103" s="38"/>
      <c r="AB103" s="38"/>
      <c r="AC103" s="39"/>
      <c r="AD103" s="86"/>
      <c r="AE103" s="32"/>
      <c r="AF103" s="37"/>
      <c r="AG103" s="3"/>
      <c r="AH103" s="40"/>
      <c r="AI103" s="41"/>
      <c r="AJ103" s="42"/>
    </row>
    <row r="104" spans="1:36">
      <c r="A104" s="42"/>
      <c r="B104" s="31"/>
      <c r="C104" s="31"/>
      <c r="D104" s="32"/>
      <c r="E104" s="32"/>
      <c r="F104" s="32"/>
      <c r="G104" s="32"/>
      <c r="H104" s="32"/>
      <c r="I104" s="33"/>
      <c r="J104" s="32"/>
      <c r="K104" s="1"/>
      <c r="L104" s="1"/>
      <c r="M104" s="1"/>
      <c r="N104" s="34"/>
      <c r="O104" s="1"/>
      <c r="P104" s="1"/>
      <c r="Q104" s="1"/>
      <c r="R104" s="1"/>
      <c r="S104" s="1"/>
      <c r="T104" s="1"/>
      <c r="U104" s="82"/>
      <c r="V104" s="2"/>
      <c r="W104" s="2"/>
      <c r="X104" s="35"/>
      <c r="Y104" s="36"/>
      <c r="Z104" s="37"/>
      <c r="AA104" s="38"/>
      <c r="AB104" s="38"/>
      <c r="AC104" s="39"/>
      <c r="AD104" s="86"/>
      <c r="AE104" s="32"/>
      <c r="AF104" s="37"/>
      <c r="AG104" s="3"/>
      <c r="AH104" s="40"/>
      <c r="AI104" s="41"/>
      <c r="AJ104" s="42"/>
    </row>
    <row r="105" spans="1:36">
      <c r="A105" s="42"/>
      <c r="B105" s="31"/>
      <c r="C105" s="31"/>
      <c r="D105" s="32"/>
      <c r="E105" s="32"/>
      <c r="F105" s="32"/>
      <c r="G105" s="32"/>
      <c r="H105" s="32"/>
      <c r="I105" s="33"/>
      <c r="J105" s="32"/>
      <c r="K105" s="1"/>
      <c r="L105" s="1"/>
      <c r="M105" s="1"/>
      <c r="N105" s="34"/>
      <c r="O105" s="1"/>
      <c r="P105" s="1"/>
      <c r="Q105" s="1"/>
      <c r="R105" s="1"/>
      <c r="S105" s="1"/>
      <c r="T105" s="1"/>
      <c r="U105" s="82"/>
      <c r="V105" s="2"/>
      <c r="W105" s="2"/>
      <c r="X105" s="35"/>
      <c r="Y105" s="36"/>
      <c r="Z105" s="37"/>
      <c r="AA105" s="38"/>
      <c r="AB105" s="38"/>
      <c r="AC105" s="39"/>
      <c r="AD105" s="86"/>
      <c r="AE105" s="32"/>
      <c r="AF105" s="37"/>
      <c r="AG105" s="3"/>
      <c r="AH105" s="40"/>
      <c r="AI105" s="41"/>
      <c r="AJ105" s="42"/>
    </row>
    <row r="106" spans="1:36">
      <c r="A106" s="42"/>
      <c r="B106" s="31"/>
      <c r="C106" s="31"/>
      <c r="D106" s="32"/>
      <c r="E106" s="32"/>
      <c r="F106" s="32"/>
      <c r="G106" s="32"/>
      <c r="H106" s="32"/>
      <c r="I106" s="33"/>
      <c r="J106" s="32"/>
      <c r="K106" s="1"/>
      <c r="L106" s="1"/>
      <c r="M106" s="1"/>
      <c r="N106" s="34"/>
      <c r="O106" s="1"/>
      <c r="P106" s="1"/>
      <c r="Q106" s="1"/>
      <c r="R106" s="1"/>
      <c r="S106" s="1"/>
      <c r="T106" s="1"/>
      <c r="U106" s="82"/>
      <c r="V106" s="2"/>
      <c r="W106" s="2"/>
      <c r="X106" s="35"/>
      <c r="Y106" s="36"/>
      <c r="Z106" s="37"/>
      <c r="AA106" s="38"/>
      <c r="AB106" s="38"/>
      <c r="AC106" s="39"/>
      <c r="AD106" s="86"/>
      <c r="AE106" s="32"/>
      <c r="AF106" s="37"/>
      <c r="AG106" s="3"/>
      <c r="AH106" s="40"/>
      <c r="AI106" s="41"/>
      <c r="AJ106" s="42"/>
    </row>
    <row r="107" spans="1:36">
      <c r="A107" s="42"/>
      <c r="B107" s="31"/>
      <c r="C107" s="31"/>
      <c r="D107" s="32"/>
      <c r="E107" s="32"/>
      <c r="F107" s="32"/>
      <c r="G107" s="32"/>
      <c r="H107" s="32"/>
      <c r="I107" s="33"/>
      <c r="J107" s="32"/>
      <c r="K107" s="1"/>
      <c r="L107" s="1"/>
      <c r="M107" s="1"/>
      <c r="N107" s="34"/>
      <c r="O107" s="1"/>
      <c r="P107" s="1"/>
      <c r="Q107" s="1"/>
      <c r="R107" s="1"/>
      <c r="S107" s="1"/>
      <c r="T107" s="1"/>
      <c r="U107" s="82"/>
      <c r="V107" s="2"/>
      <c r="W107" s="2"/>
      <c r="X107" s="35"/>
      <c r="Y107" s="36"/>
      <c r="Z107" s="37"/>
      <c r="AA107" s="38"/>
      <c r="AB107" s="38"/>
      <c r="AC107" s="39"/>
      <c r="AD107" s="86"/>
      <c r="AE107" s="32"/>
      <c r="AF107" s="37"/>
      <c r="AG107" s="3"/>
      <c r="AH107" s="40"/>
      <c r="AI107" s="41"/>
      <c r="AJ107" s="42"/>
    </row>
    <row r="108" spans="1:36">
      <c r="A108" s="42"/>
      <c r="B108" s="31"/>
      <c r="C108" s="31"/>
      <c r="D108" s="32"/>
      <c r="E108" s="32"/>
      <c r="F108" s="32"/>
      <c r="G108" s="32"/>
      <c r="H108" s="32"/>
      <c r="I108" s="33"/>
      <c r="J108" s="32"/>
      <c r="K108" s="1"/>
      <c r="L108" s="1"/>
      <c r="M108" s="1"/>
      <c r="N108" s="34"/>
      <c r="O108" s="1"/>
      <c r="P108" s="1"/>
      <c r="Q108" s="1"/>
      <c r="R108" s="1"/>
      <c r="S108" s="1"/>
      <c r="T108" s="1"/>
      <c r="U108" s="82"/>
      <c r="V108" s="2"/>
      <c r="W108" s="2"/>
      <c r="X108" s="35"/>
      <c r="Y108" s="36"/>
      <c r="Z108" s="37"/>
      <c r="AA108" s="38"/>
      <c r="AB108" s="38"/>
      <c r="AC108" s="39"/>
      <c r="AD108" s="86"/>
      <c r="AE108" s="32"/>
      <c r="AF108" s="37"/>
      <c r="AG108" s="3"/>
      <c r="AH108" s="40"/>
      <c r="AI108" s="41"/>
      <c r="AJ108" s="42"/>
    </row>
    <row r="109" spans="1:36">
      <c r="A109" s="42"/>
      <c r="B109" s="31"/>
      <c r="C109" s="31"/>
      <c r="D109" s="32"/>
      <c r="E109" s="32"/>
      <c r="F109" s="32"/>
      <c r="G109" s="32"/>
      <c r="H109" s="32"/>
      <c r="I109" s="33"/>
      <c r="J109" s="32"/>
      <c r="K109" s="1"/>
      <c r="L109" s="1"/>
      <c r="M109" s="1"/>
      <c r="N109" s="34"/>
      <c r="O109" s="1"/>
      <c r="P109" s="1"/>
      <c r="Q109" s="1"/>
      <c r="R109" s="1"/>
      <c r="S109" s="1"/>
      <c r="T109" s="1"/>
      <c r="U109" s="82"/>
      <c r="V109" s="2"/>
      <c r="W109" s="2"/>
      <c r="X109" s="35"/>
      <c r="Y109" s="36"/>
      <c r="Z109" s="37"/>
      <c r="AA109" s="38"/>
      <c r="AB109" s="38"/>
      <c r="AC109" s="39"/>
      <c r="AD109" s="86"/>
      <c r="AE109" s="32"/>
      <c r="AF109" s="37"/>
      <c r="AG109" s="3"/>
      <c r="AH109" s="40"/>
      <c r="AI109" s="41"/>
      <c r="AJ109" s="42"/>
    </row>
    <row r="110" spans="1:36">
      <c r="A110" s="42"/>
      <c r="B110" s="31"/>
      <c r="C110" s="31"/>
      <c r="D110" s="32"/>
      <c r="E110" s="32"/>
      <c r="F110" s="32"/>
      <c r="G110" s="32"/>
      <c r="H110" s="32"/>
      <c r="I110" s="33"/>
      <c r="J110" s="32"/>
      <c r="K110" s="1"/>
      <c r="L110" s="1"/>
      <c r="M110" s="1"/>
      <c r="N110" s="34"/>
      <c r="O110" s="1"/>
      <c r="P110" s="1"/>
      <c r="Q110" s="1"/>
      <c r="R110" s="1"/>
      <c r="S110" s="1"/>
      <c r="T110" s="1"/>
      <c r="U110" s="82"/>
      <c r="V110" s="2"/>
      <c r="W110" s="2"/>
      <c r="X110" s="35"/>
      <c r="Y110" s="36"/>
      <c r="Z110" s="37"/>
      <c r="AA110" s="38"/>
      <c r="AB110" s="38"/>
      <c r="AC110" s="39"/>
      <c r="AD110" s="86"/>
      <c r="AE110" s="32"/>
      <c r="AF110" s="37"/>
      <c r="AG110" s="3"/>
      <c r="AH110" s="40"/>
      <c r="AI110" s="41"/>
      <c r="AJ110" s="42"/>
    </row>
    <row r="111" spans="1:36">
      <c r="A111" s="42"/>
      <c r="B111" s="31"/>
      <c r="C111" s="31"/>
      <c r="D111" s="32"/>
      <c r="E111" s="32"/>
      <c r="F111" s="32"/>
      <c r="G111" s="32"/>
      <c r="H111" s="32"/>
      <c r="I111" s="33"/>
      <c r="J111" s="32"/>
      <c r="K111" s="1"/>
      <c r="L111" s="1"/>
      <c r="M111" s="1"/>
      <c r="N111" s="34"/>
      <c r="O111" s="1"/>
      <c r="P111" s="1"/>
      <c r="Q111" s="1"/>
      <c r="R111" s="1"/>
      <c r="S111" s="1"/>
      <c r="T111" s="1"/>
      <c r="U111" s="82"/>
      <c r="V111" s="2"/>
      <c r="W111" s="2"/>
      <c r="X111" s="35"/>
      <c r="Y111" s="36"/>
      <c r="Z111" s="37"/>
      <c r="AA111" s="38"/>
      <c r="AB111" s="38"/>
      <c r="AC111" s="39"/>
      <c r="AD111" s="86"/>
      <c r="AE111" s="32"/>
      <c r="AF111" s="37"/>
      <c r="AG111" s="3"/>
      <c r="AH111" s="40"/>
      <c r="AI111" s="41"/>
      <c r="AJ111" s="42"/>
    </row>
    <row r="112" spans="1:36">
      <c r="A112" s="42"/>
      <c r="B112" s="31"/>
      <c r="C112" s="31"/>
      <c r="D112" s="32"/>
      <c r="E112" s="32"/>
      <c r="F112" s="32"/>
      <c r="G112" s="32"/>
      <c r="H112" s="32"/>
      <c r="I112" s="33"/>
      <c r="J112" s="32"/>
      <c r="K112" s="1"/>
      <c r="L112" s="1"/>
      <c r="M112" s="1"/>
      <c r="N112" s="34"/>
      <c r="O112" s="1"/>
      <c r="P112" s="1"/>
      <c r="Q112" s="1"/>
      <c r="R112" s="1"/>
      <c r="S112" s="1"/>
      <c r="T112" s="1"/>
      <c r="U112" s="82"/>
      <c r="V112" s="2"/>
      <c r="W112" s="2"/>
      <c r="X112" s="35"/>
      <c r="Y112" s="36"/>
      <c r="Z112" s="37"/>
      <c r="AA112" s="38"/>
      <c r="AB112" s="38"/>
      <c r="AC112" s="39"/>
      <c r="AD112" s="86"/>
      <c r="AE112" s="32"/>
      <c r="AF112" s="37"/>
      <c r="AG112" s="3"/>
      <c r="AH112" s="40"/>
      <c r="AI112" s="41"/>
      <c r="AJ112" s="42"/>
    </row>
    <row r="113" spans="1:36">
      <c r="A113" s="42"/>
      <c r="B113" s="31"/>
      <c r="C113" s="31"/>
      <c r="D113" s="32"/>
      <c r="E113" s="32"/>
      <c r="F113" s="32"/>
      <c r="G113" s="32"/>
      <c r="H113" s="32"/>
      <c r="I113" s="33"/>
      <c r="J113" s="32"/>
      <c r="K113" s="1"/>
      <c r="L113" s="1"/>
      <c r="M113" s="1"/>
      <c r="N113" s="34"/>
      <c r="O113" s="1"/>
      <c r="P113" s="1"/>
      <c r="Q113" s="1"/>
      <c r="R113" s="1"/>
      <c r="S113" s="1"/>
      <c r="T113" s="1"/>
      <c r="U113" s="82"/>
      <c r="V113" s="2"/>
      <c r="W113" s="2"/>
      <c r="X113" s="35"/>
      <c r="Y113" s="36"/>
      <c r="Z113" s="37"/>
      <c r="AA113" s="38"/>
      <c r="AB113" s="38"/>
      <c r="AC113" s="39"/>
      <c r="AD113" s="86"/>
      <c r="AE113" s="32"/>
      <c r="AF113" s="37"/>
      <c r="AG113" s="3"/>
      <c r="AH113" s="40"/>
      <c r="AI113" s="41"/>
      <c r="AJ113" s="42"/>
    </row>
    <row r="114" spans="1:36">
      <c r="A114" s="42"/>
      <c r="B114" s="31"/>
      <c r="C114" s="31"/>
      <c r="D114" s="32"/>
      <c r="E114" s="32"/>
      <c r="F114" s="32"/>
      <c r="G114" s="32"/>
      <c r="H114" s="32"/>
      <c r="I114" s="33"/>
      <c r="J114" s="32"/>
      <c r="K114" s="1"/>
      <c r="L114" s="1"/>
      <c r="M114" s="1"/>
      <c r="N114" s="34"/>
      <c r="O114" s="1"/>
      <c r="P114" s="1"/>
      <c r="Q114" s="1"/>
      <c r="R114" s="1"/>
      <c r="S114" s="1"/>
      <c r="T114" s="1"/>
      <c r="U114" s="82"/>
      <c r="V114" s="2"/>
      <c r="W114" s="2"/>
      <c r="X114" s="35"/>
      <c r="Y114" s="36"/>
      <c r="Z114" s="37"/>
      <c r="AA114" s="38"/>
      <c r="AB114" s="38"/>
      <c r="AC114" s="39"/>
      <c r="AD114" s="86"/>
      <c r="AE114" s="32"/>
      <c r="AF114" s="37"/>
      <c r="AG114" s="3"/>
      <c r="AH114" s="40"/>
      <c r="AI114" s="41"/>
      <c r="AJ114" s="42"/>
    </row>
    <row r="115" spans="1:36">
      <c r="A115" s="42"/>
      <c r="B115" s="31"/>
      <c r="C115" s="31"/>
      <c r="D115" s="32"/>
      <c r="E115" s="32"/>
      <c r="F115" s="32"/>
      <c r="G115" s="32"/>
      <c r="H115" s="32"/>
      <c r="I115" s="33"/>
      <c r="J115" s="32"/>
      <c r="K115" s="1"/>
      <c r="L115" s="1"/>
      <c r="M115" s="1"/>
      <c r="N115" s="34"/>
      <c r="O115" s="1"/>
      <c r="P115" s="1"/>
      <c r="Q115" s="1"/>
      <c r="R115" s="1"/>
      <c r="S115" s="1"/>
      <c r="T115" s="1"/>
      <c r="U115" s="82"/>
      <c r="V115" s="2"/>
      <c r="W115" s="2"/>
      <c r="X115" s="35"/>
      <c r="Y115" s="36"/>
      <c r="Z115" s="37"/>
      <c r="AA115" s="38"/>
      <c r="AB115" s="38"/>
      <c r="AC115" s="39"/>
      <c r="AD115" s="86"/>
      <c r="AE115" s="32"/>
      <c r="AF115" s="37"/>
      <c r="AG115" s="3"/>
      <c r="AH115" s="40"/>
      <c r="AI115" s="41"/>
      <c r="AJ115" s="42"/>
    </row>
    <row r="116" spans="1:36">
      <c r="A116" s="42"/>
      <c r="B116" s="31"/>
      <c r="C116" s="31"/>
      <c r="D116" s="32"/>
      <c r="E116" s="32"/>
      <c r="F116" s="32"/>
      <c r="G116" s="32"/>
      <c r="H116" s="32"/>
      <c r="I116" s="33"/>
      <c r="J116" s="32"/>
      <c r="K116" s="1"/>
      <c r="L116" s="1"/>
      <c r="M116" s="1"/>
      <c r="N116" s="34"/>
      <c r="O116" s="1"/>
      <c r="P116" s="1"/>
      <c r="Q116" s="1"/>
      <c r="R116" s="1"/>
      <c r="S116" s="1"/>
      <c r="T116" s="1"/>
      <c r="U116" s="82"/>
      <c r="V116" s="2"/>
      <c r="W116" s="2"/>
      <c r="X116" s="35"/>
      <c r="Y116" s="36"/>
      <c r="Z116" s="37"/>
      <c r="AA116" s="38"/>
      <c r="AB116" s="38"/>
      <c r="AC116" s="39"/>
      <c r="AD116" s="86"/>
      <c r="AE116" s="32"/>
      <c r="AF116" s="37"/>
      <c r="AG116" s="3"/>
      <c r="AH116" s="40"/>
      <c r="AI116" s="41"/>
      <c r="AJ116" s="42"/>
    </row>
    <row r="117" spans="1:36">
      <c r="A117" s="42"/>
      <c r="B117" s="31"/>
      <c r="C117" s="31"/>
      <c r="D117" s="32"/>
      <c r="E117" s="32"/>
      <c r="F117" s="32"/>
      <c r="G117" s="32"/>
      <c r="H117" s="32"/>
      <c r="I117" s="33"/>
      <c r="J117" s="32"/>
      <c r="K117" s="1"/>
      <c r="L117" s="1"/>
      <c r="M117" s="1"/>
      <c r="N117" s="34"/>
      <c r="O117" s="1"/>
      <c r="P117" s="1"/>
      <c r="Q117" s="1"/>
      <c r="R117" s="1"/>
      <c r="S117" s="1"/>
      <c r="T117" s="1"/>
      <c r="U117" s="82"/>
      <c r="V117" s="2"/>
      <c r="W117" s="2"/>
      <c r="X117" s="35"/>
      <c r="Y117" s="36"/>
      <c r="Z117" s="37"/>
      <c r="AA117" s="38"/>
      <c r="AB117" s="38"/>
      <c r="AC117" s="39"/>
      <c r="AD117" s="86"/>
      <c r="AE117" s="32"/>
      <c r="AF117" s="37"/>
      <c r="AG117" s="3"/>
      <c r="AH117" s="40"/>
      <c r="AI117" s="41"/>
      <c r="AJ117" s="42"/>
    </row>
    <row r="118" spans="1:36">
      <c r="A118" s="42"/>
      <c r="B118" s="31"/>
      <c r="C118" s="31"/>
      <c r="D118" s="32"/>
      <c r="E118" s="32"/>
      <c r="F118" s="32"/>
      <c r="G118" s="32"/>
      <c r="H118" s="32"/>
      <c r="I118" s="33"/>
      <c r="J118" s="32"/>
      <c r="K118" s="1"/>
      <c r="L118" s="1"/>
      <c r="M118" s="1"/>
      <c r="N118" s="34"/>
      <c r="O118" s="1"/>
      <c r="P118" s="1"/>
      <c r="Q118" s="1"/>
      <c r="R118" s="1"/>
      <c r="S118" s="1"/>
      <c r="T118" s="1"/>
      <c r="U118" s="82"/>
      <c r="V118" s="2"/>
      <c r="W118" s="2"/>
      <c r="X118" s="35"/>
      <c r="Y118" s="36"/>
      <c r="Z118" s="37"/>
      <c r="AA118" s="38"/>
      <c r="AB118" s="38"/>
      <c r="AC118" s="39"/>
      <c r="AD118" s="86"/>
      <c r="AE118" s="32"/>
      <c r="AF118" s="37"/>
      <c r="AG118" s="3"/>
      <c r="AH118" s="40"/>
      <c r="AI118" s="41"/>
      <c r="AJ118" s="42"/>
    </row>
    <row r="119" spans="1:36">
      <c r="A119" s="42"/>
      <c r="B119" s="31"/>
      <c r="C119" s="31"/>
      <c r="D119" s="32"/>
      <c r="E119" s="32"/>
      <c r="F119" s="32"/>
      <c r="G119" s="32"/>
      <c r="H119" s="32"/>
      <c r="I119" s="33"/>
      <c r="J119" s="32"/>
      <c r="K119" s="1"/>
      <c r="L119" s="1"/>
      <c r="M119" s="1"/>
      <c r="N119" s="34"/>
      <c r="O119" s="1"/>
      <c r="P119" s="1"/>
      <c r="Q119" s="1"/>
      <c r="R119" s="1"/>
      <c r="S119" s="1"/>
      <c r="T119" s="1"/>
      <c r="U119" s="82"/>
      <c r="V119" s="2"/>
      <c r="W119" s="2"/>
      <c r="X119" s="35"/>
      <c r="Y119" s="36"/>
      <c r="Z119" s="37"/>
      <c r="AA119" s="38"/>
      <c r="AB119" s="38"/>
      <c r="AC119" s="39"/>
      <c r="AD119" s="86"/>
      <c r="AE119" s="32"/>
      <c r="AF119" s="37"/>
      <c r="AG119" s="3"/>
      <c r="AH119" s="40"/>
      <c r="AI119" s="41"/>
      <c r="AJ119" s="42"/>
    </row>
    <row r="120" spans="1:36">
      <c r="A120" s="42"/>
      <c r="B120" s="31"/>
      <c r="C120" s="31"/>
      <c r="D120" s="32"/>
      <c r="E120" s="32"/>
      <c r="F120" s="32"/>
      <c r="G120" s="32"/>
      <c r="H120" s="32"/>
      <c r="I120" s="33"/>
      <c r="J120" s="32"/>
      <c r="K120" s="1"/>
      <c r="L120" s="1"/>
      <c r="M120" s="1"/>
      <c r="N120" s="34"/>
      <c r="O120" s="1"/>
      <c r="P120" s="1"/>
      <c r="Q120" s="1"/>
      <c r="R120" s="1"/>
      <c r="S120" s="1"/>
      <c r="T120" s="1"/>
      <c r="U120" s="82"/>
      <c r="V120" s="2"/>
      <c r="W120" s="2"/>
      <c r="X120" s="35"/>
      <c r="Y120" s="36"/>
      <c r="Z120" s="37"/>
      <c r="AA120" s="38"/>
      <c r="AB120" s="38"/>
      <c r="AC120" s="39"/>
      <c r="AD120" s="86"/>
      <c r="AE120" s="32"/>
      <c r="AF120" s="37"/>
      <c r="AG120" s="3"/>
      <c r="AH120" s="40"/>
      <c r="AI120" s="41"/>
      <c r="AJ120" s="42"/>
    </row>
    <row r="121" spans="1:36">
      <c r="A121" s="42"/>
      <c r="B121" s="31"/>
      <c r="C121" s="31"/>
      <c r="D121" s="32"/>
      <c r="E121" s="32"/>
      <c r="F121" s="32"/>
      <c r="G121" s="32"/>
      <c r="H121" s="32"/>
      <c r="I121" s="33"/>
      <c r="J121" s="32"/>
      <c r="K121" s="1"/>
      <c r="L121" s="1"/>
      <c r="M121" s="1"/>
      <c r="N121" s="34"/>
      <c r="O121" s="1"/>
      <c r="P121" s="1"/>
      <c r="Q121" s="1"/>
      <c r="R121" s="1"/>
      <c r="S121" s="1"/>
      <c r="T121" s="1"/>
      <c r="U121" s="82"/>
      <c r="V121" s="2"/>
      <c r="W121" s="2"/>
      <c r="X121" s="35"/>
      <c r="Y121" s="36"/>
      <c r="Z121" s="37"/>
      <c r="AA121" s="38"/>
      <c r="AB121" s="38"/>
      <c r="AC121" s="39"/>
      <c r="AD121" s="86"/>
      <c r="AE121" s="32"/>
      <c r="AF121" s="37"/>
      <c r="AG121" s="3"/>
      <c r="AH121" s="40"/>
      <c r="AI121" s="41"/>
      <c r="AJ121" s="42"/>
    </row>
    <row r="122" spans="1:36">
      <c r="A122" s="42"/>
      <c r="B122" s="31"/>
      <c r="C122" s="31"/>
      <c r="D122" s="32"/>
      <c r="E122" s="32"/>
      <c r="F122" s="32"/>
      <c r="G122" s="32"/>
      <c r="H122" s="32"/>
      <c r="I122" s="33"/>
      <c r="J122" s="32"/>
      <c r="K122" s="1"/>
      <c r="L122" s="1"/>
      <c r="M122" s="1"/>
      <c r="N122" s="34"/>
      <c r="O122" s="1"/>
      <c r="P122" s="1"/>
      <c r="Q122" s="1"/>
      <c r="R122" s="1"/>
      <c r="S122" s="1"/>
      <c r="T122" s="1"/>
      <c r="U122" s="82"/>
      <c r="V122" s="2"/>
      <c r="W122" s="2"/>
      <c r="X122" s="35"/>
      <c r="Y122" s="36"/>
      <c r="Z122" s="37"/>
      <c r="AA122" s="38"/>
      <c r="AB122" s="38"/>
      <c r="AC122" s="39"/>
      <c r="AD122" s="86"/>
      <c r="AE122" s="32"/>
      <c r="AF122" s="37"/>
      <c r="AG122" s="3"/>
      <c r="AH122" s="40"/>
      <c r="AI122" s="41"/>
      <c r="AJ122" s="42"/>
    </row>
    <row r="123" spans="1:36">
      <c r="A123" s="42"/>
      <c r="B123" s="31"/>
      <c r="C123" s="31"/>
      <c r="D123" s="32"/>
      <c r="E123" s="32"/>
      <c r="F123" s="32"/>
      <c r="G123" s="32"/>
      <c r="H123" s="32"/>
      <c r="I123" s="33"/>
      <c r="J123" s="32"/>
      <c r="K123" s="1"/>
      <c r="L123" s="1"/>
      <c r="M123" s="1"/>
      <c r="N123" s="34"/>
      <c r="O123" s="1"/>
      <c r="P123" s="1"/>
      <c r="Q123" s="1"/>
      <c r="R123" s="1"/>
      <c r="S123" s="1"/>
      <c r="T123" s="1"/>
      <c r="U123" s="82"/>
      <c r="V123" s="2"/>
      <c r="W123" s="2"/>
      <c r="X123" s="35"/>
      <c r="Y123" s="36"/>
      <c r="Z123" s="37"/>
      <c r="AA123" s="38"/>
      <c r="AB123" s="38"/>
      <c r="AC123" s="39"/>
      <c r="AD123" s="86"/>
      <c r="AE123" s="32"/>
      <c r="AF123" s="37"/>
      <c r="AG123" s="3"/>
      <c r="AH123" s="40"/>
      <c r="AI123" s="41"/>
      <c r="AJ123" s="42"/>
    </row>
    <row r="124" spans="1:36">
      <c r="A124" s="42"/>
      <c r="B124" s="31"/>
      <c r="C124" s="31"/>
      <c r="D124" s="32"/>
      <c r="E124" s="32"/>
      <c r="F124" s="32"/>
      <c r="G124" s="32"/>
      <c r="H124" s="32"/>
      <c r="I124" s="33"/>
      <c r="J124" s="32"/>
      <c r="K124" s="1"/>
      <c r="L124" s="1"/>
      <c r="M124" s="1"/>
      <c r="N124" s="34"/>
      <c r="O124" s="1"/>
      <c r="P124" s="1"/>
      <c r="Q124" s="1"/>
      <c r="R124" s="1"/>
      <c r="S124" s="1"/>
      <c r="T124" s="1"/>
      <c r="U124" s="82"/>
      <c r="V124" s="2"/>
      <c r="W124" s="2"/>
      <c r="X124" s="35"/>
      <c r="Y124" s="36"/>
      <c r="Z124" s="37"/>
      <c r="AA124" s="38"/>
      <c r="AB124" s="38"/>
      <c r="AC124" s="39"/>
      <c r="AD124" s="86"/>
      <c r="AE124" s="32"/>
      <c r="AF124" s="37"/>
      <c r="AG124" s="3"/>
      <c r="AH124" s="40"/>
      <c r="AI124" s="41"/>
      <c r="AJ124" s="42"/>
    </row>
    <row r="125" spans="1:36">
      <c r="A125" s="42"/>
      <c r="B125" s="31"/>
      <c r="C125" s="31"/>
      <c r="D125" s="32"/>
      <c r="E125" s="32"/>
      <c r="F125" s="32"/>
      <c r="G125" s="32"/>
      <c r="H125" s="32"/>
      <c r="I125" s="33"/>
      <c r="J125" s="32"/>
      <c r="K125" s="1"/>
      <c r="L125" s="1"/>
      <c r="M125" s="1"/>
      <c r="N125" s="34"/>
      <c r="O125" s="1"/>
      <c r="P125" s="1"/>
      <c r="Q125" s="1"/>
      <c r="R125" s="1"/>
      <c r="S125" s="1"/>
      <c r="T125" s="1"/>
      <c r="U125" s="82"/>
      <c r="V125" s="2"/>
      <c r="W125" s="2"/>
      <c r="X125" s="35"/>
      <c r="Y125" s="36"/>
      <c r="Z125" s="37"/>
      <c r="AA125" s="38"/>
      <c r="AB125" s="38"/>
      <c r="AC125" s="39"/>
      <c r="AD125" s="86"/>
      <c r="AE125" s="32"/>
      <c r="AF125" s="37"/>
      <c r="AG125" s="3"/>
      <c r="AH125" s="40"/>
      <c r="AI125" s="41"/>
      <c r="AJ125" s="42"/>
    </row>
    <row r="126" spans="1:36">
      <c r="A126" s="42"/>
      <c r="B126" s="31"/>
      <c r="C126" s="31"/>
      <c r="D126" s="32"/>
      <c r="E126" s="32"/>
      <c r="F126" s="32"/>
      <c r="G126" s="32"/>
      <c r="H126" s="32"/>
      <c r="I126" s="33"/>
      <c r="J126" s="32"/>
      <c r="K126" s="1"/>
      <c r="L126" s="1"/>
      <c r="M126" s="1"/>
      <c r="N126" s="34"/>
      <c r="O126" s="1"/>
      <c r="P126" s="1"/>
      <c r="Q126" s="1"/>
      <c r="R126" s="1"/>
      <c r="S126" s="1"/>
      <c r="T126" s="1"/>
      <c r="U126" s="82"/>
      <c r="V126" s="2"/>
      <c r="W126" s="2"/>
      <c r="X126" s="35"/>
      <c r="Y126" s="36"/>
      <c r="Z126" s="37"/>
      <c r="AA126" s="38"/>
      <c r="AB126" s="38"/>
      <c r="AC126" s="39"/>
      <c r="AD126" s="86"/>
      <c r="AE126" s="32"/>
      <c r="AF126" s="37"/>
      <c r="AG126" s="3"/>
      <c r="AH126" s="40"/>
      <c r="AI126" s="41"/>
      <c r="AJ126" s="42"/>
    </row>
    <row r="127" spans="1:36">
      <c r="A127" s="42"/>
      <c r="B127" s="31"/>
      <c r="C127" s="31"/>
      <c r="D127" s="32"/>
      <c r="E127" s="32"/>
      <c r="F127" s="32"/>
      <c r="G127" s="32"/>
      <c r="H127" s="32"/>
      <c r="I127" s="33"/>
      <c r="J127" s="32"/>
      <c r="K127" s="1"/>
      <c r="L127" s="1"/>
      <c r="M127" s="1"/>
      <c r="N127" s="34"/>
      <c r="O127" s="1"/>
      <c r="P127" s="1"/>
      <c r="Q127" s="1"/>
      <c r="R127" s="1"/>
      <c r="S127" s="1"/>
      <c r="T127" s="1"/>
      <c r="U127" s="82"/>
      <c r="V127" s="2"/>
      <c r="W127" s="2"/>
      <c r="X127" s="35"/>
      <c r="Y127" s="36"/>
      <c r="Z127" s="37"/>
      <c r="AA127" s="38"/>
      <c r="AB127" s="38"/>
      <c r="AC127" s="39"/>
      <c r="AD127" s="86"/>
      <c r="AE127" s="32"/>
      <c r="AF127" s="37"/>
      <c r="AG127" s="3"/>
      <c r="AH127" s="40"/>
      <c r="AI127" s="41"/>
      <c r="AJ127" s="42"/>
    </row>
    <row r="128" spans="1:36">
      <c r="A128" s="42"/>
      <c r="B128" s="31"/>
      <c r="C128" s="31"/>
      <c r="D128" s="32"/>
      <c r="E128" s="32"/>
      <c r="F128" s="32"/>
      <c r="G128" s="32"/>
      <c r="H128" s="32"/>
      <c r="I128" s="33"/>
      <c r="J128" s="32"/>
      <c r="K128" s="1"/>
      <c r="L128" s="1"/>
      <c r="M128" s="1"/>
      <c r="N128" s="34"/>
      <c r="O128" s="1"/>
      <c r="P128" s="1"/>
      <c r="Q128" s="1"/>
      <c r="R128" s="1"/>
      <c r="S128" s="1"/>
      <c r="T128" s="1"/>
      <c r="U128" s="82"/>
      <c r="V128" s="2"/>
      <c r="W128" s="2"/>
      <c r="X128" s="35"/>
      <c r="Y128" s="36"/>
      <c r="Z128" s="37"/>
      <c r="AA128" s="38"/>
      <c r="AB128" s="38"/>
      <c r="AC128" s="39"/>
      <c r="AD128" s="86"/>
      <c r="AE128" s="32"/>
      <c r="AF128" s="37"/>
      <c r="AG128" s="3"/>
      <c r="AH128" s="40"/>
      <c r="AI128" s="41"/>
      <c r="AJ128" s="42"/>
    </row>
    <row r="129" spans="1:36">
      <c r="A129" s="42"/>
      <c r="B129" s="31"/>
      <c r="C129" s="31"/>
      <c r="D129" s="32"/>
      <c r="E129" s="32"/>
      <c r="F129" s="32"/>
      <c r="G129" s="32"/>
      <c r="H129" s="32"/>
      <c r="I129" s="33"/>
      <c r="J129" s="32"/>
      <c r="K129" s="1"/>
      <c r="L129" s="1"/>
      <c r="M129" s="1"/>
      <c r="N129" s="34"/>
      <c r="O129" s="1"/>
      <c r="P129" s="1"/>
      <c r="Q129" s="1"/>
      <c r="R129" s="1"/>
      <c r="S129" s="1"/>
      <c r="T129" s="1"/>
      <c r="U129" s="82"/>
      <c r="V129" s="2"/>
      <c r="W129" s="2"/>
      <c r="X129" s="35"/>
      <c r="Y129" s="36"/>
      <c r="Z129" s="37"/>
      <c r="AA129" s="38"/>
      <c r="AB129" s="38"/>
      <c r="AC129" s="39"/>
      <c r="AD129" s="86"/>
      <c r="AE129" s="32"/>
      <c r="AF129" s="37"/>
      <c r="AG129" s="3"/>
      <c r="AH129" s="40"/>
      <c r="AI129" s="41"/>
      <c r="AJ129" s="42"/>
    </row>
    <row r="130" spans="1:36">
      <c r="A130" s="42"/>
      <c r="B130" s="31"/>
      <c r="C130" s="31"/>
      <c r="D130" s="32"/>
      <c r="E130" s="32"/>
      <c r="F130" s="32"/>
      <c r="G130" s="32"/>
      <c r="H130" s="32"/>
      <c r="I130" s="33"/>
      <c r="J130" s="32"/>
      <c r="K130" s="1"/>
      <c r="L130" s="1"/>
      <c r="M130" s="1"/>
      <c r="N130" s="34"/>
      <c r="O130" s="1"/>
      <c r="P130" s="1"/>
      <c r="Q130" s="1"/>
      <c r="R130" s="1"/>
      <c r="S130" s="1"/>
      <c r="T130" s="1"/>
      <c r="U130" s="82"/>
      <c r="V130" s="2"/>
      <c r="W130" s="2"/>
      <c r="X130" s="35"/>
      <c r="Y130" s="36"/>
      <c r="Z130" s="37"/>
      <c r="AA130" s="38"/>
      <c r="AB130" s="38"/>
      <c r="AC130" s="39"/>
      <c r="AD130" s="86"/>
      <c r="AE130" s="32"/>
      <c r="AF130" s="37"/>
      <c r="AG130" s="3"/>
      <c r="AH130" s="40"/>
      <c r="AI130" s="41"/>
      <c r="AJ130" s="42"/>
    </row>
    <row r="131" spans="1:36">
      <c r="A131" s="42"/>
      <c r="B131" s="31"/>
      <c r="C131" s="31"/>
      <c r="D131" s="32"/>
      <c r="E131" s="32"/>
      <c r="F131" s="32"/>
      <c r="G131" s="32"/>
      <c r="H131" s="32"/>
      <c r="I131" s="33"/>
      <c r="J131" s="32"/>
      <c r="K131" s="1"/>
      <c r="L131" s="1"/>
      <c r="M131" s="1"/>
      <c r="N131" s="34"/>
      <c r="O131" s="1"/>
      <c r="P131" s="1"/>
      <c r="Q131" s="1"/>
      <c r="R131" s="1"/>
      <c r="S131" s="1"/>
      <c r="T131" s="1"/>
      <c r="U131" s="82"/>
      <c r="V131" s="2"/>
      <c r="W131" s="2"/>
      <c r="X131" s="35"/>
      <c r="Y131" s="36"/>
      <c r="Z131" s="37"/>
      <c r="AA131" s="38"/>
      <c r="AB131" s="38"/>
      <c r="AC131" s="39"/>
      <c r="AD131" s="86"/>
      <c r="AE131" s="32"/>
      <c r="AF131" s="37"/>
      <c r="AG131" s="3"/>
      <c r="AH131" s="40"/>
      <c r="AI131" s="41"/>
      <c r="AJ131" s="42"/>
    </row>
    <row r="132" spans="1:36">
      <c r="A132" s="42"/>
      <c r="B132" s="31"/>
      <c r="C132" s="31"/>
      <c r="D132" s="32"/>
      <c r="E132" s="32"/>
      <c r="F132" s="32"/>
      <c r="G132" s="32"/>
      <c r="H132" s="32"/>
      <c r="I132" s="33"/>
      <c r="J132" s="32"/>
      <c r="K132" s="1"/>
      <c r="L132" s="1"/>
      <c r="M132" s="1"/>
      <c r="N132" s="34"/>
      <c r="O132" s="1"/>
      <c r="P132" s="1"/>
      <c r="Q132" s="1"/>
      <c r="R132" s="1"/>
      <c r="S132" s="1"/>
      <c r="T132" s="1"/>
      <c r="U132" s="82"/>
      <c r="V132" s="2"/>
      <c r="W132" s="2"/>
      <c r="X132" s="35"/>
      <c r="Y132" s="36"/>
      <c r="Z132" s="37"/>
      <c r="AA132" s="38"/>
      <c r="AB132" s="38"/>
      <c r="AC132" s="39"/>
      <c r="AD132" s="86"/>
      <c r="AE132" s="32"/>
      <c r="AF132" s="37"/>
      <c r="AG132" s="3"/>
      <c r="AH132" s="40"/>
      <c r="AI132" s="41"/>
      <c r="AJ132" s="42"/>
    </row>
    <row r="133" spans="1:36">
      <c r="A133" s="42"/>
      <c r="B133" s="31"/>
      <c r="C133" s="31"/>
      <c r="D133" s="32"/>
      <c r="E133" s="32"/>
      <c r="F133" s="32"/>
      <c r="G133" s="32"/>
      <c r="H133" s="32"/>
      <c r="I133" s="33"/>
      <c r="J133" s="32"/>
      <c r="K133" s="1"/>
      <c r="L133" s="1"/>
      <c r="M133" s="1"/>
      <c r="N133" s="34"/>
      <c r="O133" s="1"/>
      <c r="P133" s="1"/>
      <c r="Q133" s="1"/>
      <c r="R133" s="1"/>
      <c r="S133" s="1"/>
      <c r="T133" s="1"/>
      <c r="U133" s="82"/>
      <c r="V133" s="2"/>
      <c r="W133" s="2"/>
      <c r="X133" s="35"/>
      <c r="Y133" s="36"/>
      <c r="Z133" s="37"/>
      <c r="AA133" s="38"/>
      <c r="AB133" s="38"/>
      <c r="AC133" s="39"/>
      <c r="AD133" s="86"/>
      <c r="AE133" s="32"/>
      <c r="AF133" s="37"/>
      <c r="AG133" s="3"/>
      <c r="AH133" s="40"/>
      <c r="AI133" s="41"/>
      <c r="AJ133" s="42"/>
    </row>
    <row r="134" spans="1:36">
      <c r="A134" s="42"/>
      <c r="B134" s="31"/>
      <c r="C134" s="31"/>
      <c r="D134" s="32"/>
      <c r="E134" s="32"/>
      <c r="F134" s="32"/>
      <c r="G134" s="32"/>
      <c r="H134" s="32"/>
      <c r="I134" s="33"/>
      <c r="J134" s="32"/>
      <c r="K134" s="1"/>
      <c r="L134" s="1"/>
      <c r="M134" s="1"/>
      <c r="N134" s="34"/>
      <c r="O134" s="1"/>
      <c r="P134" s="1"/>
      <c r="Q134" s="1"/>
      <c r="R134" s="1"/>
      <c r="S134" s="1"/>
      <c r="T134" s="1"/>
      <c r="U134" s="82"/>
      <c r="V134" s="2"/>
      <c r="W134" s="2"/>
      <c r="X134" s="35"/>
      <c r="Y134" s="36"/>
      <c r="Z134" s="37"/>
      <c r="AA134" s="38"/>
      <c r="AB134" s="38"/>
      <c r="AC134" s="39"/>
      <c r="AD134" s="86"/>
      <c r="AE134" s="32"/>
      <c r="AF134" s="37"/>
      <c r="AG134" s="3"/>
      <c r="AH134" s="40"/>
      <c r="AI134" s="41"/>
      <c r="AJ134" s="42"/>
    </row>
    <row r="135" spans="1:36">
      <c r="A135" s="42"/>
      <c r="B135" s="31"/>
      <c r="C135" s="31"/>
      <c r="D135" s="32"/>
      <c r="E135" s="32"/>
      <c r="F135" s="32"/>
      <c r="G135" s="32"/>
      <c r="H135" s="32"/>
      <c r="I135" s="33"/>
      <c r="J135" s="32"/>
      <c r="K135" s="1"/>
      <c r="L135" s="1"/>
      <c r="M135" s="1"/>
      <c r="N135" s="34"/>
      <c r="O135" s="1"/>
      <c r="P135" s="1"/>
      <c r="Q135" s="1"/>
      <c r="R135" s="1"/>
      <c r="S135" s="1"/>
      <c r="T135" s="1"/>
      <c r="U135" s="82"/>
      <c r="V135" s="2"/>
      <c r="W135" s="2"/>
      <c r="X135" s="35"/>
      <c r="Y135" s="36"/>
      <c r="Z135" s="37"/>
      <c r="AA135" s="38"/>
      <c r="AB135" s="38"/>
      <c r="AC135" s="39"/>
      <c r="AD135" s="86"/>
      <c r="AE135" s="32"/>
      <c r="AF135" s="37"/>
      <c r="AG135" s="3"/>
      <c r="AH135" s="40"/>
      <c r="AI135" s="41"/>
      <c r="AJ135" s="42"/>
    </row>
    <row r="136" spans="1:36">
      <c r="A136" s="42"/>
      <c r="B136" s="31"/>
      <c r="C136" s="31"/>
      <c r="D136" s="32"/>
      <c r="E136" s="32"/>
      <c r="F136" s="32"/>
      <c r="G136" s="32"/>
      <c r="H136" s="32"/>
      <c r="I136" s="33"/>
      <c r="J136" s="32"/>
      <c r="K136" s="1"/>
      <c r="L136" s="1"/>
      <c r="M136" s="1"/>
      <c r="N136" s="34"/>
      <c r="O136" s="1"/>
      <c r="P136" s="1"/>
      <c r="Q136" s="1"/>
      <c r="R136" s="1"/>
      <c r="S136" s="1"/>
      <c r="T136" s="1"/>
      <c r="U136" s="82"/>
      <c r="V136" s="2"/>
      <c r="W136" s="2"/>
      <c r="X136" s="35"/>
      <c r="Y136" s="36"/>
      <c r="Z136" s="37"/>
      <c r="AA136" s="38"/>
      <c r="AB136" s="38"/>
      <c r="AC136" s="39"/>
      <c r="AD136" s="86"/>
      <c r="AE136" s="32"/>
      <c r="AF136" s="37"/>
      <c r="AG136" s="3"/>
      <c r="AH136" s="40"/>
      <c r="AI136" s="41"/>
      <c r="AJ136" s="42"/>
    </row>
    <row r="137" spans="1:36">
      <c r="A137" s="42"/>
      <c r="B137" s="31"/>
      <c r="C137" s="31"/>
      <c r="D137" s="32"/>
      <c r="E137" s="32"/>
      <c r="F137" s="32"/>
      <c r="G137" s="32"/>
      <c r="H137" s="32"/>
      <c r="I137" s="33"/>
      <c r="J137" s="32"/>
      <c r="K137" s="1"/>
      <c r="L137" s="1"/>
      <c r="M137" s="1"/>
      <c r="N137" s="34"/>
      <c r="O137" s="1"/>
      <c r="P137" s="1"/>
      <c r="Q137" s="1"/>
      <c r="R137" s="1"/>
      <c r="S137" s="1"/>
      <c r="T137" s="1"/>
      <c r="U137" s="82"/>
      <c r="V137" s="2"/>
      <c r="W137" s="2"/>
      <c r="X137" s="35"/>
      <c r="Y137" s="36"/>
      <c r="Z137" s="37"/>
      <c r="AA137" s="38"/>
      <c r="AB137" s="38"/>
      <c r="AC137" s="39"/>
      <c r="AD137" s="86"/>
      <c r="AE137" s="32"/>
      <c r="AF137" s="37"/>
      <c r="AG137" s="3"/>
      <c r="AH137" s="40"/>
      <c r="AI137" s="41"/>
      <c r="AJ137" s="42"/>
    </row>
    <row r="138" spans="1:36">
      <c r="A138" s="42"/>
      <c r="B138" s="31"/>
      <c r="C138" s="31"/>
      <c r="D138" s="32"/>
      <c r="E138" s="32"/>
      <c r="F138" s="32"/>
      <c r="G138" s="32"/>
      <c r="H138" s="32"/>
      <c r="I138" s="33"/>
      <c r="J138" s="32"/>
      <c r="K138" s="1"/>
      <c r="L138" s="1"/>
      <c r="M138" s="1"/>
      <c r="N138" s="34"/>
      <c r="O138" s="1"/>
      <c r="P138" s="1"/>
      <c r="Q138" s="1"/>
      <c r="R138" s="1"/>
      <c r="S138" s="1"/>
      <c r="T138" s="1"/>
      <c r="U138" s="82"/>
      <c r="V138" s="2"/>
      <c r="W138" s="2"/>
      <c r="X138" s="35"/>
      <c r="Y138" s="36"/>
      <c r="Z138" s="37"/>
      <c r="AA138" s="38"/>
      <c r="AB138" s="38"/>
      <c r="AC138" s="39"/>
      <c r="AD138" s="86"/>
      <c r="AE138" s="32"/>
      <c r="AF138" s="37"/>
      <c r="AG138" s="3"/>
      <c r="AH138" s="40"/>
      <c r="AI138" s="41"/>
      <c r="AJ138" s="42"/>
    </row>
    <row r="139" spans="1:36">
      <c r="A139" s="42"/>
      <c r="B139" s="31"/>
      <c r="C139" s="31"/>
      <c r="D139" s="32"/>
      <c r="E139" s="32"/>
      <c r="F139" s="32"/>
      <c r="G139" s="32"/>
      <c r="H139" s="32"/>
      <c r="I139" s="33"/>
      <c r="J139" s="32"/>
      <c r="K139" s="1"/>
      <c r="L139" s="1"/>
      <c r="M139" s="1"/>
      <c r="N139" s="34"/>
      <c r="O139" s="1"/>
      <c r="P139" s="1"/>
      <c r="Q139" s="1"/>
      <c r="R139" s="1"/>
      <c r="S139" s="1"/>
      <c r="T139" s="1"/>
      <c r="U139" s="82"/>
      <c r="V139" s="2"/>
      <c r="W139" s="2"/>
      <c r="X139" s="35"/>
      <c r="Y139" s="36"/>
      <c r="Z139" s="37"/>
      <c r="AA139" s="38"/>
      <c r="AB139" s="38"/>
      <c r="AC139" s="39"/>
      <c r="AD139" s="86"/>
      <c r="AE139" s="32"/>
      <c r="AF139" s="37"/>
      <c r="AG139" s="3"/>
      <c r="AH139" s="40"/>
      <c r="AI139" s="41"/>
      <c r="AJ139" s="42"/>
    </row>
    <row r="140" spans="1:36">
      <c r="A140" s="42"/>
      <c r="B140" s="31"/>
      <c r="C140" s="31"/>
      <c r="D140" s="32"/>
      <c r="E140" s="32"/>
      <c r="F140" s="32"/>
      <c r="G140" s="32"/>
      <c r="H140" s="32"/>
      <c r="I140" s="33"/>
      <c r="J140" s="32"/>
      <c r="K140" s="1"/>
      <c r="L140" s="1"/>
      <c r="M140" s="1"/>
      <c r="N140" s="34"/>
      <c r="O140" s="1"/>
      <c r="P140" s="1"/>
      <c r="Q140" s="1"/>
      <c r="R140" s="1"/>
      <c r="S140" s="1"/>
      <c r="T140" s="1"/>
      <c r="U140" s="82"/>
      <c r="V140" s="2"/>
      <c r="W140" s="2"/>
      <c r="X140" s="35"/>
      <c r="Y140" s="36"/>
      <c r="Z140" s="37"/>
      <c r="AA140" s="38"/>
      <c r="AB140" s="38"/>
      <c r="AC140" s="39"/>
      <c r="AD140" s="86"/>
      <c r="AE140" s="32"/>
      <c r="AF140" s="37"/>
      <c r="AG140" s="3"/>
      <c r="AH140" s="40"/>
      <c r="AI140" s="41"/>
      <c r="AJ140" s="42"/>
    </row>
    <row r="141" spans="1:36">
      <c r="A141" s="42"/>
      <c r="B141" s="31"/>
      <c r="C141" s="31"/>
      <c r="D141" s="32"/>
      <c r="E141" s="32"/>
      <c r="F141" s="32"/>
      <c r="G141" s="32"/>
      <c r="H141" s="32"/>
      <c r="I141" s="33"/>
      <c r="J141" s="32"/>
      <c r="K141" s="1"/>
      <c r="L141" s="1"/>
      <c r="M141" s="1"/>
      <c r="N141" s="34"/>
      <c r="O141" s="1"/>
      <c r="P141" s="1"/>
      <c r="Q141" s="1"/>
      <c r="R141" s="1"/>
      <c r="S141" s="1"/>
      <c r="T141" s="1"/>
      <c r="U141" s="82"/>
      <c r="V141" s="2"/>
      <c r="W141" s="2"/>
      <c r="X141" s="35"/>
      <c r="Y141" s="36"/>
      <c r="Z141" s="37"/>
      <c r="AA141" s="38"/>
      <c r="AB141" s="38"/>
      <c r="AC141" s="39"/>
      <c r="AD141" s="86"/>
      <c r="AE141" s="32"/>
      <c r="AF141" s="37"/>
      <c r="AG141" s="3"/>
      <c r="AH141" s="40"/>
      <c r="AI141" s="41"/>
      <c r="AJ141" s="42"/>
    </row>
    <row r="142" spans="1:36">
      <c r="A142" s="42"/>
      <c r="B142" s="31"/>
      <c r="C142" s="31"/>
      <c r="D142" s="32"/>
      <c r="E142" s="32"/>
      <c r="F142" s="32"/>
      <c r="G142" s="32"/>
      <c r="H142" s="32"/>
      <c r="I142" s="33"/>
      <c r="J142" s="32"/>
      <c r="K142" s="1"/>
      <c r="L142" s="1"/>
      <c r="M142" s="1"/>
      <c r="N142" s="34"/>
      <c r="O142" s="1"/>
      <c r="P142" s="1"/>
      <c r="Q142" s="1"/>
      <c r="R142" s="1"/>
      <c r="S142" s="1"/>
      <c r="T142" s="1"/>
      <c r="U142" s="82"/>
      <c r="V142" s="2"/>
      <c r="W142" s="2"/>
      <c r="X142" s="35"/>
      <c r="Y142" s="36"/>
      <c r="Z142" s="37"/>
      <c r="AA142" s="38"/>
      <c r="AB142" s="38"/>
      <c r="AC142" s="39"/>
      <c r="AD142" s="86"/>
      <c r="AE142" s="32"/>
      <c r="AF142" s="37"/>
      <c r="AG142" s="3"/>
      <c r="AH142" s="40"/>
      <c r="AI142" s="41"/>
      <c r="AJ142" s="42"/>
    </row>
    <row r="143" spans="1:36">
      <c r="A143" s="42"/>
      <c r="B143" s="31"/>
      <c r="C143" s="31"/>
      <c r="D143" s="32"/>
      <c r="E143" s="32"/>
      <c r="F143" s="32"/>
      <c r="G143" s="32"/>
      <c r="H143" s="32"/>
      <c r="I143" s="33"/>
      <c r="J143" s="32"/>
      <c r="K143" s="1"/>
      <c r="L143" s="1"/>
      <c r="M143" s="1"/>
      <c r="N143" s="34"/>
      <c r="O143" s="1"/>
      <c r="P143" s="1"/>
      <c r="Q143" s="1"/>
      <c r="R143" s="1"/>
      <c r="S143" s="1"/>
      <c r="T143" s="1"/>
      <c r="U143" s="82"/>
      <c r="V143" s="2"/>
      <c r="W143" s="2"/>
      <c r="X143" s="35"/>
      <c r="Y143" s="36"/>
      <c r="Z143" s="37"/>
      <c r="AA143" s="38"/>
      <c r="AB143" s="38"/>
      <c r="AC143" s="39"/>
      <c r="AD143" s="86"/>
      <c r="AE143" s="32"/>
      <c r="AF143" s="37"/>
      <c r="AG143" s="3"/>
      <c r="AH143" s="40"/>
      <c r="AI143" s="41"/>
      <c r="AJ143" s="42"/>
    </row>
    <row r="144" spans="1:36">
      <c r="A144" s="42"/>
      <c r="B144" s="31"/>
      <c r="C144" s="31"/>
      <c r="D144" s="32"/>
      <c r="E144" s="32"/>
      <c r="F144" s="32"/>
      <c r="G144" s="32"/>
      <c r="H144" s="32"/>
      <c r="I144" s="33"/>
      <c r="J144" s="32"/>
      <c r="K144" s="1"/>
      <c r="L144" s="1"/>
      <c r="M144" s="1"/>
      <c r="N144" s="34"/>
      <c r="O144" s="1"/>
      <c r="P144" s="1"/>
      <c r="Q144" s="1"/>
      <c r="R144" s="1"/>
      <c r="S144" s="1"/>
      <c r="T144" s="1"/>
      <c r="U144" s="82"/>
      <c r="V144" s="2"/>
      <c r="W144" s="2"/>
      <c r="X144" s="35"/>
      <c r="Y144" s="36"/>
      <c r="Z144" s="37"/>
      <c r="AA144" s="38"/>
      <c r="AB144" s="38"/>
      <c r="AC144" s="39"/>
      <c r="AD144" s="86"/>
      <c r="AE144" s="32"/>
      <c r="AF144" s="37"/>
      <c r="AG144" s="3"/>
      <c r="AH144" s="40"/>
      <c r="AI144" s="41"/>
      <c r="AJ144" s="42"/>
    </row>
    <row r="145" spans="1:36">
      <c r="A145" s="42"/>
      <c r="B145" s="31"/>
      <c r="C145" s="31"/>
      <c r="D145" s="32"/>
      <c r="E145" s="32"/>
      <c r="F145" s="32"/>
      <c r="G145" s="32"/>
      <c r="H145" s="32"/>
      <c r="I145" s="33"/>
      <c r="J145" s="32"/>
      <c r="K145" s="1"/>
      <c r="L145" s="1"/>
      <c r="M145" s="1"/>
      <c r="N145" s="34"/>
      <c r="O145" s="1"/>
      <c r="P145" s="1"/>
      <c r="Q145" s="1"/>
      <c r="R145" s="1"/>
      <c r="S145" s="1"/>
      <c r="T145" s="1"/>
      <c r="U145" s="82"/>
      <c r="V145" s="2"/>
      <c r="W145" s="2"/>
      <c r="X145" s="35"/>
      <c r="Y145" s="36"/>
      <c r="Z145" s="37"/>
      <c r="AA145" s="38"/>
      <c r="AB145" s="38"/>
      <c r="AC145" s="39"/>
      <c r="AD145" s="86"/>
      <c r="AE145" s="32"/>
      <c r="AF145" s="37"/>
      <c r="AG145" s="3"/>
      <c r="AH145" s="40"/>
      <c r="AI145" s="41"/>
      <c r="AJ145" s="42"/>
    </row>
    <row r="146" spans="1:36">
      <c r="A146" s="42"/>
      <c r="B146" s="31"/>
      <c r="C146" s="31"/>
      <c r="D146" s="32"/>
      <c r="E146" s="32"/>
      <c r="F146" s="32"/>
      <c r="G146" s="32"/>
      <c r="H146" s="32"/>
      <c r="I146" s="33"/>
      <c r="J146" s="32"/>
      <c r="K146" s="1"/>
      <c r="L146" s="1"/>
      <c r="M146" s="1"/>
      <c r="N146" s="34"/>
      <c r="O146" s="1"/>
      <c r="P146" s="1"/>
      <c r="Q146" s="1"/>
      <c r="R146" s="1"/>
      <c r="S146" s="1"/>
      <c r="T146" s="1"/>
      <c r="U146" s="82"/>
      <c r="V146" s="2"/>
      <c r="W146" s="2"/>
      <c r="X146" s="35"/>
      <c r="Y146" s="36"/>
      <c r="Z146" s="37"/>
      <c r="AA146" s="38"/>
      <c r="AB146" s="38"/>
      <c r="AC146" s="39"/>
      <c r="AD146" s="86"/>
      <c r="AE146" s="32"/>
      <c r="AF146" s="37"/>
      <c r="AG146" s="3"/>
      <c r="AH146" s="40"/>
      <c r="AI146" s="41"/>
      <c r="AJ146" s="42"/>
    </row>
    <row r="147" spans="1:36">
      <c r="A147" s="42"/>
      <c r="B147" s="31"/>
      <c r="C147" s="31"/>
      <c r="D147" s="32"/>
      <c r="E147" s="32"/>
      <c r="F147" s="32"/>
      <c r="G147" s="32"/>
      <c r="H147" s="32"/>
      <c r="I147" s="33"/>
      <c r="J147" s="32"/>
      <c r="K147" s="1"/>
      <c r="L147" s="1"/>
      <c r="M147" s="1"/>
      <c r="N147" s="34"/>
      <c r="O147" s="1"/>
      <c r="P147" s="1"/>
      <c r="Q147" s="1"/>
      <c r="R147" s="1"/>
      <c r="S147" s="1"/>
      <c r="T147" s="1"/>
      <c r="U147" s="82"/>
      <c r="V147" s="2"/>
      <c r="W147" s="2"/>
      <c r="X147" s="35"/>
      <c r="Y147" s="36"/>
      <c r="Z147" s="37"/>
      <c r="AA147" s="38"/>
      <c r="AB147" s="38"/>
      <c r="AC147" s="39"/>
      <c r="AD147" s="86"/>
      <c r="AE147" s="32"/>
      <c r="AF147" s="37"/>
      <c r="AG147" s="3"/>
      <c r="AH147" s="40"/>
      <c r="AI147" s="41"/>
      <c r="AJ147" s="42"/>
    </row>
    <row r="148" spans="1:36">
      <c r="A148" s="42"/>
      <c r="B148" s="31"/>
      <c r="C148" s="31"/>
      <c r="D148" s="32"/>
      <c r="E148" s="32"/>
      <c r="F148" s="32"/>
      <c r="G148" s="32"/>
      <c r="H148" s="32"/>
      <c r="I148" s="33"/>
      <c r="J148" s="32"/>
      <c r="K148" s="1"/>
      <c r="L148" s="1"/>
      <c r="M148" s="1"/>
      <c r="N148" s="34"/>
      <c r="O148" s="1"/>
      <c r="P148" s="1"/>
      <c r="Q148" s="1"/>
      <c r="R148" s="1"/>
      <c r="S148" s="1"/>
      <c r="T148" s="1"/>
      <c r="U148" s="82"/>
      <c r="V148" s="2"/>
      <c r="W148" s="2"/>
      <c r="X148" s="35"/>
      <c r="Y148" s="36"/>
      <c r="Z148" s="37"/>
      <c r="AA148" s="38"/>
      <c r="AB148" s="38"/>
      <c r="AC148" s="39"/>
      <c r="AD148" s="86"/>
      <c r="AE148" s="32"/>
      <c r="AF148" s="37"/>
      <c r="AG148" s="3"/>
      <c r="AH148" s="40"/>
      <c r="AI148" s="41"/>
      <c r="AJ148" s="42"/>
    </row>
    <row r="149" spans="1:36">
      <c r="A149" s="42"/>
      <c r="B149" s="31"/>
      <c r="C149" s="31"/>
      <c r="D149" s="32"/>
      <c r="E149" s="32"/>
      <c r="F149" s="32"/>
      <c r="G149" s="32"/>
      <c r="H149" s="32"/>
      <c r="I149" s="33"/>
      <c r="J149" s="32"/>
      <c r="K149" s="1"/>
      <c r="L149" s="1"/>
      <c r="M149" s="1"/>
      <c r="N149" s="34"/>
      <c r="O149" s="1"/>
      <c r="P149" s="1"/>
      <c r="Q149" s="1"/>
      <c r="R149" s="1"/>
      <c r="S149" s="1"/>
      <c r="T149" s="1"/>
      <c r="U149" s="82"/>
      <c r="V149" s="2"/>
      <c r="W149" s="2"/>
      <c r="X149" s="35"/>
      <c r="Y149" s="36"/>
      <c r="Z149" s="37"/>
      <c r="AA149" s="38"/>
      <c r="AB149" s="38"/>
      <c r="AC149" s="39"/>
      <c r="AD149" s="86"/>
      <c r="AE149" s="32"/>
      <c r="AF149" s="37"/>
      <c r="AG149" s="3"/>
      <c r="AH149" s="40"/>
      <c r="AI149" s="41"/>
      <c r="AJ149" s="42"/>
    </row>
    <row r="150" spans="1:36">
      <c r="A150" s="42"/>
      <c r="B150" s="31"/>
      <c r="C150" s="31"/>
      <c r="D150" s="32"/>
      <c r="E150" s="32"/>
      <c r="F150" s="32"/>
      <c r="G150" s="32"/>
      <c r="H150" s="32"/>
      <c r="I150" s="33"/>
      <c r="J150" s="32"/>
      <c r="K150" s="1"/>
      <c r="L150" s="1"/>
      <c r="M150" s="1"/>
      <c r="N150" s="34"/>
      <c r="O150" s="1"/>
      <c r="P150" s="1"/>
      <c r="Q150" s="1"/>
      <c r="R150" s="1"/>
      <c r="S150" s="1"/>
      <c r="T150" s="1"/>
      <c r="U150" s="82"/>
      <c r="V150" s="2"/>
      <c r="W150" s="2"/>
      <c r="X150" s="35"/>
      <c r="Y150" s="36"/>
      <c r="Z150" s="37"/>
      <c r="AA150" s="38"/>
      <c r="AB150" s="38"/>
      <c r="AC150" s="39"/>
      <c r="AD150" s="86"/>
      <c r="AE150" s="32"/>
      <c r="AF150" s="37"/>
      <c r="AG150" s="3"/>
      <c r="AH150" s="40"/>
      <c r="AI150" s="41"/>
      <c r="AJ150" s="42"/>
    </row>
    <row r="151" spans="1:36">
      <c r="A151" s="42"/>
      <c r="B151" s="31"/>
      <c r="C151" s="31"/>
      <c r="D151" s="32"/>
      <c r="E151" s="32"/>
      <c r="F151" s="32"/>
      <c r="G151" s="32"/>
      <c r="H151" s="32"/>
      <c r="I151" s="33"/>
      <c r="J151" s="32"/>
      <c r="K151" s="1"/>
      <c r="L151" s="1"/>
      <c r="M151" s="1"/>
      <c r="N151" s="34"/>
      <c r="O151" s="1"/>
      <c r="P151" s="1"/>
      <c r="Q151" s="1"/>
      <c r="R151" s="1"/>
      <c r="S151" s="1"/>
      <c r="T151" s="1"/>
      <c r="U151" s="82"/>
      <c r="V151" s="2"/>
      <c r="W151" s="2"/>
      <c r="X151" s="35"/>
      <c r="Y151" s="36"/>
      <c r="Z151" s="37"/>
      <c r="AA151" s="38"/>
      <c r="AB151" s="38"/>
      <c r="AC151" s="39"/>
      <c r="AD151" s="86"/>
      <c r="AE151" s="32"/>
      <c r="AF151" s="37"/>
      <c r="AG151" s="3"/>
      <c r="AH151" s="40"/>
      <c r="AI151" s="41"/>
      <c r="AJ151" s="42"/>
    </row>
    <row r="152" spans="1:36">
      <c r="A152" s="42"/>
      <c r="B152" s="31"/>
      <c r="C152" s="31"/>
      <c r="D152" s="32"/>
      <c r="E152" s="32"/>
      <c r="F152" s="32"/>
      <c r="G152" s="32"/>
      <c r="H152" s="32"/>
      <c r="I152" s="33"/>
      <c r="J152" s="32"/>
      <c r="K152" s="1"/>
      <c r="L152" s="1"/>
      <c r="M152" s="1"/>
      <c r="N152" s="34"/>
      <c r="O152" s="1"/>
      <c r="P152" s="1"/>
      <c r="Q152" s="1"/>
      <c r="R152" s="1"/>
      <c r="S152" s="1"/>
      <c r="T152" s="1"/>
      <c r="U152" s="82"/>
      <c r="V152" s="2"/>
      <c r="W152" s="2"/>
      <c r="X152" s="35"/>
      <c r="Y152" s="36"/>
      <c r="Z152" s="37"/>
      <c r="AA152" s="38"/>
      <c r="AB152" s="38"/>
      <c r="AC152" s="39"/>
      <c r="AD152" s="86"/>
      <c r="AE152" s="32"/>
      <c r="AF152" s="37"/>
      <c r="AG152" s="3"/>
      <c r="AH152" s="40"/>
      <c r="AI152" s="41"/>
      <c r="AJ152" s="42"/>
    </row>
    <row r="153" spans="1:36">
      <c r="A153" s="42"/>
      <c r="B153" s="31"/>
      <c r="C153" s="31"/>
      <c r="D153" s="32"/>
      <c r="E153" s="32"/>
      <c r="F153" s="32"/>
      <c r="G153" s="32"/>
      <c r="H153" s="32"/>
      <c r="I153" s="33"/>
      <c r="J153" s="32"/>
      <c r="K153" s="1"/>
      <c r="L153" s="1"/>
      <c r="M153" s="1"/>
      <c r="N153" s="34"/>
      <c r="O153" s="1"/>
      <c r="P153" s="1"/>
      <c r="Q153" s="1"/>
      <c r="R153" s="1"/>
      <c r="S153" s="1"/>
      <c r="T153" s="1"/>
      <c r="U153" s="82"/>
      <c r="V153" s="2"/>
      <c r="W153" s="2"/>
      <c r="X153" s="35"/>
      <c r="Y153" s="36"/>
      <c r="Z153" s="37"/>
      <c r="AA153" s="38"/>
      <c r="AB153" s="38"/>
      <c r="AC153" s="39"/>
      <c r="AD153" s="86"/>
      <c r="AE153" s="32"/>
      <c r="AF153" s="37"/>
      <c r="AG153" s="3"/>
      <c r="AH153" s="40"/>
      <c r="AI153" s="41"/>
      <c r="AJ153" s="42"/>
    </row>
    <row r="154" spans="1:36">
      <c r="A154" s="42"/>
      <c r="B154" s="31"/>
      <c r="C154" s="31"/>
      <c r="D154" s="32"/>
      <c r="E154" s="32"/>
      <c r="F154" s="32"/>
      <c r="G154" s="32"/>
      <c r="H154" s="32"/>
      <c r="I154" s="33"/>
      <c r="J154" s="32"/>
      <c r="K154" s="1"/>
      <c r="L154" s="1"/>
      <c r="M154" s="1"/>
      <c r="N154" s="34"/>
      <c r="O154" s="1"/>
      <c r="P154" s="1"/>
      <c r="Q154" s="1"/>
      <c r="R154" s="1"/>
      <c r="S154" s="1"/>
      <c r="T154" s="1"/>
      <c r="U154" s="82"/>
      <c r="V154" s="2"/>
      <c r="W154" s="2"/>
      <c r="X154" s="35"/>
      <c r="Y154" s="36"/>
      <c r="Z154" s="37"/>
      <c r="AA154" s="38"/>
      <c r="AB154" s="38"/>
      <c r="AC154" s="39"/>
      <c r="AD154" s="86"/>
      <c r="AE154" s="32"/>
      <c r="AF154" s="37"/>
      <c r="AG154" s="3"/>
      <c r="AH154" s="40"/>
      <c r="AI154" s="41"/>
      <c r="AJ154" s="42"/>
    </row>
  </sheetData>
  <autoFilter ref="A6:AY6" xr:uid="{00000000-0009-0000-0000-000001000000}"/>
  <phoneticPr fontId="0" type="noConversion"/>
  <printOptions horizontalCentered="1"/>
  <pageMargins left="0.2" right="0.17" top="0.36" bottom="0.28999999999999998" header="0.2" footer="0.2"/>
  <pageSetup paperSize="8" scale="30" fitToWidth="4" orientation="landscape" r:id="rId1"/>
  <headerFooter alignWithMargins="0">
    <oddHeader>&amp;R&amp;D     &amp;T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B0F0"/>
  </sheetPr>
  <dimension ref="A1:AV154"/>
  <sheetViews>
    <sheetView zoomScaleNormal="100" zoomScaleSheetLayoutView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K7" sqref="K7"/>
    </sheetView>
  </sheetViews>
  <sheetFormatPr defaultRowHeight="11.25"/>
  <cols>
    <col min="1" max="1" width="5.5703125" style="55" customWidth="1"/>
    <col min="2" max="3" width="7.85546875" style="44" customWidth="1"/>
    <col min="4" max="4" width="9.140625" style="28" customWidth="1"/>
    <col min="5" max="5" width="8.5703125" style="28" customWidth="1"/>
    <col min="6" max="6" width="10.5703125" style="28" customWidth="1"/>
    <col min="7" max="7" width="18.140625" style="28" customWidth="1"/>
    <col min="8" max="8" width="19.5703125" style="28" customWidth="1"/>
    <col min="9" max="9" width="24.42578125" style="45" customWidth="1"/>
    <col min="10" max="10" width="43.85546875" style="28" customWidth="1"/>
    <col min="11" max="11" width="8.7109375" style="5" customWidth="1"/>
    <col min="12" max="12" width="10.140625" style="5" customWidth="1"/>
    <col min="13" max="13" width="11.140625" style="5" customWidth="1"/>
    <col min="14" max="14" width="15.7109375" style="5" customWidth="1"/>
    <col min="15" max="15" width="13.140625" style="5" customWidth="1"/>
    <col min="16" max="16" width="22" style="5" customWidth="1"/>
    <col min="17" max="17" width="15.42578125" style="5" customWidth="1"/>
    <col min="18" max="18" width="14.42578125" style="83" customWidth="1"/>
    <col min="19" max="19" width="19.7109375" style="6" customWidth="1"/>
    <col min="20" max="20" width="19.42578125" style="6" customWidth="1"/>
    <col min="21" max="21" width="21.85546875" style="47" customWidth="1"/>
    <col min="22" max="22" width="21.140625" style="48" hidden="1" customWidth="1"/>
    <col min="23" max="23" width="20.7109375" style="49" hidden="1" customWidth="1"/>
    <col min="24" max="24" width="18.42578125" style="50" customWidth="1"/>
    <col min="25" max="25" width="17.85546875" style="50" customWidth="1"/>
    <col min="26" max="26" width="18.140625" style="51" customWidth="1"/>
    <col min="27" max="27" width="20.7109375" style="87" customWidth="1"/>
    <col min="28" max="28" width="19.5703125" style="28" customWidth="1"/>
    <col min="29" max="29" width="7.7109375" style="49" customWidth="1"/>
    <col min="30" max="30" width="7.7109375" style="52" customWidth="1"/>
    <col min="31" max="31" width="7.7109375" style="53" customWidth="1"/>
    <col min="32" max="32" width="10.7109375" style="54" customWidth="1"/>
    <col min="33" max="33" width="19.42578125" style="55" customWidth="1"/>
    <col min="34" max="34" width="16.140625" style="43" customWidth="1"/>
    <col min="35" max="37" width="10.42578125" style="43" customWidth="1"/>
    <col min="38" max="38" width="30.140625" style="43" customWidth="1"/>
    <col min="39" max="39" width="16.140625" style="43" customWidth="1"/>
    <col min="40" max="40" width="14.140625" style="43" customWidth="1"/>
    <col min="41" max="41" width="19.85546875" style="43" customWidth="1"/>
    <col min="42" max="42" width="25.85546875" style="43" customWidth="1"/>
    <col min="43" max="43" width="30.42578125" style="43" customWidth="1"/>
    <col min="44" max="44" width="25.42578125" style="43" customWidth="1"/>
    <col min="45" max="45" width="17.85546875" style="43" customWidth="1"/>
    <col min="46" max="47" width="15" style="43" customWidth="1"/>
    <col min="48" max="48" width="20.28515625" style="43" customWidth="1"/>
    <col min="49" max="159" width="9.140625" style="43" customWidth="1"/>
    <col min="160" max="16384" width="9.140625" style="43"/>
  </cols>
  <sheetData>
    <row r="1" spans="1:48" ht="5.25" customHeight="1"/>
    <row r="2" spans="1:48" ht="20.25">
      <c r="A2" s="116" t="s">
        <v>216</v>
      </c>
      <c r="B2" s="116"/>
      <c r="C2" s="116"/>
      <c r="D2" s="116"/>
    </row>
    <row r="3" spans="1:48" s="30" customFormat="1" ht="42" customHeight="1">
      <c r="A3" s="29" t="s">
        <v>37</v>
      </c>
      <c r="B3" s="133" t="s">
        <v>16</v>
      </c>
      <c r="C3" s="209" t="s">
        <v>283</v>
      </c>
      <c r="D3" s="133" t="s">
        <v>28</v>
      </c>
      <c r="E3" s="133" t="s">
        <v>79</v>
      </c>
      <c r="F3" s="210" t="s">
        <v>284</v>
      </c>
      <c r="G3" s="133" t="s">
        <v>82</v>
      </c>
      <c r="H3" s="133" t="s">
        <v>280</v>
      </c>
      <c r="I3" s="133" t="s">
        <v>17</v>
      </c>
      <c r="J3" s="133" t="s">
        <v>5</v>
      </c>
      <c r="K3" s="133" t="s">
        <v>18</v>
      </c>
      <c r="L3" s="133" t="s">
        <v>98</v>
      </c>
      <c r="M3" s="133" t="s">
        <v>99</v>
      </c>
      <c r="N3" s="135" t="s">
        <v>0</v>
      </c>
      <c r="O3" s="135" t="s">
        <v>13</v>
      </c>
      <c r="P3" s="136" t="s">
        <v>170</v>
      </c>
      <c r="Q3" s="133" t="s">
        <v>171</v>
      </c>
      <c r="R3" s="132" t="s">
        <v>172</v>
      </c>
      <c r="S3" s="134" t="s">
        <v>27</v>
      </c>
      <c r="T3" s="134" t="s">
        <v>173</v>
      </c>
      <c r="U3" s="133" t="s">
        <v>174</v>
      </c>
      <c r="V3" s="133" t="s">
        <v>189</v>
      </c>
      <c r="W3" s="133" t="s">
        <v>177</v>
      </c>
      <c r="X3" s="133" t="s">
        <v>178</v>
      </c>
      <c r="Y3" s="133" t="s">
        <v>179</v>
      </c>
      <c r="Z3" s="133" t="s">
        <v>180</v>
      </c>
      <c r="AA3" s="133" t="s">
        <v>181</v>
      </c>
      <c r="AB3" s="133" t="s">
        <v>182</v>
      </c>
      <c r="AC3" s="128">
        <v>20</v>
      </c>
      <c r="AD3" s="129">
        <v>40</v>
      </c>
      <c r="AE3" s="129" t="s">
        <v>184</v>
      </c>
      <c r="AF3" s="133" t="s">
        <v>190</v>
      </c>
      <c r="AG3" s="133" t="s">
        <v>186</v>
      </c>
      <c r="AH3" s="133" t="s">
        <v>191</v>
      </c>
      <c r="AI3" s="133" t="s">
        <v>2</v>
      </c>
      <c r="AJ3" s="133" t="s">
        <v>192</v>
      </c>
      <c r="AK3" s="133" t="s">
        <v>142</v>
      </c>
      <c r="AL3" s="133" t="s">
        <v>6</v>
      </c>
      <c r="AM3" s="133" t="s">
        <v>193</v>
      </c>
      <c r="AN3" s="133" t="s">
        <v>194</v>
      </c>
      <c r="AO3" s="133" t="s">
        <v>197</v>
      </c>
      <c r="AP3" s="133" t="s">
        <v>195</v>
      </c>
      <c r="AQ3" s="133" t="s">
        <v>10</v>
      </c>
      <c r="AR3" s="133" t="s">
        <v>11</v>
      </c>
      <c r="AS3" s="133" t="s">
        <v>196</v>
      </c>
      <c r="AT3" s="133" t="s">
        <v>214</v>
      </c>
      <c r="AU3" s="133" t="s">
        <v>215</v>
      </c>
      <c r="AV3" s="203" t="s">
        <v>282</v>
      </c>
    </row>
    <row r="4" spans="1:48" s="15" customFormat="1" ht="11.25" customHeight="1">
      <c r="A4" s="60"/>
      <c r="B4" s="23"/>
      <c r="C4" s="23"/>
      <c r="D4" s="23"/>
      <c r="E4" s="23"/>
      <c r="F4" s="23"/>
      <c r="G4" s="23"/>
      <c r="H4" s="23"/>
      <c r="I4" s="23"/>
      <c r="J4" s="23" t="s">
        <v>36</v>
      </c>
      <c r="K4" s="57"/>
      <c r="L4" s="58">
        <f>SUM(L7:L100000)</f>
        <v>0</v>
      </c>
      <c r="M4" s="59">
        <f>SUM(M7:M100000)</f>
        <v>0</v>
      </c>
      <c r="N4" s="58"/>
      <c r="O4" s="59"/>
      <c r="P4" s="25"/>
      <c r="Q4" s="23"/>
      <c r="R4" s="81"/>
      <c r="S4" s="27"/>
      <c r="T4" s="27"/>
      <c r="U4" s="23"/>
      <c r="V4" s="23"/>
      <c r="W4" s="23"/>
      <c r="X4" s="23"/>
      <c r="Y4" s="23"/>
      <c r="Z4" s="23"/>
      <c r="AA4" s="84"/>
      <c r="AB4" s="84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</row>
    <row r="5" spans="1:48" s="15" customFormat="1" ht="11.25" customHeight="1">
      <c r="A5" s="69"/>
      <c r="B5" s="61"/>
      <c r="C5" s="61"/>
      <c r="D5" s="61"/>
      <c r="E5" s="61"/>
      <c r="F5" s="61"/>
      <c r="G5" s="61"/>
      <c r="H5" s="61"/>
      <c r="I5" s="61"/>
      <c r="J5" s="61" t="s">
        <v>35</v>
      </c>
      <c r="K5" s="137"/>
      <c r="L5" s="67">
        <f>SUBTOTAL(9,L7:L100000)</f>
        <v>0</v>
      </c>
      <c r="M5" s="68">
        <f>SUBTOTAL(9,M7:M100000)</f>
        <v>0</v>
      </c>
      <c r="N5" s="67"/>
      <c r="O5" s="68"/>
      <c r="P5" s="64"/>
      <c r="Q5" s="61"/>
      <c r="R5" s="138"/>
      <c r="S5" s="66"/>
      <c r="T5" s="66"/>
      <c r="U5" s="61"/>
      <c r="V5" s="61"/>
      <c r="W5" s="61"/>
      <c r="X5" s="61"/>
      <c r="Y5" s="61"/>
      <c r="Z5" s="61"/>
      <c r="AA5" s="85"/>
      <c r="AB5" s="85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106"/>
    </row>
    <row r="6" spans="1:48" ht="11.25" customHeight="1">
      <c r="A6" s="139" t="s">
        <v>46</v>
      </c>
      <c r="B6" s="140" t="s">
        <v>47</v>
      </c>
      <c r="C6" s="140"/>
      <c r="D6" s="141" t="s">
        <v>48</v>
      </c>
      <c r="E6" s="141" t="s">
        <v>81</v>
      </c>
      <c r="F6" s="141"/>
      <c r="G6" s="141" t="s">
        <v>83</v>
      </c>
      <c r="H6" s="141" t="s">
        <v>129</v>
      </c>
      <c r="I6" s="142" t="s">
        <v>50</v>
      </c>
      <c r="J6" s="141" t="s">
        <v>84</v>
      </c>
      <c r="K6" s="141" t="s">
        <v>51</v>
      </c>
      <c r="L6" s="141" t="s">
        <v>166</v>
      </c>
      <c r="M6" s="141" t="s">
        <v>96</v>
      </c>
      <c r="N6" s="141" t="s">
        <v>97</v>
      </c>
      <c r="O6" s="141" t="s">
        <v>95</v>
      </c>
      <c r="P6" s="141" t="s">
        <v>125</v>
      </c>
      <c r="Q6" s="141" t="s">
        <v>67</v>
      </c>
      <c r="R6" s="144" t="s">
        <v>68</v>
      </c>
      <c r="S6" s="145" t="s">
        <v>69</v>
      </c>
      <c r="T6" s="145" t="s">
        <v>70</v>
      </c>
      <c r="U6" s="144" t="s">
        <v>71</v>
      </c>
      <c r="V6" s="145" t="s">
        <v>85</v>
      </c>
      <c r="W6" s="144" t="s">
        <v>86</v>
      </c>
      <c r="X6" s="144" t="s">
        <v>87</v>
      </c>
      <c r="Y6" s="144" t="s">
        <v>131</v>
      </c>
      <c r="Z6" s="146" t="s">
        <v>88</v>
      </c>
      <c r="AA6" s="147" t="s">
        <v>89</v>
      </c>
      <c r="AB6" s="141" t="s">
        <v>90</v>
      </c>
      <c r="AC6" s="144" t="s">
        <v>91</v>
      </c>
      <c r="AD6" s="145" t="s">
        <v>92</v>
      </c>
      <c r="AE6" s="144" t="s">
        <v>93</v>
      </c>
      <c r="AF6" s="143" t="s">
        <v>128</v>
      </c>
      <c r="AG6" s="140" t="s">
        <v>127</v>
      </c>
      <c r="AH6" s="131" t="s">
        <v>153</v>
      </c>
      <c r="AI6" s="131" t="s">
        <v>154</v>
      </c>
      <c r="AJ6" s="131" t="s">
        <v>155</v>
      </c>
      <c r="AK6" s="131" t="s">
        <v>156</v>
      </c>
      <c r="AL6" s="131" t="s">
        <v>157</v>
      </c>
      <c r="AM6" s="131" t="s">
        <v>158</v>
      </c>
      <c r="AN6" s="131" t="s">
        <v>159</v>
      </c>
      <c r="AO6" s="131" t="s">
        <v>187</v>
      </c>
      <c r="AP6" s="131" t="s">
        <v>161</v>
      </c>
      <c r="AQ6" s="131" t="s">
        <v>162</v>
      </c>
      <c r="AR6" s="131" t="s">
        <v>163</v>
      </c>
      <c r="AS6" s="131" t="s">
        <v>198</v>
      </c>
      <c r="AT6" s="131" t="s">
        <v>176</v>
      </c>
      <c r="AU6" s="131" t="s">
        <v>188</v>
      </c>
      <c r="AV6" s="131"/>
    </row>
    <row r="7" spans="1:48" ht="12.75">
      <c r="A7" s="148">
        <f>Report_RAPEU_Loaded_View!C2</f>
        <v>0</v>
      </c>
      <c r="B7" s="98" t="str">
        <f>Report_RAPEU_Loaded_View!D2&amp;""</f>
        <v/>
      </c>
      <c r="C7" s="98" t="str">
        <f>Report_RAPEU_Loaded_View!BD2&amp;""</f>
        <v/>
      </c>
      <c r="D7" s="200">
        <f>Report_RAPEU_Loaded_View!E2</f>
        <v>0</v>
      </c>
      <c r="E7" s="98" t="str">
        <f>Report_RAPEU_Loaded_View!F2&amp;""</f>
        <v/>
      </c>
      <c r="F7" s="98" t="str">
        <f>Report_RAPEU_Loaded_View!BD2&amp;""</f>
        <v/>
      </c>
      <c r="G7" s="98" t="str">
        <f>Report_RAPEU_Loaded_View!H2&amp;""</f>
        <v/>
      </c>
      <c r="H7" s="98" t="str">
        <f>Report_RAPEU_Loaded_View!I2&amp;""</f>
        <v/>
      </c>
      <c r="I7" s="98" t="str">
        <f>Report_RAPEU_Loaded_View!J2&amp;""</f>
        <v/>
      </c>
      <c r="J7" s="98" t="str">
        <f>Report_RAPEU_Loaded_View!K2&amp;""</f>
        <v/>
      </c>
      <c r="K7" s="98" t="str">
        <f>Report_RAPEU_Loaded_View!L2&amp;""</f>
        <v/>
      </c>
      <c r="L7" s="98" t="str">
        <f>Report_RAPEU_Loaded_View!M2&amp;""</f>
        <v/>
      </c>
      <c r="M7" s="98" t="str">
        <f>Report_RAPEU_Loaded_View!N2&amp;""</f>
        <v/>
      </c>
      <c r="N7" s="98" t="str">
        <f>Report_RAPEU_Loaded_View!O2&amp;""</f>
        <v/>
      </c>
      <c r="O7" s="98" t="str">
        <f>Report_RAPEU_Loaded_View!P2&amp;""</f>
        <v/>
      </c>
      <c r="P7" s="98">
        <f>Report_RAPEU_Loaded_View!Q2</f>
        <v>0</v>
      </c>
      <c r="Q7" s="98" t="str">
        <f>Report_RAPEU_Loaded_View!R2&amp;""</f>
        <v/>
      </c>
      <c r="R7" s="98" t="str">
        <f>Report_RAPEU_Loaded_View!S2&amp;""</f>
        <v/>
      </c>
      <c r="S7" s="98" t="str">
        <f>Report_RAPEU_Loaded_View!T2&amp;""</f>
        <v/>
      </c>
      <c r="T7" s="98" t="str">
        <f>Report_RAPEU_Loaded_View!U2&amp;""</f>
        <v/>
      </c>
      <c r="U7" s="98" t="str">
        <f>Report_RAPEU_Loaded_View!V2&amp;""</f>
        <v/>
      </c>
      <c r="V7" s="98" t="str">
        <f>Report_RAPEU_Loaded_View!W2&amp;""</f>
        <v/>
      </c>
      <c r="W7" s="98" t="str">
        <f>Report_RAPEU_Loaded_View!X2&amp;""</f>
        <v/>
      </c>
      <c r="X7" s="98" t="str">
        <f>Report_RAPEU_Loaded_View!Y2&amp;""</f>
        <v/>
      </c>
      <c r="Y7" s="98" t="str">
        <f>Report_RAPEU_Loaded_View!Z2&amp;""</f>
        <v/>
      </c>
      <c r="Z7" s="98" t="str">
        <f>Report_RAPEU_Loaded_View!AA2&amp;""</f>
        <v/>
      </c>
      <c r="AA7" s="98" t="str">
        <f>Report_RAPEU_Loaded_View!AB2&amp;""</f>
        <v/>
      </c>
      <c r="AB7" s="98" t="str">
        <f>Report_RAPEU_Loaded_View!AC2&amp;""</f>
        <v/>
      </c>
      <c r="AC7" s="98" t="str">
        <f>Report_RAPEU_Loaded_View!AD2&amp;""</f>
        <v/>
      </c>
      <c r="AD7" s="98" t="str">
        <f>Report_RAPEU_Loaded_View!AE2&amp;""</f>
        <v/>
      </c>
      <c r="AE7" s="98" t="str">
        <f>Report_RAPEU_Loaded_View!AF2&amp;""</f>
        <v/>
      </c>
      <c r="AF7" s="207" t="str">
        <f>Report_RAPEU_Loaded_View!AH2&amp;""</f>
        <v/>
      </c>
      <c r="AG7" s="200">
        <f>DATE(YEAR(Report_RAPEU_Loaded_View!AI2),MONTH(Report_RAPEU_Loaded_View!AI2), DAY(Report_RAPEU_Loaded_View!AI2))</f>
        <v>0</v>
      </c>
      <c r="AH7" s="200" t="str">
        <f>Report_RAPEU_Loaded_View!AJ2&amp;""</f>
        <v/>
      </c>
      <c r="AI7" s="207" t="str">
        <f>Report_RAPEU_Loaded_View!AK2&amp;""</f>
        <v/>
      </c>
      <c r="AJ7" s="207" t="str">
        <f>Report_RAPEU_Loaded_View!AL2&amp;""</f>
        <v/>
      </c>
      <c r="AK7" s="207" t="str">
        <f>Report_RAPEU_Loaded_View!AM2&amp;""</f>
        <v/>
      </c>
      <c r="AL7" s="199" t="str">
        <f>Report_RAPEU_Loaded_View!AN2&amp;""</f>
        <v/>
      </c>
      <c r="AM7" s="199" t="str">
        <f>Report_RAPEU_Loaded_View!AO2&amp;""</f>
        <v/>
      </c>
      <c r="AN7" s="199" t="str">
        <f>Report_RAPEU_Loaded_View!AP2&amp;""</f>
        <v/>
      </c>
      <c r="AO7" s="199" t="str">
        <f>Report_RAPEU_Loaded_View!AQ2&amp;""</f>
        <v/>
      </c>
      <c r="AP7" s="199" t="str">
        <f>Report_RAPEU_Loaded_View!AR2&amp;""</f>
        <v/>
      </c>
      <c r="AQ7" s="199" t="str">
        <f>Report_RAPEU_Loaded_View!AS2&amp;""</f>
        <v/>
      </c>
      <c r="AR7" s="199" t="str">
        <f>Report_RAPEU_Loaded_View!AT2&amp;""</f>
        <v/>
      </c>
      <c r="AS7" s="199" t="str">
        <f>Report_RAPEU_Loaded_View!AU2&amp;""</f>
        <v/>
      </c>
      <c r="AT7" s="204" t="str">
        <f>Report_RAPEU_Loaded_View!BA2&amp;""</f>
        <v/>
      </c>
      <c r="AU7" s="206" t="str">
        <f>Report_RAPEU_Loaded_View!BB2&amp;""</f>
        <v/>
      </c>
      <c r="AV7" s="205" t="str">
        <f>Report_RAPEU_Loaded_View!BE2&amp;""</f>
        <v/>
      </c>
    </row>
    <row r="8" spans="1:48">
      <c r="A8" s="42"/>
      <c r="B8" s="31"/>
      <c r="C8" s="31"/>
      <c r="D8" s="32"/>
      <c r="E8" s="32"/>
      <c r="F8" s="32"/>
      <c r="G8" s="32"/>
      <c r="H8" s="32"/>
      <c r="I8" s="33"/>
      <c r="J8" s="32"/>
      <c r="K8" s="1"/>
      <c r="L8" s="1"/>
      <c r="M8" s="1"/>
      <c r="N8" s="1"/>
      <c r="O8" s="1"/>
      <c r="P8" s="1"/>
      <c r="Q8" s="1"/>
      <c r="R8" s="82"/>
      <c r="S8" s="2"/>
      <c r="T8" s="2"/>
      <c r="U8" s="35"/>
      <c r="V8" s="36"/>
      <c r="W8" s="37"/>
      <c r="X8" s="38"/>
      <c r="Y8" s="38"/>
      <c r="Z8" s="39"/>
      <c r="AA8" s="86"/>
      <c r="AB8" s="32"/>
      <c r="AC8" s="37"/>
      <c r="AD8" s="3"/>
      <c r="AE8" s="40"/>
      <c r="AF8" s="41"/>
      <c r="AG8" s="42"/>
    </row>
    <row r="9" spans="1:48">
      <c r="A9" s="42"/>
      <c r="B9" s="31"/>
      <c r="C9" s="31"/>
      <c r="D9" s="32"/>
      <c r="E9" s="32"/>
      <c r="F9" s="32"/>
      <c r="G9" s="32"/>
      <c r="H9" s="32"/>
      <c r="I9" s="33"/>
      <c r="J9" s="32"/>
      <c r="K9" s="1"/>
      <c r="L9" s="1"/>
      <c r="M9" s="1"/>
      <c r="N9" s="1"/>
      <c r="O9" s="1"/>
      <c r="P9" s="1"/>
      <c r="Q9" s="1"/>
      <c r="R9" s="82"/>
      <c r="S9" s="2"/>
      <c r="T9" s="2"/>
      <c r="U9" s="35"/>
      <c r="V9" s="36"/>
      <c r="W9" s="37"/>
      <c r="X9" s="38"/>
      <c r="Y9" s="38"/>
      <c r="Z9" s="39"/>
      <c r="AA9" s="86"/>
      <c r="AB9" s="32"/>
      <c r="AC9" s="37"/>
      <c r="AD9" s="3"/>
      <c r="AE9" s="40"/>
      <c r="AF9" s="41"/>
      <c r="AG9" s="42"/>
    </row>
    <row r="10" spans="1:48">
      <c r="A10" s="42"/>
      <c r="B10" s="31"/>
      <c r="C10" s="31"/>
      <c r="D10" s="32"/>
      <c r="E10" s="32"/>
      <c r="F10" s="32"/>
      <c r="G10" s="32"/>
      <c r="H10" s="32"/>
      <c r="I10" s="33"/>
      <c r="J10" s="32"/>
      <c r="K10" s="1"/>
      <c r="L10" s="1"/>
      <c r="M10" s="1"/>
      <c r="N10" s="1"/>
      <c r="O10" s="1"/>
      <c r="P10" s="1"/>
      <c r="Q10" s="1"/>
      <c r="R10" s="82"/>
      <c r="S10" s="2"/>
      <c r="T10" s="2"/>
      <c r="U10" s="35"/>
      <c r="V10" s="36"/>
      <c r="W10" s="37"/>
      <c r="X10" s="38"/>
      <c r="Y10" s="38"/>
      <c r="Z10" s="39"/>
      <c r="AA10" s="86"/>
      <c r="AB10" s="32"/>
      <c r="AC10" s="37"/>
      <c r="AD10" s="3"/>
      <c r="AE10" s="40"/>
      <c r="AF10" s="41"/>
      <c r="AG10" s="42"/>
    </row>
    <row r="11" spans="1:48">
      <c r="A11" s="42"/>
      <c r="B11" s="31"/>
      <c r="C11" s="31"/>
      <c r="D11" s="32"/>
      <c r="E11" s="32"/>
      <c r="F11" s="32"/>
      <c r="G11" s="32"/>
      <c r="H11" s="32"/>
      <c r="I11" s="33"/>
      <c r="J11" s="32"/>
      <c r="K11" s="1"/>
      <c r="L11" s="1"/>
      <c r="M11" s="1"/>
      <c r="N11" s="1"/>
      <c r="O11" s="1"/>
      <c r="P11" s="1"/>
      <c r="Q11" s="1"/>
      <c r="R11" s="82"/>
      <c r="S11" s="2"/>
      <c r="T11" s="2"/>
      <c r="U11" s="35"/>
      <c r="V11" s="36"/>
      <c r="W11" s="37"/>
      <c r="X11" s="38"/>
      <c r="Y11" s="38"/>
      <c r="Z11" s="39"/>
      <c r="AA11" s="86"/>
      <c r="AB11" s="32"/>
      <c r="AC11" s="37"/>
      <c r="AD11" s="3"/>
      <c r="AE11" s="40"/>
      <c r="AF11" s="41"/>
      <c r="AG11" s="42"/>
    </row>
    <row r="12" spans="1:48">
      <c r="A12" s="42"/>
      <c r="B12" s="31"/>
      <c r="C12" s="31"/>
      <c r="D12" s="32"/>
      <c r="E12" s="32"/>
      <c r="F12" s="32"/>
      <c r="G12" s="32"/>
      <c r="H12" s="32"/>
      <c r="I12" s="33"/>
      <c r="J12" s="32"/>
      <c r="K12" s="1"/>
      <c r="L12" s="1"/>
      <c r="M12" s="1"/>
      <c r="N12" s="1"/>
      <c r="O12" s="1"/>
      <c r="P12" s="1"/>
      <c r="Q12" s="1"/>
      <c r="R12" s="82"/>
      <c r="S12" s="2"/>
      <c r="T12" s="2"/>
      <c r="U12" s="35"/>
      <c r="V12" s="36"/>
      <c r="W12" s="37"/>
      <c r="X12" s="38"/>
      <c r="Y12" s="38"/>
      <c r="Z12" s="39"/>
      <c r="AA12" s="86"/>
      <c r="AB12" s="32"/>
      <c r="AC12" s="37"/>
      <c r="AD12" s="3"/>
      <c r="AE12" s="40"/>
      <c r="AF12" s="41"/>
      <c r="AG12" s="42"/>
    </row>
    <row r="13" spans="1:48">
      <c r="A13" s="42"/>
      <c r="B13" s="31"/>
      <c r="C13" s="31"/>
      <c r="D13" s="32"/>
      <c r="E13" s="32"/>
      <c r="F13" s="32"/>
      <c r="G13" s="32"/>
      <c r="H13" s="32"/>
      <c r="I13" s="33"/>
      <c r="J13" s="32"/>
      <c r="K13" s="1"/>
      <c r="L13" s="1"/>
      <c r="M13" s="1"/>
      <c r="N13" s="1"/>
      <c r="O13" s="1"/>
      <c r="P13" s="1"/>
      <c r="Q13" s="1"/>
      <c r="R13" s="82"/>
      <c r="S13" s="2"/>
      <c r="T13" s="2"/>
      <c r="U13" s="35"/>
      <c r="V13" s="36"/>
      <c r="W13" s="37"/>
      <c r="X13" s="38"/>
      <c r="Y13" s="38"/>
      <c r="Z13" s="39"/>
      <c r="AA13" s="86"/>
      <c r="AB13" s="32"/>
      <c r="AC13" s="37"/>
      <c r="AD13" s="3"/>
      <c r="AE13" s="40"/>
      <c r="AF13" s="41"/>
      <c r="AG13" s="42"/>
    </row>
    <row r="14" spans="1:48">
      <c r="A14" s="42"/>
      <c r="B14" s="31"/>
      <c r="C14" s="31"/>
      <c r="D14" s="32"/>
      <c r="E14" s="32"/>
      <c r="F14" s="32"/>
      <c r="G14" s="32"/>
      <c r="H14" s="32"/>
      <c r="I14" s="33"/>
      <c r="J14" s="32"/>
      <c r="K14" s="1"/>
      <c r="L14" s="1"/>
      <c r="M14" s="1"/>
      <c r="N14" s="1"/>
      <c r="O14" s="1"/>
      <c r="P14" s="1"/>
      <c r="Q14" s="1"/>
      <c r="R14" s="82"/>
      <c r="S14" s="2"/>
      <c r="T14" s="2"/>
      <c r="U14" s="35"/>
      <c r="V14" s="36"/>
      <c r="W14" s="37"/>
      <c r="X14" s="38"/>
      <c r="Y14" s="38"/>
      <c r="Z14" s="39"/>
      <c r="AA14" s="86"/>
      <c r="AB14" s="32"/>
      <c r="AC14" s="37"/>
      <c r="AD14" s="3"/>
      <c r="AE14" s="40"/>
      <c r="AF14" s="41"/>
      <c r="AG14" s="42"/>
    </row>
    <row r="15" spans="1:48">
      <c r="A15" s="42"/>
      <c r="B15" s="31"/>
      <c r="C15" s="31"/>
      <c r="D15" s="32"/>
      <c r="E15" s="32"/>
      <c r="F15" s="32"/>
      <c r="G15" s="32"/>
      <c r="H15" s="32"/>
      <c r="I15" s="33"/>
      <c r="J15" s="32"/>
      <c r="K15" s="1"/>
      <c r="L15" s="1"/>
      <c r="M15" s="1"/>
      <c r="N15" s="1"/>
      <c r="O15" s="1"/>
      <c r="P15" s="1"/>
      <c r="Q15" s="1"/>
      <c r="R15" s="82"/>
      <c r="S15" s="2"/>
      <c r="T15" s="2"/>
      <c r="U15" s="35"/>
      <c r="V15" s="36"/>
      <c r="W15" s="37"/>
      <c r="X15" s="38"/>
      <c r="Y15" s="38"/>
      <c r="Z15" s="39"/>
      <c r="AA15" s="86"/>
      <c r="AB15" s="32"/>
      <c r="AC15" s="37"/>
      <c r="AD15" s="3"/>
      <c r="AE15" s="40"/>
      <c r="AF15" s="41"/>
      <c r="AG15" s="42"/>
    </row>
    <row r="16" spans="1:48">
      <c r="A16" s="42"/>
      <c r="B16" s="31"/>
      <c r="C16" s="31"/>
      <c r="D16" s="32"/>
      <c r="E16" s="32"/>
      <c r="F16" s="32"/>
      <c r="G16" s="32"/>
      <c r="H16" s="32"/>
      <c r="I16" s="33"/>
      <c r="J16" s="32"/>
      <c r="K16" s="1"/>
      <c r="L16" s="1"/>
      <c r="M16" s="1"/>
      <c r="N16" s="1"/>
      <c r="O16" s="1"/>
      <c r="P16" s="1"/>
      <c r="Q16" s="1"/>
      <c r="R16" s="82"/>
      <c r="S16" s="2"/>
      <c r="T16" s="2"/>
      <c r="U16" s="35"/>
      <c r="V16" s="36"/>
      <c r="W16" s="37"/>
      <c r="X16" s="38"/>
      <c r="Y16" s="38"/>
      <c r="Z16" s="39"/>
      <c r="AA16" s="86"/>
      <c r="AB16" s="32"/>
      <c r="AC16" s="37"/>
      <c r="AD16" s="3"/>
      <c r="AE16" s="40"/>
      <c r="AF16" s="41"/>
      <c r="AG16" s="42"/>
    </row>
    <row r="17" spans="1:33">
      <c r="A17" s="42"/>
      <c r="B17" s="31"/>
      <c r="C17" s="31"/>
      <c r="D17" s="32"/>
      <c r="E17" s="32"/>
      <c r="F17" s="32"/>
      <c r="G17" s="32"/>
      <c r="H17" s="32"/>
      <c r="I17" s="33"/>
      <c r="J17" s="32"/>
      <c r="K17" s="1"/>
      <c r="L17" s="1"/>
      <c r="M17" s="1"/>
      <c r="N17" s="1"/>
      <c r="O17" s="1"/>
      <c r="P17" s="1"/>
      <c r="Q17" s="1"/>
      <c r="R17" s="82"/>
      <c r="S17" s="2"/>
      <c r="T17" s="2"/>
      <c r="U17" s="35"/>
      <c r="V17" s="36"/>
      <c r="W17" s="37"/>
      <c r="X17" s="38"/>
      <c r="Y17" s="38"/>
      <c r="Z17" s="39"/>
      <c r="AA17" s="86"/>
      <c r="AB17" s="32"/>
      <c r="AC17" s="37"/>
      <c r="AD17" s="3"/>
      <c r="AE17" s="40"/>
      <c r="AF17" s="41"/>
      <c r="AG17" s="42"/>
    </row>
    <row r="18" spans="1:33">
      <c r="A18" s="42"/>
      <c r="B18" s="31"/>
      <c r="C18" s="31"/>
      <c r="D18" s="32"/>
      <c r="E18" s="32"/>
      <c r="F18" s="32"/>
      <c r="G18" s="32"/>
      <c r="H18" s="32"/>
      <c r="I18" s="33"/>
      <c r="J18" s="32"/>
      <c r="K18" s="1"/>
      <c r="L18" s="1"/>
      <c r="M18" s="1"/>
      <c r="N18" s="1"/>
      <c r="O18" s="1"/>
      <c r="P18" s="1"/>
      <c r="Q18" s="1"/>
      <c r="R18" s="82"/>
      <c r="S18" s="2"/>
      <c r="T18" s="2"/>
      <c r="U18" s="35"/>
      <c r="V18" s="36"/>
      <c r="W18" s="37"/>
      <c r="X18" s="38"/>
      <c r="Y18" s="38"/>
      <c r="Z18" s="39"/>
      <c r="AA18" s="86"/>
      <c r="AB18" s="32"/>
      <c r="AC18" s="37"/>
      <c r="AD18" s="3"/>
      <c r="AE18" s="40"/>
      <c r="AF18" s="41"/>
      <c r="AG18" s="42"/>
    </row>
    <row r="19" spans="1:33">
      <c r="A19" s="42"/>
      <c r="B19" s="31"/>
      <c r="C19" s="31"/>
      <c r="D19" s="32"/>
      <c r="E19" s="32"/>
      <c r="F19" s="32"/>
      <c r="G19" s="32"/>
      <c r="H19" s="32"/>
      <c r="I19" s="33"/>
      <c r="J19" s="32"/>
      <c r="K19" s="1"/>
      <c r="L19" s="1"/>
      <c r="M19" s="1"/>
      <c r="N19" s="1"/>
      <c r="O19" s="1"/>
      <c r="P19" s="1"/>
      <c r="Q19" s="1"/>
      <c r="R19" s="82"/>
      <c r="S19" s="2"/>
      <c r="T19" s="2"/>
      <c r="U19" s="35"/>
      <c r="V19" s="36"/>
      <c r="W19" s="37"/>
      <c r="X19" s="38"/>
      <c r="Y19" s="38"/>
      <c r="Z19" s="39"/>
      <c r="AA19" s="86"/>
      <c r="AB19" s="32"/>
      <c r="AC19" s="37"/>
      <c r="AD19" s="3"/>
      <c r="AE19" s="40"/>
      <c r="AF19" s="41"/>
      <c r="AG19" s="42"/>
    </row>
    <row r="20" spans="1:33">
      <c r="A20" s="42"/>
      <c r="B20" s="31"/>
      <c r="C20" s="31"/>
      <c r="D20" s="32"/>
      <c r="E20" s="32"/>
      <c r="F20" s="32"/>
      <c r="G20" s="32"/>
      <c r="H20" s="32"/>
      <c r="I20" s="33"/>
      <c r="J20" s="32"/>
      <c r="K20" s="1"/>
      <c r="L20" s="1"/>
      <c r="M20" s="1"/>
      <c r="N20" s="1"/>
      <c r="O20" s="1"/>
      <c r="P20" s="1"/>
      <c r="Q20" s="1"/>
      <c r="R20" s="82"/>
      <c r="S20" s="2"/>
      <c r="T20" s="2"/>
      <c r="U20" s="35"/>
      <c r="V20" s="36"/>
      <c r="W20" s="37"/>
      <c r="X20" s="38"/>
      <c r="Y20" s="38"/>
      <c r="Z20" s="39"/>
      <c r="AA20" s="86"/>
      <c r="AB20" s="32"/>
      <c r="AC20" s="37"/>
      <c r="AD20" s="3"/>
      <c r="AE20" s="40"/>
      <c r="AF20" s="41"/>
      <c r="AG20" s="42"/>
    </row>
    <row r="21" spans="1:33">
      <c r="A21" s="42"/>
      <c r="B21" s="31"/>
      <c r="C21" s="31"/>
      <c r="D21" s="32"/>
      <c r="E21" s="32"/>
      <c r="F21" s="32"/>
      <c r="G21" s="32"/>
      <c r="H21" s="32"/>
      <c r="I21" s="33"/>
      <c r="J21" s="32"/>
      <c r="K21" s="1"/>
      <c r="L21" s="1"/>
      <c r="M21" s="1"/>
      <c r="N21" s="1"/>
      <c r="O21" s="1"/>
      <c r="P21" s="1"/>
      <c r="Q21" s="1"/>
      <c r="R21" s="82"/>
      <c r="S21" s="2"/>
      <c r="T21" s="2"/>
      <c r="U21" s="35"/>
      <c r="V21" s="36"/>
      <c r="W21" s="37"/>
      <c r="X21" s="38"/>
      <c r="Y21" s="38"/>
      <c r="Z21" s="39"/>
      <c r="AA21" s="86"/>
      <c r="AB21" s="32"/>
      <c r="AC21" s="37"/>
      <c r="AD21" s="3"/>
      <c r="AE21" s="40"/>
      <c r="AF21" s="41"/>
      <c r="AG21" s="42"/>
    </row>
    <row r="22" spans="1:33">
      <c r="A22" s="42"/>
      <c r="B22" s="31"/>
      <c r="C22" s="31"/>
      <c r="D22" s="32"/>
      <c r="E22" s="32"/>
      <c r="F22" s="32"/>
      <c r="G22" s="32"/>
      <c r="H22" s="32"/>
      <c r="I22" s="33"/>
      <c r="J22" s="32"/>
      <c r="K22" s="1"/>
      <c r="L22" s="1"/>
      <c r="M22" s="1"/>
      <c r="N22" s="1"/>
      <c r="O22" s="1"/>
      <c r="P22" s="1"/>
      <c r="Q22" s="1"/>
      <c r="R22" s="82"/>
      <c r="S22" s="2"/>
      <c r="T22" s="2"/>
      <c r="U22" s="35"/>
      <c r="V22" s="36"/>
      <c r="W22" s="37"/>
      <c r="X22" s="38"/>
      <c r="Y22" s="38"/>
      <c r="Z22" s="39"/>
      <c r="AA22" s="86"/>
      <c r="AB22" s="32"/>
      <c r="AC22" s="37"/>
      <c r="AD22" s="3"/>
      <c r="AE22" s="40"/>
      <c r="AF22" s="41"/>
      <c r="AG22" s="42"/>
    </row>
    <row r="23" spans="1:33">
      <c r="A23" s="42"/>
      <c r="B23" s="31"/>
      <c r="C23" s="31"/>
      <c r="D23" s="32"/>
      <c r="E23" s="32"/>
      <c r="F23" s="32"/>
      <c r="G23" s="32"/>
      <c r="H23" s="32"/>
      <c r="I23" s="33"/>
      <c r="J23" s="32"/>
      <c r="K23" s="1"/>
      <c r="L23" s="1"/>
      <c r="M23" s="1"/>
      <c r="N23" s="1"/>
      <c r="O23" s="1"/>
      <c r="P23" s="1"/>
      <c r="Q23" s="1"/>
      <c r="R23" s="82"/>
      <c r="S23" s="2"/>
      <c r="T23" s="2"/>
      <c r="U23" s="35"/>
      <c r="V23" s="36"/>
      <c r="W23" s="37"/>
      <c r="X23" s="38"/>
      <c r="Y23" s="38"/>
      <c r="Z23" s="39"/>
      <c r="AA23" s="86"/>
      <c r="AB23" s="32"/>
      <c r="AC23" s="37"/>
      <c r="AD23" s="3"/>
      <c r="AE23" s="40"/>
      <c r="AF23" s="41"/>
      <c r="AG23" s="42"/>
    </row>
    <row r="24" spans="1:33">
      <c r="A24" s="42"/>
      <c r="B24" s="31"/>
      <c r="C24" s="31"/>
      <c r="D24" s="32"/>
      <c r="E24" s="32"/>
      <c r="F24" s="32"/>
      <c r="G24" s="32"/>
      <c r="H24" s="32"/>
      <c r="I24" s="33"/>
      <c r="J24" s="32"/>
      <c r="K24" s="1"/>
      <c r="L24" s="1"/>
      <c r="M24" s="1"/>
      <c r="N24" s="1"/>
      <c r="O24" s="1"/>
      <c r="P24" s="1"/>
      <c r="Q24" s="1"/>
      <c r="R24" s="82"/>
      <c r="S24" s="2"/>
      <c r="T24" s="2"/>
      <c r="U24" s="35"/>
      <c r="V24" s="36"/>
      <c r="W24" s="37"/>
      <c r="X24" s="38"/>
      <c r="Y24" s="38"/>
      <c r="Z24" s="39"/>
      <c r="AA24" s="86"/>
      <c r="AB24" s="32"/>
      <c r="AC24" s="37"/>
      <c r="AD24" s="3"/>
      <c r="AE24" s="40"/>
      <c r="AF24" s="41"/>
      <c r="AG24" s="42"/>
    </row>
    <row r="25" spans="1:33">
      <c r="A25" s="42"/>
      <c r="B25" s="31"/>
      <c r="C25" s="31"/>
      <c r="D25" s="32"/>
      <c r="E25" s="32"/>
      <c r="F25" s="32"/>
      <c r="G25" s="32"/>
      <c r="H25" s="32"/>
      <c r="I25" s="33"/>
      <c r="J25" s="32"/>
      <c r="K25" s="1"/>
      <c r="L25" s="1"/>
      <c r="M25" s="1"/>
      <c r="N25" s="1"/>
      <c r="O25" s="1"/>
      <c r="P25" s="1"/>
      <c r="Q25" s="1"/>
      <c r="R25" s="82"/>
      <c r="S25" s="2"/>
      <c r="T25" s="2"/>
      <c r="U25" s="35"/>
      <c r="V25" s="36"/>
      <c r="W25" s="37"/>
      <c r="X25" s="38"/>
      <c r="Y25" s="38"/>
      <c r="Z25" s="39"/>
      <c r="AA25" s="86"/>
      <c r="AB25" s="32"/>
      <c r="AC25" s="37"/>
      <c r="AD25" s="3"/>
      <c r="AE25" s="40"/>
      <c r="AF25" s="41"/>
      <c r="AG25" s="42"/>
    </row>
    <row r="26" spans="1:33">
      <c r="A26" s="42"/>
      <c r="B26" s="31"/>
      <c r="C26" s="31"/>
      <c r="D26" s="32"/>
      <c r="E26" s="32"/>
      <c r="F26" s="32"/>
      <c r="G26" s="32"/>
      <c r="H26" s="32"/>
      <c r="I26" s="33"/>
      <c r="J26" s="32"/>
      <c r="K26" s="1"/>
      <c r="L26" s="1"/>
      <c r="M26" s="1"/>
      <c r="N26" s="1"/>
      <c r="O26" s="1"/>
      <c r="P26" s="1"/>
      <c r="Q26" s="1"/>
      <c r="R26" s="82"/>
      <c r="S26" s="2"/>
      <c r="T26" s="2"/>
      <c r="U26" s="35"/>
      <c r="V26" s="36"/>
      <c r="W26" s="37"/>
      <c r="X26" s="38"/>
      <c r="Y26" s="38"/>
      <c r="Z26" s="39"/>
      <c r="AA26" s="86"/>
      <c r="AB26" s="32"/>
      <c r="AC26" s="37"/>
      <c r="AD26" s="3"/>
      <c r="AE26" s="40"/>
      <c r="AF26" s="41"/>
      <c r="AG26" s="42"/>
    </row>
    <row r="27" spans="1:33">
      <c r="A27" s="42"/>
      <c r="B27" s="31"/>
      <c r="C27" s="31"/>
      <c r="D27" s="32"/>
      <c r="E27" s="32"/>
      <c r="F27" s="32"/>
      <c r="G27" s="32"/>
      <c r="H27" s="32"/>
      <c r="I27" s="33"/>
      <c r="J27" s="32"/>
      <c r="K27" s="1"/>
      <c r="L27" s="1"/>
      <c r="M27" s="1"/>
      <c r="N27" s="1"/>
      <c r="O27" s="1"/>
      <c r="P27" s="1"/>
      <c r="Q27" s="1"/>
      <c r="R27" s="82"/>
      <c r="S27" s="2"/>
      <c r="T27" s="2"/>
      <c r="U27" s="35"/>
      <c r="V27" s="36"/>
      <c r="W27" s="37"/>
      <c r="X27" s="38"/>
      <c r="Y27" s="38"/>
      <c r="Z27" s="39"/>
      <c r="AA27" s="86"/>
      <c r="AB27" s="32"/>
      <c r="AC27" s="37"/>
      <c r="AD27" s="3"/>
      <c r="AE27" s="40"/>
      <c r="AF27" s="41"/>
      <c r="AG27" s="42"/>
    </row>
    <row r="28" spans="1:33">
      <c r="A28" s="42"/>
      <c r="B28" s="31"/>
      <c r="C28" s="31"/>
      <c r="D28" s="32"/>
      <c r="E28" s="32"/>
      <c r="F28" s="32"/>
      <c r="G28" s="32"/>
      <c r="H28" s="32"/>
      <c r="I28" s="33"/>
      <c r="J28" s="32"/>
      <c r="K28" s="1"/>
      <c r="L28" s="1"/>
      <c r="M28" s="1"/>
      <c r="N28" s="1"/>
      <c r="O28" s="1"/>
      <c r="P28" s="1"/>
      <c r="Q28" s="1"/>
      <c r="R28" s="82"/>
      <c r="S28" s="2"/>
      <c r="T28" s="2"/>
      <c r="U28" s="35"/>
      <c r="V28" s="36"/>
      <c r="W28" s="37"/>
      <c r="X28" s="38"/>
      <c r="Y28" s="38"/>
      <c r="Z28" s="39"/>
      <c r="AA28" s="86"/>
      <c r="AB28" s="32"/>
      <c r="AC28" s="37"/>
      <c r="AD28" s="3"/>
      <c r="AE28" s="40"/>
      <c r="AF28" s="41"/>
      <c r="AG28" s="42"/>
    </row>
    <row r="29" spans="1:33">
      <c r="A29" s="42"/>
      <c r="B29" s="31"/>
      <c r="C29" s="31"/>
      <c r="D29" s="32"/>
      <c r="E29" s="32"/>
      <c r="F29" s="32"/>
      <c r="G29" s="32"/>
      <c r="H29" s="32"/>
      <c r="I29" s="33"/>
      <c r="J29" s="32"/>
      <c r="K29" s="1"/>
      <c r="L29" s="1"/>
      <c r="M29" s="1"/>
      <c r="N29" s="1"/>
      <c r="O29" s="1"/>
      <c r="P29" s="1"/>
      <c r="Q29" s="1"/>
      <c r="R29" s="82"/>
      <c r="S29" s="2"/>
      <c r="T29" s="2"/>
      <c r="U29" s="35"/>
      <c r="V29" s="36"/>
      <c r="W29" s="37"/>
      <c r="X29" s="38"/>
      <c r="Y29" s="38"/>
      <c r="Z29" s="39"/>
      <c r="AA29" s="86"/>
      <c r="AB29" s="32"/>
      <c r="AC29" s="37"/>
      <c r="AD29" s="3"/>
      <c r="AE29" s="40"/>
      <c r="AF29" s="41"/>
      <c r="AG29" s="42"/>
    </row>
    <row r="30" spans="1:33">
      <c r="A30" s="42"/>
      <c r="B30" s="31"/>
      <c r="C30" s="31"/>
      <c r="D30" s="32"/>
      <c r="E30" s="32"/>
      <c r="F30" s="32"/>
      <c r="G30" s="32"/>
      <c r="H30" s="32"/>
      <c r="I30" s="33"/>
      <c r="J30" s="32"/>
      <c r="K30" s="1"/>
      <c r="L30" s="1"/>
      <c r="M30" s="1"/>
      <c r="N30" s="1"/>
      <c r="O30" s="1"/>
      <c r="P30" s="1"/>
      <c r="Q30" s="1"/>
      <c r="R30" s="82"/>
      <c r="S30" s="2"/>
      <c r="T30" s="2"/>
      <c r="U30" s="35"/>
      <c r="V30" s="36"/>
      <c r="W30" s="37"/>
      <c r="X30" s="38"/>
      <c r="Y30" s="38"/>
      <c r="Z30" s="39"/>
      <c r="AA30" s="86"/>
      <c r="AB30" s="32"/>
      <c r="AC30" s="37"/>
      <c r="AD30" s="3"/>
      <c r="AE30" s="40"/>
      <c r="AF30" s="41"/>
      <c r="AG30" s="42"/>
    </row>
    <row r="31" spans="1:33">
      <c r="A31" s="42"/>
      <c r="B31" s="31"/>
      <c r="C31" s="31"/>
      <c r="D31" s="32"/>
      <c r="E31" s="32"/>
      <c r="F31" s="32"/>
      <c r="G31" s="32"/>
      <c r="H31" s="32"/>
      <c r="I31" s="33"/>
      <c r="J31" s="32"/>
      <c r="K31" s="1"/>
      <c r="L31" s="1"/>
      <c r="M31" s="1"/>
      <c r="N31" s="1"/>
      <c r="O31" s="1"/>
      <c r="P31" s="1"/>
      <c r="Q31" s="1"/>
      <c r="R31" s="82"/>
      <c r="S31" s="2"/>
      <c r="T31" s="2"/>
      <c r="U31" s="35"/>
      <c r="V31" s="36"/>
      <c r="W31" s="37"/>
      <c r="X31" s="38"/>
      <c r="Y31" s="38"/>
      <c r="Z31" s="39"/>
      <c r="AA31" s="86"/>
      <c r="AB31" s="32"/>
      <c r="AC31" s="37"/>
      <c r="AD31" s="3"/>
      <c r="AE31" s="40"/>
      <c r="AF31" s="41"/>
      <c r="AG31" s="42"/>
    </row>
    <row r="32" spans="1:33">
      <c r="A32" s="42"/>
      <c r="B32" s="31"/>
      <c r="C32" s="31"/>
      <c r="D32" s="32"/>
      <c r="E32" s="32"/>
      <c r="F32" s="32"/>
      <c r="G32" s="32"/>
      <c r="H32" s="32"/>
      <c r="I32" s="33"/>
      <c r="J32" s="32"/>
      <c r="K32" s="1"/>
      <c r="L32" s="1"/>
      <c r="M32" s="1"/>
      <c r="N32" s="1"/>
      <c r="O32" s="1"/>
      <c r="P32" s="1"/>
      <c r="Q32" s="1"/>
      <c r="R32" s="82"/>
      <c r="S32" s="2"/>
      <c r="T32" s="2"/>
      <c r="U32" s="35"/>
      <c r="V32" s="36"/>
      <c r="W32" s="37"/>
      <c r="X32" s="38"/>
      <c r="Y32" s="38"/>
      <c r="Z32" s="39"/>
      <c r="AA32" s="86"/>
      <c r="AB32" s="32"/>
      <c r="AC32" s="37"/>
      <c r="AD32" s="3"/>
      <c r="AE32" s="40"/>
      <c r="AF32" s="41"/>
      <c r="AG32" s="42"/>
    </row>
    <row r="33" spans="1:33">
      <c r="A33" s="42"/>
      <c r="B33" s="31"/>
      <c r="C33" s="31"/>
      <c r="D33" s="32"/>
      <c r="E33" s="32"/>
      <c r="F33" s="32"/>
      <c r="G33" s="32"/>
      <c r="H33" s="32"/>
      <c r="I33" s="33"/>
      <c r="J33" s="32"/>
      <c r="K33" s="1"/>
      <c r="L33" s="1"/>
      <c r="M33" s="1"/>
      <c r="N33" s="1"/>
      <c r="O33" s="1"/>
      <c r="P33" s="1"/>
      <c r="Q33" s="1"/>
      <c r="R33" s="82"/>
      <c r="S33" s="2"/>
      <c r="T33" s="2"/>
      <c r="U33" s="35"/>
      <c r="V33" s="36"/>
      <c r="W33" s="37"/>
      <c r="X33" s="38"/>
      <c r="Y33" s="38"/>
      <c r="Z33" s="39"/>
      <c r="AA33" s="86"/>
      <c r="AB33" s="32"/>
      <c r="AC33" s="37"/>
      <c r="AD33" s="3"/>
      <c r="AE33" s="40"/>
      <c r="AF33" s="41"/>
      <c r="AG33" s="42"/>
    </row>
    <row r="34" spans="1:33">
      <c r="A34" s="42"/>
      <c r="B34" s="31"/>
      <c r="C34" s="31"/>
      <c r="D34" s="32"/>
      <c r="E34" s="32"/>
      <c r="F34" s="32"/>
      <c r="G34" s="32"/>
      <c r="H34" s="32"/>
      <c r="I34" s="33"/>
      <c r="J34" s="32"/>
      <c r="K34" s="1"/>
      <c r="L34" s="1"/>
      <c r="M34" s="1"/>
      <c r="N34" s="1"/>
      <c r="O34" s="1"/>
      <c r="P34" s="1"/>
      <c r="Q34" s="1"/>
      <c r="R34" s="82"/>
      <c r="S34" s="2"/>
      <c r="T34" s="2"/>
      <c r="U34" s="35"/>
      <c r="V34" s="36"/>
      <c r="W34" s="37"/>
      <c r="X34" s="38"/>
      <c r="Y34" s="38"/>
      <c r="Z34" s="39"/>
      <c r="AA34" s="86"/>
      <c r="AB34" s="32"/>
      <c r="AC34" s="37"/>
      <c r="AD34" s="3"/>
      <c r="AE34" s="40"/>
      <c r="AF34" s="41"/>
      <c r="AG34" s="42"/>
    </row>
    <row r="35" spans="1:33">
      <c r="A35" s="42"/>
      <c r="B35" s="31"/>
      <c r="C35" s="31"/>
      <c r="D35" s="32"/>
      <c r="E35" s="32"/>
      <c r="F35" s="32"/>
      <c r="G35" s="32"/>
      <c r="H35" s="32"/>
      <c r="I35" s="33"/>
      <c r="J35" s="32"/>
      <c r="K35" s="1"/>
      <c r="L35" s="1"/>
      <c r="M35" s="1"/>
      <c r="N35" s="1"/>
      <c r="O35" s="1"/>
      <c r="P35" s="1"/>
      <c r="Q35" s="1"/>
      <c r="R35" s="82"/>
      <c r="S35" s="2"/>
      <c r="T35" s="2"/>
      <c r="U35" s="35"/>
      <c r="V35" s="36"/>
      <c r="W35" s="37"/>
      <c r="X35" s="38"/>
      <c r="Y35" s="38"/>
      <c r="Z35" s="39"/>
      <c r="AA35" s="86"/>
      <c r="AB35" s="32"/>
      <c r="AC35" s="37"/>
      <c r="AD35" s="3"/>
      <c r="AE35" s="40"/>
      <c r="AF35" s="41"/>
      <c r="AG35" s="42"/>
    </row>
    <row r="36" spans="1:33">
      <c r="A36" s="42"/>
      <c r="B36" s="31"/>
      <c r="C36" s="31"/>
      <c r="D36" s="32"/>
      <c r="E36" s="32"/>
      <c r="F36" s="32"/>
      <c r="G36" s="32"/>
      <c r="H36" s="32"/>
      <c r="I36" s="33"/>
      <c r="J36" s="32"/>
      <c r="K36" s="1"/>
      <c r="L36" s="1"/>
      <c r="M36" s="1"/>
      <c r="N36" s="1"/>
      <c r="O36" s="1"/>
      <c r="P36" s="1"/>
      <c r="Q36" s="1"/>
      <c r="R36" s="82"/>
      <c r="S36" s="2"/>
      <c r="T36" s="2"/>
      <c r="U36" s="35"/>
      <c r="V36" s="36"/>
      <c r="W36" s="37"/>
      <c r="X36" s="38"/>
      <c r="Y36" s="38"/>
      <c r="Z36" s="39"/>
      <c r="AA36" s="86"/>
      <c r="AB36" s="32"/>
      <c r="AC36" s="37"/>
      <c r="AD36" s="3"/>
      <c r="AE36" s="40"/>
      <c r="AF36" s="41"/>
      <c r="AG36" s="42"/>
    </row>
    <row r="37" spans="1:33">
      <c r="A37" s="42"/>
      <c r="B37" s="31"/>
      <c r="C37" s="31"/>
      <c r="D37" s="32"/>
      <c r="E37" s="32"/>
      <c r="F37" s="32"/>
      <c r="G37" s="32"/>
      <c r="H37" s="32"/>
      <c r="I37" s="33"/>
      <c r="J37" s="32"/>
      <c r="K37" s="1"/>
      <c r="L37" s="1"/>
      <c r="M37" s="1"/>
      <c r="N37" s="1"/>
      <c r="O37" s="1"/>
      <c r="P37" s="1"/>
      <c r="Q37" s="1"/>
      <c r="R37" s="82"/>
      <c r="S37" s="2"/>
      <c r="T37" s="2"/>
      <c r="U37" s="35"/>
      <c r="V37" s="36"/>
      <c r="W37" s="37"/>
      <c r="X37" s="38"/>
      <c r="Y37" s="38"/>
      <c r="Z37" s="39"/>
      <c r="AA37" s="86"/>
      <c r="AB37" s="32"/>
      <c r="AC37" s="37"/>
      <c r="AD37" s="3"/>
      <c r="AE37" s="40"/>
      <c r="AF37" s="41"/>
      <c r="AG37" s="42"/>
    </row>
    <row r="38" spans="1:33">
      <c r="A38" s="42"/>
      <c r="B38" s="31"/>
      <c r="C38" s="31"/>
      <c r="D38" s="32"/>
      <c r="E38" s="32"/>
      <c r="F38" s="32"/>
      <c r="G38" s="32"/>
      <c r="H38" s="32"/>
      <c r="I38" s="33"/>
      <c r="J38" s="32"/>
      <c r="K38" s="1"/>
      <c r="L38" s="1"/>
      <c r="M38" s="1"/>
      <c r="N38" s="1"/>
      <c r="O38" s="1"/>
      <c r="P38" s="1"/>
      <c r="Q38" s="1"/>
      <c r="R38" s="82"/>
      <c r="S38" s="2"/>
      <c r="T38" s="2"/>
      <c r="U38" s="35"/>
      <c r="V38" s="36"/>
      <c r="W38" s="37"/>
      <c r="X38" s="38"/>
      <c r="Y38" s="38"/>
      <c r="Z38" s="39"/>
      <c r="AA38" s="86"/>
      <c r="AB38" s="32"/>
      <c r="AC38" s="37"/>
      <c r="AD38" s="3"/>
      <c r="AE38" s="40"/>
      <c r="AF38" s="41"/>
      <c r="AG38" s="42"/>
    </row>
    <row r="39" spans="1:33">
      <c r="A39" s="42"/>
      <c r="B39" s="31"/>
      <c r="C39" s="31"/>
      <c r="D39" s="32"/>
      <c r="E39" s="32"/>
      <c r="F39" s="32"/>
      <c r="G39" s="32"/>
      <c r="H39" s="32"/>
      <c r="I39" s="33"/>
      <c r="J39" s="32"/>
      <c r="K39" s="1"/>
      <c r="L39" s="1"/>
      <c r="M39" s="1"/>
      <c r="N39" s="1"/>
      <c r="O39" s="1"/>
      <c r="P39" s="1"/>
      <c r="Q39" s="1"/>
      <c r="R39" s="82"/>
      <c r="S39" s="2"/>
      <c r="T39" s="2"/>
      <c r="U39" s="35"/>
      <c r="V39" s="36"/>
      <c r="W39" s="37"/>
      <c r="X39" s="38"/>
      <c r="Y39" s="38"/>
      <c r="Z39" s="39"/>
      <c r="AA39" s="86"/>
      <c r="AB39" s="32"/>
      <c r="AC39" s="37"/>
      <c r="AD39" s="3"/>
      <c r="AE39" s="40"/>
      <c r="AF39" s="41"/>
      <c r="AG39" s="42"/>
    </row>
    <row r="40" spans="1:33">
      <c r="A40" s="42"/>
      <c r="B40" s="31"/>
      <c r="C40" s="31"/>
      <c r="D40" s="32"/>
      <c r="E40" s="32"/>
      <c r="F40" s="32"/>
      <c r="G40" s="32"/>
      <c r="H40" s="32"/>
      <c r="I40" s="33"/>
      <c r="J40" s="32"/>
      <c r="K40" s="1"/>
      <c r="L40" s="1"/>
      <c r="M40" s="1"/>
      <c r="N40" s="1"/>
      <c r="O40" s="1"/>
      <c r="P40" s="1"/>
      <c r="Q40" s="1"/>
      <c r="R40" s="82"/>
      <c r="S40" s="2"/>
      <c r="T40" s="2"/>
      <c r="U40" s="35"/>
      <c r="V40" s="36"/>
      <c r="W40" s="37"/>
      <c r="X40" s="38"/>
      <c r="Y40" s="38"/>
      <c r="Z40" s="39"/>
      <c r="AA40" s="86"/>
      <c r="AB40" s="32"/>
      <c r="AC40" s="37"/>
      <c r="AD40" s="3"/>
      <c r="AE40" s="40"/>
      <c r="AF40" s="41"/>
      <c r="AG40" s="42"/>
    </row>
    <row r="41" spans="1:33">
      <c r="A41" s="42"/>
      <c r="B41" s="31"/>
      <c r="C41" s="31"/>
      <c r="D41" s="32"/>
      <c r="E41" s="32"/>
      <c r="F41" s="32"/>
      <c r="G41" s="32"/>
      <c r="H41" s="32"/>
      <c r="I41" s="33"/>
      <c r="J41" s="32"/>
      <c r="K41" s="1"/>
      <c r="L41" s="1"/>
      <c r="M41" s="1"/>
      <c r="N41" s="1"/>
      <c r="O41" s="1"/>
      <c r="P41" s="1"/>
      <c r="Q41" s="1"/>
      <c r="R41" s="82"/>
      <c r="S41" s="2"/>
      <c r="T41" s="2"/>
      <c r="U41" s="35"/>
      <c r="V41" s="36"/>
      <c r="W41" s="37"/>
      <c r="X41" s="38"/>
      <c r="Y41" s="38"/>
      <c r="Z41" s="39"/>
      <c r="AA41" s="86"/>
      <c r="AB41" s="32"/>
      <c r="AC41" s="37"/>
      <c r="AD41" s="3"/>
      <c r="AE41" s="40"/>
      <c r="AF41" s="41"/>
      <c r="AG41" s="42"/>
    </row>
    <row r="42" spans="1:33">
      <c r="A42" s="42"/>
      <c r="B42" s="31"/>
      <c r="C42" s="31"/>
      <c r="D42" s="32"/>
      <c r="E42" s="32"/>
      <c r="F42" s="32"/>
      <c r="G42" s="32"/>
      <c r="H42" s="32"/>
      <c r="I42" s="33"/>
      <c r="J42" s="32"/>
      <c r="K42" s="1"/>
      <c r="L42" s="1"/>
      <c r="M42" s="1"/>
      <c r="N42" s="1"/>
      <c r="O42" s="1"/>
      <c r="P42" s="1"/>
      <c r="Q42" s="1"/>
      <c r="R42" s="82"/>
      <c r="S42" s="2"/>
      <c r="T42" s="2"/>
      <c r="U42" s="35"/>
      <c r="V42" s="36"/>
      <c r="W42" s="37"/>
      <c r="X42" s="38"/>
      <c r="Y42" s="38"/>
      <c r="Z42" s="39"/>
      <c r="AA42" s="86"/>
      <c r="AB42" s="32"/>
      <c r="AC42" s="37"/>
      <c r="AD42" s="3"/>
      <c r="AE42" s="40"/>
      <c r="AF42" s="41"/>
      <c r="AG42" s="42"/>
    </row>
    <row r="43" spans="1:33">
      <c r="A43" s="42"/>
      <c r="B43" s="31"/>
      <c r="C43" s="31"/>
      <c r="D43" s="32"/>
      <c r="E43" s="32"/>
      <c r="F43" s="32"/>
      <c r="G43" s="32"/>
      <c r="H43" s="32"/>
      <c r="I43" s="33"/>
      <c r="J43" s="32"/>
      <c r="K43" s="1"/>
      <c r="L43" s="1"/>
      <c r="M43" s="1"/>
      <c r="N43" s="1"/>
      <c r="O43" s="1"/>
      <c r="P43" s="1"/>
      <c r="Q43" s="1"/>
      <c r="R43" s="82"/>
      <c r="S43" s="2"/>
      <c r="T43" s="2"/>
      <c r="U43" s="35"/>
      <c r="V43" s="36"/>
      <c r="W43" s="37"/>
      <c r="X43" s="38"/>
      <c r="Y43" s="38"/>
      <c r="Z43" s="39"/>
      <c r="AA43" s="86"/>
      <c r="AB43" s="32"/>
      <c r="AC43" s="37"/>
      <c r="AD43" s="3"/>
      <c r="AE43" s="40"/>
      <c r="AF43" s="41"/>
      <c r="AG43" s="42"/>
    </row>
    <row r="44" spans="1:33">
      <c r="A44" s="42"/>
      <c r="B44" s="31"/>
      <c r="C44" s="31"/>
      <c r="D44" s="32"/>
      <c r="E44" s="32"/>
      <c r="F44" s="32"/>
      <c r="G44" s="32"/>
      <c r="H44" s="32"/>
      <c r="I44" s="33"/>
      <c r="J44" s="32"/>
      <c r="K44" s="1"/>
      <c r="L44" s="1"/>
      <c r="M44" s="1"/>
      <c r="N44" s="1"/>
      <c r="O44" s="1"/>
      <c r="P44" s="1"/>
      <c r="Q44" s="1"/>
      <c r="R44" s="82"/>
      <c r="S44" s="2"/>
      <c r="T44" s="2"/>
      <c r="U44" s="35"/>
      <c r="V44" s="36"/>
      <c r="W44" s="37"/>
      <c r="X44" s="38"/>
      <c r="Y44" s="38"/>
      <c r="Z44" s="39"/>
      <c r="AA44" s="86"/>
      <c r="AB44" s="32"/>
      <c r="AC44" s="37"/>
      <c r="AD44" s="3"/>
      <c r="AE44" s="40"/>
      <c r="AF44" s="41"/>
      <c r="AG44" s="42"/>
    </row>
    <row r="45" spans="1:33">
      <c r="A45" s="42"/>
      <c r="B45" s="31"/>
      <c r="C45" s="31"/>
      <c r="D45" s="32"/>
      <c r="E45" s="32"/>
      <c r="F45" s="32"/>
      <c r="G45" s="32"/>
      <c r="H45" s="32"/>
      <c r="I45" s="33"/>
      <c r="J45" s="32"/>
      <c r="K45" s="1"/>
      <c r="L45" s="1"/>
      <c r="M45" s="1"/>
      <c r="N45" s="1"/>
      <c r="O45" s="1"/>
      <c r="P45" s="1"/>
      <c r="Q45" s="1"/>
      <c r="R45" s="82"/>
      <c r="S45" s="2"/>
      <c r="T45" s="2"/>
      <c r="U45" s="35"/>
      <c r="V45" s="36"/>
      <c r="W45" s="37"/>
      <c r="X45" s="38"/>
      <c r="Y45" s="38"/>
      <c r="Z45" s="39"/>
      <c r="AA45" s="86"/>
      <c r="AB45" s="32"/>
      <c r="AC45" s="37"/>
      <c r="AD45" s="3"/>
      <c r="AE45" s="40"/>
      <c r="AF45" s="41"/>
      <c r="AG45" s="42"/>
    </row>
    <row r="46" spans="1:33">
      <c r="A46" s="42"/>
      <c r="B46" s="31"/>
      <c r="C46" s="31"/>
      <c r="D46" s="32"/>
      <c r="E46" s="32"/>
      <c r="F46" s="32"/>
      <c r="G46" s="32"/>
      <c r="H46" s="32"/>
      <c r="I46" s="33"/>
      <c r="J46" s="32"/>
      <c r="K46" s="1"/>
      <c r="L46" s="1"/>
      <c r="M46" s="1"/>
      <c r="N46" s="1"/>
      <c r="O46" s="1"/>
      <c r="P46" s="1"/>
      <c r="Q46" s="1"/>
      <c r="R46" s="82"/>
      <c r="S46" s="2"/>
      <c r="T46" s="2"/>
      <c r="U46" s="35"/>
      <c r="V46" s="36"/>
      <c r="W46" s="37"/>
      <c r="X46" s="38"/>
      <c r="Y46" s="38"/>
      <c r="Z46" s="39"/>
      <c r="AA46" s="86"/>
      <c r="AB46" s="32"/>
      <c r="AC46" s="37"/>
      <c r="AD46" s="3"/>
      <c r="AE46" s="40"/>
      <c r="AF46" s="41"/>
      <c r="AG46" s="42"/>
    </row>
    <row r="47" spans="1:33">
      <c r="A47" s="42"/>
      <c r="B47" s="31"/>
      <c r="C47" s="31"/>
      <c r="D47" s="32"/>
      <c r="E47" s="32"/>
      <c r="F47" s="32"/>
      <c r="G47" s="32"/>
      <c r="H47" s="32"/>
      <c r="I47" s="33"/>
      <c r="J47" s="32"/>
      <c r="K47" s="1"/>
      <c r="L47" s="1"/>
      <c r="M47" s="1"/>
      <c r="N47" s="1"/>
      <c r="O47" s="1"/>
      <c r="P47" s="1"/>
      <c r="Q47" s="1"/>
      <c r="R47" s="82"/>
      <c r="S47" s="2"/>
      <c r="T47" s="2"/>
      <c r="U47" s="35"/>
      <c r="V47" s="36"/>
      <c r="W47" s="37"/>
      <c r="X47" s="38"/>
      <c r="Y47" s="38"/>
      <c r="Z47" s="39"/>
      <c r="AA47" s="86"/>
      <c r="AB47" s="32"/>
      <c r="AC47" s="37"/>
      <c r="AD47" s="3"/>
      <c r="AE47" s="40"/>
      <c r="AF47" s="41"/>
      <c r="AG47" s="42"/>
    </row>
    <row r="48" spans="1:33">
      <c r="A48" s="42"/>
      <c r="B48" s="31"/>
      <c r="C48" s="31"/>
      <c r="D48" s="32"/>
      <c r="E48" s="32"/>
      <c r="F48" s="32"/>
      <c r="G48" s="32"/>
      <c r="H48" s="32"/>
      <c r="I48" s="33"/>
      <c r="J48" s="32"/>
      <c r="K48" s="1"/>
      <c r="L48" s="1"/>
      <c r="M48" s="1"/>
      <c r="N48" s="1"/>
      <c r="O48" s="1"/>
      <c r="P48" s="1"/>
      <c r="Q48" s="1"/>
      <c r="R48" s="82"/>
      <c r="S48" s="2"/>
      <c r="T48" s="2"/>
      <c r="U48" s="35"/>
      <c r="V48" s="36"/>
      <c r="W48" s="37"/>
      <c r="X48" s="38"/>
      <c r="Y48" s="38"/>
      <c r="Z48" s="39"/>
      <c r="AA48" s="86"/>
      <c r="AB48" s="32"/>
      <c r="AC48" s="37"/>
      <c r="AD48" s="3"/>
      <c r="AE48" s="40"/>
      <c r="AF48" s="41"/>
      <c r="AG48" s="42"/>
    </row>
    <row r="49" spans="1:33">
      <c r="A49" s="42"/>
      <c r="B49" s="31"/>
      <c r="C49" s="31"/>
      <c r="D49" s="32"/>
      <c r="E49" s="32"/>
      <c r="F49" s="32"/>
      <c r="G49" s="32"/>
      <c r="H49" s="32"/>
      <c r="I49" s="33"/>
      <c r="J49" s="32"/>
      <c r="K49" s="1"/>
      <c r="L49" s="1"/>
      <c r="M49" s="1"/>
      <c r="N49" s="1"/>
      <c r="O49" s="1"/>
      <c r="P49" s="1"/>
      <c r="Q49" s="1"/>
      <c r="R49" s="82"/>
      <c r="S49" s="2"/>
      <c r="T49" s="2"/>
      <c r="U49" s="35"/>
      <c r="V49" s="36"/>
      <c r="W49" s="37"/>
      <c r="X49" s="38"/>
      <c r="Y49" s="38"/>
      <c r="Z49" s="39"/>
      <c r="AA49" s="86"/>
      <c r="AB49" s="32"/>
      <c r="AC49" s="37"/>
      <c r="AD49" s="3"/>
      <c r="AE49" s="40"/>
      <c r="AF49" s="41"/>
      <c r="AG49" s="42"/>
    </row>
    <row r="50" spans="1:33">
      <c r="A50" s="42"/>
      <c r="B50" s="31"/>
      <c r="C50" s="31"/>
      <c r="D50" s="32"/>
      <c r="E50" s="32"/>
      <c r="F50" s="32"/>
      <c r="G50" s="32"/>
      <c r="H50" s="32"/>
      <c r="I50" s="33"/>
      <c r="J50" s="32"/>
      <c r="K50" s="1"/>
      <c r="L50" s="1"/>
      <c r="M50" s="1"/>
      <c r="N50" s="1"/>
      <c r="O50" s="1"/>
      <c r="P50" s="1"/>
      <c r="Q50" s="1"/>
      <c r="R50" s="82"/>
      <c r="S50" s="2"/>
      <c r="T50" s="2"/>
      <c r="U50" s="35"/>
      <c r="V50" s="36"/>
      <c r="W50" s="37"/>
      <c r="X50" s="38"/>
      <c r="Y50" s="38"/>
      <c r="Z50" s="39"/>
      <c r="AA50" s="86"/>
      <c r="AB50" s="32"/>
      <c r="AC50" s="37"/>
      <c r="AD50" s="3"/>
      <c r="AE50" s="40"/>
      <c r="AF50" s="41"/>
      <c r="AG50" s="42"/>
    </row>
    <row r="51" spans="1:33">
      <c r="A51" s="42"/>
      <c r="B51" s="31"/>
      <c r="C51" s="31"/>
      <c r="D51" s="32"/>
      <c r="E51" s="32"/>
      <c r="F51" s="32"/>
      <c r="G51" s="32"/>
      <c r="H51" s="32"/>
      <c r="I51" s="33"/>
      <c r="J51" s="32"/>
      <c r="K51" s="1"/>
      <c r="L51" s="1"/>
      <c r="M51" s="1"/>
      <c r="N51" s="1"/>
      <c r="O51" s="1"/>
      <c r="P51" s="1"/>
      <c r="Q51" s="1"/>
      <c r="R51" s="82"/>
      <c r="S51" s="2"/>
      <c r="T51" s="2"/>
      <c r="U51" s="35"/>
      <c r="V51" s="36"/>
      <c r="W51" s="37"/>
      <c r="X51" s="38"/>
      <c r="Y51" s="38"/>
      <c r="Z51" s="39"/>
      <c r="AA51" s="86"/>
      <c r="AB51" s="32"/>
      <c r="AC51" s="37"/>
      <c r="AD51" s="3"/>
      <c r="AE51" s="40"/>
      <c r="AF51" s="41"/>
      <c r="AG51" s="42"/>
    </row>
    <row r="52" spans="1:33">
      <c r="A52" s="42"/>
      <c r="B52" s="31"/>
      <c r="C52" s="31"/>
      <c r="D52" s="32"/>
      <c r="E52" s="32"/>
      <c r="F52" s="32"/>
      <c r="G52" s="32"/>
      <c r="H52" s="32"/>
      <c r="I52" s="33"/>
      <c r="J52" s="32"/>
      <c r="K52" s="1"/>
      <c r="L52" s="1"/>
      <c r="M52" s="1"/>
      <c r="N52" s="1"/>
      <c r="O52" s="1"/>
      <c r="P52" s="1"/>
      <c r="Q52" s="1"/>
      <c r="R52" s="82"/>
      <c r="S52" s="2"/>
      <c r="T52" s="2"/>
      <c r="U52" s="35"/>
      <c r="V52" s="36"/>
      <c r="W52" s="37"/>
      <c r="X52" s="38"/>
      <c r="Y52" s="38"/>
      <c r="Z52" s="39"/>
      <c r="AA52" s="86"/>
      <c r="AB52" s="32"/>
      <c r="AC52" s="37"/>
      <c r="AD52" s="3"/>
      <c r="AE52" s="40"/>
      <c r="AF52" s="41"/>
      <c r="AG52" s="42"/>
    </row>
    <row r="53" spans="1:33">
      <c r="A53" s="42"/>
      <c r="B53" s="31"/>
      <c r="C53" s="31"/>
      <c r="D53" s="32"/>
      <c r="E53" s="32"/>
      <c r="F53" s="32"/>
      <c r="G53" s="32"/>
      <c r="H53" s="32"/>
      <c r="I53" s="33"/>
      <c r="J53" s="32"/>
      <c r="K53" s="1"/>
      <c r="L53" s="1"/>
      <c r="M53" s="1"/>
      <c r="N53" s="1"/>
      <c r="O53" s="1"/>
      <c r="P53" s="1"/>
      <c r="Q53" s="1"/>
      <c r="R53" s="82"/>
      <c r="S53" s="2"/>
      <c r="T53" s="2"/>
      <c r="U53" s="35"/>
      <c r="V53" s="36"/>
      <c r="W53" s="37"/>
      <c r="X53" s="38"/>
      <c r="Y53" s="38"/>
      <c r="Z53" s="39"/>
      <c r="AA53" s="86"/>
      <c r="AB53" s="32"/>
      <c r="AC53" s="37"/>
      <c r="AD53" s="3"/>
      <c r="AE53" s="40"/>
      <c r="AF53" s="41"/>
      <c r="AG53" s="42"/>
    </row>
    <row r="54" spans="1:33">
      <c r="A54" s="42"/>
      <c r="B54" s="31"/>
      <c r="C54" s="31"/>
      <c r="D54" s="32"/>
      <c r="E54" s="32"/>
      <c r="F54" s="32"/>
      <c r="G54" s="32"/>
      <c r="H54" s="32"/>
      <c r="I54" s="33"/>
      <c r="J54" s="32"/>
      <c r="K54" s="1"/>
      <c r="L54" s="1"/>
      <c r="M54" s="1"/>
      <c r="N54" s="1"/>
      <c r="O54" s="1"/>
      <c r="P54" s="1"/>
      <c r="Q54" s="1"/>
      <c r="R54" s="82"/>
      <c r="S54" s="2"/>
      <c r="T54" s="2"/>
      <c r="U54" s="35"/>
      <c r="V54" s="36"/>
      <c r="W54" s="37"/>
      <c r="X54" s="38"/>
      <c r="Y54" s="38"/>
      <c r="Z54" s="39"/>
      <c r="AA54" s="86"/>
      <c r="AB54" s="32"/>
      <c r="AC54" s="37"/>
      <c r="AD54" s="3"/>
      <c r="AE54" s="40"/>
      <c r="AF54" s="41"/>
      <c r="AG54" s="42"/>
    </row>
    <row r="55" spans="1:33">
      <c r="A55" s="42"/>
      <c r="B55" s="31"/>
      <c r="C55" s="31"/>
      <c r="D55" s="32"/>
      <c r="E55" s="32"/>
      <c r="F55" s="32"/>
      <c r="G55" s="32"/>
      <c r="H55" s="32"/>
      <c r="I55" s="33"/>
      <c r="J55" s="32"/>
      <c r="K55" s="1"/>
      <c r="L55" s="1"/>
      <c r="M55" s="1"/>
      <c r="N55" s="1"/>
      <c r="O55" s="1"/>
      <c r="P55" s="1"/>
      <c r="Q55" s="1"/>
      <c r="R55" s="82"/>
      <c r="S55" s="2"/>
      <c r="T55" s="2"/>
      <c r="U55" s="35"/>
      <c r="V55" s="36"/>
      <c r="W55" s="37"/>
      <c r="X55" s="38"/>
      <c r="Y55" s="38"/>
      <c r="Z55" s="39"/>
      <c r="AA55" s="86"/>
      <c r="AB55" s="32"/>
      <c r="AC55" s="37"/>
      <c r="AD55" s="3"/>
      <c r="AE55" s="40"/>
      <c r="AF55" s="41"/>
      <c r="AG55" s="42"/>
    </row>
    <row r="56" spans="1:33">
      <c r="A56" s="42"/>
      <c r="B56" s="31"/>
      <c r="C56" s="31"/>
      <c r="D56" s="32"/>
      <c r="E56" s="32"/>
      <c r="F56" s="32"/>
      <c r="G56" s="32"/>
      <c r="H56" s="32"/>
      <c r="I56" s="33"/>
      <c r="J56" s="32"/>
      <c r="K56" s="1"/>
      <c r="L56" s="1"/>
      <c r="M56" s="1"/>
      <c r="N56" s="1"/>
      <c r="O56" s="1"/>
      <c r="P56" s="1"/>
      <c r="Q56" s="1"/>
      <c r="R56" s="82"/>
      <c r="S56" s="2"/>
      <c r="T56" s="2"/>
      <c r="U56" s="35"/>
      <c r="V56" s="36"/>
      <c r="W56" s="37"/>
      <c r="X56" s="38"/>
      <c r="Y56" s="38"/>
      <c r="Z56" s="39"/>
      <c r="AA56" s="86"/>
      <c r="AB56" s="32"/>
      <c r="AC56" s="37"/>
      <c r="AD56" s="3"/>
      <c r="AE56" s="40"/>
      <c r="AF56" s="41"/>
      <c r="AG56" s="42"/>
    </row>
    <row r="57" spans="1:33">
      <c r="A57" s="42"/>
      <c r="B57" s="31"/>
      <c r="C57" s="31"/>
      <c r="D57" s="32"/>
      <c r="E57" s="32"/>
      <c r="F57" s="32"/>
      <c r="G57" s="32"/>
      <c r="H57" s="32"/>
      <c r="I57" s="33"/>
      <c r="J57" s="32"/>
      <c r="K57" s="1"/>
      <c r="L57" s="1"/>
      <c r="M57" s="1"/>
      <c r="N57" s="1"/>
      <c r="O57" s="1"/>
      <c r="P57" s="1"/>
      <c r="Q57" s="1"/>
      <c r="R57" s="82"/>
      <c r="S57" s="2"/>
      <c r="T57" s="2"/>
      <c r="U57" s="35"/>
      <c r="V57" s="36"/>
      <c r="W57" s="37"/>
      <c r="X57" s="38"/>
      <c r="Y57" s="38"/>
      <c r="Z57" s="39"/>
      <c r="AA57" s="86"/>
      <c r="AB57" s="32"/>
      <c r="AC57" s="37"/>
      <c r="AD57" s="3"/>
      <c r="AE57" s="40"/>
      <c r="AF57" s="41"/>
      <c r="AG57" s="42"/>
    </row>
    <row r="58" spans="1:33">
      <c r="A58" s="42"/>
      <c r="B58" s="31"/>
      <c r="C58" s="31"/>
      <c r="D58" s="32"/>
      <c r="E58" s="32"/>
      <c r="F58" s="32"/>
      <c r="G58" s="32"/>
      <c r="H58" s="32"/>
      <c r="I58" s="33"/>
      <c r="J58" s="32"/>
      <c r="K58" s="1"/>
      <c r="L58" s="1"/>
      <c r="M58" s="1"/>
      <c r="N58" s="1"/>
      <c r="O58" s="1"/>
      <c r="P58" s="1"/>
      <c r="Q58" s="1"/>
      <c r="R58" s="82"/>
      <c r="S58" s="2"/>
      <c r="T58" s="2"/>
      <c r="U58" s="35"/>
      <c r="V58" s="36"/>
      <c r="W58" s="37"/>
      <c r="X58" s="38"/>
      <c r="Y58" s="38"/>
      <c r="Z58" s="39"/>
      <c r="AA58" s="86"/>
      <c r="AB58" s="32"/>
      <c r="AC58" s="37"/>
      <c r="AD58" s="3"/>
      <c r="AE58" s="40"/>
      <c r="AF58" s="41"/>
      <c r="AG58" s="42"/>
    </row>
    <row r="59" spans="1:33">
      <c r="A59" s="42"/>
      <c r="B59" s="31"/>
      <c r="C59" s="31"/>
      <c r="D59" s="32"/>
      <c r="E59" s="32"/>
      <c r="F59" s="32"/>
      <c r="G59" s="32"/>
      <c r="H59" s="32"/>
      <c r="I59" s="33"/>
      <c r="J59" s="32"/>
      <c r="K59" s="1"/>
      <c r="L59" s="1"/>
      <c r="M59" s="1"/>
      <c r="N59" s="1"/>
      <c r="O59" s="1"/>
      <c r="P59" s="1"/>
      <c r="Q59" s="1"/>
      <c r="R59" s="82"/>
      <c r="S59" s="2"/>
      <c r="T59" s="2"/>
      <c r="U59" s="35"/>
      <c r="V59" s="36"/>
      <c r="W59" s="37"/>
      <c r="X59" s="38"/>
      <c r="Y59" s="38"/>
      <c r="Z59" s="39"/>
      <c r="AA59" s="86"/>
      <c r="AB59" s="32"/>
      <c r="AC59" s="37"/>
      <c r="AD59" s="3"/>
      <c r="AE59" s="40"/>
      <c r="AF59" s="41"/>
      <c r="AG59" s="42"/>
    </row>
    <row r="60" spans="1:33">
      <c r="A60" s="42"/>
      <c r="B60" s="31"/>
      <c r="C60" s="31"/>
      <c r="D60" s="32"/>
      <c r="E60" s="32"/>
      <c r="F60" s="32"/>
      <c r="G60" s="32"/>
      <c r="H60" s="32"/>
      <c r="I60" s="33"/>
      <c r="J60" s="32"/>
      <c r="K60" s="1"/>
      <c r="L60" s="1"/>
      <c r="M60" s="1"/>
      <c r="N60" s="1"/>
      <c r="O60" s="1"/>
      <c r="P60" s="1"/>
      <c r="Q60" s="1"/>
      <c r="R60" s="82"/>
      <c r="S60" s="2"/>
      <c r="T60" s="2"/>
      <c r="U60" s="35"/>
      <c r="V60" s="36"/>
      <c r="W60" s="37"/>
      <c r="X60" s="38"/>
      <c r="Y60" s="38"/>
      <c r="Z60" s="39"/>
      <c r="AA60" s="86"/>
      <c r="AB60" s="32"/>
      <c r="AC60" s="37"/>
      <c r="AD60" s="3"/>
      <c r="AE60" s="40"/>
      <c r="AF60" s="41"/>
      <c r="AG60" s="42"/>
    </row>
    <row r="61" spans="1:33">
      <c r="A61" s="42"/>
      <c r="B61" s="31"/>
      <c r="C61" s="31"/>
      <c r="D61" s="32"/>
      <c r="E61" s="32"/>
      <c r="F61" s="32"/>
      <c r="G61" s="32"/>
      <c r="H61" s="32"/>
      <c r="I61" s="33"/>
      <c r="J61" s="32"/>
      <c r="K61" s="1"/>
      <c r="L61" s="1"/>
      <c r="M61" s="1"/>
      <c r="N61" s="1"/>
      <c r="O61" s="1"/>
      <c r="P61" s="1"/>
      <c r="Q61" s="1"/>
      <c r="R61" s="82"/>
      <c r="S61" s="2"/>
      <c r="T61" s="2"/>
      <c r="U61" s="35"/>
      <c r="V61" s="36"/>
      <c r="W61" s="37"/>
      <c r="X61" s="38"/>
      <c r="Y61" s="38"/>
      <c r="Z61" s="39"/>
      <c r="AA61" s="86"/>
      <c r="AB61" s="32"/>
      <c r="AC61" s="37"/>
      <c r="AD61" s="3"/>
      <c r="AE61" s="40"/>
      <c r="AF61" s="41"/>
      <c r="AG61" s="42"/>
    </row>
    <row r="62" spans="1:33">
      <c r="A62" s="42"/>
      <c r="B62" s="31"/>
      <c r="C62" s="31"/>
      <c r="D62" s="32"/>
      <c r="E62" s="32"/>
      <c r="F62" s="32"/>
      <c r="G62" s="32"/>
      <c r="H62" s="32"/>
      <c r="I62" s="33"/>
      <c r="J62" s="32"/>
      <c r="K62" s="1"/>
      <c r="L62" s="1"/>
      <c r="M62" s="1"/>
      <c r="N62" s="1"/>
      <c r="O62" s="1"/>
      <c r="P62" s="1"/>
      <c r="Q62" s="1"/>
      <c r="R62" s="82"/>
      <c r="S62" s="2"/>
      <c r="T62" s="2"/>
      <c r="U62" s="35"/>
      <c r="V62" s="36"/>
      <c r="W62" s="37"/>
      <c r="X62" s="38"/>
      <c r="Y62" s="38"/>
      <c r="Z62" s="39"/>
      <c r="AA62" s="86"/>
      <c r="AB62" s="32"/>
      <c r="AC62" s="37"/>
      <c r="AD62" s="3"/>
      <c r="AE62" s="40"/>
      <c r="AF62" s="41"/>
      <c r="AG62" s="42"/>
    </row>
    <row r="63" spans="1:33">
      <c r="A63" s="42"/>
      <c r="B63" s="31"/>
      <c r="C63" s="31"/>
      <c r="D63" s="32"/>
      <c r="E63" s="32"/>
      <c r="F63" s="32"/>
      <c r="G63" s="32"/>
      <c r="H63" s="32"/>
      <c r="I63" s="33"/>
      <c r="J63" s="32"/>
      <c r="K63" s="1"/>
      <c r="L63" s="1"/>
      <c r="M63" s="1"/>
      <c r="N63" s="1"/>
      <c r="O63" s="1"/>
      <c r="P63" s="1"/>
      <c r="Q63" s="1"/>
      <c r="R63" s="82"/>
      <c r="S63" s="2"/>
      <c r="T63" s="2"/>
      <c r="U63" s="35"/>
      <c r="V63" s="36"/>
      <c r="W63" s="37"/>
      <c r="X63" s="38"/>
      <c r="Y63" s="38"/>
      <c r="Z63" s="39"/>
      <c r="AA63" s="86"/>
      <c r="AB63" s="32"/>
      <c r="AC63" s="37"/>
      <c r="AD63" s="3"/>
      <c r="AE63" s="40"/>
      <c r="AF63" s="41"/>
      <c r="AG63" s="42"/>
    </row>
    <row r="64" spans="1:33">
      <c r="A64" s="42"/>
      <c r="B64" s="31"/>
      <c r="C64" s="31"/>
      <c r="D64" s="32"/>
      <c r="E64" s="32"/>
      <c r="F64" s="32"/>
      <c r="G64" s="32"/>
      <c r="H64" s="32"/>
      <c r="I64" s="33"/>
      <c r="J64" s="32"/>
      <c r="K64" s="1"/>
      <c r="L64" s="1"/>
      <c r="M64" s="1"/>
      <c r="N64" s="1"/>
      <c r="O64" s="1"/>
      <c r="P64" s="1"/>
      <c r="Q64" s="1"/>
      <c r="R64" s="82"/>
      <c r="S64" s="2"/>
      <c r="T64" s="2"/>
      <c r="U64" s="35"/>
      <c r="V64" s="36"/>
      <c r="W64" s="37"/>
      <c r="X64" s="38"/>
      <c r="Y64" s="38"/>
      <c r="Z64" s="39"/>
      <c r="AA64" s="86"/>
      <c r="AB64" s="32"/>
      <c r="AC64" s="37"/>
      <c r="AD64" s="3"/>
      <c r="AE64" s="40"/>
      <c r="AF64" s="41"/>
      <c r="AG64" s="42"/>
    </row>
    <row r="65" spans="1:33">
      <c r="A65" s="42"/>
      <c r="B65" s="31"/>
      <c r="C65" s="31"/>
      <c r="D65" s="32"/>
      <c r="E65" s="32"/>
      <c r="F65" s="32"/>
      <c r="G65" s="32"/>
      <c r="H65" s="32"/>
      <c r="I65" s="33"/>
      <c r="J65" s="32"/>
      <c r="K65" s="1"/>
      <c r="L65" s="1"/>
      <c r="M65" s="1"/>
      <c r="N65" s="1"/>
      <c r="O65" s="1"/>
      <c r="P65" s="1"/>
      <c r="Q65" s="1"/>
      <c r="R65" s="82"/>
      <c r="S65" s="2"/>
      <c r="T65" s="2"/>
      <c r="U65" s="35"/>
      <c r="V65" s="36"/>
      <c r="W65" s="37"/>
      <c r="X65" s="38"/>
      <c r="Y65" s="38"/>
      <c r="Z65" s="39"/>
      <c r="AA65" s="86"/>
      <c r="AB65" s="32"/>
      <c r="AC65" s="37"/>
      <c r="AD65" s="3"/>
      <c r="AE65" s="40"/>
      <c r="AF65" s="41"/>
      <c r="AG65" s="42"/>
    </row>
    <row r="66" spans="1:33">
      <c r="A66" s="42"/>
      <c r="B66" s="31"/>
      <c r="C66" s="31"/>
      <c r="D66" s="32"/>
      <c r="E66" s="32"/>
      <c r="F66" s="32"/>
      <c r="G66" s="32"/>
      <c r="H66" s="32"/>
      <c r="I66" s="33"/>
      <c r="J66" s="32"/>
      <c r="K66" s="1"/>
      <c r="L66" s="1"/>
      <c r="M66" s="1"/>
      <c r="N66" s="1"/>
      <c r="O66" s="1"/>
      <c r="P66" s="1"/>
      <c r="Q66" s="1"/>
      <c r="R66" s="82"/>
      <c r="S66" s="2"/>
      <c r="T66" s="2"/>
      <c r="U66" s="35"/>
      <c r="V66" s="36"/>
      <c r="W66" s="37"/>
      <c r="X66" s="38"/>
      <c r="Y66" s="38"/>
      <c r="Z66" s="39"/>
      <c r="AA66" s="86"/>
      <c r="AB66" s="32"/>
      <c r="AC66" s="37"/>
      <c r="AD66" s="3"/>
      <c r="AE66" s="40"/>
      <c r="AF66" s="41"/>
      <c r="AG66" s="42"/>
    </row>
    <row r="67" spans="1:33">
      <c r="A67" s="42"/>
      <c r="B67" s="31"/>
      <c r="C67" s="31"/>
      <c r="D67" s="32"/>
      <c r="E67" s="32"/>
      <c r="F67" s="32"/>
      <c r="G67" s="32"/>
      <c r="H67" s="32"/>
      <c r="I67" s="33"/>
      <c r="J67" s="32"/>
      <c r="K67" s="1"/>
      <c r="L67" s="1"/>
      <c r="M67" s="1"/>
      <c r="N67" s="1"/>
      <c r="O67" s="1"/>
      <c r="P67" s="1"/>
      <c r="Q67" s="1"/>
      <c r="R67" s="82"/>
      <c r="S67" s="2"/>
      <c r="T67" s="2"/>
      <c r="U67" s="35"/>
      <c r="V67" s="36"/>
      <c r="W67" s="37"/>
      <c r="X67" s="38"/>
      <c r="Y67" s="38"/>
      <c r="Z67" s="39"/>
      <c r="AA67" s="86"/>
      <c r="AB67" s="32"/>
      <c r="AC67" s="37"/>
      <c r="AD67" s="3"/>
      <c r="AE67" s="40"/>
      <c r="AF67" s="41"/>
      <c r="AG67" s="42"/>
    </row>
    <row r="68" spans="1:33">
      <c r="A68" s="42"/>
      <c r="B68" s="31"/>
      <c r="C68" s="31"/>
      <c r="D68" s="32"/>
      <c r="E68" s="32"/>
      <c r="F68" s="32"/>
      <c r="G68" s="32"/>
      <c r="H68" s="32"/>
      <c r="I68" s="33"/>
      <c r="J68" s="32"/>
      <c r="K68" s="1"/>
      <c r="L68" s="1"/>
      <c r="M68" s="1"/>
      <c r="N68" s="1"/>
      <c r="O68" s="1"/>
      <c r="P68" s="1"/>
      <c r="Q68" s="1"/>
      <c r="R68" s="82"/>
      <c r="S68" s="2"/>
      <c r="T68" s="2"/>
      <c r="U68" s="35"/>
      <c r="V68" s="36"/>
      <c r="W68" s="37"/>
      <c r="X68" s="38"/>
      <c r="Y68" s="38"/>
      <c r="Z68" s="39"/>
      <c r="AA68" s="86"/>
      <c r="AB68" s="32"/>
      <c r="AC68" s="37"/>
      <c r="AD68" s="3"/>
      <c r="AE68" s="40"/>
      <c r="AF68" s="41"/>
      <c r="AG68" s="42"/>
    </row>
    <row r="69" spans="1:33">
      <c r="A69" s="42"/>
      <c r="B69" s="31"/>
      <c r="C69" s="31"/>
      <c r="D69" s="32"/>
      <c r="E69" s="32"/>
      <c r="F69" s="32"/>
      <c r="G69" s="32"/>
      <c r="H69" s="32"/>
      <c r="I69" s="33"/>
      <c r="J69" s="32"/>
      <c r="K69" s="1"/>
      <c r="L69" s="1"/>
      <c r="M69" s="1"/>
      <c r="N69" s="1"/>
      <c r="O69" s="1"/>
      <c r="P69" s="1"/>
      <c r="Q69" s="1"/>
      <c r="R69" s="82"/>
      <c r="S69" s="2"/>
      <c r="T69" s="2"/>
      <c r="U69" s="35"/>
      <c r="V69" s="36"/>
      <c r="W69" s="37"/>
      <c r="X69" s="38"/>
      <c r="Y69" s="38"/>
      <c r="Z69" s="39"/>
      <c r="AA69" s="86"/>
      <c r="AB69" s="32"/>
      <c r="AC69" s="37"/>
      <c r="AD69" s="3"/>
      <c r="AE69" s="40"/>
      <c r="AF69" s="41"/>
      <c r="AG69" s="42"/>
    </row>
    <row r="70" spans="1:33">
      <c r="A70" s="42"/>
      <c r="B70" s="31"/>
      <c r="C70" s="31"/>
      <c r="D70" s="32"/>
      <c r="E70" s="32"/>
      <c r="F70" s="32"/>
      <c r="G70" s="32"/>
      <c r="H70" s="32"/>
      <c r="I70" s="33"/>
      <c r="J70" s="32"/>
      <c r="K70" s="1"/>
      <c r="L70" s="1"/>
      <c r="M70" s="1"/>
      <c r="N70" s="1"/>
      <c r="O70" s="1"/>
      <c r="P70" s="1"/>
      <c r="Q70" s="1"/>
      <c r="R70" s="82"/>
      <c r="S70" s="2"/>
      <c r="T70" s="2"/>
      <c r="U70" s="35"/>
      <c r="V70" s="36"/>
      <c r="W70" s="37"/>
      <c r="X70" s="38"/>
      <c r="Y70" s="38"/>
      <c r="Z70" s="39"/>
      <c r="AA70" s="86"/>
      <c r="AB70" s="32"/>
      <c r="AC70" s="37"/>
      <c r="AD70" s="3"/>
      <c r="AE70" s="40"/>
      <c r="AF70" s="41"/>
      <c r="AG70" s="42"/>
    </row>
    <row r="71" spans="1:33">
      <c r="A71" s="42"/>
      <c r="B71" s="31"/>
      <c r="C71" s="31"/>
      <c r="D71" s="32"/>
      <c r="E71" s="32"/>
      <c r="F71" s="32"/>
      <c r="G71" s="32"/>
      <c r="H71" s="32"/>
      <c r="I71" s="33"/>
      <c r="J71" s="32"/>
      <c r="K71" s="1"/>
      <c r="L71" s="1"/>
      <c r="M71" s="1"/>
      <c r="N71" s="1"/>
      <c r="O71" s="1"/>
      <c r="P71" s="1"/>
      <c r="Q71" s="1"/>
      <c r="R71" s="82"/>
      <c r="S71" s="2"/>
      <c r="T71" s="2"/>
      <c r="U71" s="35"/>
      <c r="V71" s="36"/>
      <c r="W71" s="37"/>
      <c r="X71" s="38"/>
      <c r="Y71" s="38"/>
      <c r="Z71" s="39"/>
      <c r="AA71" s="86"/>
      <c r="AB71" s="32"/>
      <c r="AC71" s="37"/>
      <c r="AD71" s="3"/>
      <c r="AE71" s="40"/>
      <c r="AF71" s="41"/>
      <c r="AG71" s="42"/>
    </row>
    <row r="72" spans="1:33">
      <c r="A72" s="42"/>
      <c r="B72" s="31"/>
      <c r="C72" s="31"/>
      <c r="D72" s="32"/>
      <c r="E72" s="32"/>
      <c r="F72" s="32"/>
      <c r="G72" s="32"/>
      <c r="H72" s="32"/>
      <c r="I72" s="33"/>
      <c r="J72" s="32"/>
      <c r="K72" s="1"/>
      <c r="L72" s="1"/>
      <c r="M72" s="1"/>
      <c r="N72" s="1"/>
      <c r="O72" s="1"/>
      <c r="P72" s="1"/>
      <c r="Q72" s="1"/>
      <c r="R72" s="82"/>
      <c r="S72" s="2"/>
      <c r="T72" s="2"/>
      <c r="U72" s="35"/>
      <c r="V72" s="36"/>
      <c r="W72" s="37"/>
      <c r="X72" s="38"/>
      <c r="Y72" s="38"/>
      <c r="Z72" s="39"/>
      <c r="AA72" s="86"/>
      <c r="AB72" s="32"/>
      <c r="AC72" s="37"/>
      <c r="AD72" s="3"/>
      <c r="AE72" s="40"/>
      <c r="AF72" s="41"/>
      <c r="AG72" s="42"/>
    </row>
    <row r="73" spans="1:33">
      <c r="A73" s="42"/>
      <c r="B73" s="31"/>
      <c r="C73" s="31"/>
      <c r="D73" s="32"/>
      <c r="E73" s="32"/>
      <c r="F73" s="32"/>
      <c r="G73" s="32"/>
      <c r="H73" s="32"/>
      <c r="I73" s="33"/>
      <c r="J73" s="32"/>
      <c r="K73" s="1"/>
      <c r="L73" s="1"/>
      <c r="M73" s="1"/>
      <c r="N73" s="1"/>
      <c r="O73" s="1"/>
      <c r="P73" s="1"/>
      <c r="Q73" s="1"/>
      <c r="R73" s="82"/>
      <c r="S73" s="2"/>
      <c r="T73" s="2"/>
      <c r="U73" s="35"/>
      <c r="V73" s="36"/>
      <c r="W73" s="37"/>
      <c r="X73" s="38"/>
      <c r="Y73" s="38"/>
      <c r="Z73" s="39"/>
      <c r="AA73" s="86"/>
      <c r="AB73" s="32"/>
      <c r="AC73" s="37"/>
      <c r="AD73" s="3"/>
      <c r="AE73" s="40"/>
      <c r="AF73" s="41"/>
      <c r="AG73" s="42"/>
    </row>
    <row r="74" spans="1:33">
      <c r="A74" s="42"/>
      <c r="B74" s="31"/>
      <c r="C74" s="31"/>
      <c r="D74" s="32"/>
      <c r="E74" s="32"/>
      <c r="F74" s="32"/>
      <c r="G74" s="32"/>
      <c r="H74" s="32"/>
      <c r="I74" s="33"/>
      <c r="J74" s="32"/>
      <c r="K74" s="1"/>
      <c r="L74" s="1"/>
      <c r="M74" s="1"/>
      <c r="N74" s="1"/>
      <c r="O74" s="1"/>
      <c r="P74" s="1"/>
      <c r="Q74" s="1"/>
      <c r="R74" s="82"/>
      <c r="S74" s="2"/>
      <c r="T74" s="2"/>
      <c r="U74" s="35"/>
      <c r="V74" s="36"/>
      <c r="W74" s="37"/>
      <c r="X74" s="38"/>
      <c r="Y74" s="38"/>
      <c r="Z74" s="39"/>
      <c r="AA74" s="86"/>
      <c r="AB74" s="32"/>
      <c r="AC74" s="37"/>
      <c r="AD74" s="3"/>
      <c r="AE74" s="40"/>
      <c r="AF74" s="41"/>
      <c r="AG74" s="42"/>
    </row>
    <row r="75" spans="1:33">
      <c r="A75" s="42"/>
      <c r="B75" s="31"/>
      <c r="C75" s="31"/>
      <c r="D75" s="32"/>
      <c r="E75" s="32"/>
      <c r="F75" s="32"/>
      <c r="G75" s="32"/>
      <c r="H75" s="32"/>
      <c r="I75" s="33"/>
      <c r="J75" s="32"/>
      <c r="K75" s="1"/>
      <c r="L75" s="1"/>
      <c r="M75" s="1"/>
      <c r="N75" s="1"/>
      <c r="O75" s="1"/>
      <c r="P75" s="1"/>
      <c r="Q75" s="1"/>
      <c r="R75" s="82"/>
      <c r="S75" s="2"/>
      <c r="T75" s="2"/>
      <c r="U75" s="35"/>
      <c r="V75" s="36"/>
      <c r="W75" s="37"/>
      <c r="X75" s="38"/>
      <c r="Y75" s="38"/>
      <c r="Z75" s="39"/>
      <c r="AA75" s="86"/>
      <c r="AB75" s="32"/>
      <c r="AC75" s="37"/>
      <c r="AD75" s="3"/>
      <c r="AE75" s="40"/>
      <c r="AF75" s="41"/>
      <c r="AG75" s="42"/>
    </row>
    <row r="76" spans="1:33">
      <c r="A76" s="42"/>
      <c r="B76" s="31"/>
      <c r="C76" s="31"/>
      <c r="D76" s="32"/>
      <c r="E76" s="32"/>
      <c r="F76" s="32"/>
      <c r="G76" s="32"/>
      <c r="H76" s="32"/>
      <c r="I76" s="33"/>
      <c r="J76" s="32"/>
      <c r="K76" s="1"/>
      <c r="L76" s="1"/>
      <c r="M76" s="1"/>
      <c r="N76" s="1"/>
      <c r="O76" s="1"/>
      <c r="P76" s="1"/>
      <c r="Q76" s="1"/>
      <c r="R76" s="82"/>
      <c r="S76" s="2"/>
      <c r="T76" s="2"/>
      <c r="U76" s="35"/>
      <c r="V76" s="36"/>
      <c r="W76" s="37"/>
      <c r="X76" s="38"/>
      <c r="Y76" s="38"/>
      <c r="Z76" s="39"/>
      <c r="AA76" s="86"/>
      <c r="AB76" s="32"/>
      <c r="AC76" s="37"/>
      <c r="AD76" s="3"/>
      <c r="AE76" s="40"/>
      <c r="AF76" s="41"/>
      <c r="AG76" s="42"/>
    </row>
    <row r="77" spans="1:33">
      <c r="A77" s="42"/>
      <c r="B77" s="31"/>
      <c r="C77" s="31"/>
      <c r="D77" s="32"/>
      <c r="E77" s="32"/>
      <c r="F77" s="32"/>
      <c r="G77" s="32"/>
      <c r="H77" s="32"/>
      <c r="I77" s="33"/>
      <c r="J77" s="32"/>
      <c r="K77" s="1"/>
      <c r="L77" s="1"/>
      <c r="M77" s="1"/>
      <c r="N77" s="1"/>
      <c r="O77" s="1"/>
      <c r="P77" s="1"/>
      <c r="Q77" s="1"/>
      <c r="R77" s="82"/>
      <c r="S77" s="2"/>
      <c r="T77" s="2"/>
      <c r="U77" s="35"/>
      <c r="V77" s="36"/>
      <c r="W77" s="37"/>
      <c r="X77" s="38"/>
      <c r="Y77" s="38"/>
      <c r="Z77" s="39"/>
      <c r="AA77" s="86"/>
      <c r="AB77" s="32"/>
      <c r="AC77" s="37"/>
      <c r="AD77" s="3"/>
      <c r="AE77" s="40"/>
      <c r="AF77" s="41"/>
      <c r="AG77" s="42"/>
    </row>
    <row r="78" spans="1:33">
      <c r="A78" s="42"/>
      <c r="B78" s="31"/>
      <c r="C78" s="31"/>
      <c r="D78" s="32"/>
      <c r="E78" s="32"/>
      <c r="F78" s="32"/>
      <c r="G78" s="32"/>
      <c r="H78" s="32"/>
      <c r="I78" s="33"/>
      <c r="J78" s="32"/>
      <c r="K78" s="1"/>
      <c r="L78" s="1"/>
      <c r="M78" s="1"/>
      <c r="N78" s="1"/>
      <c r="O78" s="1"/>
      <c r="P78" s="1"/>
      <c r="Q78" s="1"/>
      <c r="R78" s="82"/>
      <c r="S78" s="2"/>
      <c r="T78" s="2"/>
      <c r="U78" s="35"/>
      <c r="V78" s="36"/>
      <c r="W78" s="37"/>
      <c r="X78" s="38"/>
      <c r="Y78" s="38"/>
      <c r="Z78" s="39"/>
      <c r="AA78" s="86"/>
      <c r="AB78" s="32"/>
      <c r="AC78" s="37"/>
      <c r="AD78" s="3"/>
      <c r="AE78" s="40"/>
      <c r="AF78" s="41"/>
      <c r="AG78" s="42"/>
    </row>
    <row r="79" spans="1:33">
      <c r="A79" s="42"/>
      <c r="B79" s="31"/>
      <c r="C79" s="31"/>
      <c r="D79" s="32"/>
      <c r="E79" s="32"/>
      <c r="F79" s="32"/>
      <c r="G79" s="32"/>
      <c r="H79" s="32"/>
      <c r="I79" s="33"/>
      <c r="J79" s="32"/>
      <c r="K79" s="1"/>
      <c r="L79" s="1"/>
      <c r="M79" s="1"/>
      <c r="N79" s="1"/>
      <c r="O79" s="1"/>
      <c r="P79" s="1"/>
      <c r="Q79" s="1"/>
      <c r="R79" s="82"/>
      <c r="S79" s="2"/>
      <c r="T79" s="2"/>
      <c r="U79" s="35"/>
      <c r="V79" s="36"/>
      <c r="W79" s="37"/>
      <c r="X79" s="38"/>
      <c r="Y79" s="38"/>
      <c r="Z79" s="39"/>
      <c r="AA79" s="86"/>
      <c r="AB79" s="32"/>
      <c r="AC79" s="37"/>
      <c r="AD79" s="3"/>
      <c r="AE79" s="40"/>
      <c r="AF79" s="41"/>
      <c r="AG79" s="42"/>
    </row>
    <row r="80" spans="1:33">
      <c r="A80" s="42"/>
      <c r="B80" s="31"/>
      <c r="C80" s="31"/>
      <c r="D80" s="32"/>
      <c r="E80" s="32"/>
      <c r="F80" s="32"/>
      <c r="G80" s="32"/>
      <c r="H80" s="32"/>
      <c r="I80" s="33"/>
      <c r="J80" s="32"/>
      <c r="K80" s="1"/>
      <c r="L80" s="1"/>
      <c r="M80" s="1"/>
      <c r="N80" s="1"/>
      <c r="O80" s="1"/>
      <c r="P80" s="1"/>
      <c r="Q80" s="1"/>
      <c r="R80" s="82"/>
      <c r="S80" s="2"/>
      <c r="T80" s="2"/>
      <c r="U80" s="35"/>
      <c r="V80" s="36"/>
      <c r="W80" s="37"/>
      <c r="X80" s="38"/>
      <c r="Y80" s="38"/>
      <c r="Z80" s="39"/>
      <c r="AA80" s="86"/>
      <c r="AB80" s="32"/>
      <c r="AC80" s="37"/>
      <c r="AD80" s="3"/>
      <c r="AE80" s="40"/>
      <c r="AF80" s="41"/>
      <c r="AG80" s="42"/>
    </row>
    <row r="81" spans="1:33">
      <c r="A81" s="42"/>
      <c r="B81" s="31"/>
      <c r="C81" s="31"/>
      <c r="D81" s="32"/>
      <c r="E81" s="32"/>
      <c r="F81" s="32"/>
      <c r="G81" s="32"/>
      <c r="H81" s="32"/>
      <c r="I81" s="33"/>
      <c r="J81" s="32"/>
      <c r="K81" s="1"/>
      <c r="L81" s="1"/>
      <c r="M81" s="1"/>
      <c r="N81" s="1"/>
      <c r="O81" s="1"/>
      <c r="P81" s="1"/>
      <c r="Q81" s="1"/>
      <c r="R81" s="82"/>
      <c r="S81" s="2"/>
      <c r="T81" s="2"/>
      <c r="U81" s="35"/>
      <c r="V81" s="36"/>
      <c r="W81" s="37"/>
      <c r="X81" s="38"/>
      <c r="Y81" s="38"/>
      <c r="Z81" s="39"/>
      <c r="AA81" s="86"/>
      <c r="AB81" s="32"/>
      <c r="AC81" s="37"/>
      <c r="AD81" s="3"/>
      <c r="AE81" s="40"/>
      <c r="AF81" s="41"/>
      <c r="AG81" s="42"/>
    </row>
    <row r="82" spans="1:33">
      <c r="A82" s="42"/>
      <c r="B82" s="31"/>
      <c r="C82" s="31"/>
      <c r="D82" s="32"/>
      <c r="E82" s="32"/>
      <c r="F82" s="32"/>
      <c r="G82" s="32"/>
      <c r="H82" s="32"/>
      <c r="I82" s="33"/>
      <c r="J82" s="32"/>
      <c r="K82" s="1"/>
      <c r="L82" s="1"/>
      <c r="M82" s="1"/>
      <c r="N82" s="1"/>
      <c r="O82" s="1"/>
      <c r="P82" s="1"/>
      <c r="Q82" s="1"/>
      <c r="R82" s="82"/>
      <c r="S82" s="2"/>
      <c r="T82" s="2"/>
      <c r="U82" s="35"/>
      <c r="V82" s="36"/>
      <c r="W82" s="37"/>
      <c r="X82" s="38"/>
      <c r="Y82" s="38"/>
      <c r="Z82" s="39"/>
      <c r="AA82" s="86"/>
      <c r="AB82" s="32"/>
      <c r="AC82" s="37"/>
      <c r="AD82" s="3"/>
      <c r="AE82" s="40"/>
      <c r="AF82" s="41"/>
      <c r="AG82" s="42"/>
    </row>
    <row r="83" spans="1:33">
      <c r="A83" s="42"/>
      <c r="B83" s="31"/>
      <c r="C83" s="31"/>
      <c r="D83" s="32"/>
      <c r="E83" s="32"/>
      <c r="F83" s="32"/>
      <c r="G83" s="32"/>
      <c r="H83" s="32"/>
      <c r="I83" s="33"/>
      <c r="J83" s="32"/>
      <c r="K83" s="1"/>
      <c r="L83" s="1"/>
      <c r="M83" s="1"/>
      <c r="N83" s="1"/>
      <c r="O83" s="1"/>
      <c r="P83" s="1"/>
      <c r="Q83" s="1"/>
      <c r="R83" s="82"/>
      <c r="S83" s="2"/>
      <c r="T83" s="2"/>
      <c r="U83" s="35"/>
      <c r="V83" s="36"/>
      <c r="W83" s="37"/>
      <c r="X83" s="38"/>
      <c r="Y83" s="38"/>
      <c r="Z83" s="39"/>
      <c r="AA83" s="86"/>
      <c r="AB83" s="32"/>
      <c r="AC83" s="37"/>
      <c r="AD83" s="3"/>
      <c r="AE83" s="40"/>
      <c r="AF83" s="41"/>
      <c r="AG83" s="42"/>
    </row>
    <row r="84" spans="1:33">
      <c r="A84" s="42"/>
      <c r="B84" s="31"/>
      <c r="C84" s="31"/>
      <c r="D84" s="32"/>
      <c r="E84" s="32"/>
      <c r="F84" s="32"/>
      <c r="G84" s="32"/>
      <c r="H84" s="32"/>
      <c r="I84" s="33"/>
      <c r="J84" s="32"/>
      <c r="K84" s="1"/>
      <c r="L84" s="1"/>
      <c r="M84" s="1"/>
      <c r="N84" s="1"/>
      <c r="O84" s="1"/>
      <c r="P84" s="1"/>
      <c r="Q84" s="1"/>
      <c r="R84" s="82"/>
      <c r="S84" s="2"/>
      <c r="T84" s="2"/>
      <c r="U84" s="35"/>
      <c r="V84" s="36"/>
      <c r="W84" s="37"/>
      <c r="X84" s="38"/>
      <c r="Y84" s="38"/>
      <c r="Z84" s="39"/>
      <c r="AA84" s="86"/>
      <c r="AB84" s="32"/>
      <c r="AC84" s="37"/>
      <c r="AD84" s="3"/>
      <c r="AE84" s="40"/>
      <c r="AF84" s="41"/>
      <c r="AG84" s="42"/>
    </row>
    <row r="85" spans="1:33">
      <c r="A85" s="42"/>
      <c r="B85" s="31"/>
      <c r="C85" s="31"/>
      <c r="D85" s="32"/>
      <c r="E85" s="32"/>
      <c r="F85" s="32"/>
      <c r="G85" s="32"/>
      <c r="H85" s="32"/>
      <c r="I85" s="33"/>
      <c r="J85" s="32"/>
      <c r="K85" s="1"/>
      <c r="L85" s="1"/>
      <c r="M85" s="1"/>
      <c r="N85" s="1"/>
      <c r="O85" s="1"/>
      <c r="P85" s="1"/>
      <c r="Q85" s="1"/>
      <c r="R85" s="82"/>
      <c r="S85" s="2"/>
      <c r="T85" s="2"/>
      <c r="U85" s="35"/>
      <c r="V85" s="36"/>
      <c r="W85" s="37"/>
      <c r="X85" s="38"/>
      <c r="Y85" s="38"/>
      <c r="Z85" s="39"/>
      <c r="AA85" s="86"/>
      <c r="AB85" s="32"/>
      <c r="AC85" s="37"/>
      <c r="AD85" s="3"/>
      <c r="AE85" s="40"/>
      <c r="AF85" s="41"/>
      <c r="AG85" s="42"/>
    </row>
    <row r="86" spans="1:33">
      <c r="A86" s="42"/>
      <c r="B86" s="31"/>
      <c r="C86" s="31"/>
      <c r="D86" s="32"/>
      <c r="E86" s="32"/>
      <c r="F86" s="32"/>
      <c r="G86" s="32"/>
      <c r="H86" s="32"/>
      <c r="I86" s="33"/>
      <c r="J86" s="32"/>
      <c r="K86" s="1"/>
      <c r="L86" s="1"/>
      <c r="M86" s="1"/>
      <c r="N86" s="1"/>
      <c r="O86" s="1"/>
      <c r="P86" s="1"/>
      <c r="Q86" s="1"/>
      <c r="R86" s="82"/>
      <c r="S86" s="2"/>
      <c r="T86" s="2"/>
      <c r="U86" s="35"/>
      <c r="V86" s="36"/>
      <c r="W86" s="37"/>
      <c r="X86" s="38"/>
      <c r="Y86" s="38"/>
      <c r="Z86" s="39"/>
      <c r="AA86" s="86"/>
      <c r="AB86" s="32"/>
      <c r="AC86" s="37"/>
      <c r="AD86" s="3"/>
      <c r="AE86" s="40"/>
      <c r="AF86" s="41"/>
      <c r="AG86" s="42"/>
    </row>
    <row r="87" spans="1:33">
      <c r="A87" s="42"/>
      <c r="B87" s="31"/>
      <c r="C87" s="31"/>
      <c r="D87" s="32"/>
      <c r="E87" s="32"/>
      <c r="F87" s="32"/>
      <c r="G87" s="32"/>
      <c r="H87" s="32"/>
      <c r="I87" s="33"/>
      <c r="J87" s="32"/>
      <c r="K87" s="1"/>
      <c r="L87" s="1"/>
      <c r="M87" s="1"/>
      <c r="N87" s="1"/>
      <c r="O87" s="1"/>
      <c r="P87" s="1"/>
      <c r="Q87" s="1"/>
      <c r="R87" s="82"/>
      <c r="S87" s="2"/>
      <c r="T87" s="2"/>
      <c r="U87" s="35"/>
      <c r="V87" s="36"/>
      <c r="W87" s="37"/>
      <c r="X87" s="38"/>
      <c r="Y87" s="38"/>
      <c r="Z87" s="39"/>
      <c r="AA87" s="86"/>
      <c r="AB87" s="32"/>
      <c r="AC87" s="37"/>
      <c r="AD87" s="3"/>
      <c r="AE87" s="40"/>
      <c r="AF87" s="41"/>
      <c r="AG87" s="42"/>
    </row>
    <row r="88" spans="1:33">
      <c r="A88" s="42"/>
      <c r="B88" s="31"/>
      <c r="C88" s="31"/>
      <c r="D88" s="32"/>
      <c r="E88" s="32"/>
      <c r="F88" s="32"/>
      <c r="G88" s="32"/>
      <c r="H88" s="32"/>
      <c r="I88" s="33"/>
      <c r="J88" s="32"/>
      <c r="K88" s="1"/>
      <c r="L88" s="1"/>
      <c r="M88" s="1"/>
      <c r="N88" s="1"/>
      <c r="O88" s="1"/>
      <c r="P88" s="1"/>
      <c r="Q88" s="1"/>
      <c r="R88" s="82"/>
      <c r="S88" s="2"/>
      <c r="T88" s="2"/>
      <c r="U88" s="35"/>
      <c r="V88" s="36"/>
      <c r="W88" s="37"/>
      <c r="X88" s="38"/>
      <c r="Y88" s="38"/>
      <c r="Z88" s="39"/>
      <c r="AA88" s="86"/>
      <c r="AB88" s="32"/>
      <c r="AC88" s="37"/>
      <c r="AD88" s="3"/>
      <c r="AE88" s="40"/>
      <c r="AF88" s="41"/>
      <c r="AG88" s="42"/>
    </row>
    <row r="89" spans="1:33">
      <c r="A89" s="42"/>
      <c r="B89" s="31"/>
      <c r="C89" s="31"/>
      <c r="D89" s="32"/>
      <c r="E89" s="32"/>
      <c r="F89" s="32"/>
      <c r="G89" s="32"/>
      <c r="H89" s="32"/>
      <c r="I89" s="33"/>
      <c r="J89" s="32"/>
      <c r="K89" s="1"/>
      <c r="L89" s="1"/>
      <c r="M89" s="1"/>
      <c r="N89" s="1"/>
      <c r="O89" s="1"/>
      <c r="P89" s="1"/>
      <c r="Q89" s="1"/>
      <c r="R89" s="82"/>
      <c r="S89" s="2"/>
      <c r="T89" s="2"/>
      <c r="U89" s="35"/>
      <c r="V89" s="36"/>
      <c r="W89" s="37"/>
      <c r="X89" s="38"/>
      <c r="Y89" s="38"/>
      <c r="Z89" s="39"/>
      <c r="AA89" s="86"/>
      <c r="AB89" s="32"/>
      <c r="AC89" s="37"/>
      <c r="AD89" s="3"/>
      <c r="AE89" s="40"/>
      <c r="AF89" s="41"/>
      <c r="AG89" s="42"/>
    </row>
    <row r="90" spans="1:33">
      <c r="A90" s="42"/>
      <c r="B90" s="31"/>
      <c r="C90" s="31"/>
      <c r="D90" s="32"/>
      <c r="E90" s="32"/>
      <c r="F90" s="32"/>
      <c r="G90" s="32"/>
      <c r="H90" s="32"/>
      <c r="I90" s="33"/>
      <c r="J90" s="32"/>
      <c r="K90" s="1"/>
      <c r="L90" s="1"/>
      <c r="M90" s="1"/>
      <c r="N90" s="1"/>
      <c r="O90" s="1"/>
      <c r="P90" s="1"/>
      <c r="Q90" s="1"/>
      <c r="R90" s="82"/>
      <c r="S90" s="2"/>
      <c r="T90" s="2"/>
      <c r="U90" s="35"/>
      <c r="V90" s="36"/>
      <c r="W90" s="37"/>
      <c r="X90" s="38"/>
      <c r="Y90" s="38"/>
      <c r="Z90" s="39"/>
      <c r="AA90" s="86"/>
      <c r="AB90" s="32"/>
      <c r="AC90" s="37"/>
      <c r="AD90" s="3"/>
      <c r="AE90" s="40"/>
      <c r="AF90" s="41"/>
      <c r="AG90" s="42"/>
    </row>
    <row r="91" spans="1:33">
      <c r="A91" s="42"/>
      <c r="B91" s="31"/>
      <c r="C91" s="31"/>
      <c r="D91" s="32"/>
      <c r="E91" s="32"/>
      <c r="F91" s="32"/>
      <c r="G91" s="32"/>
      <c r="H91" s="32"/>
      <c r="I91" s="33"/>
      <c r="J91" s="32"/>
      <c r="K91" s="1"/>
      <c r="L91" s="1"/>
      <c r="M91" s="1"/>
      <c r="N91" s="1"/>
      <c r="O91" s="1"/>
      <c r="P91" s="1"/>
      <c r="Q91" s="1"/>
      <c r="R91" s="82"/>
      <c r="S91" s="2"/>
      <c r="T91" s="2"/>
      <c r="U91" s="35"/>
      <c r="V91" s="36"/>
      <c r="W91" s="37"/>
      <c r="X91" s="38"/>
      <c r="Y91" s="38"/>
      <c r="Z91" s="39"/>
      <c r="AA91" s="86"/>
      <c r="AB91" s="32"/>
      <c r="AC91" s="37"/>
      <c r="AD91" s="3"/>
      <c r="AE91" s="40"/>
      <c r="AF91" s="41"/>
      <c r="AG91" s="42"/>
    </row>
    <row r="92" spans="1:33">
      <c r="A92" s="42"/>
      <c r="B92" s="31"/>
      <c r="C92" s="31"/>
      <c r="D92" s="32"/>
      <c r="E92" s="32"/>
      <c r="F92" s="32"/>
      <c r="G92" s="32"/>
      <c r="H92" s="32"/>
      <c r="I92" s="33"/>
      <c r="J92" s="32"/>
      <c r="K92" s="1"/>
      <c r="L92" s="1"/>
      <c r="M92" s="1"/>
      <c r="N92" s="1"/>
      <c r="O92" s="1"/>
      <c r="P92" s="1"/>
      <c r="Q92" s="1"/>
      <c r="R92" s="82"/>
      <c r="S92" s="2"/>
      <c r="T92" s="2"/>
      <c r="U92" s="35"/>
      <c r="V92" s="36"/>
      <c r="W92" s="37"/>
      <c r="X92" s="38"/>
      <c r="Y92" s="38"/>
      <c r="Z92" s="39"/>
      <c r="AA92" s="86"/>
      <c r="AB92" s="32"/>
      <c r="AC92" s="37"/>
      <c r="AD92" s="3"/>
      <c r="AE92" s="40"/>
      <c r="AF92" s="41"/>
      <c r="AG92" s="42"/>
    </row>
    <row r="93" spans="1:33">
      <c r="A93" s="42"/>
      <c r="B93" s="31"/>
      <c r="C93" s="31"/>
      <c r="D93" s="32"/>
      <c r="E93" s="32"/>
      <c r="F93" s="32"/>
      <c r="G93" s="32"/>
      <c r="H93" s="32"/>
      <c r="I93" s="33"/>
      <c r="J93" s="32"/>
      <c r="K93" s="1"/>
      <c r="L93" s="1"/>
      <c r="M93" s="1"/>
      <c r="N93" s="1"/>
      <c r="O93" s="1"/>
      <c r="P93" s="1"/>
      <c r="Q93" s="1"/>
      <c r="R93" s="82"/>
      <c r="S93" s="2"/>
      <c r="T93" s="2"/>
      <c r="U93" s="35"/>
      <c r="V93" s="36"/>
      <c r="W93" s="37"/>
      <c r="X93" s="38"/>
      <c r="Y93" s="38"/>
      <c r="Z93" s="39"/>
      <c r="AA93" s="86"/>
      <c r="AB93" s="32"/>
      <c r="AC93" s="37"/>
      <c r="AD93" s="3"/>
      <c r="AE93" s="40"/>
      <c r="AF93" s="41"/>
      <c r="AG93" s="42"/>
    </row>
    <row r="94" spans="1:33">
      <c r="A94" s="42"/>
      <c r="B94" s="31"/>
      <c r="C94" s="31"/>
      <c r="D94" s="32"/>
      <c r="E94" s="32"/>
      <c r="F94" s="32"/>
      <c r="G94" s="32"/>
      <c r="H94" s="32"/>
      <c r="I94" s="33"/>
      <c r="J94" s="32"/>
      <c r="K94" s="1"/>
      <c r="L94" s="1"/>
      <c r="M94" s="1"/>
      <c r="N94" s="1"/>
      <c r="O94" s="1"/>
      <c r="P94" s="1"/>
      <c r="Q94" s="1"/>
      <c r="R94" s="82"/>
      <c r="S94" s="2"/>
      <c r="T94" s="2"/>
      <c r="U94" s="35"/>
      <c r="V94" s="36"/>
      <c r="W94" s="37"/>
      <c r="X94" s="38"/>
      <c r="Y94" s="38"/>
      <c r="Z94" s="39"/>
      <c r="AA94" s="86"/>
      <c r="AB94" s="32"/>
      <c r="AC94" s="37"/>
      <c r="AD94" s="3"/>
      <c r="AE94" s="40"/>
      <c r="AF94" s="41"/>
      <c r="AG94" s="42"/>
    </row>
    <row r="95" spans="1:33">
      <c r="A95" s="42"/>
      <c r="B95" s="31"/>
      <c r="C95" s="31"/>
      <c r="D95" s="32"/>
      <c r="E95" s="32"/>
      <c r="F95" s="32"/>
      <c r="G95" s="32"/>
      <c r="H95" s="32"/>
      <c r="I95" s="33"/>
      <c r="J95" s="32"/>
      <c r="K95" s="1"/>
      <c r="L95" s="1"/>
      <c r="M95" s="1"/>
      <c r="N95" s="1"/>
      <c r="O95" s="1"/>
      <c r="P95" s="1"/>
      <c r="Q95" s="1"/>
      <c r="R95" s="82"/>
      <c r="S95" s="2"/>
      <c r="T95" s="2"/>
      <c r="U95" s="35"/>
      <c r="V95" s="36"/>
      <c r="W95" s="37"/>
      <c r="X95" s="38"/>
      <c r="Y95" s="38"/>
      <c r="Z95" s="39"/>
      <c r="AA95" s="86"/>
      <c r="AB95" s="32"/>
      <c r="AC95" s="37"/>
      <c r="AD95" s="3"/>
      <c r="AE95" s="40"/>
      <c r="AF95" s="41"/>
      <c r="AG95" s="42"/>
    </row>
    <row r="96" spans="1:33">
      <c r="A96" s="42"/>
      <c r="B96" s="31"/>
      <c r="C96" s="31"/>
      <c r="D96" s="32"/>
      <c r="E96" s="32"/>
      <c r="F96" s="32"/>
      <c r="G96" s="32"/>
      <c r="H96" s="32"/>
      <c r="I96" s="33"/>
      <c r="J96" s="32"/>
      <c r="K96" s="1"/>
      <c r="L96" s="1"/>
      <c r="M96" s="1"/>
      <c r="N96" s="1"/>
      <c r="O96" s="1"/>
      <c r="P96" s="1"/>
      <c r="Q96" s="1"/>
      <c r="R96" s="82"/>
      <c r="S96" s="2"/>
      <c r="T96" s="2"/>
      <c r="U96" s="35"/>
      <c r="V96" s="36"/>
      <c r="W96" s="37"/>
      <c r="X96" s="38"/>
      <c r="Y96" s="38"/>
      <c r="Z96" s="39"/>
      <c r="AA96" s="86"/>
      <c r="AB96" s="32"/>
      <c r="AC96" s="37"/>
      <c r="AD96" s="3"/>
      <c r="AE96" s="40"/>
      <c r="AF96" s="41"/>
      <c r="AG96" s="42"/>
    </row>
    <row r="97" spans="1:33">
      <c r="A97" s="42"/>
      <c r="B97" s="31"/>
      <c r="C97" s="31"/>
      <c r="D97" s="32"/>
      <c r="E97" s="32"/>
      <c r="F97" s="32"/>
      <c r="G97" s="32"/>
      <c r="H97" s="32"/>
      <c r="I97" s="33"/>
      <c r="J97" s="32"/>
      <c r="K97" s="1"/>
      <c r="L97" s="1"/>
      <c r="M97" s="1"/>
      <c r="N97" s="1"/>
      <c r="O97" s="1"/>
      <c r="P97" s="1"/>
      <c r="Q97" s="1"/>
      <c r="R97" s="82"/>
      <c r="S97" s="2"/>
      <c r="T97" s="2"/>
      <c r="U97" s="35"/>
      <c r="V97" s="36"/>
      <c r="W97" s="37"/>
      <c r="X97" s="38"/>
      <c r="Y97" s="38"/>
      <c r="Z97" s="39"/>
      <c r="AA97" s="86"/>
      <c r="AB97" s="32"/>
      <c r="AC97" s="37"/>
      <c r="AD97" s="3"/>
      <c r="AE97" s="40"/>
      <c r="AF97" s="41"/>
      <c r="AG97" s="42"/>
    </row>
    <row r="98" spans="1:33">
      <c r="A98" s="42"/>
      <c r="B98" s="31"/>
      <c r="C98" s="31"/>
      <c r="D98" s="32"/>
      <c r="E98" s="32"/>
      <c r="F98" s="32"/>
      <c r="G98" s="32"/>
      <c r="H98" s="32"/>
      <c r="I98" s="33"/>
      <c r="J98" s="32"/>
      <c r="K98" s="1"/>
      <c r="L98" s="1"/>
      <c r="M98" s="1"/>
      <c r="N98" s="1"/>
      <c r="O98" s="1"/>
      <c r="P98" s="1"/>
      <c r="Q98" s="1"/>
      <c r="R98" s="82"/>
      <c r="S98" s="2"/>
      <c r="T98" s="2"/>
      <c r="U98" s="35"/>
      <c r="V98" s="36"/>
      <c r="W98" s="37"/>
      <c r="X98" s="38"/>
      <c r="Y98" s="38"/>
      <c r="Z98" s="39"/>
      <c r="AA98" s="86"/>
      <c r="AB98" s="32"/>
      <c r="AC98" s="37"/>
      <c r="AD98" s="3"/>
      <c r="AE98" s="40"/>
      <c r="AF98" s="41"/>
      <c r="AG98" s="42"/>
    </row>
    <row r="99" spans="1:33">
      <c r="A99" s="42"/>
      <c r="B99" s="31"/>
      <c r="C99" s="31"/>
      <c r="D99" s="32"/>
      <c r="E99" s="32"/>
      <c r="F99" s="32"/>
      <c r="G99" s="32"/>
      <c r="H99" s="32"/>
      <c r="I99" s="33"/>
      <c r="J99" s="32"/>
      <c r="K99" s="1"/>
      <c r="L99" s="1"/>
      <c r="M99" s="1"/>
      <c r="N99" s="1"/>
      <c r="O99" s="1"/>
      <c r="P99" s="1"/>
      <c r="Q99" s="1"/>
      <c r="R99" s="82"/>
      <c r="S99" s="2"/>
      <c r="T99" s="2"/>
      <c r="U99" s="35"/>
      <c r="V99" s="36"/>
      <c r="W99" s="37"/>
      <c r="X99" s="38"/>
      <c r="Y99" s="38"/>
      <c r="Z99" s="39"/>
      <c r="AA99" s="86"/>
      <c r="AB99" s="32"/>
      <c r="AC99" s="37"/>
      <c r="AD99" s="3"/>
      <c r="AE99" s="40"/>
      <c r="AF99" s="41"/>
      <c r="AG99" s="42"/>
    </row>
    <row r="100" spans="1:33">
      <c r="A100" s="42"/>
      <c r="B100" s="31"/>
      <c r="C100" s="31"/>
      <c r="D100" s="32"/>
      <c r="E100" s="32"/>
      <c r="F100" s="32"/>
      <c r="G100" s="32"/>
      <c r="H100" s="32"/>
      <c r="I100" s="33"/>
      <c r="J100" s="32"/>
      <c r="K100" s="1"/>
      <c r="L100" s="1"/>
      <c r="M100" s="1"/>
      <c r="N100" s="1"/>
      <c r="O100" s="1"/>
      <c r="P100" s="1"/>
      <c r="Q100" s="1"/>
      <c r="R100" s="82"/>
      <c r="S100" s="2"/>
      <c r="T100" s="2"/>
      <c r="U100" s="35"/>
      <c r="V100" s="36"/>
      <c r="W100" s="37"/>
      <c r="X100" s="38"/>
      <c r="Y100" s="38"/>
      <c r="Z100" s="39"/>
      <c r="AA100" s="86"/>
      <c r="AB100" s="32"/>
      <c r="AC100" s="37"/>
      <c r="AD100" s="3"/>
      <c r="AE100" s="40"/>
      <c r="AF100" s="41"/>
      <c r="AG100" s="42"/>
    </row>
    <row r="101" spans="1:33">
      <c r="A101" s="42"/>
      <c r="B101" s="31"/>
      <c r="C101" s="31"/>
      <c r="D101" s="32"/>
      <c r="E101" s="32"/>
      <c r="F101" s="32"/>
      <c r="G101" s="32"/>
      <c r="H101" s="32"/>
      <c r="I101" s="33"/>
      <c r="J101" s="32"/>
      <c r="K101" s="1"/>
      <c r="L101" s="1"/>
      <c r="M101" s="1"/>
      <c r="N101" s="1"/>
      <c r="O101" s="1"/>
      <c r="P101" s="1"/>
      <c r="Q101" s="1"/>
      <c r="R101" s="82"/>
      <c r="S101" s="2"/>
      <c r="T101" s="2"/>
      <c r="U101" s="35"/>
      <c r="V101" s="36"/>
      <c r="W101" s="37"/>
      <c r="X101" s="38"/>
      <c r="Y101" s="38"/>
      <c r="Z101" s="39"/>
      <c r="AA101" s="86"/>
      <c r="AB101" s="32"/>
      <c r="AC101" s="37"/>
      <c r="AD101" s="3"/>
      <c r="AE101" s="40"/>
      <c r="AF101" s="41"/>
      <c r="AG101" s="42"/>
    </row>
    <row r="102" spans="1:33">
      <c r="A102" s="42"/>
      <c r="B102" s="31"/>
      <c r="C102" s="31"/>
      <c r="D102" s="32"/>
      <c r="E102" s="32"/>
      <c r="F102" s="32"/>
      <c r="G102" s="32"/>
      <c r="H102" s="32"/>
      <c r="I102" s="33"/>
      <c r="J102" s="32"/>
      <c r="K102" s="1"/>
      <c r="L102" s="1"/>
      <c r="M102" s="1"/>
      <c r="N102" s="1"/>
      <c r="O102" s="1"/>
      <c r="P102" s="1"/>
      <c r="Q102" s="1"/>
      <c r="R102" s="82"/>
      <c r="S102" s="2"/>
      <c r="T102" s="2"/>
      <c r="U102" s="35"/>
      <c r="V102" s="36"/>
      <c r="W102" s="37"/>
      <c r="X102" s="38"/>
      <c r="Y102" s="38"/>
      <c r="Z102" s="39"/>
      <c r="AA102" s="86"/>
      <c r="AB102" s="32"/>
      <c r="AC102" s="37"/>
      <c r="AD102" s="3"/>
      <c r="AE102" s="40"/>
      <c r="AF102" s="41"/>
      <c r="AG102" s="42"/>
    </row>
    <row r="103" spans="1:33">
      <c r="A103" s="42"/>
      <c r="B103" s="31"/>
      <c r="C103" s="31"/>
      <c r="D103" s="32"/>
      <c r="E103" s="32"/>
      <c r="F103" s="32"/>
      <c r="G103" s="32"/>
      <c r="H103" s="32"/>
      <c r="I103" s="33"/>
      <c r="J103" s="32"/>
      <c r="K103" s="1"/>
      <c r="L103" s="1"/>
      <c r="M103" s="1"/>
      <c r="N103" s="1"/>
      <c r="O103" s="1"/>
      <c r="P103" s="1"/>
      <c r="Q103" s="1"/>
      <c r="R103" s="82"/>
      <c r="S103" s="2"/>
      <c r="T103" s="2"/>
      <c r="U103" s="35"/>
      <c r="V103" s="36"/>
      <c r="W103" s="37"/>
      <c r="X103" s="38"/>
      <c r="Y103" s="38"/>
      <c r="Z103" s="39"/>
      <c r="AA103" s="86"/>
      <c r="AB103" s="32"/>
      <c r="AC103" s="37"/>
      <c r="AD103" s="3"/>
      <c r="AE103" s="40"/>
      <c r="AF103" s="41"/>
      <c r="AG103" s="42"/>
    </row>
    <row r="104" spans="1:33">
      <c r="A104" s="42"/>
      <c r="B104" s="31"/>
      <c r="C104" s="31"/>
      <c r="D104" s="32"/>
      <c r="E104" s="32"/>
      <c r="F104" s="32"/>
      <c r="G104" s="32"/>
      <c r="H104" s="32"/>
      <c r="I104" s="33"/>
      <c r="J104" s="32"/>
      <c r="K104" s="1"/>
      <c r="L104" s="1"/>
      <c r="M104" s="1"/>
      <c r="N104" s="1"/>
      <c r="O104" s="1"/>
      <c r="P104" s="1"/>
      <c r="Q104" s="1"/>
      <c r="R104" s="82"/>
      <c r="S104" s="2"/>
      <c r="T104" s="2"/>
      <c r="U104" s="35"/>
      <c r="V104" s="36"/>
      <c r="W104" s="37"/>
      <c r="X104" s="38"/>
      <c r="Y104" s="38"/>
      <c r="Z104" s="39"/>
      <c r="AA104" s="86"/>
      <c r="AB104" s="32"/>
      <c r="AC104" s="37"/>
      <c r="AD104" s="3"/>
      <c r="AE104" s="40"/>
      <c r="AF104" s="41"/>
      <c r="AG104" s="42"/>
    </row>
    <row r="105" spans="1:33">
      <c r="A105" s="42"/>
      <c r="B105" s="31"/>
      <c r="C105" s="31"/>
      <c r="D105" s="32"/>
      <c r="E105" s="32"/>
      <c r="F105" s="32"/>
      <c r="G105" s="32"/>
      <c r="H105" s="32"/>
      <c r="I105" s="33"/>
      <c r="J105" s="32"/>
      <c r="K105" s="1"/>
      <c r="L105" s="1"/>
      <c r="M105" s="1"/>
      <c r="N105" s="1"/>
      <c r="O105" s="1"/>
      <c r="P105" s="1"/>
      <c r="Q105" s="1"/>
      <c r="R105" s="82"/>
      <c r="S105" s="2"/>
      <c r="T105" s="2"/>
      <c r="U105" s="35"/>
      <c r="V105" s="36"/>
      <c r="W105" s="37"/>
      <c r="X105" s="38"/>
      <c r="Y105" s="38"/>
      <c r="Z105" s="39"/>
      <c r="AA105" s="86"/>
      <c r="AB105" s="32"/>
      <c r="AC105" s="37"/>
      <c r="AD105" s="3"/>
      <c r="AE105" s="40"/>
      <c r="AF105" s="41"/>
      <c r="AG105" s="42"/>
    </row>
    <row r="106" spans="1:33">
      <c r="A106" s="42"/>
      <c r="B106" s="31"/>
      <c r="C106" s="31"/>
      <c r="D106" s="32"/>
      <c r="E106" s="32"/>
      <c r="F106" s="32"/>
      <c r="G106" s="32"/>
      <c r="H106" s="32"/>
      <c r="I106" s="33"/>
      <c r="J106" s="32"/>
      <c r="K106" s="1"/>
      <c r="L106" s="1"/>
      <c r="M106" s="1"/>
      <c r="N106" s="1"/>
      <c r="O106" s="1"/>
      <c r="P106" s="1"/>
      <c r="Q106" s="1"/>
      <c r="R106" s="82"/>
      <c r="S106" s="2"/>
      <c r="T106" s="2"/>
      <c r="U106" s="35"/>
      <c r="V106" s="36"/>
      <c r="W106" s="37"/>
      <c r="X106" s="38"/>
      <c r="Y106" s="38"/>
      <c r="Z106" s="39"/>
      <c r="AA106" s="86"/>
      <c r="AB106" s="32"/>
      <c r="AC106" s="37"/>
      <c r="AD106" s="3"/>
      <c r="AE106" s="40"/>
      <c r="AF106" s="41"/>
      <c r="AG106" s="42"/>
    </row>
    <row r="107" spans="1:33">
      <c r="A107" s="42"/>
      <c r="B107" s="31"/>
      <c r="C107" s="31"/>
      <c r="D107" s="32"/>
      <c r="E107" s="32"/>
      <c r="F107" s="32"/>
      <c r="G107" s="32"/>
      <c r="H107" s="32"/>
      <c r="I107" s="33"/>
      <c r="J107" s="32"/>
      <c r="K107" s="1"/>
      <c r="L107" s="1"/>
      <c r="M107" s="1"/>
      <c r="N107" s="1"/>
      <c r="O107" s="1"/>
      <c r="P107" s="1"/>
      <c r="Q107" s="1"/>
      <c r="R107" s="82"/>
      <c r="S107" s="2"/>
      <c r="T107" s="2"/>
      <c r="U107" s="35"/>
      <c r="V107" s="36"/>
      <c r="W107" s="37"/>
      <c r="X107" s="38"/>
      <c r="Y107" s="38"/>
      <c r="Z107" s="39"/>
      <c r="AA107" s="86"/>
      <c r="AB107" s="32"/>
      <c r="AC107" s="37"/>
      <c r="AD107" s="3"/>
      <c r="AE107" s="40"/>
      <c r="AF107" s="41"/>
      <c r="AG107" s="42"/>
    </row>
    <row r="108" spans="1:33">
      <c r="A108" s="42"/>
      <c r="B108" s="31"/>
      <c r="C108" s="31"/>
      <c r="D108" s="32"/>
      <c r="E108" s="32"/>
      <c r="F108" s="32"/>
      <c r="G108" s="32"/>
      <c r="H108" s="32"/>
      <c r="I108" s="33"/>
      <c r="J108" s="32"/>
      <c r="K108" s="1"/>
      <c r="L108" s="1"/>
      <c r="M108" s="1"/>
      <c r="N108" s="1"/>
      <c r="O108" s="1"/>
      <c r="P108" s="1"/>
      <c r="Q108" s="1"/>
      <c r="R108" s="82"/>
      <c r="S108" s="2"/>
      <c r="T108" s="2"/>
      <c r="U108" s="35"/>
      <c r="V108" s="36"/>
      <c r="W108" s="37"/>
      <c r="X108" s="38"/>
      <c r="Y108" s="38"/>
      <c r="Z108" s="39"/>
      <c r="AA108" s="86"/>
      <c r="AB108" s="32"/>
      <c r="AC108" s="37"/>
      <c r="AD108" s="3"/>
      <c r="AE108" s="40"/>
      <c r="AF108" s="41"/>
      <c r="AG108" s="42"/>
    </row>
    <row r="109" spans="1:33">
      <c r="A109" s="42"/>
      <c r="B109" s="31"/>
      <c r="C109" s="31"/>
      <c r="D109" s="32"/>
      <c r="E109" s="32"/>
      <c r="F109" s="32"/>
      <c r="G109" s="32"/>
      <c r="H109" s="32"/>
      <c r="I109" s="33"/>
      <c r="J109" s="32"/>
      <c r="K109" s="1"/>
      <c r="L109" s="1"/>
      <c r="M109" s="1"/>
      <c r="N109" s="1"/>
      <c r="O109" s="1"/>
      <c r="P109" s="1"/>
      <c r="Q109" s="1"/>
      <c r="R109" s="82"/>
      <c r="S109" s="2"/>
      <c r="T109" s="2"/>
      <c r="U109" s="35"/>
      <c r="V109" s="36"/>
      <c r="W109" s="37"/>
      <c r="X109" s="38"/>
      <c r="Y109" s="38"/>
      <c r="Z109" s="39"/>
      <c r="AA109" s="86"/>
      <c r="AB109" s="32"/>
      <c r="AC109" s="37"/>
      <c r="AD109" s="3"/>
      <c r="AE109" s="40"/>
      <c r="AF109" s="41"/>
      <c r="AG109" s="42"/>
    </row>
    <row r="110" spans="1:33">
      <c r="A110" s="42"/>
      <c r="B110" s="31"/>
      <c r="C110" s="31"/>
      <c r="D110" s="32"/>
      <c r="E110" s="32"/>
      <c r="F110" s="32"/>
      <c r="G110" s="32"/>
      <c r="H110" s="32"/>
      <c r="I110" s="33"/>
      <c r="J110" s="32"/>
      <c r="K110" s="1"/>
      <c r="L110" s="1"/>
      <c r="M110" s="1"/>
      <c r="N110" s="1"/>
      <c r="O110" s="1"/>
      <c r="P110" s="1"/>
      <c r="Q110" s="1"/>
      <c r="R110" s="82"/>
      <c r="S110" s="2"/>
      <c r="T110" s="2"/>
      <c r="U110" s="35"/>
      <c r="V110" s="36"/>
      <c r="W110" s="37"/>
      <c r="X110" s="38"/>
      <c r="Y110" s="38"/>
      <c r="Z110" s="39"/>
      <c r="AA110" s="86"/>
      <c r="AB110" s="32"/>
      <c r="AC110" s="37"/>
      <c r="AD110" s="3"/>
      <c r="AE110" s="40"/>
      <c r="AF110" s="41"/>
      <c r="AG110" s="42"/>
    </row>
    <row r="111" spans="1:33">
      <c r="A111" s="42"/>
      <c r="B111" s="31"/>
      <c r="C111" s="31"/>
      <c r="D111" s="32"/>
      <c r="E111" s="32"/>
      <c r="F111" s="32"/>
      <c r="G111" s="32"/>
      <c r="H111" s="32"/>
      <c r="I111" s="33"/>
      <c r="J111" s="32"/>
      <c r="K111" s="1"/>
      <c r="L111" s="1"/>
      <c r="M111" s="1"/>
      <c r="N111" s="1"/>
      <c r="O111" s="1"/>
      <c r="P111" s="1"/>
      <c r="Q111" s="1"/>
      <c r="R111" s="82"/>
      <c r="S111" s="2"/>
      <c r="T111" s="2"/>
      <c r="U111" s="35"/>
      <c r="V111" s="36"/>
      <c r="W111" s="37"/>
      <c r="X111" s="38"/>
      <c r="Y111" s="38"/>
      <c r="Z111" s="39"/>
      <c r="AA111" s="86"/>
      <c r="AB111" s="32"/>
      <c r="AC111" s="37"/>
      <c r="AD111" s="3"/>
      <c r="AE111" s="40"/>
      <c r="AF111" s="41"/>
      <c r="AG111" s="42"/>
    </row>
    <row r="112" spans="1:33">
      <c r="A112" s="42"/>
      <c r="B112" s="31"/>
      <c r="C112" s="31"/>
      <c r="D112" s="32"/>
      <c r="E112" s="32"/>
      <c r="F112" s="32"/>
      <c r="G112" s="32"/>
      <c r="H112" s="32"/>
      <c r="I112" s="33"/>
      <c r="J112" s="32"/>
      <c r="K112" s="1"/>
      <c r="L112" s="1"/>
      <c r="M112" s="1"/>
      <c r="N112" s="1"/>
      <c r="O112" s="1"/>
      <c r="P112" s="1"/>
      <c r="Q112" s="1"/>
      <c r="R112" s="82"/>
      <c r="S112" s="2"/>
      <c r="T112" s="2"/>
      <c r="U112" s="35"/>
      <c r="V112" s="36"/>
      <c r="W112" s="37"/>
      <c r="X112" s="38"/>
      <c r="Y112" s="38"/>
      <c r="Z112" s="39"/>
      <c r="AA112" s="86"/>
      <c r="AB112" s="32"/>
      <c r="AC112" s="37"/>
      <c r="AD112" s="3"/>
      <c r="AE112" s="40"/>
      <c r="AF112" s="41"/>
      <c r="AG112" s="42"/>
    </row>
    <row r="113" spans="1:33">
      <c r="A113" s="42"/>
      <c r="B113" s="31"/>
      <c r="C113" s="31"/>
      <c r="D113" s="32"/>
      <c r="E113" s="32"/>
      <c r="F113" s="32"/>
      <c r="G113" s="32"/>
      <c r="H113" s="32"/>
      <c r="I113" s="33"/>
      <c r="J113" s="32"/>
      <c r="K113" s="1"/>
      <c r="L113" s="1"/>
      <c r="M113" s="1"/>
      <c r="N113" s="1"/>
      <c r="O113" s="1"/>
      <c r="P113" s="1"/>
      <c r="Q113" s="1"/>
      <c r="R113" s="82"/>
      <c r="S113" s="2"/>
      <c r="T113" s="2"/>
      <c r="U113" s="35"/>
      <c r="V113" s="36"/>
      <c r="W113" s="37"/>
      <c r="X113" s="38"/>
      <c r="Y113" s="38"/>
      <c r="Z113" s="39"/>
      <c r="AA113" s="86"/>
      <c r="AB113" s="32"/>
      <c r="AC113" s="37"/>
      <c r="AD113" s="3"/>
      <c r="AE113" s="40"/>
      <c r="AF113" s="41"/>
      <c r="AG113" s="42"/>
    </row>
    <row r="114" spans="1:33">
      <c r="A114" s="42"/>
      <c r="B114" s="31"/>
      <c r="C114" s="31"/>
      <c r="D114" s="32"/>
      <c r="E114" s="32"/>
      <c r="F114" s="32"/>
      <c r="G114" s="32"/>
      <c r="H114" s="32"/>
      <c r="I114" s="33"/>
      <c r="J114" s="32"/>
      <c r="K114" s="1"/>
      <c r="L114" s="1"/>
      <c r="M114" s="1"/>
      <c r="N114" s="1"/>
      <c r="O114" s="1"/>
      <c r="P114" s="1"/>
      <c r="Q114" s="1"/>
      <c r="R114" s="82"/>
      <c r="S114" s="2"/>
      <c r="T114" s="2"/>
      <c r="U114" s="35"/>
      <c r="V114" s="36"/>
      <c r="W114" s="37"/>
      <c r="X114" s="38"/>
      <c r="Y114" s="38"/>
      <c r="Z114" s="39"/>
      <c r="AA114" s="86"/>
      <c r="AB114" s="32"/>
      <c r="AC114" s="37"/>
      <c r="AD114" s="3"/>
      <c r="AE114" s="40"/>
      <c r="AF114" s="41"/>
      <c r="AG114" s="42"/>
    </row>
    <row r="115" spans="1:33">
      <c r="A115" s="42"/>
      <c r="B115" s="31"/>
      <c r="C115" s="31"/>
      <c r="D115" s="32"/>
      <c r="E115" s="32"/>
      <c r="F115" s="32"/>
      <c r="G115" s="32"/>
      <c r="H115" s="32"/>
      <c r="I115" s="33"/>
      <c r="J115" s="32"/>
      <c r="K115" s="1"/>
      <c r="L115" s="1"/>
      <c r="M115" s="1"/>
      <c r="N115" s="1"/>
      <c r="O115" s="1"/>
      <c r="P115" s="1"/>
      <c r="Q115" s="1"/>
      <c r="R115" s="82"/>
      <c r="S115" s="2"/>
      <c r="T115" s="2"/>
      <c r="U115" s="35"/>
      <c r="V115" s="36"/>
      <c r="W115" s="37"/>
      <c r="X115" s="38"/>
      <c r="Y115" s="38"/>
      <c r="Z115" s="39"/>
      <c r="AA115" s="86"/>
      <c r="AB115" s="32"/>
      <c r="AC115" s="37"/>
      <c r="AD115" s="3"/>
      <c r="AE115" s="40"/>
      <c r="AF115" s="41"/>
      <c r="AG115" s="42"/>
    </row>
    <row r="116" spans="1:33">
      <c r="A116" s="42"/>
      <c r="B116" s="31"/>
      <c r="C116" s="31"/>
      <c r="D116" s="32"/>
      <c r="E116" s="32"/>
      <c r="F116" s="32"/>
      <c r="G116" s="32"/>
      <c r="H116" s="32"/>
      <c r="I116" s="33"/>
      <c r="J116" s="32"/>
      <c r="K116" s="1"/>
      <c r="L116" s="1"/>
      <c r="M116" s="1"/>
      <c r="N116" s="1"/>
      <c r="O116" s="1"/>
      <c r="P116" s="1"/>
      <c r="Q116" s="1"/>
      <c r="R116" s="82"/>
      <c r="S116" s="2"/>
      <c r="T116" s="2"/>
      <c r="U116" s="35"/>
      <c r="V116" s="36"/>
      <c r="W116" s="37"/>
      <c r="X116" s="38"/>
      <c r="Y116" s="38"/>
      <c r="Z116" s="39"/>
      <c r="AA116" s="86"/>
      <c r="AB116" s="32"/>
      <c r="AC116" s="37"/>
      <c r="AD116" s="3"/>
      <c r="AE116" s="40"/>
      <c r="AF116" s="41"/>
      <c r="AG116" s="42"/>
    </row>
    <row r="117" spans="1:33">
      <c r="A117" s="42"/>
      <c r="B117" s="31"/>
      <c r="C117" s="31"/>
      <c r="D117" s="32"/>
      <c r="E117" s="32"/>
      <c r="F117" s="32"/>
      <c r="G117" s="32"/>
      <c r="H117" s="32"/>
      <c r="I117" s="33"/>
      <c r="J117" s="32"/>
      <c r="K117" s="1"/>
      <c r="L117" s="1"/>
      <c r="M117" s="1"/>
      <c r="N117" s="1"/>
      <c r="O117" s="1"/>
      <c r="P117" s="1"/>
      <c r="Q117" s="1"/>
      <c r="R117" s="82"/>
      <c r="S117" s="2"/>
      <c r="T117" s="2"/>
      <c r="U117" s="35"/>
      <c r="V117" s="36"/>
      <c r="W117" s="37"/>
      <c r="X117" s="38"/>
      <c r="Y117" s="38"/>
      <c r="Z117" s="39"/>
      <c r="AA117" s="86"/>
      <c r="AB117" s="32"/>
      <c r="AC117" s="37"/>
      <c r="AD117" s="3"/>
      <c r="AE117" s="40"/>
      <c r="AF117" s="41"/>
      <c r="AG117" s="42"/>
    </row>
    <row r="118" spans="1:33">
      <c r="A118" s="42"/>
      <c r="B118" s="31"/>
      <c r="C118" s="31"/>
      <c r="D118" s="32"/>
      <c r="E118" s="32"/>
      <c r="F118" s="32"/>
      <c r="G118" s="32"/>
      <c r="H118" s="32"/>
      <c r="I118" s="33"/>
      <c r="J118" s="32"/>
      <c r="K118" s="1"/>
      <c r="L118" s="1"/>
      <c r="M118" s="1"/>
      <c r="N118" s="1"/>
      <c r="O118" s="1"/>
      <c r="P118" s="1"/>
      <c r="Q118" s="1"/>
      <c r="R118" s="82"/>
      <c r="S118" s="2"/>
      <c r="T118" s="2"/>
      <c r="U118" s="35"/>
      <c r="V118" s="36"/>
      <c r="W118" s="37"/>
      <c r="X118" s="38"/>
      <c r="Y118" s="38"/>
      <c r="Z118" s="39"/>
      <c r="AA118" s="86"/>
      <c r="AB118" s="32"/>
      <c r="AC118" s="37"/>
      <c r="AD118" s="3"/>
      <c r="AE118" s="40"/>
      <c r="AF118" s="41"/>
      <c r="AG118" s="42"/>
    </row>
    <row r="119" spans="1:33">
      <c r="A119" s="42"/>
      <c r="B119" s="31"/>
      <c r="C119" s="31"/>
      <c r="D119" s="32"/>
      <c r="E119" s="32"/>
      <c r="F119" s="32"/>
      <c r="G119" s="32"/>
      <c r="H119" s="32"/>
      <c r="I119" s="33"/>
      <c r="J119" s="32"/>
      <c r="K119" s="1"/>
      <c r="L119" s="1"/>
      <c r="M119" s="1"/>
      <c r="N119" s="1"/>
      <c r="O119" s="1"/>
      <c r="P119" s="1"/>
      <c r="Q119" s="1"/>
      <c r="R119" s="82"/>
      <c r="S119" s="2"/>
      <c r="T119" s="2"/>
      <c r="U119" s="35"/>
      <c r="V119" s="36"/>
      <c r="W119" s="37"/>
      <c r="X119" s="38"/>
      <c r="Y119" s="38"/>
      <c r="Z119" s="39"/>
      <c r="AA119" s="86"/>
      <c r="AB119" s="32"/>
      <c r="AC119" s="37"/>
      <c r="AD119" s="3"/>
      <c r="AE119" s="40"/>
      <c r="AF119" s="41"/>
      <c r="AG119" s="42"/>
    </row>
    <row r="120" spans="1:33">
      <c r="A120" s="42"/>
      <c r="B120" s="31"/>
      <c r="C120" s="31"/>
      <c r="D120" s="32"/>
      <c r="E120" s="32"/>
      <c r="F120" s="32"/>
      <c r="G120" s="32"/>
      <c r="H120" s="32"/>
      <c r="I120" s="33"/>
      <c r="J120" s="32"/>
      <c r="K120" s="1"/>
      <c r="L120" s="1"/>
      <c r="M120" s="1"/>
      <c r="N120" s="1"/>
      <c r="O120" s="1"/>
      <c r="P120" s="1"/>
      <c r="Q120" s="1"/>
      <c r="R120" s="82"/>
      <c r="S120" s="2"/>
      <c r="T120" s="2"/>
      <c r="U120" s="35"/>
      <c r="V120" s="36"/>
      <c r="W120" s="37"/>
      <c r="X120" s="38"/>
      <c r="Y120" s="38"/>
      <c r="Z120" s="39"/>
      <c r="AA120" s="86"/>
      <c r="AB120" s="32"/>
      <c r="AC120" s="37"/>
      <c r="AD120" s="3"/>
      <c r="AE120" s="40"/>
      <c r="AF120" s="41"/>
      <c r="AG120" s="42"/>
    </row>
    <row r="121" spans="1:33">
      <c r="A121" s="42"/>
      <c r="B121" s="31"/>
      <c r="C121" s="31"/>
      <c r="D121" s="32"/>
      <c r="E121" s="32"/>
      <c r="F121" s="32"/>
      <c r="G121" s="32"/>
      <c r="H121" s="32"/>
      <c r="I121" s="33"/>
      <c r="J121" s="32"/>
      <c r="K121" s="1"/>
      <c r="L121" s="1"/>
      <c r="M121" s="1"/>
      <c r="N121" s="1"/>
      <c r="O121" s="1"/>
      <c r="P121" s="1"/>
      <c r="Q121" s="1"/>
      <c r="R121" s="82"/>
      <c r="S121" s="2"/>
      <c r="T121" s="2"/>
      <c r="U121" s="35"/>
      <c r="V121" s="36"/>
      <c r="W121" s="37"/>
      <c r="X121" s="38"/>
      <c r="Y121" s="38"/>
      <c r="Z121" s="39"/>
      <c r="AA121" s="86"/>
      <c r="AB121" s="32"/>
      <c r="AC121" s="37"/>
      <c r="AD121" s="3"/>
      <c r="AE121" s="40"/>
      <c r="AF121" s="41"/>
      <c r="AG121" s="42"/>
    </row>
    <row r="122" spans="1:33">
      <c r="A122" s="42"/>
      <c r="B122" s="31"/>
      <c r="C122" s="31"/>
      <c r="D122" s="32"/>
      <c r="E122" s="32"/>
      <c r="F122" s="32"/>
      <c r="G122" s="32"/>
      <c r="H122" s="32"/>
      <c r="I122" s="33"/>
      <c r="J122" s="32"/>
      <c r="K122" s="1"/>
      <c r="L122" s="1"/>
      <c r="M122" s="1"/>
      <c r="N122" s="1"/>
      <c r="O122" s="1"/>
      <c r="P122" s="1"/>
      <c r="Q122" s="1"/>
      <c r="R122" s="82"/>
      <c r="S122" s="2"/>
      <c r="T122" s="2"/>
      <c r="U122" s="35"/>
      <c r="V122" s="36"/>
      <c r="W122" s="37"/>
      <c r="X122" s="38"/>
      <c r="Y122" s="38"/>
      <c r="Z122" s="39"/>
      <c r="AA122" s="86"/>
      <c r="AB122" s="32"/>
      <c r="AC122" s="37"/>
      <c r="AD122" s="3"/>
      <c r="AE122" s="40"/>
      <c r="AF122" s="41"/>
      <c r="AG122" s="42"/>
    </row>
    <row r="123" spans="1:33">
      <c r="A123" s="42"/>
      <c r="B123" s="31"/>
      <c r="C123" s="31"/>
      <c r="D123" s="32"/>
      <c r="E123" s="32"/>
      <c r="F123" s="32"/>
      <c r="G123" s="32"/>
      <c r="H123" s="32"/>
      <c r="I123" s="33"/>
      <c r="J123" s="32"/>
      <c r="K123" s="1"/>
      <c r="L123" s="1"/>
      <c r="M123" s="1"/>
      <c r="N123" s="1"/>
      <c r="O123" s="1"/>
      <c r="P123" s="1"/>
      <c r="Q123" s="1"/>
      <c r="R123" s="82"/>
      <c r="S123" s="2"/>
      <c r="T123" s="2"/>
      <c r="U123" s="35"/>
      <c r="V123" s="36"/>
      <c r="W123" s="37"/>
      <c r="X123" s="38"/>
      <c r="Y123" s="38"/>
      <c r="Z123" s="39"/>
      <c r="AA123" s="86"/>
      <c r="AB123" s="32"/>
      <c r="AC123" s="37"/>
      <c r="AD123" s="3"/>
      <c r="AE123" s="40"/>
      <c r="AF123" s="41"/>
      <c r="AG123" s="42"/>
    </row>
    <row r="124" spans="1:33">
      <c r="A124" s="42"/>
      <c r="B124" s="31"/>
      <c r="C124" s="31"/>
      <c r="D124" s="32"/>
      <c r="E124" s="32"/>
      <c r="F124" s="32"/>
      <c r="G124" s="32"/>
      <c r="H124" s="32"/>
      <c r="I124" s="33"/>
      <c r="J124" s="32"/>
      <c r="K124" s="1"/>
      <c r="L124" s="1"/>
      <c r="M124" s="1"/>
      <c r="N124" s="1"/>
      <c r="O124" s="1"/>
      <c r="P124" s="1"/>
      <c r="Q124" s="1"/>
      <c r="R124" s="82"/>
      <c r="S124" s="2"/>
      <c r="T124" s="2"/>
      <c r="U124" s="35"/>
      <c r="V124" s="36"/>
      <c r="W124" s="37"/>
      <c r="X124" s="38"/>
      <c r="Y124" s="38"/>
      <c r="Z124" s="39"/>
      <c r="AA124" s="86"/>
      <c r="AB124" s="32"/>
      <c r="AC124" s="37"/>
      <c r="AD124" s="3"/>
      <c r="AE124" s="40"/>
      <c r="AF124" s="41"/>
      <c r="AG124" s="42"/>
    </row>
    <row r="125" spans="1:33">
      <c r="A125" s="42"/>
      <c r="B125" s="31"/>
      <c r="C125" s="31"/>
      <c r="D125" s="32"/>
      <c r="E125" s="32"/>
      <c r="F125" s="32"/>
      <c r="G125" s="32"/>
      <c r="H125" s="32"/>
      <c r="I125" s="33"/>
      <c r="J125" s="32"/>
      <c r="K125" s="1"/>
      <c r="L125" s="1"/>
      <c r="M125" s="1"/>
      <c r="N125" s="1"/>
      <c r="O125" s="1"/>
      <c r="P125" s="1"/>
      <c r="Q125" s="1"/>
      <c r="R125" s="82"/>
      <c r="S125" s="2"/>
      <c r="T125" s="2"/>
      <c r="U125" s="35"/>
      <c r="V125" s="36"/>
      <c r="W125" s="37"/>
      <c r="X125" s="38"/>
      <c r="Y125" s="38"/>
      <c r="Z125" s="39"/>
      <c r="AA125" s="86"/>
      <c r="AB125" s="32"/>
      <c r="AC125" s="37"/>
      <c r="AD125" s="3"/>
      <c r="AE125" s="40"/>
      <c r="AF125" s="41"/>
      <c r="AG125" s="42"/>
    </row>
    <row r="126" spans="1:33">
      <c r="A126" s="42"/>
      <c r="B126" s="31"/>
      <c r="C126" s="31"/>
      <c r="D126" s="32"/>
      <c r="E126" s="32"/>
      <c r="F126" s="32"/>
      <c r="G126" s="32"/>
      <c r="H126" s="32"/>
      <c r="I126" s="33"/>
      <c r="J126" s="32"/>
      <c r="K126" s="1"/>
      <c r="L126" s="1"/>
      <c r="M126" s="1"/>
      <c r="N126" s="1"/>
      <c r="O126" s="1"/>
      <c r="P126" s="1"/>
      <c r="Q126" s="1"/>
      <c r="R126" s="82"/>
      <c r="S126" s="2"/>
      <c r="T126" s="2"/>
      <c r="U126" s="35"/>
      <c r="V126" s="36"/>
      <c r="W126" s="37"/>
      <c r="X126" s="38"/>
      <c r="Y126" s="38"/>
      <c r="Z126" s="39"/>
      <c r="AA126" s="86"/>
      <c r="AB126" s="32"/>
      <c r="AC126" s="37"/>
      <c r="AD126" s="3"/>
      <c r="AE126" s="40"/>
      <c r="AF126" s="41"/>
      <c r="AG126" s="42"/>
    </row>
    <row r="127" spans="1:33">
      <c r="A127" s="42"/>
      <c r="B127" s="31"/>
      <c r="C127" s="31"/>
      <c r="D127" s="32"/>
      <c r="E127" s="32"/>
      <c r="F127" s="32"/>
      <c r="G127" s="32"/>
      <c r="H127" s="32"/>
      <c r="I127" s="33"/>
      <c r="J127" s="32"/>
      <c r="K127" s="1"/>
      <c r="L127" s="1"/>
      <c r="M127" s="1"/>
      <c r="N127" s="1"/>
      <c r="O127" s="1"/>
      <c r="P127" s="1"/>
      <c r="Q127" s="1"/>
      <c r="R127" s="82"/>
      <c r="S127" s="2"/>
      <c r="T127" s="2"/>
      <c r="U127" s="35"/>
      <c r="V127" s="36"/>
      <c r="W127" s="37"/>
      <c r="X127" s="38"/>
      <c r="Y127" s="38"/>
      <c r="Z127" s="39"/>
      <c r="AA127" s="86"/>
      <c r="AB127" s="32"/>
      <c r="AC127" s="37"/>
      <c r="AD127" s="3"/>
      <c r="AE127" s="40"/>
      <c r="AF127" s="41"/>
      <c r="AG127" s="42"/>
    </row>
    <row r="128" spans="1:33">
      <c r="A128" s="42"/>
      <c r="B128" s="31"/>
      <c r="C128" s="31"/>
      <c r="D128" s="32"/>
      <c r="E128" s="32"/>
      <c r="F128" s="32"/>
      <c r="G128" s="32"/>
      <c r="H128" s="32"/>
      <c r="I128" s="33"/>
      <c r="J128" s="32"/>
      <c r="K128" s="1"/>
      <c r="L128" s="1"/>
      <c r="M128" s="1"/>
      <c r="N128" s="1"/>
      <c r="O128" s="1"/>
      <c r="P128" s="1"/>
      <c r="Q128" s="1"/>
      <c r="R128" s="82"/>
      <c r="S128" s="2"/>
      <c r="T128" s="2"/>
      <c r="U128" s="35"/>
      <c r="V128" s="36"/>
      <c r="W128" s="37"/>
      <c r="X128" s="38"/>
      <c r="Y128" s="38"/>
      <c r="Z128" s="39"/>
      <c r="AA128" s="86"/>
      <c r="AB128" s="32"/>
      <c r="AC128" s="37"/>
      <c r="AD128" s="3"/>
      <c r="AE128" s="40"/>
      <c r="AF128" s="41"/>
      <c r="AG128" s="42"/>
    </row>
    <row r="129" spans="1:33">
      <c r="A129" s="42"/>
      <c r="B129" s="31"/>
      <c r="C129" s="31"/>
      <c r="D129" s="32"/>
      <c r="E129" s="32"/>
      <c r="F129" s="32"/>
      <c r="G129" s="32"/>
      <c r="H129" s="32"/>
      <c r="I129" s="33"/>
      <c r="J129" s="32"/>
      <c r="K129" s="1"/>
      <c r="L129" s="1"/>
      <c r="M129" s="1"/>
      <c r="N129" s="1"/>
      <c r="O129" s="1"/>
      <c r="P129" s="1"/>
      <c r="Q129" s="1"/>
      <c r="R129" s="82"/>
      <c r="S129" s="2"/>
      <c r="T129" s="2"/>
      <c r="U129" s="35"/>
      <c r="V129" s="36"/>
      <c r="W129" s="37"/>
      <c r="X129" s="38"/>
      <c r="Y129" s="38"/>
      <c r="Z129" s="39"/>
      <c r="AA129" s="86"/>
      <c r="AB129" s="32"/>
      <c r="AC129" s="37"/>
      <c r="AD129" s="3"/>
      <c r="AE129" s="40"/>
      <c r="AF129" s="41"/>
      <c r="AG129" s="42"/>
    </row>
    <row r="130" spans="1:33">
      <c r="A130" s="42"/>
      <c r="B130" s="31"/>
      <c r="C130" s="31"/>
      <c r="D130" s="32"/>
      <c r="E130" s="32"/>
      <c r="F130" s="32"/>
      <c r="G130" s="32"/>
      <c r="H130" s="32"/>
      <c r="I130" s="33"/>
      <c r="J130" s="32"/>
      <c r="K130" s="1"/>
      <c r="L130" s="1"/>
      <c r="M130" s="1"/>
      <c r="N130" s="1"/>
      <c r="O130" s="1"/>
      <c r="P130" s="1"/>
      <c r="Q130" s="1"/>
      <c r="R130" s="82"/>
      <c r="S130" s="2"/>
      <c r="T130" s="2"/>
      <c r="U130" s="35"/>
      <c r="V130" s="36"/>
      <c r="W130" s="37"/>
      <c r="X130" s="38"/>
      <c r="Y130" s="38"/>
      <c r="Z130" s="39"/>
      <c r="AA130" s="86"/>
      <c r="AB130" s="32"/>
      <c r="AC130" s="37"/>
      <c r="AD130" s="3"/>
      <c r="AE130" s="40"/>
      <c r="AF130" s="41"/>
      <c r="AG130" s="42"/>
    </row>
    <row r="131" spans="1:33">
      <c r="A131" s="42"/>
      <c r="B131" s="31"/>
      <c r="C131" s="31"/>
      <c r="D131" s="32"/>
      <c r="E131" s="32"/>
      <c r="F131" s="32"/>
      <c r="G131" s="32"/>
      <c r="H131" s="32"/>
      <c r="I131" s="33"/>
      <c r="J131" s="32"/>
      <c r="K131" s="1"/>
      <c r="L131" s="1"/>
      <c r="M131" s="1"/>
      <c r="N131" s="1"/>
      <c r="O131" s="1"/>
      <c r="P131" s="1"/>
      <c r="Q131" s="1"/>
      <c r="R131" s="82"/>
      <c r="S131" s="2"/>
      <c r="T131" s="2"/>
      <c r="U131" s="35"/>
      <c r="V131" s="36"/>
      <c r="W131" s="37"/>
      <c r="X131" s="38"/>
      <c r="Y131" s="38"/>
      <c r="Z131" s="39"/>
      <c r="AA131" s="86"/>
      <c r="AB131" s="32"/>
      <c r="AC131" s="37"/>
      <c r="AD131" s="3"/>
      <c r="AE131" s="40"/>
      <c r="AF131" s="41"/>
      <c r="AG131" s="42"/>
    </row>
    <row r="132" spans="1:33">
      <c r="A132" s="42"/>
      <c r="B132" s="31"/>
      <c r="C132" s="31"/>
      <c r="D132" s="32"/>
      <c r="E132" s="32"/>
      <c r="F132" s="32"/>
      <c r="G132" s="32"/>
      <c r="H132" s="32"/>
      <c r="I132" s="33"/>
      <c r="J132" s="32"/>
      <c r="K132" s="1"/>
      <c r="L132" s="1"/>
      <c r="M132" s="1"/>
      <c r="N132" s="1"/>
      <c r="O132" s="1"/>
      <c r="P132" s="1"/>
      <c r="Q132" s="1"/>
      <c r="R132" s="82"/>
      <c r="S132" s="2"/>
      <c r="T132" s="2"/>
      <c r="U132" s="35"/>
      <c r="V132" s="36"/>
      <c r="W132" s="37"/>
      <c r="X132" s="38"/>
      <c r="Y132" s="38"/>
      <c r="Z132" s="39"/>
      <c r="AA132" s="86"/>
      <c r="AB132" s="32"/>
      <c r="AC132" s="37"/>
      <c r="AD132" s="3"/>
      <c r="AE132" s="40"/>
      <c r="AF132" s="41"/>
      <c r="AG132" s="42"/>
    </row>
    <row r="133" spans="1:33">
      <c r="A133" s="42"/>
      <c r="B133" s="31"/>
      <c r="C133" s="31"/>
      <c r="D133" s="32"/>
      <c r="E133" s="32"/>
      <c r="F133" s="32"/>
      <c r="G133" s="32"/>
      <c r="H133" s="32"/>
      <c r="I133" s="33"/>
      <c r="J133" s="32"/>
      <c r="K133" s="1"/>
      <c r="L133" s="1"/>
      <c r="M133" s="1"/>
      <c r="N133" s="1"/>
      <c r="O133" s="1"/>
      <c r="P133" s="1"/>
      <c r="Q133" s="1"/>
      <c r="R133" s="82"/>
      <c r="S133" s="2"/>
      <c r="T133" s="2"/>
      <c r="U133" s="35"/>
      <c r="V133" s="36"/>
      <c r="W133" s="37"/>
      <c r="X133" s="38"/>
      <c r="Y133" s="38"/>
      <c r="Z133" s="39"/>
      <c r="AA133" s="86"/>
      <c r="AB133" s="32"/>
      <c r="AC133" s="37"/>
      <c r="AD133" s="3"/>
      <c r="AE133" s="40"/>
      <c r="AF133" s="41"/>
      <c r="AG133" s="42"/>
    </row>
    <row r="134" spans="1:33">
      <c r="A134" s="42"/>
      <c r="B134" s="31"/>
      <c r="C134" s="31"/>
      <c r="D134" s="32"/>
      <c r="E134" s="32"/>
      <c r="F134" s="32"/>
      <c r="G134" s="32"/>
      <c r="H134" s="32"/>
      <c r="I134" s="33"/>
      <c r="J134" s="32"/>
      <c r="K134" s="1"/>
      <c r="L134" s="1"/>
      <c r="M134" s="1"/>
      <c r="N134" s="1"/>
      <c r="O134" s="1"/>
      <c r="P134" s="1"/>
      <c r="Q134" s="1"/>
      <c r="R134" s="82"/>
      <c r="S134" s="2"/>
      <c r="T134" s="2"/>
      <c r="U134" s="35"/>
      <c r="V134" s="36"/>
      <c r="W134" s="37"/>
      <c r="X134" s="38"/>
      <c r="Y134" s="38"/>
      <c r="Z134" s="39"/>
      <c r="AA134" s="86"/>
      <c r="AB134" s="32"/>
      <c r="AC134" s="37"/>
      <c r="AD134" s="3"/>
      <c r="AE134" s="40"/>
      <c r="AF134" s="41"/>
      <c r="AG134" s="42"/>
    </row>
    <row r="135" spans="1:33">
      <c r="A135" s="42"/>
      <c r="B135" s="31"/>
      <c r="C135" s="31"/>
      <c r="D135" s="32"/>
      <c r="E135" s="32"/>
      <c r="F135" s="32"/>
      <c r="G135" s="32"/>
      <c r="H135" s="32"/>
      <c r="I135" s="33"/>
      <c r="J135" s="32"/>
      <c r="K135" s="1"/>
      <c r="L135" s="1"/>
      <c r="M135" s="1"/>
      <c r="N135" s="1"/>
      <c r="O135" s="1"/>
      <c r="P135" s="1"/>
      <c r="Q135" s="1"/>
      <c r="R135" s="82"/>
      <c r="S135" s="2"/>
      <c r="T135" s="2"/>
      <c r="U135" s="35"/>
      <c r="V135" s="36"/>
      <c r="W135" s="37"/>
      <c r="X135" s="38"/>
      <c r="Y135" s="38"/>
      <c r="Z135" s="39"/>
      <c r="AA135" s="86"/>
      <c r="AB135" s="32"/>
      <c r="AC135" s="37"/>
      <c r="AD135" s="3"/>
      <c r="AE135" s="40"/>
      <c r="AF135" s="41"/>
      <c r="AG135" s="42"/>
    </row>
    <row r="136" spans="1:33">
      <c r="A136" s="42"/>
      <c r="B136" s="31"/>
      <c r="C136" s="31"/>
      <c r="D136" s="32"/>
      <c r="E136" s="32"/>
      <c r="F136" s="32"/>
      <c r="G136" s="32"/>
      <c r="H136" s="32"/>
      <c r="I136" s="33"/>
      <c r="J136" s="32"/>
      <c r="K136" s="1"/>
      <c r="L136" s="1"/>
      <c r="M136" s="1"/>
      <c r="N136" s="1"/>
      <c r="O136" s="1"/>
      <c r="P136" s="1"/>
      <c r="Q136" s="1"/>
      <c r="R136" s="82"/>
      <c r="S136" s="2"/>
      <c r="T136" s="2"/>
      <c r="U136" s="35"/>
      <c r="V136" s="36"/>
      <c r="W136" s="37"/>
      <c r="X136" s="38"/>
      <c r="Y136" s="38"/>
      <c r="Z136" s="39"/>
      <c r="AA136" s="86"/>
      <c r="AB136" s="32"/>
      <c r="AC136" s="37"/>
      <c r="AD136" s="3"/>
      <c r="AE136" s="40"/>
      <c r="AF136" s="41"/>
      <c r="AG136" s="42"/>
    </row>
    <row r="137" spans="1:33">
      <c r="A137" s="42"/>
      <c r="B137" s="31"/>
      <c r="C137" s="31"/>
      <c r="D137" s="32"/>
      <c r="E137" s="32"/>
      <c r="F137" s="32"/>
      <c r="G137" s="32"/>
      <c r="H137" s="32"/>
      <c r="I137" s="33"/>
      <c r="J137" s="32"/>
      <c r="K137" s="1"/>
      <c r="L137" s="1"/>
      <c r="M137" s="1"/>
      <c r="N137" s="1"/>
      <c r="O137" s="1"/>
      <c r="P137" s="1"/>
      <c r="Q137" s="1"/>
      <c r="R137" s="82"/>
      <c r="S137" s="2"/>
      <c r="T137" s="2"/>
      <c r="U137" s="35"/>
      <c r="V137" s="36"/>
      <c r="W137" s="37"/>
      <c r="X137" s="38"/>
      <c r="Y137" s="38"/>
      <c r="Z137" s="39"/>
      <c r="AA137" s="86"/>
      <c r="AB137" s="32"/>
      <c r="AC137" s="37"/>
      <c r="AD137" s="3"/>
      <c r="AE137" s="40"/>
      <c r="AF137" s="41"/>
      <c r="AG137" s="42"/>
    </row>
    <row r="138" spans="1:33">
      <c r="A138" s="42"/>
      <c r="B138" s="31"/>
      <c r="C138" s="31"/>
      <c r="D138" s="32"/>
      <c r="E138" s="32"/>
      <c r="F138" s="32"/>
      <c r="G138" s="32"/>
      <c r="H138" s="32"/>
      <c r="I138" s="33"/>
      <c r="J138" s="32"/>
      <c r="K138" s="1"/>
      <c r="L138" s="1"/>
      <c r="M138" s="1"/>
      <c r="N138" s="1"/>
      <c r="O138" s="1"/>
      <c r="P138" s="1"/>
      <c r="Q138" s="1"/>
      <c r="R138" s="82"/>
      <c r="S138" s="2"/>
      <c r="T138" s="2"/>
      <c r="U138" s="35"/>
      <c r="V138" s="36"/>
      <c r="W138" s="37"/>
      <c r="X138" s="38"/>
      <c r="Y138" s="38"/>
      <c r="Z138" s="39"/>
      <c r="AA138" s="86"/>
      <c r="AB138" s="32"/>
      <c r="AC138" s="37"/>
      <c r="AD138" s="3"/>
      <c r="AE138" s="40"/>
      <c r="AF138" s="41"/>
      <c r="AG138" s="42"/>
    </row>
    <row r="139" spans="1:33">
      <c r="A139" s="42"/>
      <c r="B139" s="31"/>
      <c r="C139" s="31"/>
      <c r="D139" s="32"/>
      <c r="E139" s="32"/>
      <c r="F139" s="32"/>
      <c r="G139" s="32"/>
      <c r="H139" s="32"/>
      <c r="I139" s="33"/>
      <c r="J139" s="32"/>
      <c r="K139" s="1"/>
      <c r="L139" s="1"/>
      <c r="M139" s="1"/>
      <c r="N139" s="1"/>
      <c r="O139" s="1"/>
      <c r="P139" s="1"/>
      <c r="Q139" s="1"/>
      <c r="R139" s="82"/>
      <c r="S139" s="2"/>
      <c r="T139" s="2"/>
      <c r="U139" s="35"/>
      <c r="V139" s="36"/>
      <c r="W139" s="37"/>
      <c r="X139" s="38"/>
      <c r="Y139" s="38"/>
      <c r="Z139" s="39"/>
      <c r="AA139" s="86"/>
      <c r="AB139" s="32"/>
      <c r="AC139" s="37"/>
      <c r="AD139" s="3"/>
      <c r="AE139" s="40"/>
      <c r="AF139" s="41"/>
      <c r="AG139" s="42"/>
    </row>
    <row r="140" spans="1:33">
      <c r="A140" s="42"/>
      <c r="B140" s="31"/>
      <c r="C140" s="31"/>
      <c r="D140" s="32"/>
      <c r="E140" s="32"/>
      <c r="F140" s="32"/>
      <c r="G140" s="32"/>
      <c r="H140" s="32"/>
      <c r="I140" s="33"/>
      <c r="J140" s="32"/>
      <c r="K140" s="1"/>
      <c r="L140" s="1"/>
      <c r="M140" s="1"/>
      <c r="N140" s="1"/>
      <c r="O140" s="1"/>
      <c r="P140" s="1"/>
      <c r="Q140" s="1"/>
      <c r="R140" s="82"/>
      <c r="S140" s="2"/>
      <c r="T140" s="2"/>
      <c r="U140" s="35"/>
      <c r="V140" s="36"/>
      <c r="W140" s="37"/>
      <c r="X140" s="38"/>
      <c r="Y140" s="38"/>
      <c r="Z140" s="39"/>
      <c r="AA140" s="86"/>
      <c r="AB140" s="32"/>
      <c r="AC140" s="37"/>
      <c r="AD140" s="3"/>
      <c r="AE140" s="40"/>
      <c r="AF140" s="41"/>
      <c r="AG140" s="42"/>
    </row>
    <row r="141" spans="1:33">
      <c r="A141" s="42"/>
      <c r="B141" s="31"/>
      <c r="C141" s="31"/>
      <c r="D141" s="32"/>
      <c r="E141" s="32"/>
      <c r="F141" s="32"/>
      <c r="G141" s="32"/>
      <c r="H141" s="32"/>
      <c r="I141" s="33"/>
      <c r="J141" s="32"/>
      <c r="K141" s="1"/>
      <c r="L141" s="1"/>
      <c r="M141" s="1"/>
      <c r="N141" s="1"/>
      <c r="O141" s="1"/>
      <c r="P141" s="1"/>
      <c r="Q141" s="1"/>
      <c r="R141" s="82"/>
      <c r="S141" s="2"/>
      <c r="T141" s="2"/>
      <c r="U141" s="35"/>
      <c r="V141" s="36"/>
      <c r="W141" s="37"/>
      <c r="X141" s="38"/>
      <c r="Y141" s="38"/>
      <c r="Z141" s="39"/>
      <c r="AA141" s="86"/>
      <c r="AB141" s="32"/>
      <c r="AC141" s="37"/>
      <c r="AD141" s="3"/>
      <c r="AE141" s="40"/>
      <c r="AF141" s="41"/>
      <c r="AG141" s="42"/>
    </row>
    <row r="142" spans="1:33">
      <c r="A142" s="42"/>
      <c r="B142" s="31"/>
      <c r="C142" s="31"/>
      <c r="D142" s="32"/>
      <c r="E142" s="32"/>
      <c r="F142" s="32"/>
      <c r="G142" s="32"/>
      <c r="H142" s="32"/>
      <c r="I142" s="33"/>
      <c r="J142" s="32"/>
      <c r="K142" s="1"/>
      <c r="L142" s="1"/>
      <c r="M142" s="1"/>
      <c r="N142" s="1"/>
      <c r="O142" s="1"/>
      <c r="P142" s="1"/>
      <c r="Q142" s="1"/>
      <c r="R142" s="82"/>
      <c r="S142" s="2"/>
      <c r="T142" s="2"/>
      <c r="U142" s="35"/>
      <c r="V142" s="36"/>
      <c r="W142" s="37"/>
      <c r="X142" s="38"/>
      <c r="Y142" s="38"/>
      <c r="Z142" s="39"/>
      <c r="AA142" s="86"/>
      <c r="AB142" s="32"/>
      <c r="AC142" s="37"/>
      <c r="AD142" s="3"/>
      <c r="AE142" s="40"/>
      <c r="AF142" s="41"/>
      <c r="AG142" s="42"/>
    </row>
    <row r="143" spans="1:33">
      <c r="A143" s="42"/>
      <c r="B143" s="31"/>
      <c r="C143" s="31"/>
      <c r="D143" s="32"/>
      <c r="E143" s="32"/>
      <c r="F143" s="32"/>
      <c r="G143" s="32"/>
      <c r="H143" s="32"/>
      <c r="I143" s="33"/>
      <c r="J143" s="32"/>
      <c r="K143" s="1"/>
      <c r="L143" s="1"/>
      <c r="M143" s="1"/>
      <c r="N143" s="1"/>
      <c r="O143" s="1"/>
      <c r="P143" s="1"/>
      <c r="Q143" s="1"/>
      <c r="R143" s="82"/>
      <c r="S143" s="2"/>
      <c r="T143" s="2"/>
      <c r="U143" s="35"/>
      <c r="V143" s="36"/>
      <c r="W143" s="37"/>
      <c r="X143" s="38"/>
      <c r="Y143" s="38"/>
      <c r="Z143" s="39"/>
      <c r="AA143" s="86"/>
      <c r="AB143" s="32"/>
      <c r="AC143" s="37"/>
      <c r="AD143" s="3"/>
      <c r="AE143" s="40"/>
      <c r="AF143" s="41"/>
      <c r="AG143" s="42"/>
    </row>
    <row r="144" spans="1:33">
      <c r="A144" s="42"/>
      <c r="B144" s="31"/>
      <c r="C144" s="31"/>
      <c r="D144" s="32"/>
      <c r="E144" s="32"/>
      <c r="F144" s="32"/>
      <c r="G144" s="32"/>
      <c r="H144" s="32"/>
      <c r="I144" s="33"/>
      <c r="J144" s="32"/>
      <c r="K144" s="1"/>
      <c r="L144" s="1"/>
      <c r="M144" s="1"/>
      <c r="N144" s="1"/>
      <c r="O144" s="1"/>
      <c r="P144" s="1"/>
      <c r="Q144" s="1"/>
      <c r="R144" s="82"/>
      <c r="S144" s="2"/>
      <c r="T144" s="2"/>
      <c r="U144" s="35"/>
      <c r="V144" s="36"/>
      <c r="W144" s="37"/>
      <c r="X144" s="38"/>
      <c r="Y144" s="38"/>
      <c r="Z144" s="39"/>
      <c r="AA144" s="86"/>
      <c r="AB144" s="32"/>
      <c r="AC144" s="37"/>
      <c r="AD144" s="3"/>
      <c r="AE144" s="40"/>
      <c r="AF144" s="41"/>
      <c r="AG144" s="42"/>
    </row>
    <row r="145" spans="1:33">
      <c r="A145" s="42"/>
      <c r="B145" s="31"/>
      <c r="C145" s="31"/>
      <c r="D145" s="32"/>
      <c r="E145" s="32"/>
      <c r="F145" s="32"/>
      <c r="G145" s="32"/>
      <c r="H145" s="32"/>
      <c r="I145" s="33"/>
      <c r="J145" s="32"/>
      <c r="K145" s="1"/>
      <c r="L145" s="1"/>
      <c r="M145" s="1"/>
      <c r="N145" s="1"/>
      <c r="O145" s="1"/>
      <c r="P145" s="1"/>
      <c r="Q145" s="1"/>
      <c r="R145" s="82"/>
      <c r="S145" s="2"/>
      <c r="T145" s="2"/>
      <c r="U145" s="35"/>
      <c r="V145" s="36"/>
      <c r="W145" s="37"/>
      <c r="X145" s="38"/>
      <c r="Y145" s="38"/>
      <c r="Z145" s="39"/>
      <c r="AA145" s="86"/>
      <c r="AB145" s="32"/>
      <c r="AC145" s="37"/>
      <c r="AD145" s="3"/>
      <c r="AE145" s="40"/>
      <c r="AF145" s="41"/>
      <c r="AG145" s="42"/>
    </row>
    <row r="146" spans="1:33">
      <c r="A146" s="42"/>
      <c r="B146" s="31"/>
      <c r="C146" s="31"/>
      <c r="D146" s="32"/>
      <c r="E146" s="32"/>
      <c r="F146" s="32"/>
      <c r="G146" s="32"/>
      <c r="H146" s="32"/>
      <c r="I146" s="33"/>
      <c r="J146" s="32"/>
      <c r="K146" s="1"/>
      <c r="L146" s="1"/>
      <c r="M146" s="1"/>
      <c r="N146" s="1"/>
      <c r="O146" s="1"/>
      <c r="P146" s="1"/>
      <c r="Q146" s="1"/>
      <c r="R146" s="82"/>
      <c r="S146" s="2"/>
      <c r="T146" s="2"/>
      <c r="U146" s="35"/>
      <c r="V146" s="36"/>
      <c r="W146" s="37"/>
      <c r="X146" s="38"/>
      <c r="Y146" s="38"/>
      <c r="Z146" s="39"/>
      <c r="AA146" s="86"/>
      <c r="AB146" s="32"/>
      <c r="AC146" s="37"/>
      <c r="AD146" s="3"/>
      <c r="AE146" s="40"/>
      <c r="AF146" s="41"/>
      <c r="AG146" s="42"/>
    </row>
    <row r="147" spans="1:33">
      <c r="A147" s="42"/>
      <c r="B147" s="31"/>
      <c r="C147" s="31"/>
      <c r="D147" s="32"/>
      <c r="E147" s="32"/>
      <c r="F147" s="32"/>
      <c r="G147" s="32"/>
      <c r="H147" s="32"/>
      <c r="I147" s="33"/>
      <c r="J147" s="32"/>
      <c r="K147" s="1"/>
      <c r="L147" s="1"/>
      <c r="M147" s="1"/>
      <c r="N147" s="1"/>
      <c r="O147" s="1"/>
      <c r="P147" s="1"/>
      <c r="Q147" s="1"/>
      <c r="R147" s="82"/>
      <c r="S147" s="2"/>
      <c r="T147" s="2"/>
      <c r="U147" s="35"/>
      <c r="V147" s="36"/>
      <c r="W147" s="37"/>
      <c r="X147" s="38"/>
      <c r="Y147" s="38"/>
      <c r="Z147" s="39"/>
      <c r="AA147" s="86"/>
      <c r="AB147" s="32"/>
      <c r="AC147" s="37"/>
      <c r="AD147" s="3"/>
      <c r="AE147" s="40"/>
      <c r="AF147" s="41"/>
      <c r="AG147" s="42"/>
    </row>
    <row r="148" spans="1:33">
      <c r="A148" s="42"/>
      <c r="B148" s="31"/>
      <c r="C148" s="31"/>
      <c r="D148" s="32"/>
      <c r="E148" s="32"/>
      <c r="F148" s="32"/>
      <c r="G148" s="32"/>
      <c r="H148" s="32"/>
      <c r="I148" s="33"/>
      <c r="J148" s="32"/>
      <c r="K148" s="1"/>
      <c r="L148" s="1"/>
      <c r="M148" s="1"/>
      <c r="N148" s="1"/>
      <c r="O148" s="1"/>
      <c r="P148" s="1"/>
      <c r="Q148" s="1"/>
      <c r="R148" s="82"/>
      <c r="S148" s="2"/>
      <c r="T148" s="2"/>
      <c r="U148" s="35"/>
      <c r="V148" s="36"/>
      <c r="W148" s="37"/>
      <c r="X148" s="38"/>
      <c r="Y148" s="38"/>
      <c r="Z148" s="39"/>
      <c r="AA148" s="86"/>
      <c r="AB148" s="32"/>
      <c r="AC148" s="37"/>
      <c r="AD148" s="3"/>
      <c r="AE148" s="40"/>
      <c r="AF148" s="41"/>
      <c r="AG148" s="42"/>
    </row>
    <row r="149" spans="1:33">
      <c r="A149" s="42"/>
      <c r="B149" s="31"/>
      <c r="C149" s="31"/>
      <c r="D149" s="32"/>
      <c r="E149" s="32"/>
      <c r="F149" s="32"/>
      <c r="G149" s="32"/>
      <c r="H149" s="32"/>
      <c r="I149" s="33"/>
      <c r="J149" s="32"/>
      <c r="K149" s="1"/>
      <c r="L149" s="1"/>
      <c r="M149" s="1"/>
      <c r="N149" s="1"/>
      <c r="O149" s="1"/>
      <c r="P149" s="1"/>
      <c r="Q149" s="1"/>
      <c r="R149" s="82"/>
      <c r="S149" s="2"/>
      <c r="T149" s="2"/>
      <c r="U149" s="35"/>
      <c r="V149" s="36"/>
      <c r="W149" s="37"/>
      <c r="X149" s="38"/>
      <c r="Y149" s="38"/>
      <c r="Z149" s="39"/>
      <c r="AA149" s="86"/>
      <c r="AB149" s="32"/>
      <c r="AC149" s="37"/>
      <c r="AD149" s="3"/>
      <c r="AE149" s="40"/>
      <c r="AF149" s="41"/>
      <c r="AG149" s="42"/>
    </row>
    <row r="150" spans="1:33">
      <c r="A150" s="42"/>
      <c r="B150" s="31"/>
      <c r="C150" s="31"/>
      <c r="D150" s="32"/>
      <c r="E150" s="32"/>
      <c r="F150" s="32"/>
      <c r="G150" s="32"/>
      <c r="H150" s="32"/>
      <c r="I150" s="33"/>
      <c r="J150" s="32"/>
      <c r="K150" s="1"/>
      <c r="L150" s="1"/>
      <c r="M150" s="1"/>
      <c r="N150" s="1"/>
      <c r="O150" s="1"/>
      <c r="P150" s="1"/>
      <c r="Q150" s="1"/>
      <c r="R150" s="82"/>
      <c r="S150" s="2"/>
      <c r="T150" s="2"/>
      <c r="U150" s="35"/>
      <c r="V150" s="36"/>
      <c r="W150" s="37"/>
      <c r="X150" s="38"/>
      <c r="Y150" s="38"/>
      <c r="Z150" s="39"/>
      <c r="AA150" s="86"/>
      <c r="AB150" s="32"/>
      <c r="AC150" s="37"/>
      <c r="AD150" s="3"/>
      <c r="AE150" s="40"/>
      <c r="AF150" s="41"/>
      <c r="AG150" s="42"/>
    </row>
    <row r="151" spans="1:33">
      <c r="A151" s="42"/>
      <c r="B151" s="31"/>
      <c r="C151" s="31"/>
      <c r="D151" s="32"/>
      <c r="E151" s="32"/>
      <c r="F151" s="32"/>
      <c r="G151" s="32"/>
      <c r="H151" s="32"/>
      <c r="I151" s="33"/>
      <c r="J151" s="32"/>
      <c r="K151" s="1"/>
      <c r="L151" s="1"/>
      <c r="M151" s="1"/>
      <c r="N151" s="1"/>
      <c r="O151" s="1"/>
      <c r="P151" s="1"/>
      <c r="Q151" s="1"/>
      <c r="R151" s="82"/>
      <c r="S151" s="2"/>
      <c r="T151" s="2"/>
      <c r="U151" s="35"/>
      <c r="V151" s="36"/>
      <c r="W151" s="37"/>
      <c r="X151" s="38"/>
      <c r="Y151" s="38"/>
      <c r="Z151" s="39"/>
      <c r="AA151" s="86"/>
      <c r="AB151" s="32"/>
      <c r="AC151" s="37"/>
      <c r="AD151" s="3"/>
      <c r="AE151" s="40"/>
      <c r="AF151" s="41"/>
      <c r="AG151" s="42"/>
    </row>
    <row r="152" spans="1:33">
      <c r="A152" s="42"/>
      <c r="B152" s="31"/>
      <c r="C152" s="31"/>
      <c r="D152" s="32"/>
      <c r="E152" s="32"/>
      <c r="F152" s="32"/>
      <c r="G152" s="32"/>
      <c r="H152" s="32"/>
      <c r="I152" s="33"/>
      <c r="J152" s="32"/>
      <c r="K152" s="1"/>
      <c r="L152" s="1"/>
      <c r="M152" s="1"/>
      <c r="N152" s="1"/>
      <c r="O152" s="1"/>
      <c r="P152" s="1"/>
      <c r="Q152" s="1"/>
      <c r="R152" s="82"/>
      <c r="S152" s="2"/>
      <c r="T152" s="2"/>
      <c r="U152" s="35"/>
      <c r="V152" s="36"/>
      <c r="W152" s="37"/>
      <c r="X152" s="38"/>
      <c r="Y152" s="38"/>
      <c r="Z152" s="39"/>
      <c r="AA152" s="86"/>
      <c r="AB152" s="32"/>
      <c r="AC152" s="37"/>
      <c r="AD152" s="3"/>
      <c r="AE152" s="40"/>
      <c r="AF152" s="41"/>
      <c r="AG152" s="42"/>
    </row>
    <row r="153" spans="1:33">
      <c r="A153" s="42"/>
      <c r="B153" s="31"/>
      <c r="C153" s="31"/>
      <c r="D153" s="32"/>
      <c r="E153" s="32"/>
      <c r="F153" s="32"/>
      <c r="G153" s="32"/>
      <c r="H153" s="32"/>
      <c r="I153" s="33"/>
      <c r="J153" s="32"/>
      <c r="K153" s="1"/>
      <c r="L153" s="1"/>
      <c r="M153" s="1"/>
      <c r="N153" s="1"/>
      <c r="O153" s="1"/>
      <c r="P153" s="1"/>
      <c r="Q153" s="1"/>
      <c r="R153" s="82"/>
      <c r="S153" s="2"/>
      <c r="T153" s="2"/>
      <c r="U153" s="35"/>
      <c r="V153" s="36"/>
      <c r="W153" s="37"/>
      <c r="X153" s="38"/>
      <c r="Y153" s="38"/>
      <c r="Z153" s="39"/>
      <c r="AA153" s="86"/>
      <c r="AB153" s="32"/>
      <c r="AC153" s="37"/>
      <c r="AD153" s="3"/>
      <c r="AE153" s="40"/>
      <c r="AF153" s="41"/>
      <c r="AG153" s="42"/>
    </row>
    <row r="154" spans="1:33">
      <c r="A154" s="42"/>
      <c r="B154" s="31"/>
      <c r="C154" s="31"/>
      <c r="D154" s="32"/>
      <c r="E154" s="32"/>
      <c r="F154" s="32"/>
      <c r="G154" s="32"/>
      <c r="H154" s="32"/>
      <c r="I154" s="33"/>
      <c r="J154" s="32"/>
      <c r="K154" s="1"/>
      <c r="L154" s="1"/>
      <c r="M154" s="1"/>
      <c r="N154" s="1"/>
      <c r="O154" s="1"/>
      <c r="P154" s="1"/>
      <c r="Q154" s="1"/>
      <c r="R154" s="82"/>
      <c r="S154" s="2"/>
      <c r="T154" s="2"/>
      <c r="U154" s="35"/>
      <c r="V154" s="36"/>
      <c r="W154" s="37"/>
      <c r="X154" s="38"/>
      <c r="Y154" s="38"/>
      <c r="Z154" s="39"/>
      <c r="AA154" s="86"/>
      <c r="AB154" s="32"/>
      <c r="AC154" s="37"/>
      <c r="AD154" s="3"/>
      <c r="AE154" s="40"/>
      <c r="AF154" s="41"/>
      <c r="AG154" s="42"/>
    </row>
  </sheetData>
  <autoFilter ref="A6:AV6" xr:uid="{00000000-0009-0000-0000-000002000000}"/>
  <printOptions horizontalCentered="1"/>
  <pageMargins left="0.2" right="0.17" top="0.36" bottom="0.28999999999999998" header="0.2" footer="0.2"/>
  <pageSetup paperSize="8" scale="30" fitToWidth="4" orientation="landscape" r:id="rId1"/>
  <headerFooter alignWithMargins="0">
    <oddHeader>&amp;R&amp;D     &amp;T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X1"/>
  <sheetViews>
    <sheetView topLeftCell="AO1" workbookViewId="0">
      <selection activeCell="AY1" sqref="AY1"/>
    </sheetView>
  </sheetViews>
  <sheetFormatPr defaultRowHeight="12.75"/>
  <cols>
    <col min="5" max="5" width="22" customWidth="1"/>
    <col min="22" max="22" width="21.7109375" bestFit="1" customWidth="1"/>
    <col min="46" max="46" width="15.85546875" customWidth="1"/>
    <col min="47" max="47" width="16.42578125" customWidth="1"/>
  </cols>
  <sheetData>
    <row r="1" spans="1:50" s="201" customFormat="1">
      <c r="A1" s="201" t="s">
        <v>218</v>
      </c>
      <c r="B1" s="201" t="s">
        <v>219</v>
      </c>
      <c r="C1" s="201" t="s">
        <v>220</v>
      </c>
      <c r="D1" s="201" t="s">
        <v>221</v>
      </c>
      <c r="E1" s="201" t="s">
        <v>222</v>
      </c>
      <c r="F1" s="201" t="s">
        <v>223</v>
      </c>
      <c r="G1" s="201" t="s">
        <v>224</v>
      </c>
      <c r="H1" s="201" t="s">
        <v>225</v>
      </c>
      <c r="I1" s="201" t="s">
        <v>226</v>
      </c>
      <c r="J1" s="201" t="s">
        <v>227</v>
      </c>
      <c r="K1" s="201" t="s">
        <v>228</v>
      </c>
      <c r="L1" s="201" t="s">
        <v>229</v>
      </c>
      <c r="M1" s="201" t="s">
        <v>230</v>
      </c>
      <c r="N1" s="201" t="s">
        <v>231</v>
      </c>
      <c r="O1" s="201" t="s">
        <v>232</v>
      </c>
      <c r="P1" s="201" t="s">
        <v>233</v>
      </c>
      <c r="Q1" s="201" t="s">
        <v>234</v>
      </c>
      <c r="R1" s="201" t="s">
        <v>235</v>
      </c>
      <c r="S1" s="201" t="s">
        <v>236</v>
      </c>
      <c r="T1" s="201" t="s">
        <v>237</v>
      </c>
      <c r="U1" s="201" t="s">
        <v>238</v>
      </c>
      <c r="V1" s="201" t="s">
        <v>239</v>
      </c>
      <c r="W1" s="201" t="s">
        <v>240</v>
      </c>
      <c r="X1" s="201" t="s">
        <v>241</v>
      </c>
      <c r="Y1" s="201" t="s">
        <v>242</v>
      </c>
      <c r="Z1" s="201" t="s">
        <v>243</v>
      </c>
      <c r="AA1" s="201" t="s">
        <v>244</v>
      </c>
      <c r="AB1" s="201" t="s">
        <v>245</v>
      </c>
      <c r="AC1" s="201" t="s">
        <v>246</v>
      </c>
      <c r="AD1" s="201" t="s">
        <v>247</v>
      </c>
      <c r="AE1" s="201" t="s">
        <v>248</v>
      </c>
      <c r="AF1" s="201" t="s">
        <v>249</v>
      </c>
      <c r="AG1" s="201" t="s">
        <v>250</v>
      </c>
      <c r="AH1" s="201" t="s">
        <v>251</v>
      </c>
      <c r="AI1" s="201" t="s">
        <v>252</v>
      </c>
      <c r="AJ1" s="201" t="s">
        <v>253</v>
      </c>
      <c r="AK1" s="201" t="s">
        <v>254</v>
      </c>
      <c r="AL1" s="201" t="s">
        <v>255</v>
      </c>
      <c r="AM1" s="201" t="s">
        <v>256</v>
      </c>
      <c r="AN1" s="201" t="s">
        <v>257</v>
      </c>
      <c r="AO1" s="201" t="s">
        <v>258</v>
      </c>
      <c r="AP1" s="201" t="s">
        <v>259</v>
      </c>
      <c r="AQ1" s="201" t="s">
        <v>260</v>
      </c>
      <c r="AR1" s="201" t="s">
        <v>261</v>
      </c>
      <c r="AS1" s="201" t="s">
        <v>262</v>
      </c>
      <c r="AU1" s="201" t="s">
        <v>287</v>
      </c>
      <c r="AV1" s="201" t="s">
        <v>288</v>
      </c>
      <c r="AX1" s="201" t="s">
        <v>289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BD1"/>
  <sheetViews>
    <sheetView workbookViewId="0">
      <selection activeCell="A2" sqref="A2:BJ100000"/>
    </sheetView>
  </sheetViews>
  <sheetFormatPr defaultRowHeight="12.75"/>
  <cols>
    <col min="54" max="54" width="16.140625" bestFit="1" customWidth="1"/>
    <col min="55" max="55" width="16.5703125" bestFit="1" customWidth="1"/>
    <col min="56" max="56" width="18.140625" bestFit="1" customWidth="1"/>
  </cols>
  <sheetData>
    <row r="1" spans="1:56" s="201" customFormat="1">
      <c r="A1" s="201" t="s">
        <v>218</v>
      </c>
      <c r="B1" s="201" t="s">
        <v>219</v>
      </c>
      <c r="C1" s="201" t="s">
        <v>220</v>
      </c>
      <c r="D1" s="201" t="s">
        <v>221</v>
      </c>
      <c r="E1" s="201" t="s">
        <v>223</v>
      </c>
      <c r="F1" s="201" t="s">
        <v>224</v>
      </c>
      <c r="G1" s="201" t="s">
        <v>225</v>
      </c>
      <c r="H1" s="201" t="s">
        <v>226</v>
      </c>
      <c r="I1" s="201" t="s">
        <v>227</v>
      </c>
      <c r="J1" s="201" t="s">
        <v>228</v>
      </c>
      <c r="K1" s="201" t="s">
        <v>229</v>
      </c>
      <c r="L1" s="201" t="s">
        <v>230</v>
      </c>
      <c r="M1" s="201" t="s">
        <v>263</v>
      </c>
      <c r="N1" s="201" t="s">
        <v>264</v>
      </c>
      <c r="O1" s="201" t="s">
        <v>265</v>
      </c>
      <c r="P1" s="201" t="s">
        <v>266</v>
      </c>
      <c r="Q1" s="201" t="s">
        <v>237</v>
      </c>
      <c r="R1" s="201" t="s">
        <v>238</v>
      </c>
      <c r="S1" s="201" t="s">
        <v>239</v>
      </c>
      <c r="T1" s="201" t="s">
        <v>240</v>
      </c>
      <c r="U1" s="201" t="s">
        <v>241</v>
      </c>
      <c r="V1" s="201" t="s">
        <v>242</v>
      </c>
      <c r="W1" s="201" t="s">
        <v>243</v>
      </c>
      <c r="X1" s="201" t="s">
        <v>244</v>
      </c>
      <c r="Y1" s="201" t="s">
        <v>245</v>
      </c>
      <c r="Z1" s="201" t="s">
        <v>246</v>
      </c>
      <c r="AA1" s="201" t="s">
        <v>247</v>
      </c>
      <c r="AB1" s="201" t="s">
        <v>248</v>
      </c>
      <c r="AC1" s="201" t="s">
        <v>249</v>
      </c>
      <c r="AD1" s="201" t="s">
        <v>250</v>
      </c>
      <c r="AE1" s="201" t="s">
        <v>251</v>
      </c>
      <c r="AF1" s="201" t="s">
        <v>252</v>
      </c>
      <c r="AG1" s="201" t="s">
        <v>253</v>
      </c>
      <c r="AH1" s="201" t="s">
        <v>254</v>
      </c>
      <c r="AI1" s="201" t="s">
        <v>255</v>
      </c>
      <c r="AJ1" s="201" t="s">
        <v>256</v>
      </c>
      <c r="AK1" s="201" t="s">
        <v>257</v>
      </c>
      <c r="AL1" s="201" t="s">
        <v>267</v>
      </c>
      <c r="AM1" s="201" t="s">
        <v>2</v>
      </c>
      <c r="AN1" s="201" t="s">
        <v>268</v>
      </c>
      <c r="AO1" s="201" t="s">
        <v>142</v>
      </c>
      <c r="AP1" s="201" t="s">
        <v>269</v>
      </c>
      <c r="AQ1" s="201" t="s">
        <v>270</v>
      </c>
      <c r="AR1" s="201" t="s">
        <v>271</v>
      </c>
      <c r="AS1" s="201" t="s">
        <v>272</v>
      </c>
      <c r="AT1" s="201" t="s">
        <v>273</v>
      </c>
      <c r="AU1" s="201" t="s">
        <v>274</v>
      </c>
      <c r="AV1" s="201" t="s">
        <v>275</v>
      </c>
      <c r="AW1" s="201" t="s">
        <v>276</v>
      </c>
      <c r="AX1" s="201" t="s">
        <v>258</v>
      </c>
      <c r="AY1" s="201" t="s">
        <v>259</v>
      </c>
      <c r="AZ1" s="201" t="s">
        <v>260</v>
      </c>
      <c r="BA1" s="201" t="s">
        <v>261</v>
      </c>
      <c r="BB1" s="201" t="s">
        <v>262</v>
      </c>
      <c r="BC1" s="201" t="s">
        <v>277</v>
      </c>
      <c r="BD1" s="201" t="s">
        <v>278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BB1"/>
  <sheetViews>
    <sheetView workbookViewId="0">
      <selection activeCell="A2" sqref="A2:BC100000"/>
    </sheetView>
  </sheetViews>
  <sheetFormatPr defaultRowHeight="12.75"/>
  <cols>
    <col min="54" max="54" width="18.140625" bestFit="1" customWidth="1"/>
  </cols>
  <sheetData>
    <row r="1" spans="1:54" s="201" customFormat="1">
      <c r="A1" s="201" t="s">
        <v>218</v>
      </c>
      <c r="B1" s="201" t="s">
        <v>219</v>
      </c>
      <c r="C1" s="201" t="s">
        <v>220</v>
      </c>
      <c r="D1" s="201" t="s">
        <v>221</v>
      </c>
      <c r="E1" s="201" t="s">
        <v>223</v>
      </c>
      <c r="F1" s="201" t="s">
        <v>224</v>
      </c>
      <c r="G1" s="201" t="s">
        <v>225</v>
      </c>
      <c r="H1" s="201" t="s">
        <v>226</v>
      </c>
      <c r="I1" s="201" t="s">
        <v>227</v>
      </c>
      <c r="J1" s="201" t="s">
        <v>228</v>
      </c>
      <c r="K1" s="201" t="s">
        <v>229</v>
      </c>
      <c r="L1" s="201" t="s">
        <v>230</v>
      </c>
      <c r="M1" s="201" t="s">
        <v>263</v>
      </c>
      <c r="N1" s="201" t="s">
        <v>264</v>
      </c>
      <c r="O1" s="201" t="s">
        <v>237</v>
      </c>
      <c r="P1" s="201" t="s">
        <v>238</v>
      </c>
      <c r="Q1" s="201" t="s">
        <v>239</v>
      </c>
      <c r="R1" s="201" t="s">
        <v>240</v>
      </c>
      <c r="S1" s="201" t="s">
        <v>241</v>
      </c>
      <c r="T1" s="201" t="s">
        <v>242</v>
      </c>
      <c r="U1" s="201" t="s">
        <v>243</v>
      </c>
      <c r="V1" s="201" t="s">
        <v>244</v>
      </c>
      <c r="W1" s="201" t="s">
        <v>245</v>
      </c>
      <c r="X1" s="201" t="s">
        <v>246</v>
      </c>
      <c r="Y1" s="201" t="s">
        <v>247</v>
      </c>
      <c r="Z1" s="201" t="s">
        <v>248</v>
      </c>
      <c r="AA1" s="201" t="s">
        <v>249</v>
      </c>
      <c r="AB1" s="201" t="s">
        <v>250</v>
      </c>
      <c r="AC1" s="201" t="s">
        <v>251</v>
      </c>
      <c r="AD1" s="201" t="s">
        <v>252</v>
      </c>
      <c r="AE1" s="201" t="s">
        <v>253</v>
      </c>
      <c r="AF1" s="201" t="s">
        <v>254</v>
      </c>
      <c r="AG1" s="201" t="s">
        <v>255</v>
      </c>
      <c r="AH1" s="201" t="s">
        <v>279</v>
      </c>
      <c r="AI1" s="201" t="s">
        <v>257</v>
      </c>
      <c r="AJ1" s="201" t="s">
        <v>267</v>
      </c>
      <c r="AK1" s="201" t="s">
        <v>2</v>
      </c>
      <c r="AL1" s="201" t="s">
        <v>268</v>
      </c>
      <c r="AM1" s="201" t="s">
        <v>142</v>
      </c>
      <c r="AN1" s="201" t="s">
        <v>269</v>
      </c>
      <c r="AO1" s="201" t="s">
        <v>270</v>
      </c>
      <c r="AP1" s="201" t="s">
        <v>271</v>
      </c>
      <c r="AQ1" s="201" t="s">
        <v>272</v>
      </c>
      <c r="AR1" s="201" t="s">
        <v>273</v>
      </c>
      <c r="AS1" s="201" t="s">
        <v>274</v>
      </c>
      <c r="AT1" s="201" t="s">
        <v>275</v>
      </c>
      <c r="AU1" s="201" t="s">
        <v>276</v>
      </c>
      <c r="AV1" s="201" t="s">
        <v>258</v>
      </c>
      <c r="AW1" s="201" t="s">
        <v>259</v>
      </c>
      <c r="AX1" s="201" t="s">
        <v>260</v>
      </c>
      <c r="AY1" s="201" t="s">
        <v>261</v>
      </c>
      <c r="AZ1" s="201" t="s">
        <v>262</v>
      </c>
      <c r="BA1" s="201" t="s">
        <v>277</v>
      </c>
      <c r="BB1" s="201" t="s">
        <v>278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AK6"/>
  <sheetViews>
    <sheetView zoomScaleNormal="100" workbookViewId="0">
      <selection activeCell="D6" sqref="D6"/>
    </sheetView>
  </sheetViews>
  <sheetFormatPr defaultRowHeight="11.25" customHeight="1"/>
  <cols>
    <col min="1" max="1" width="5.5703125" customWidth="1"/>
    <col min="2" max="2" width="9.28515625" customWidth="1"/>
    <col min="3" max="4" width="11.140625" customWidth="1"/>
    <col min="5" max="5" width="23.7109375" customWidth="1"/>
    <col min="6" max="6" width="11.140625" customWidth="1"/>
    <col min="7" max="7" width="14.5703125" customWidth="1"/>
    <col min="8" max="8" width="11.140625" customWidth="1"/>
    <col min="9" max="9" width="43.7109375" customWidth="1"/>
    <col min="10" max="10" width="8.42578125" customWidth="1"/>
    <col min="11" max="11" width="8.85546875" customWidth="1"/>
    <col min="12" max="14" width="8.42578125" customWidth="1"/>
    <col min="15" max="15" width="8.28515625" customWidth="1"/>
    <col min="16" max="16" width="9.140625" customWidth="1"/>
    <col min="17" max="17" width="8.42578125" customWidth="1"/>
    <col min="18" max="18" width="12.140625" customWidth="1"/>
    <col min="19" max="19" width="39" customWidth="1"/>
    <col min="20" max="37" width="12.140625" customWidth="1"/>
  </cols>
  <sheetData>
    <row r="1" spans="1:37" ht="17.25" customHeight="1">
      <c r="A1" s="114" t="s">
        <v>164</v>
      </c>
    </row>
    <row r="2" spans="1:37" ht="33.75" customHeight="1">
      <c r="A2" s="29" t="s">
        <v>37</v>
      </c>
      <c r="B2" s="99" t="s">
        <v>16</v>
      </c>
      <c r="C2" s="99" t="s">
        <v>28</v>
      </c>
      <c r="D2" s="99" t="s">
        <v>79</v>
      </c>
      <c r="E2" s="99" t="s">
        <v>80</v>
      </c>
      <c r="F2" s="99" t="s">
        <v>82</v>
      </c>
      <c r="G2" s="99" t="s">
        <v>17</v>
      </c>
      <c r="H2" s="99"/>
      <c r="I2" s="99" t="s">
        <v>5</v>
      </c>
      <c r="J2" s="99" t="s">
        <v>18</v>
      </c>
      <c r="K2" s="99" t="s">
        <v>98</v>
      </c>
      <c r="L2" s="99" t="s">
        <v>99</v>
      </c>
      <c r="M2" s="102" t="s">
        <v>143</v>
      </c>
      <c r="N2" s="103" t="s">
        <v>137</v>
      </c>
      <c r="O2" s="113" t="s">
        <v>140</v>
      </c>
      <c r="P2" s="113" t="s">
        <v>141</v>
      </c>
      <c r="Q2" s="115" t="s">
        <v>168</v>
      </c>
      <c r="R2" s="103" t="s">
        <v>94</v>
      </c>
      <c r="S2" s="104" t="s">
        <v>124</v>
      </c>
      <c r="T2" s="99" t="s">
        <v>0</v>
      </c>
      <c r="U2" s="100" t="s">
        <v>13</v>
      </c>
      <c r="V2" s="101" t="s">
        <v>4</v>
      </c>
      <c r="W2" s="101" t="s">
        <v>27</v>
      </c>
      <c r="X2" s="99" t="s">
        <v>30</v>
      </c>
      <c r="Y2" s="99" t="s">
        <v>14</v>
      </c>
      <c r="Z2" s="99" t="s">
        <v>2</v>
      </c>
      <c r="AA2" s="99" t="s">
        <v>3</v>
      </c>
      <c r="AB2" s="99" t="s">
        <v>142</v>
      </c>
      <c r="AC2" s="99" t="s">
        <v>6</v>
      </c>
      <c r="AD2" s="99" t="s">
        <v>7</v>
      </c>
      <c r="AE2" s="99" t="s">
        <v>15</v>
      </c>
      <c r="AF2" s="99" t="s">
        <v>8</v>
      </c>
      <c r="AG2" s="99" t="s">
        <v>9</v>
      </c>
      <c r="AH2" s="99" t="s">
        <v>10</v>
      </c>
      <c r="AI2" s="99" t="s">
        <v>11</v>
      </c>
      <c r="AJ2" s="99" t="s">
        <v>12</v>
      </c>
      <c r="AK2" s="99" t="s">
        <v>126</v>
      </c>
    </row>
    <row r="3" spans="1:37" ht="11.25" customHeight="1">
      <c r="A3" s="60"/>
      <c r="B3" s="23"/>
      <c r="C3" s="23"/>
      <c r="D3" s="23"/>
      <c r="E3" s="23"/>
      <c r="F3" s="23"/>
      <c r="G3" s="23"/>
      <c r="H3" s="23"/>
      <c r="I3" s="23" t="s">
        <v>36</v>
      </c>
      <c r="J3" s="57"/>
      <c r="K3" s="58">
        <f>SUM('ON SEA'!$K$6:$K$6)</f>
        <v>0</v>
      </c>
      <c r="L3" s="58">
        <f>SUM('ON SEA'!$L$6:$L$6)</f>
        <v>0</v>
      </c>
      <c r="M3" s="58">
        <f>SUM('ON SEA'!$M$6:$M$6)</f>
        <v>0</v>
      </c>
      <c r="N3" s="58">
        <f>SUM('ON SEA'!$N$6:$N$6)</f>
        <v>0</v>
      </c>
      <c r="O3" s="58">
        <f>SUM('ON SEA'!$O$6:$O$6)</f>
        <v>0</v>
      </c>
      <c r="P3" s="58">
        <f>SUM('ON SEA'!$P$6:$P$6)</f>
        <v>0</v>
      </c>
      <c r="Q3" s="58"/>
      <c r="R3" s="59"/>
      <c r="S3" s="25"/>
      <c r="T3" s="23"/>
      <c r="U3" s="81"/>
      <c r="V3" s="27"/>
      <c r="W3" s="27"/>
      <c r="X3" s="23"/>
      <c r="Y3" s="23"/>
      <c r="Z3" s="23"/>
      <c r="AA3" s="23"/>
      <c r="AB3" s="23"/>
      <c r="AC3" s="23"/>
      <c r="AD3" s="84"/>
      <c r="AE3" s="84"/>
      <c r="AF3" s="23"/>
      <c r="AG3" s="23"/>
      <c r="AH3" s="23"/>
      <c r="AI3" s="23"/>
      <c r="AJ3" s="23"/>
      <c r="AK3" s="23"/>
    </row>
    <row r="4" spans="1:37" ht="11.25" customHeight="1">
      <c r="A4" s="105"/>
      <c r="B4" s="106"/>
      <c r="C4" s="106"/>
      <c r="D4" s="106"/>
      <c r="E4" s="106"/>
      <c r="F4" s="106"/>
      <c r="G4" s="106"/>
      <c r="H4" s="106"/>
      <c r="I4" s="106" t="s">
        <v>35</v>
      </c>
      <c r="J4" s="107"/>
      <c r="K4" s="108">
        <f>SUBTOTAL(9,'ON SEA'!$K$6:$K$6)</f>
        <v>0</v>
      </c>
      <c r="L4" s="108">
        <f>SUBTOTAL(9,'ON SEA'!$L$6:$L$6)</f>
        <v>0</v>
      </c>
      <c r="M4" s="108">
        <f>SUBTOTAL(9,'ON SEA'!$M$6:$M$6)</f>
        <v>0</v>
      </c>
      <c r="N4" s="108">
        <f>SUBTOTAL(9,'ON SEA'!$N$6:$N$6)</f>
        <v>0</v>
      </c>
      <c r="O4" s="108">
        <f>SUBTOTAL(9,'ON SEA'!$O$6:$O$6)</f>
        <v>0</v>
      </c>
      <c r="P4" s="108">
        <f>SUBTOTAL(9,'ON SEA'!$P$6:$P$6)</f>
        <v>0</v>
      </c>
      <c r="Q4" s="108"/>
      <c r="R4" s="109"/>
      <c r="S4" s="71"/>
      <c r="T4" s="106"/>
      <c r="U4" s="110"/>
      <c r="V4" s="111"/>
      <c r="W4" s="111"/>
      <c r="X4" s="106"/>
      <c r="Y4" s="106"/>
      <c r="Z4" s="106"/>
      <c r="AA4" s="106"/>
      <c r="AB4" s="106"/>
      <c r="AC4" s="106"/>
      <c r="AD4" s="112"/>
      <c r="AE4" s="112"/>
      <c r="AF4" s="106"/>
      <c r="AG4" s="106"/>
      <c r="AH4" s="106"/>
      <c r="AI4" s="106"/>
      <c r="AJ4" s="106"/>
      <c r="AK4" s="106"/>
    </row>
    <row r="5" spans="1:37" ht="11.25" customHeight="1">
      <c r="A5" s="152" t="s">
        <v>100</v>
      </c>
      <c r="B5" s="152" t="s">
        <v>101</v>
      </c>
      <c r="C5" s="152" t="s">
        <v>102</v>
      </c>
      <c r="D5" s="152" t="s">
        <v>144</v>
      </c>
      <c r="E5" s="152" t="s">
        <v>145</v>
      </c>
      <c r="F5" s="152" t="s">
        <v>104</v>
      </c>
      <c r="G5" s="152" t="s">
        <v>105</v>
      </c>
      <c r="H5" s="152" t="s">
        <v>146</v>
      </c>
      <c r="I5" s="152" t="s">
        <v>106</v>
      </c>
      <c r="J5" s="152" t="s">
        <v>147</v>
      </c>
      <c r="K5" s="152" t="s">
        <v>148</v>
      </c>
      <c r="L5" s="152" t="s">
        <v>149</v>
      </c>
      <c r="M5" s="152" t="s">
        <v>150</v>
      </c>
      <c r="N5" s="152" t="s">
        <v>151</v>
      </c>
      <c r="O5" s="152" t="s">
        <v>97</v>
      </c>
      <c r="P5" s="152" t="s">
        <v>96</v>
      </c>
      <c r="Q5" s="152" t="s">
        <v>167</v>
      </c>
      <c r="R5" s="152" t="s">
        <v>152</v>
      </c>
      <c r="S5" s="152" t="s">
        <v>125</v>
      </c>
      <c r="T5" s="152" t="s">
        <v>118</v>
      </c>
      <c r="U5" s="152" t="s">
        <v>119</v>
      </c>
      <c r="V5" s="152" t="s">
        <v>120</v>
      </c>
      <c r="W5" s="152" t="s">
        <v>121</v>
      </c>
      <c r="X5" s="152" t="s">
        <v>122</v>
      </c>
      <c r="Y5" s="152" t="s">
        <v>153</v>
      </c>
      <c r="Z5" s="152" t="s">
        <v>154</v>
      </c>
      <c r="AA5" s="152" t="s">
        <v>155</v>
      </c>
      <c r="AB5" s="152" t="s">
        <v>156</v>
      </c>
      <c r="AC5" s="152" t="s">
        <v>157</v>
      </c>
      <c r="AD5" s="152" t="s">
        <v>158</v>
      </c>
      <c r="AE5" s="152" t="s">
        <v>159</v>
      </c>
      <c r="AF5" s="152" t="s">
        <v>160</v>
      </c>
      <c r="AG5" s="152" t="s">
        <v>161</v>
      </c>
      <c r="AH5" s="152" t="s">
        <v>162</v>
      </c>
      <c r="AI5" s="152" t="s">
        <v>163</v>
      </c>
      <c r="AJ5" s="152" t="s">
        <v>128</v>
      </c>
      <c r="AK5" s="152" t="s">
        <v>127</v>
      </c>
    </row>
    <row r="6" spans="1:37" ht="11.25" customHeight="1">
      <c r="A6" s="148"/>
      <c r="B6" s="149"/>
      <c r="C6" s="149"/>
      <c r="D6" s="149"/>
      <c r="E6" s="149"/>
      <c r="F6" s="149"/>
      <c r="G6" s="149"/>
      <c r="H6" s="149"/>
      <c r="I6" s="153"/>
      <c r="J6" s="88"/>
      <c r="K6" s="88"/>
      <c r="L6" s="88"/>
      <c r="M6" s="154"/>
      <c r="N6" s="88"/>
      <c r="O6" s="155"/>
      <c r="P6" s="155"/>
      <c r="Q6" s="155"/>
      <c r="R6" s="149"/>
      <c r="S6" s="156"/>
      <c r="T6" s="149"/>
      <c r="U6" s="149"/>
      <c r="V6" s="151"/>
      <c r="W6" s="149"/>
      <c r="X6" s="151"/>
      <c r="Y6" s="151"/>
      <c r="Z6" s="151"/>
      <c r="AA6" s="149"/>
      <c r="AB6" s="151"/>
      <c r="AC6" s="149"/>
      <c r="AD6" s="151"/>
      <c r="AE6" s="149"/>
      <c r="AF6" s="151"/>
      <c r="AG6" s="151"/>
      <c r="AH6" s="151"/>
      <c r="AI6" s="149"/>
      <c r="AJ6" s="148"/>
      <c r="AK6" s="149"/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AM1424"/>
  <sheetViews>
    <sheetView zoomScaleNormal="100" zoomScaleSheetLayoutView="85" workbookViewId="0">
      <pane xSplit="9" ySplit="5" topLeftCell="J6" activePane="bottomRight" state="frozen"/>
      <selection pane="topRight" activeCell="I1" sqref="I1"/>
      <selection pane="bottomLeft" activeCell="A6" sqref="A6"/>
      <selection pane="bottomRight" activeCell="C7" sqref="C7"/>
    </sheetView>
  </sheetViews>
  <sheetFormatPr defaultRowHeight="11.25"/>
  <cols>
    <col min="1" max="1" width="6.42578125" style="89" customWidth="1"/>
    <col min="2" max="2" width="8.5703125" style="9" customWidth="1"/>
    <col min="3" max="3" width="10.140625" style="9" customWidth="1"/>
    <col min="4" max="4" width="7.28515625" style="9" customWidth="1"/>
    <col min="5" max="5" width="19.42578125" style="7" customWidth="1"/>
    <col min="6" max="6" width="11.7109375" style="7" customWidth="1"/>
    <col min="7" max="8" width="15.140625" style="8" customWidth="1"/>
    <col min="9" max="9" width="35.85546875" style="9" customWidth="1"/>
    <col min="10" max="12" width="8.7109375" style="10" customWidth="1"/>
    <col min="13" max="13" width="11" style="10" customWidth="1"/>
    <col min="14" max="14" width="13.28515625" style="92" customWidth="1"/>
    <col min="15" max="15" width="9.140625" style="92" customWidth="1"/>
    <col min="16" max="16" width="11" style="92" customWidth="1"/>
    <col min="17" max="17" width="16.85546875" style="10" customWidth="1"/>
    <col min="18" max="18" width="8.7109375" style="10" customWidth="1"/>
    <col min="19" max="19" width="18.28515625" style="92" customWidth="1"/>
    <col min="20" max="20" width="11" style="10" customWidth="1"/>
    <col min="21" max="21" width="11" style="9" customWidth="1"/>
    <col min="22" max="22" width="11" style="92" customWidth="1"/>
    <col min="23" max="23" width="11.140625" style="9" customWidth="1"/>
    <col min="24" max="24" width="16.140625" style="92" customWidth="1"/>
    <col min="25" max="25" width="11" style="11" customWidth="1"/>
    <col min="26" max="26" width="40.7109375" style="11" customWidth="1"/>
    <col min="27" max="27" width="18.140625" style="92" customWidth="1"/>
    <col min="28" max="28" width="11" style="11" customWidth="1"/>
    <col min="29" max="29" width="22" style="11" customWidth="1"/>
    <col min="30" max="30" width="13.85546875" style="9" customWidth="1"/>
    <col min="31" max="31" width="11" style="9" customWidth="1"/>
    <col min="32" max="35" width="11" style="12" customWidth="1"/>
    <col min="36" max="36" width="31.7109375" style="92" customWidth="1"/>
    <col min="37" max="37" width="12.140625" style="13" customWidth="1"/>
    <col min="38" max="39" width="11" style="13" customWidth="1"/>
    <col min="40" max="16384" width="9.140625" style="14"/>
  </cols>
  <sheetData>
    <row r="1" spans="1:39" ht="19.5" customHeight="1">
      <c r="A1" s="229" t="s">
        <v>37</v>
      </c>
      <c r="B1" s="226" t="s">
        <v>16</v>
      </c>
      <c r="C1" s="226" t="s">
        <v>28</v>
      </c>
      <c r="D1" s="226" t="s">
        <v>79</v>
      </c>
      <c r="E1" s="226" t="s">
        <v>80</v>
      </c>
      <c r="F1" s="226" t="s">
        <v>82</v>
      </c>
      <c r="G1" s="226" t="s">
        <v>17</v>
      </c>
      <c r="H1" s="226"/>
      <c r="I1" s="226" t="s">
        <v>5</v>
      </c>
      <c r="J1" s="226" t="s">
        <v>18</v>
      </c>
      <c r="K1" s="238" t="s">
        <v>19</v>
      </c>
      <c r="L1" s="239" t="s">
        <v>20</v>
      </c>
      <c r="M1" s="227" t="s">
        <v>38</v>
      </c>
      <c r="N1" s="236" t="s">
        <v>39</v>
      </c>
      <c r="O1" s="227" t="s">
        <v>40</v>
      </c>
      <c r="P1" s="227" t="s">
        <v>41</v>
      </c>
      <c r="Q1" s="227" t="s">
        <v>42</v>
      </c>
      <c r="R1" s="227" t="s">
        <v>43</v>
      </c>
      <c r="S1" s="227" t="s">
        <v>44</v>
      </c>
      <c r="T1" s="227" t="s">
        <v>45</v>
      </c>
      <c r="U1" s="240" t="s">
        <v>21</v>
      </c>
      <c r="V1" s="229" t="s">
        <v>1</v>
      </c>
      <c r="W1" s="226" t="s">
        <v>22</v>
      </c>
      <c r="X1" s="229" t="s">
        <v>29</v>
      </c>
      <c r="Y1" s="231" t="s">
        <v>123</v>
      </c>
      <c r="Z1" s="233" t="s">
        <v>124</v>
      </c>
      <c r="AA1" s="229" t="s">
        <v>0</v>
      </c>
      <c r="AB1" s="232" t="s">
        <v>13</v>
      </c>
      <c r="AC1" s="232" t="s">
        <v>130</v>
      </c>
      <c r="AD1" s="235" t="s">
        <v>4</v>
      </c>
      <c r="AE1" s="235" t="s">
        <v>27</v>
      </c>
      <c r="AF1" s="226" t="s">
        <v>30</v>
      </c>
      <c r="AG1" s="226" t="s">
        <v>31</v>
      </c>
      <c r="AH1" s="226" t="s">
        <v>32</v>
      </c>
      <c r="AI1" s="226" t="s">
        <v>33</v>
      </c>
      <c r="AJ1" s="226" t="s">
        <v>34</v>
      </c>
      <c r="AK1" s="226"/>
      <c r="AL1" s="226"/>
      <c r="AM1" s="226"/>
    </row>
    <row r="2" spans="1:39" s="15" customFormat="1" ht="36" customHeight="1">
      <c r="A2" s="230"/>
      <c r="B2" s="226"/>
      <c r="C2" s="226"/>
      <c r="D2" s="226"/>
      <c r="E2" s="226"/>
      <c r="F2" s="226"/>
      <c r="G2" s="226"/>
      <c r="H2" s="226"/>
      <c r="I2" s="226"/>
      <c r="J2" s="226"/>
      <c r="K2" s="238"/>
      <c r="L2" s="239"/>
      <c r="M2" s="228"/>
      <c r="N2" s="237"/>
      <c r="O2" s="228"/>
      <c r="P2" s="228"/>
      <c r="Q2" s="228"/>
      <c r="R2" s="228"/>
      <c r="S2" s="228"/>
      <c r="T2" s="228"/>
      <c r="U2" s="240"/>
      <c r="V2" s="230"/>
      <c r="W2" s="226"/>
      <c r="X2" s="230"/>
      <c r="Y2" s="231"/>
      <c r="Z2" s="234"/>
      <c r="AA2" s="230"/>
      <c r="AB2" s="232"/>
      <c r="AC2" s="232"/>
      <c r="AD2" s="235"/>
      <c r="AE2" s="235"/>
      <c r="AF2" s="226"/>
      <c r="AG2" s="226"/>
      <c r="AH2" s="226"/>
      <c r="AI2" s="226"/>
      <c r="AJ2" s="80" t="s">
        <v>26</v>
      </c>
      <c r="AK2" s="4" t="s">
        <v>23</v>
      </c>
      <c r="AL2" s="4" t="s">
        <v>24</v>
      </c>
      <c r="AM2" s="4" t="s">
        <v>25</v>
      </c>
    </row>
    <row r="3" spans="1:39" s="15" customFormat="1" ht="11.25" customHeight="1">
      <c r="A3" s="60"/>
      <c r="B3" s="23"/>
      <c r="C3" s="23"/>
      <c r="D3" s="23"/>
      <c r="E3" s="23"/>
      <c r="F3" s="23"/>
      <c r="G3" s="23"/>
      <c r="H3" s="23"/>
      <c r="I3" s="23" t="s">
        <v>36</v>
      </c>
      <c r="J3" s="60"/>
      <c r="K3" s="58">
        <f>SUM('TO BE SHIPPED'!$K$6:$K$6)</f>
        <v>0</v>
      </c>
      <c r="L3" s="59">
        <f>SUM('TO BE SHIPPED'!$L$6:$L$6)</f>
        <v>0</v>
      </c>
      <c r="M3" s="56"/>
      <c r="N3" s="90"/>
      <c r="O3" s="90"/>
      <c r="P3" s="90"/>
      <c r="Q3" s="56"/>
      <c r="R3" s="56"/>
      <c r="S3" s="90"/>
      <c r="T3" s="56"/>
      <c r="U3" s="24"/>
      <c r="V3" s="84"/>
      <c r="W3" s="23"/>
      <c r="X3" s="84"/>
      <c r="Y3" s="25"/>
      <c r="Z3" s="25"/>
      <c r="AA3" s="84"/>
      <c r="AB3" s="26"/>
      <c r="AC3" s="26"/>
      <c r="AD3" s="27"/>
      <c r="AE3" s="27"/>
      <c r="AF3" s="23"/>
      <c r="AG3" s="23"/>
      <c r="AH3" s="23"/>
      <c r="AI3" s="23"/>
      <c r="AJ3" s="84"/>
      <c r="AK3" s="23"/>
      <c r="AL3" s="23"/>
      <c r="AM3" s="23"/>
    </row>
    <row r="4" spans="1:39" s="15" customFormat="1" ht="11.25" customHeight="1">
      <c r="A4" s="69"/>
      <c r="B4" s="61"/>
      <c r="C4" s="61"/>
      <c r="D4" s="61"/>
      <c r="E4" s="61"/>
      <c r="F4" s="61"/>
      <c r="G4" s="61"/>
      <c r="H4" s="61"/>
      <c r="I4" s="61" t="s">
        <v>35</v>
      </c>
      <c r="J4" s="69"/>
      <c r="K4" s="67">
        <f>SUBTOTAL(9,'TO BE SHIPPED'!$K$6:$K$6)</f>
        <v>0</v>
      </c>
      <c r="L4" s="68">
        <f>SUBTOTAL(9,'TO BE SHIPPED'!$L$6:$L$6)</f>
        <v>0</v>
      </c>
      <c r="M4" s="62"/>
      <c r="N4" s="91"/>
      <c r="O4" s="91"/>
      <c r="P4" s="91"/>
      <c r="Q4" s="62"/>
      <c r="R4" s="62"/>
      <c r="S4" s="91"/>
      <c r="T4" s="62"/>
      <c r="U4" s="63"/>
      <c r="V4" s="85"/>
      <c r="W4" s="61"/>
      <c r="X4" s="85"/>
      <c r="Y4" s="64"/>
      <c r="Z4" s="71"/>
      <c r="AA4" s="85"/>
      <c r="AB4" s="65"/>
      <c r="AC4" s="65"/>
      <c r="AD4" s="66"/>
      <c r="AE4" s="66"/>
      <c r="AF4" s="61"/>
      <c r="AG4" s="61"/>
      <c r="AH4" s="61"/>
      <c r="AI4" s="61"/>
      <c r="AJ4" s="85"/>
      <c r="AK4" s="61"/>
      <c r="AL4" s="61"/>
      <c r="AM4" s="61"/>
    </row>
    <row r="5" spans="1:39">
      <c r="A5" s="157" t="s">
        <v>46</v>
      </c>
      <c r="B5" s="117" t="s">
        <v>47</v>
      </c>
      <c r="C5" s="117" t="s">
        <v>48</v>
      </c>
      <c r="D5" s="117" t="s">
        <v>81</v>
      </c>
      <c r="E5" s="118" t="s">
        <v>49</v>
      </c>
      <c r="F5" s="118" t="s">
        <v>83</v>
      </c>
      <c r="G5" s="119" t="s">
        <v>50</v>
      </c>
      <c r="H5" s="119" t="s">
        <v>96</v>
      </c>
      <c r="I5" s="117" t="s">
        <v>84</v>
      </c>
      <c r="J5" s="120" t="s">
        <v>51</v>
      </c>
      <c r="K5" s="120" t="s">
        <v>52</v>
      </c>
      <c r="L5" s="120" t="s">
        <v>53</v>
      </c>
      <c r="M5" s="120" t="s">
        <v>54</v>
      </c>
      <c r="N5" s="121" t="s">
        <v>55</v>
      </c>
      <c r="O5" s="121" t="s">
        <v>56</v>
      </c>
      <c r="P5" s="121" t="s">
        <v>57</v>
      </c>
      <c r="Q5" s="120" t="s">
        <v>58</v>
      </c>
      <c r="R5" s="120" t="s">
        <v>59</v>
      </c>
      <c r="S5" s="121" t="s">
        <v>60</v>
      </c>
      <c r="T5" s="120" t="s">
        <v>61</v>
      </c>
      <c r="U5" s="117" t="s">
        <v>62</v>
      </c>
      <c r="V5" s="121" t="s">
        <v>63</v>
      </c>
      <c r="W5" s="117" t="s">
        <v>64</v>
      </c>
      <c r="X5" s="121" t="s">
        <v>65</v>
      </c>
      <c r="Y5" s="72" t="s">
        <v>66</v>
      </c>
      <c r="Z5" s="72" t="s">
        <v>125</v>
      </c>
      <c r="AA5" s="121" t="s">
        <v>67</v>
      </c>
      <c r="AB5" s="72" t="s">
        <v>68</v>
      </c>
      <c r="AC5" s="72" t="s">
        <v>97</v>
      </c>
      <c r="AD5" s="117" t="s">
        <v>69</v>
      </c>
      <c r="AE5" s="117" t="s">
        <v>70</v>
      </c>
      <c r="AF5" s="158" t="s">
        <v>71</v>
      </c>
      <c r="AG5" s="158" t="s">
        <v>72</v>
      </c>
      <c r="AH5" s="158" t="s">
        <v>73</v>
      </c>
      <c r="AI5" s="158" t="s">
        <v>74</v>
      </c>
      <c r="AJ5" s="121" t="s">
        <v>75</v>
      </c>
      <c r="AK5" s="159" t="s">
        <v>76</v>
      </c>
      <c r="AL5" s="159" t="s">
        <v>77</v>
      </c>
      <c r="AM5" s="159" t="s">
        <v>78</v>
      </c>
    </row>
    <row r="6" spans="1:39">
      <c r="A6" s="88"/>
      <c r="B6" s="70"/>
      <c r="C6" s="74"/>
      <c r="D6" s="70"/>
      <c r="E6" s="75"/>
      <c r="F6" s="73"/>
      <c r="G6" s="76"/>
      <c r="H6" s="76"/>
      <c r="I6" s="73"/>
      <c r="J6" s="77"/>
      <c r="K6" s="77"/>
      <c r="L6" s="78"/>
      <c r="M6" s="70"/>
      <c r="N6" s="73"/>
      <c r="O6" s="73"/>
      <c r="P6" s="73"/>
      <c r="Q6" s="70"/>
      <c r="R6" s="70"/>
      <c r="S6" s="73"/>
      <c r="T6" s="70"/>
      <c r="U6" s="70"/>
      <c r="V6" s="73"/>
      <c r="W6" s="70"/>
      <c r="X6" s="73"/>
      <c r="Y6" s="73"/>
      <c r="Z6" s="73"/>
      <c r="AA6" s="73"/>
      <c r="AB6" s="70"/>
      <c r="AC6" s="70"/>
      <c r="AD6" s="70"/>
      <c r="AE6" s="70"/>
      <c r="AF6" s="74"/>
      <c r="AG6" s="74"/>
      <c r="AH6" s="74"/>
      <c r="AI6" s="74"/>
      <c r="AJ6" s="73"/>
      <c r="AK6" s="79"/>
      <c r="AL6" s="79"/>
      <c r="AM6" s="79"/>
    </row>
    <row r="7" spans="1:39">
      <c r="A7" s="160"/>
      <c r="B7" s="161"/>
      <c r="C7" s="161"/>
      <c r="D7" s="161"/>
      <c r="E7" s="162"/>
      <c r="F7" s="162"/>
      <c r="G7" s="163"/>
      <c r="H7" s="163"/>
      <c r="I7" s="162"/>
      <c r="J7" s="164"/>
      <c r="K7" s="164"/>
      <c r="L7" s="164"/>
      <c r="M7" s="161"/>
      <c r="N7" s="162"/>
      <c r="O7" s="162"/>
      <c r="P7" s="162"/>
      <c r="Q7" s="161"/>
      <c r="R7" s="161"/>
      <c r="S7" s="162"/>
      <c r="T7" s="161"/>
      <c r="U7" s="161"/>
      <c r="V7" s="162"/>
      <c r="W7" s="161"/>
      <c r="X7" s="162"/>
      <c r="Y7" s="162"/>
      <c r="Z7" s="162"/>
      <c r="AA7" s="162"/>
      <c r="AB7" s="161"/>
      <c r="AC7" s="161"/>
      <c r="AD7" s="161"/>
      <c r="AE7" s="161"/>
      <c r="AF7" s="161"/>
      <c r="AG7" s="161"/>
      <c r="AH7" s="161"/>
      <c r="AI7" s="161"/>
      <c r="AJ7" s="162"/>
      <c r="AK7" s="161"/>
      <c r="AL7" s="161"/>
      <c r="AM7" s="161">
        <f>SUBTOTAL(103,'TO BE SHIPPED'!$AM$6:$AM$6)</f>
        <v>0</v>
      </c>
    </row>
    <row r="8" spans="1:39">
      <c r="AJ8" s="93"/>
      <c r="AK8" s="18"/>
      <c r="AL8" s="18"/>
      <c r="AM8" s="18"/>
    </row>
    <row r="9" spans="1:39">
      <c r="AJ9" s="93"/>
      <c r="AK9" s="18"/>
      <c r="AL9" s="18"/>
      <c r="AM9" s="18"/>
    </row>
    <row r="10" spans="1:39">
      <c r="AJ10" s="93"/>
      <c r="AK10" s="18"/>
      <c r="AL10" s="18"/>
      <c r="AM10" s="18"/>
    </row>
    <row r="11" spans="1:39">
      <c r="AJ11" s="93"/>
      <c r="AK11" s="18"/>
      <c r="AL11" s="18"/>
      <c r="AM11" s="18"/>
    </row>
    <row r="12" spans="1:39">
      <c r="AJ12" s="93"/>
      <c r="AK12" s="18"/>
      <c r="AL12" s="18"/>
      <c r="AM12" s="18"/>
    </row>
    <row r="13" spans="1:39">
      <c r="AJ13" s="93"/>
      <c r="AK13" s="18"/>
      <c r="AL13" s="18"/>
      <c r="AM13" s="18"/>
    </row>
    <row r="14" spans="1:39">
      <c r="AJ14" s="93"/>
      <c r="AK14" s="18"/>
      <c r="AL14" s="18"/>
      <c r="AM14" s="18"/>
    </row>
    <row r="15" spans="1:39">
      <c r="AJ15" s="93"/>
      <c r="AK15" s="18"/>
      <c r="AL15" s="18"/>
      <c r="AM15" s="18"/>
    </row>
    <row r="16" spans="1:39">
      <c r="AJ16" s="93"/>
      <c r="AK16" s="18"/>
      <c r="AL16" s="18"/>
      <c r="AM16" s="18"/>
    </row>
    <row r="17" spans="36:39">
      <c r="AJ17" s="93"/>
      <c r="AK17" s="18"/>
      <c r="AL17" s="18"/>
      <c r="AM17" s="18"/>
    </row>
    <row r="18" spans="36:39">
      <c r="AJ18" s="93"/>
      <c r="AK18" s="18"/>
      <c r="AL18" s="18"/>
      <c r="AM18" s="18"/>
    </row>
    <row r="19" spans="36:39">
      <c r="AJ19" s="93"/>
      <c r="AK19" s="18"/>
      <c r="AL19" s="18"/>
      <c r="AM19" s="18"/>
    </row>
    <row r="20" spans="36:39">
      <c r="AJ20" s="93"/>
      <c r="AK20" s="18"/>
      <c r="AL20" s="18"/>
      <c r="AM20" s="18"/>
    </row>
    <row r="21" spans="36:39">
      <c r="AJ21" s="93"/>
      <c r="AK21" s="18"/>
      <c r="AL21" s="18"/>
      <c r="AM21" s="18"/>
    </row>
    <row r="22" spans="36:39">
      <c r="AJ22" s="93"/>
      <c r="AK22" s="18"/>
      <c r="AL22" s="18"/>
      <c r="AM22" s="18"/>
    </row>
    <row r="23" spans="36:39">
      <c r="AJ23" s="93"/>
      <c r="AK23" s="18"/>
      <c r="AL23" s="18"/>
      <c r="AM23" s="18"/>
    </row>
    <row r="24" spans="36:39">
      <c r="AJ24" s="93"/>
      <c r="AK24" s="18"/>
      <c r="AL24" s="18"/>
      <c r="AM24" s="18"/>
    </row>
    <row r="25" spans="36:39">
      <c r="AJ25" s="93"/>
      <c r="AK25" s="18"/>
      <c r="AL25" s="18"/>
      <c r="AM25" s="18"/>
    </row>
    <row r="26" spans="36:39">
      <c r="AJ26" s="93"/>
      <c r="AK26" s="18"/>
      <c r="AL26" s="18"/>
      <c r="AM26" s="18"/>
    </row>
    <row r="27" spans="36:39">
      <c r="AJ27" s="93"/>
      <c r="AK27" s="18"/>
      <c r="AL27" s="18"/>
      <c r="AM27" s="18"/>
    </row>
    <row r="28" spans="36:39">
      <c r="AJ28" s="93"/>
      <c r="AK28" s="18"/>
      <c r="AL28" s="18"/>
      <c r="AM28" s="18"/>
    </row>
    <row r="29" spans="36:39">
      <c r="AJ29" s="93"/>
      <c r="AK29" s="18"/>
      <c r="AL29" s="18"/>
      <c r="AM29" s="18"/>
    </row>
    <row r="30" spans="36:39">
      <c r="AJ30" s="93"/>
      <c r="AK30" s="18"/>
      <c r="AL30" s="18"/>
      <c r="AM30" s="18"/>
    </row>
    <row r="31" spans="36:39">
      <c r="AJ31" s="93"/>
      <c r="AK31" s="18"/>
      <c r="AL31" s="18"/>
      <c r="AM31" s="18"/>
    </row>
    <row r="32" spans="36:39">
      <c r="AJ32" s="93"/>
      <c r="AK32" s="18"/>
      <c r="AL32" s="18"/>
      <c r="AM32" s="18"/>
    </row>
    <row r="33" spans="36:39">
      <c r="AJ33" s="93"/>
      <c r="AK33" s="18"/>
      <c r="AL33" s="18"/>
      <c r="AM33" s="18"/>
    </row>
    <row r="34" spans="36:39">
      <c r="AJ34" s="93"/>
      <c r="AK34" s="18"/>
      <c r="AL34" s="18"/>
      <c r="AM34" s="18"/>
    </row>
    <row r="35" spans="36:39">
      <c r="AJ35" s="93"/>
      <c r="AK35" s="18"/>
      <c r="AL35" s="18"/>
      <c r="AM35" s="18"/>
    </row>
    <row r="36" spans="36:39">
      <c r="AJ36" s="93"/>
      <c r="AK36" s="18"/>
      <c r="AL36" s="18"/>
      <c r="AM36" s="18"/>
    </row>
    <row r="37" spans="36:39">
      <c r="AJ37" s="93"/>
      <c r="AK37" s="18"/>
      <c r="AL37" s="18"/>
      <c r="AM37" s="18"/>
    </row>
    <row r="38" spans="36:39">
      <c r="AJ38" s="93"/>
      <c r="AK38" s="18"/>
      <c r="AL38" s="18"/>
      <c r="AM38" s="18"/>
    </row>
    <row r="39" spans="36:39">
      <c r="AJ39" s="93"/>
      <c r="AK39" s="18"/>
      <c r="AL39" s="18"/>
      <c r="AM39" s="18"/>
    </row>
    <row r="40" spans="36:39">
      <c r="AJ40" s="93"/>
      <c r="AK40" s="18"/>
      <c r="AL40" s="18"/>
      <c r="AM40" s="18"/>
    </row>
    <row r="41" spans="36:39">
      <c r="AJ41" s="93"/>
      <c r="AK41" s="18"/>
      <c r="AL41" s="18"/>
      <c r="AM41" s="18"/>
    </row>
    <row r="42" spans="36:39">
      <c r="AJ42" s="93"/>
      <c r="AK42" s="18"/>
      <c r="AL42" s="18"/>
      <c r="AM42" s="18"/>
    </row>
    <row r="43" spans="36:39">
      <c r="AJ43" s="93"/>
      <c r="AK43" s="18"/>
      <c r="AL43" s="18"/>
      <c r="AM43" s="18"/>
    </row>
    <row r="44" spans="36:39">
      <c r="AJ44" s="93"/>
      <c r="AK44" s="18"/>
      <c r="AL44" s="18"/>
      <c r="AM44" s="18"/>
    </row>
    <row r="45" spans="36:39">
      <c r="AJ45" s="93"/>
      <c r="AK45" s="18"/>
      <c r="AL45" s="18"/>
      <c r="AM45" s="18"/>
    </row>
    <row r="46" spans="36:39">
      <c r="AJ46" s="93"/>
      <c r="AK46" s="18"/>
      <c r="AL46" s="18"/>
      <c r="AM46" s="18"/>
    </row>
    <row r="47" spans="36:39">
      <c r="AJ47" s="93"/>
      <c r="AK47" s="18"/>
      <c r="AL47" s="18"/>
      <c r="AM47" s="18"/>
    </row>
    <row r="48" spans="36:39">
      <c r="AJ48" s="93"/>
      <c r="AK48" s="18"/>
      <c r="AL48" s="18"/>
      <c r="AM48" s="18"/>
    </row>
    <row r="49" spans="36:39">
      <c r="AJ49" s="93"/>
      <c r="AK49" s="18"/>
      <c r="AL49" s="18"/>
      <c r="AM49" s="18"/>
    </row>
    <row r="50" spans="36:39">
      <c r="AJ50" s="93"/>
      <c r="AK50" s="18"/>
      <c r="AL50" s="18"/>
      <c r="AM50" s="18"/>
    </row>
    <row r="51" spans="36:39">
      <c r="AJ51" s="93"/>
      <c r="AK51" s="18"/>
      <c r="AL51" s="18"/>
      <c r="AM51" s="18"/>
    </row>
    <row r="52" spans="36:39">
      <c r="AJ52" s="93"/>
      <c r="AK52" s="18"/>
      <c r="AL52" s="18"/>
      <c r="AM52" s="18"/>
    </row>
    <row r="53" spans="36:39">
      <c r="AJ53" s="93"/>
      <c r="AK53" s="18"/>
      <c r="AL53" s="18"/>
      <c r="AM53" s="18"/>
    </row>
    <row r="54" spans="36:39">
      <c r="AJ54" s="93"/>
      <c r="AK54" s="18"/>
      <c r="AL54" s="18"/>
      <c r="AM54" s="18"/>
    </row>
    <row r="55" spans="36:39">
      <c r="AJ55" s="93"/>
      <c r="AK55" s="18"/>
      <c r="AL55" s="18"/>
      <c r="AM55" s="18"/>
    </row>
    <row r="56" spans="36:39">
      <c r="AJ56" s="93"/>
      <c r="AK56" s="18"/>
      <c r="AL56" s="18"/>
      <c r="AM56" s="18"/>
    </row>
    <row r="57" spans="36:39">
      <c r="AJ57" s="93"/>
      <c r="AK57" s="18"/>
      <c r="AL57" s="18"/>
      <c r="AM57" s="18"/>
    </row>
    <row r="58" spans="36:39">
      <c r="AJ58" s="93"/>
      <c r="AK58" s="18"/>
      <c r="AL58" s="18"/>
      <c r="AM58" s="18"/>
    </row>
    <row r="59" spans="36:39">
      <c r="AJ59" s="93"/>
      <c r="AK59" s="18"/>
      <c r="AL59" s="18"/>
      <c r="AM59" s="18"/>
    </row>
    <row r="60" spans="36:39">
      <c r="AJ60" s="93"/>
      <c r="AK60" s="18"/>
      <c r="AL60" s="18"/>
      <c r="AM60" s="18"/>
    </row>
    <row r="61" spans="36:39">
      <c r="AJ61" s="93"/>
      <c r="AK61" s="18"/>
      <c r="AL61" s="18"/>
      <c r="AM61" s="18"/>
    </row>
    <row r="62" spans="36:39">
      <c r="AJ62" s="93"/>
      <c r="AK62" s="18"/>
      <c r="AL62" s="18"/>
      <c r="AM62" s="18"/>
    </row>
    <row r="63" spans="36:39">
      <c r="AJ63" s="93"/>
      <c r="AK63" s="18"/>
      <c r="AL63" s="18"/>
      <c r="AM63" s="18"/>
    </row>
    <row r="64" spans="36:39">
      <c r="AJ64" s="93"/>
      <c r="AK64" s="18"/>
      <c r="AL64" s="18"/>
      <c r="AM64" s="18"/>
    </row>
    <row r="65" spans="36:39">
      <c r="AJ65" s="93"/>
      <c r="AK65" s="18"/>
      <c r="AL65" s="18"/>
      <c r="AM65" s="18"/>
    </row>
    <row r="66" spans="36:39">
      <c r="AJ66" s="93"/>
      <c r="AK66" s="18"/>
      <c r="AL66" s="18"/>
      <c r="AM66" s="18"/>
    </row>
    <row r="67" spans="36:39">
      <c r="AJ67" s="93"/>
      <c r="AK67" s="18"/>
      <c r="AL67" s="18"/>
      <c r="AM67" s="18"/>
    </row>
    <row r="68" spans="36:39">
      <c r="AJ68" s="93"/>
      <c r="AK68" s="18"/>
      <c r="AL68" s="18"/>
      <c r="AM68" s="18"/>
    </row>
    <row r="69" spans="36:39">
      <c r="AJ69" s="93"/>
      <c r="AK69" s="18"/>
      <c r="AL69" s="18"/>
      <c r="AM69" s="18"/>
    </row>
    <row r="70" spans="36:39">
      <c r="AJ70" s="93"/>
      <c r="AK70" s="18"/>
      <c r="AL70" s="18"/>
      <c r="AM70" s="18"/>
    </row>
    <row r="71" spans="36:39">
      <c r="AJ71" s="93"/>
      <c r="AK71" s="18"/>
      <c r="AL71" s="18"/>
      <c r="AM71" s="18"/>
    </row>
    <row r="72" spans="36:39">
      <c r="AJ72" s="93"/>
      <c r="AK72" s="18"/>
      <c r="AL72" s="18"/>
      <c r="AM72" s="18"/>
    </row>
    <row r="73" spans="36:39">
      <c r="AJ73" s="93"/>
      <c r="AK73" s="18"/>
      <c r="AL73" s="18"/>
      <c r="AM73" s="18"/>
    </row>
    <row r="74" spans="36:39">
      <c r="AJ74" s="93"/>
      <c r="AK74" s="18"/>
      <c r="AL74" s="18"/>
      <c r="AM74" s="18"/>
    </row>
    <row r="75" spans="36:39">
      <c r="AJ75" s="93"/>
      <c r="AK75" s="18"/>
      <c r="AL75" s="18"/>
      <c r="AM75" s="18"/>
    </row>
    <row r="76" spans="36:39">
      <c r="AJ76" s="93"/>
      <c r="AK76" s="18"/>
      <c r="AL76" s="18"/>
      <c r="AM76" s="18"/>
    </row>
    <row r="77" spans="36:39">
      <c r="AJ77" s="93"/>
      <c r="AK77" s="18"/>
      <c r="AL77" s="18"/>
      <c r="AM77" s="18"/>
    </row>
    <row r="78" spans="36:39">
      <c r="AJ78" s="93"/>
      <c r="AK78" s="18"/>
      <c r="AL78" s="18"/>
      <c r="AM78" s="18"/>
    </row>
    <row r="79" spans="36:39">
      <c r="AJ79" s="93"/>
      <c r="AK79" s="18"/>
      <c r="AL79" s="18"/>
      <c r="AM79" s="18"/>
    </row>
    <row r="80" spans="36:39">
      <c r="AJ80" s="93"/>
      <c r="AK80" s="18"/>
      <c r="AL80" s="18"/>
      <c r="AM80" s="18"/>
    </row>
    <row r="81" spans="36:39">
      <c r="AJ81" s="93"/>
      <c r="AK81" s="18"/>
      <c r="AL81" s="18"/>
      <c r="AM81" s="18"/>
    </row>
    <row r="82" spans="36:39">
      <c r="AJ82" s="93"/>
      <c r="AK82" s="18"/>
      <c r="AL82" s="18"/>
      <c r="AM82" s="18"/>
    </row>
    <row r="83" spans="36:39">
      <c r="AJ83" s="93"/>
      <c r="AK83" s="18"/>
      <c r="AL83" s="18"/>
      <c r="AM83" s="18"/>
    </row>
    <row r="84" spans="36:39">
      <c r="AJ84" s="93"/>
      <c r="AK84" s="18"/>
      <c r="AL84" s="18"/>
      <c r="AM84" s="18"/>
    </row>
    <row r="85" spans="36:39">
      <c r="AJ85" s="93"/>
      <c r="AK85" s="18"/>
      <c r="AL85" s="18"/>
      <c r="AM85" s="18"/>
    </row>
    <row r="86" spans="36:39">
      <c r="AJ86" s="93"/>
      <c r="AK86" s="18"/>
      <c r="AL86" s="18"/>
      <c r="AM86" s="18"/>
    </row>
    <row r="87" spans="36:39">
      <c r="AJ87" s="93"/>
      <c r="AK87" s="18"/>
      <c r="AL87" s="18"/>
      <c r="AM87" s="18"/>
    </row>
    <row r="88" spans="36:39">
      <c r="AJ88" s="93"/>
      <c r="AK88" s="18"/>
      <c r="AL88" s="18"/>
      <c r="AM88" s="18"/>
    </row>
    <row r="89" spans="36:39">
      <c r="AJ89" s="93"/>
      <c r="AK89" s="18"/>
      <c r="AL89" s="18"/>
      <c r="AM89" s="18"/>
    </row>
    <row r="90" spans="36:39">
      <c r="AJ90" s="93"/>
      <c r="AK90" s="18"/>
      <c r="AL90" s="18"/>
      <c r="AM90" s="18"/>
    </row>
    <row r="91" spans="36:39">
      <c r="AJ91" s="93"/>
      <c r="AK91" s="18"/>
      <c r="AL91" s="18"/>
      <c r="AM91" s="18"/>
    </row>
    <row r="92" spans="36:39">
      <c r="AJ92" s="93"/>
      <c r="AK92" s="18"/>
      <c r="AL92" s="18"/>
      <c r="AM92" s="18"/>
    </row>
    <row r="93" spans="36:39">
      <c r="AJ93" s="93"/>
      <c r="AK93" s="18"/>
      <c r="AL93" s="18"/>
      <c r="AM93" s="18"/>
    </row>
    <row r="94" spans="36:39">
      <c r="AJ94" s="93"/>
      <c r="AK94" s="18"/>
      <c r="AL94" s="18"/>
      <c r="AM94" s="18"/>
    </row>
    <row r="95" spans="36:39">
      <c r="AJ95" s="93"/>
      <c r="AK95" s="18"/>
      <c r="AL95" s="18"/>
      <c r="AM95" s="18"/>
    </row>
    <row r="96" spans="36:39">
      <c r="AJ96" s="93"/>
      <c r="AK96" s="18"/>
      <c r="AL96" s="18"/>
      <c r="AM96" s="18"/>
    </row>
    <row r="97" spans="36:39">
      <c r="AJ97" s="93"/>
      <c r="AK97" s="18"/>
      <c r="AL97" s="18"/>
      <c r="AM97" s="18"/>
    </row>
    <row r="98" spans="36:39">
      <c r="AJ98" s="93"/>
      <c r="AK98" s="18"/>
      <c r="AL98" s="18"/>
      <c r="AM98" s="18"/>
    </row>
    <row r="99" spans="36:39">
      <c r="AJ99" s="93"/>
      <c r="AK99" s="18"/>
      <c r="AL99" s="18"/>
      <c r="AM99" s="18"/>
    </row>
    <row r="100" spans="36:39">
      <c r="AJ100" s="93"/>
      <c r="AK100" s="18"/>
      <c r="AL100" s="18"/>
      <c r="AM100" s="18"/>
    </row>
    <row r="101" spans="36:39">
      <c r="AJ101" s="93"/>
      <c r="AK101" s="18"/>
      <c r="AL101" s="18"/>
      <c r="AM101" s="18"/>
    </row>
    <row r="102" spans="36:39">
      <c r="AJ102" s="93"/>
      <c r="AK102" s="18"/>
      <c r="AL102" s="18"/>
      <c r="AM102" s="18"/>
    </row>
    <row r="103" spans="36:39">
      <c r="AJ103" s="93"/>
      <c r="AK103" s="18"/>
      <c r="AL103" s="18"/>
      <c r="AM103" s="18"/>
    </row>
    <row r="104" spans="36:39">
      <c r="AJ104" s="93"/>
      <c r="AK104" s="18"/>
      <c r="AL104" s="18"/>
      <c r="AM104" s="18"/>
    </row>
    <row r="105" spans="36:39">
      <c r="AJ105" s="93"/>
      <c r="AK105" s="18"/>
      <c r="AL105" s="18"/>
      <c r="AM105" s="18"/>
    </row>
    <row r="106" spans="36:39">
      <c r="AJ106" s="93"/>
      <c r="AK106" s="18"/>
      <c r="AL106" s="18"/>
      <c r="AM106" s="18"/>
    </row>
    <row r="107" spans="36:39">
      <c r="AJ107" s="93"/>
      <c r="AK107" s="18"/>
      <c r="AL107" s="18"/>
      <c r="AM107" s="18"/>
    </row>
    <row r="108" spans="36:39">
      <c r="AJ108" s="93"/>
      <c r="AK108" s="18"/>
      <c r="AL108" s="18"/>
      <c r="AM108" s="18"/>
    </row>
    <row r="109" spans="36:39">
      <c r="AJ109" s="93"/>
      <c r="AK109" s="18"/>
      <c r="AL109" s="18"/>
      <c r="AM109" s="18"/>
    </row>
    <row r="110" spans="36:39">
      <c r="AJ110" s="93"/>
      <c r="AK110" s="18"/>
      <c r="AL110" s="18"/>
      <c r="AM110" s="18"/>
    </row>
    <row r="111" spans="36:39">
      <c r="AJ111" s="93"/>
      <c r="AK111" s="18"/>
      <c r="AL111" s="18"/>
      <c r="AM111" s="18"/>
    </row>
    <row r="112" spans="36:39">
      <c r="AJ112" s="93"/>
      <c r="AK112" s="18"/>
      <c r="AL112" s="18"/>
      <c r="AM112" s="18"/>
    </row>
    <row r="113" spans="36:39">
      <c r="AJ113" s="93"/>
      <c r="AK113" s="18"/>
      <c r="AL113" s="18"/>
      <c r="AM113" s="18"/>
    </row>
    <row r="114" spans="36:39">
      <c r="AJ114" s="93"/>
      <c r="AK114" s="18"/>
      <c r="AL114" s="18"/>
      <c r="AM114" s="18"/>
    </row>
    <row r="115" spans="36:39">
      <c r="AJ115" s="93"/>
      <c r="AK115" s="18"/>
      <c r="AL115" s="18"/>
      <c r="AM115" s="18"/>
    </row>
    <row r="116" spans="36:39">
      <c r="AJ116" s="93"/>
      <c r="AK116" s="18"/>
      <c r="AL116" s="18"/>
      <c r="AM116" s="18"/>
    </row>
    <row r="117" spans="36:39">
      <c r="AJ117" s="93"/>
      <c r="AK117" s="18"/>
      <c r="AL117" s="18"/>
      <c r="AM117" s="18"/>
    </row>
    <row r="118" spans="36:39">
      <c r="AJ118" s="93"/>
      <c r="AK118" s="18"/>
      <c r="AL118" s="18"/>
      <c r="AM118" s="18"/>
    </row>
    <row r="119" spans="36:39">
      <c r="AJ119" s="93"/>
      <c r="AK119" s="18"/>
      <c r="AL119" s="18"/>
      <c r="AM119" s="18"/>
    </row>
    <row r="120" spans="36:39">
      <c r="AJ120" s="93"/>
      <c r="AK120" s="18"/>
      <c r="AL120" s="18"/>
      <c r="AM120" s="18"/>
    </row>
    <row r="121" spans="36:39">
      <c r="AJ121" s="93"/>
      <c r="AK121" s="18"/>
      <c r="AL121" s="18"/>
      <c r="AM121" s="18"/>
    </row>
    <row r="122" spans="36:39">
      <c r="AJ122" s="93"/>
      <c r="AK122" s="18"/>
      <c r="AL122" s="18"/>
      <c r="AM122" s="18"/>
    </row>
    <row r="123" spans="36:39">
      <c r="AJ123" s="93"/>
      <c r="AK123" s="18"/>
      <c r="AL123" s="18"/>
      <c r="AM123" s="18"/>
    </row>
    <row r="124" spans="36:39">
      <c r="AJ124" s="93"/>
      <c r="AK124" s="18"/>
      <c r="AL124" s="18"/>
      <c r="AM124" s="18"/>
    </row>
    <row r="125" spans="36:39">
      <c r="AJ125" s="93"/>
      <c r="AK125" s="18"/>
      <c r="AL125" s="18"/>
      <c r="AM125" s="18"/>
    </row>
    <row r="126" spans="36:39">
      <c r="AJ126" s="93"/>
      <c r="AK126" s="18"/>
      <c r="AL126" s="18"/>
      <c r="AM126" s="18"/>
    </row>
    <row r="127" spans="36:39">
      <c r="AJ127" s="93"/>
      <c r="AK127" s="18"/>
      <c r="AL127" s="18"/>
      <c r="AM127" s="18"/>
    </row>
    <row r="128" spans="36:39">
      <c r="AJ128" s="93"/>
      <c r="AK128" s="18"/>
      <c r="AL128" s="18"/>
      <c r="AM128" s="18"/>
    </row>
    <row r="129" spans="36:39">
      <c r="AJ129" s="93"/>
      <c r="AK129" s="18"/>
      <c r="AL129" s="18"/>
      <c r="AM129" s="18"/>
    </row>
    <row r="130" spans="36:39">
      <c r="AJ130" s="93"/>
      <c r="AK130" s="18"/>
      <c r="AL130" s="18"/>
      <c r="AM130" s="18"/>
    </row>
    <row r="131" spans="36:39">
      <c r="AJ131" s="93"/>
      <c r="AK131" s="18"/>
      <c r="AL131" s="18"/>
      <c r="AM131" s="18"/>
    </row>
    <row r="132" spans="36:39">
      <c r="AJ132" s="93"/>
      <c r="AK132" s="18"/>
      <c r="AL132" s="18"/>
      <c r="AM132" s="18"/>
    </row>
    <row r="133" spans="36:39">
      <c r="AJ133" s="93"/>
      <c r="AK133" s="18"/>
      <c r="AL133" s="18"/>
      <c r="AM133" s="18"/>
    </row>
    <row r="134" spans="36:39">
      <c r="AJ134" s="93"/>
      <c r="AK134" s="18"/>
      <c r="AL134" s="18"/>
      <c r="AM134" s="18"/>
    </row>
    <row r="135" spans="36:39">
      <c r="AJ135" s="93"/>
      <c r="AK135" s="18"/>
      <c r="AL135" s="18"/>
      <c r="AM135" s="18"/>
    </row>
    <row r="136" spans="36:39">
      <c r="AJ136" s="93"/>
      <c r="AK136" s="18"/>
      <c r="AL136" s="18"/>
      <c r="AM136" s="18"/>
    </row>
    <row r="137" spans="36:39">
      <c r="AJ137" s="93"/>
      <c r="AK137" s="18"/>
      <c r="AL137" s="18"/>
      <c r="AM137" s="18"/>
    </row>
    <row r="138" spans="36:39">
      <c r="AJ138" s="93"/>
      <c r="AK138" s="18"/>
      <c r="AL138" s="18"/>
      <c r="AM138" s="18"/>
    </row>
    <row r="139" spans="36:39">
      <c r="AJ139" s="93"/>
      <c r="AK139" s="18"/>
      <c r="AL139" s="18"/>
      <c r="AM139" s="18"/>
    </row>
    <row r="140" spans="36:39">
      <c r="AJ140" s="93"/>
      <c r="AK140" s="18"/>
      <c r="AL140" s="18"/>
      <c r="AM140" s="18"/>
    </row>
    <row r="141" spans="36:39">
      <c r="AJ141" s="93"/>
      <c r="AK141" s="18"/>
      <c r="AL141" s="18"/>
      <c r="AM141" s="18"/>
    </row>
    <row r="142" spans="36:39">
      <c r="AJ142" s="93"/>
      <c r="AK142" s="18"/>
      <c r="AL142" s="18"/>
      <c r="AM142" s="18"/>
    </row>
    <row r="143" spans="36:39">
      <c r="AJ143" s="93"/>
      <c r="AK143" s="18"/>
      <c r="AL143" s="18"/>
      <c r="AM143" s="18"/>
    </row>
    <row r="144" spans="36:39">
      <c r="AJ144" s="93"/>
      <c r="AK144" s="18"/>
      <c r="AL144" s="18"/>
      <c r="AM144" s="18"/>
    </row>
    <row r="145" spans="36:39">
      <c r="AJ145" s="93"/>
      <c r="AK145" s="18"/>
      <c r="AL145" s="18"/>
      <c r="AM145" s="18"/>
    </row>
    <row r="146" spans="36:39">
      <c r="AJ146" s="93"/>
      <c r="AK146" s="18"/>
      <c r="AL146" s="18"/>
      <c r="AM146" s="18"/>
    </row>
    <row r="147" spans="36:39">
      <c r="AJ147" s="93"/>
      <c r="AK147" s="18"/>
      <c r="AL147" s="18"/>
      <c r="AM147" s="18"/>
    </row>
    <row r="148" spans="36:39">
      <c r="AJ148" s="93"/>
      <c r="AK148" s="18"/>
      <c r="AL148" s="18"/>
      <c r="AM148" s="18"/>
    </row>
    <row r="149" spans="36:39">
      <c r="AJ149" s="93"/>
      <c r="AK149" s="18"/>
      <c r="AL149" s="18"/>
      <c r="AM149" s="18"/>
    </row>
    <row r="150" spans="36:39">
      <c r="AJ150" s="93"/>
      <c r="AK150" s="18"/>
      <c r="AL150" s="18"/>
      <c r="AM150" s="18"/>
    </row>
    <row r="151" spans="36:39">
      <c r="AJ151" s="93"/>
      <c r="AK151" s="18"/>
      <c r="AL151" s="18"/>
      <c r="AM151" s="18"/>
    </row>
    <row r="152" spans="36:39">
      <c r="AJ152" s="93"/>
      <c r="AK152" s="18"/>
      <c r="AL152" s="18"/>
      <c r="AM152" s="18"/>
    </row>
    <row r="153" spans="36:39">
      <c r="AJ153" s="93"/>
      <c r="AK153" s="18"/>
      <c r="AL153" s="18"/>
      <c r="AM153" s="18"/>
    </row>
    <row r="154" spans="36:39">
      <c r="AJ154" s="93"/>
      <c r="AK154" s="18"/>
      <c r="AL154" s="18"/>
      <c r="AM154" s="18"/>
    </row>
    <row r="155" spans="36:39">
      <c r="AJ155" s="93"/>
      <c r="AK155" s="18"/>
      <c r="AL155" s="18"/>
      <c r="AM155" s="18"/>
    </row>
    <row r="156" spans="36:39">
      <c r="AJ156" s="93"/>
      <c r="AK156" s="18"/>
      <c r="AL156" s="18"/>
      <c r="AM156" s="18"/>
    </row>
    <row r="157" spans="36:39">
      <c r="AJ157" s="93"/>
      <c r="AK157" s="18"/>
      <c r="AL157" s="18"/>
      <c r="AM157" s="18"/>
    </row>
    <row r="158" spans="36:39">
      <c r="AJ158" s="93"/>
      <c r="AK158" s="18"/>
      <c r="AL158" s="18"/>
      <c r="AM158" s="18"/>
    </row>
    <row r="159" spans="36:39">
      <c r="AJ159" s="93"/>
      <c r="AK159" s="18"/>
      <c r="AL159" s="18"/>
      <c r="AM159" s="18"/>
    </row>
    <row r="160" spans="36:39">
      <c r="AJ160" s="93"/>
      <c r="AK160" s="18"/>
      <c r="AL160" s="18"/>
      <c r="AM160" s="18"/>
    </row>
    <row r="161" spans="36:39">
      <c r="AJ161" s="93"/>
      <c r="AK161" s="18"/>
      <c r="AL161" s="18"/>
      <c r="AM161" s="18"/>
    </row>
    <row r="162" spans="36:39">
      <c r="AJ162" s="93"/>
      <c r="AK162" s="18"/>
      <c r="AL162" s="18"/>
      <c r="AM162" s="18"/>
    </row>
    <row r="163" spans="36:39">
      <c r="AJ163" s="93"/>
      <c r="AK163" s="18"/>
      <c r="AL163" s="18"/>
      <c r="AM163" s="18"/>
    </row>
    <row r="164" spans="36:39">
      <c r="AJ164" s="93"/>
      <c r="AK164" s="18"/>
      <c r="AL164" s="18"/>
      <c r="AM164" s="18"/>
    </row>
    <row r="165" spans="36:39">
      <c r="AJ165" s="93"/>
      <c r="AK165" s="18"/>
      <c r="AL165" s="18"/>
      <c r="AM165" s="18"/>
    </row>
    <row r="166" spans="36:39">
      <c r="AJ166" s="93"/>
      <c r="AK166" s="18"/>
      <c r="AL166" s="18"/>
      <c r="AM166" s="18"/>
    </row>
    <row r="167" spans="36:39">
      <c r="AJ167" s="93"/>
      <c r="AK167" s="18"/>
      <c r="AL167" s="18"/>
      <c r="AM167" s="18"/>
    </row>
    <row r="168" spans="36:39">
      <c r="AJ168" s="93"/>
      <c r="AK168" s="18"/>
      <c r="AL168" s="18"/>
      <c r="AM168" s="18"/>
    </row>
    <row r="169" spans="36:39">
      <c r="AJ169" s="93"/>
      <c r="AK169" s="18"/>
      <c r="AL169" s="18"/>
      <c r="AM169" s="18"/>
    </row>
    <row r="170" spans="36:39">
      <c r="AJ170" s="93"/>
      <c r="AK170" s="18"/>
      <c r="AL170" s="18"/>
      <c r="AM170" s="18"/>
    </row>
    <row r="171" spans="36:39">
      <c r="AJ171" s="93"/>
      <c r="AK171" s="18"/>
      <c r="AL171" s="18"/>
      <c r="AM171" s="18"/>
    </row>
    <row r="172" spans="36:39">
      <c r="AJ172" s="93"/>
      <c r="AK172" s="18"/>
      <c r="AL172" s="18"/>
      <c r="AM172" s="18"/>
    </row>
    <row r="173" spans="36:39">
      <c r="AJ173" s="93"/>
      <c r="AK173" s="18"/>
      <c r="AL173" s="18"/>
      <c r="AM173" s="18"/>
    </row>
    <row r="174" spans="36:39">
      <c r="AJ174" s="93"/>
      <c r="AK174" s="18"/>
      <c r="AL174" s="18"/>
      <c r="AM174" s="18"/>
    </row>
    <row r="175" spans="36:39">
      <c r="AJ175" s="93"/>
      <c r="AK175" s="18"/>
      <c r="AL175" s="18"/>
      <c r="AM175" s="18"/>
    </row>
    <row r="176" spans="36:39">
      <c r="AJ176" s="93"/>
      <c r="AK176" s="18"/>
      <c r="AL176" s="18"/>
      <c r="AM176" s="18"/>
    </row>
    <row r="177" spans="36:39">
      <c r="AJ177" s="93"/>
      <c r="AK177" s="18"/>
      <c r="AL177" s="18"/>
      <c r="AM177" s="18"/>
    </row>
    <row r="178" spans="36:39">
      <c r="AJ178" s="93"/>
      <c r="AK178" s="18"/>
      <c r="AL178" s="18"/>
      <c r="AM178" s="18"/>
    </row>
    <row r="179" spans="36:39">
      <c r="AJ179" s="93"/>
      <c r="AK179" s="18"/>
      <c r="AL179" s="18"/>
      <c r="AM179" s="18"/>
    </row>
    <row r="180" spans="36:39">
      <c r="AJ180" s="93"/>
      <c r="AK180" s="18"/>
      <c r="AL180" s="18"/>
      <c r="AM180" s="18"/>
    </row>
    <row r="181" spans="36:39">
      <c r="AJ181" s="93"/>
      <c r="AK181" s="18"/>
      <c r="AL181" s="18"/>
      <c r="AM181" s="18"/>
    </row>
    <row r="182" spans="36:39">
      <c r="AJ182" s="93"/>
      <c r="AK182" s="18"/>
      <c r="AL182" s="18"/>
      <c r="AM182" s="18"/>
    </row>
    <row r="183" spans="36:39">
      <c r="AJ183" s="93"/>
      <c r="AK183" s="18"/>
      <c r="AL183" s="18"/>
      <c r="AM183" s="18"/>
    </row>
    <row r="184" spans="36:39">
      <c r="AJ184" s="93"/>
      <c r="AK184" s="18"/>
      <c r="AL184" s="18"/>
      <c r="AM184" s="18"/>
    </row>
    <row r="185" spans="36:39">
      <c r="AJ185" s="93"/>
      <c r="AK185" s="18"/>
      <c r="AL185" s="18"/>
      <c r="AM185" s="18"/>
    </row>
    <row r="186" spans="36:39">
      <c r="AJ186" s="93"/>
      <c r="AK186" s="18"/>
      <c r="AL186" s="18"/>
      <c r="AM186" s="18"/>
    </row>
    <row r="187" spans="36:39">
      <c r="AJ187" s="93"/>
      <c r="AK187" s="18"/>
      <c r="AL187" s="18"/>
      <c r="AM187" s="18"/>
    </row>
    <row r="188" spans="36:39">
      <c r="AJ188" s="93"/>
      <c r="AK188" s="18"/>
      <c r="AL188" s="18"/>
      <c r="AM188" s="18"/>
    </row>
    <row r="189" spans="36:39">
      <c r="AJ189" s="93"/>
      <c r="AK189" s="18"/>
      <c r="AL189" s="18"/>
      <c r="AM189" s="18"/>
    </row>
    <row r="190" spans="36:39">
      <c r="AJ190" s="93"/>
      <c r="AK190" s="18"/>
      <c r="AL190" s="18"/>
      <c r="AM190" s="18"/>
    </row>
    <row r="191" spans="36:39">
      <c r="AJ191" s="93"/>
      <c r="AK191" s="18"/>
      <c r="AL191" s="18"/>
      <c r="AM191" s="18"/>
    </row>
    <row r="192" spans="36:39">
      <c r="AJ192" s="93"/>
      <c r="AK192" s="18"/>
      <c r="AL192" s="18"/>
      <c r="AM192" s="18"/>
    </row>
    <row r="193" spans="36:39">
      <c r="AJ193" s="93"/>
      <c r="AK193" s="18"/>
      <c r="AL193" s="18"/>
      <c r="AM193" s="18"/>
    </row>
    <row r="194" spans="36:39">
      <c r="AJ194" s="93"/>
      <c r="AK194" s="18"/>
      <c r="AL194" s="18"/>
      <c r="AM194" s="18"/>
    </row>
    <row r="195" spans="36:39">
      <c r="AJ195" s="93"/>
      <c r="AK195" s="18"/>
      <c r="AL195" s="18"/>
      <c r="AM195" s="18"/>
    </row>
    <row r="196" spans="36:39">
      <c r="AJ196" s="93"/>
      <c r="AK196" s="18"/>
      <c r="AL196" s="18"/>
      <c r="AM196" s="18"/>
    </row>
    <row r="197" spans="36:39">
      <c r="AJ197" s="93"/>
      <c r="AK197" s="18"/>
      <c r="AL197" s="18"/>
      <c r="AM197" s="18"/>
    </row>
    <row r="198" spans="36:39">
      <c r="AJ198" s="93"/>
      <c r="AK198" s="18"/>
      <c r="AL198" s="18"/>
      <c r="AM198" s="18"/>
    </row>
    <row r="199" spans="36:39">
      <c r="AJ199" s="93"/>
      <c r="AK199" s="18"/>
      <c r="AL199" s="18"/>
      <c r="AM199" s="18"/>
    </row>
    <row r="200" spans="36:39">
      <c r="AJ200" s="93"/>
      <c r="AK200" s="18"/>
      <c r="AL200" s="18"/>
      <c r="AM200" s="18"/>
    </row>
    <row r="201" spans="36:39">
      <c r="AJ201" s="93"/>
      <c r="AK201" s="18"/>
      <c r="AL201" s="18"/>
      <c r="AM201" s="18"/>
    </row>
    <row r="202" spans="36:39">
      <c r="AJ202" s="93"/>
      <c r="AK202" s="18"/>
      <c r="AL202" s="18"/>
      <c r="AM202" s="18"/>
    </row>
    <row r="203" spans="36:39">
      <c r="AJ203" s="93"/>
      <c r="AK203" s="18"/>
      <c r="AL203" s="18"/>
      <c r="AM203" s="18"/>
    </row>
    <row r="204" spans="36:39">
      <c r="AJ204" s="93"/>
      <c r="AK204" s="18"/>
      <c r="AL204" s="18"/>
      <c r="AM204" s="18"/>
    </row>
    <row r="205" spans="36:39">
      <c r="AJ205" s="93"/>
      <c r="AK205" s="18"/>
      <c r="AL205" s="18"/>
      <c r="AM205" s="18"/>
    </row>
    <row r="206" spans="36:39">
      <c r="AJ206" s="93"/>
      <c r="AK206" s="18"/>
      <c r="AL206" s="18"/>
      <c r="AM206" s="18"/>
    </row>
    <row r="207" spans="36:39">
      <c r="AJ207" s="93"/>
      <c r="AK207" s="18"/>
      <c r="AL207" s="18"/>
      <c r="AM207" s="18"/>
    </row>
    <row r="208" spans="36:39">
      <c r="AJ208" s="93"/>
      <c r="AK208" s="18"/>
      <c r="AL208" s="18"/>
      <c r="AM208" s="18"/>
    </row>
    <row r="209" spans="36:39">
      <c r="AJ209" s="93"/>
      <c r="AK209" s="18"/>
      <c r="AL209" s="18"/>
      <c r="AM209" s="18"/>
    </row>
    <row r="210" spans="36:39">
      <c r="AJ210" s="93"/>
      <c r="AK210" s="18"/>
      <c r="AL210" s="18"/>
      <c r="AM210" s="18"/>
    </row>
    <row r="211" spans="36:39">
      <c r="AJ211" s="93"/>
      <c r="AK211" s="18"/>
      <c r="AL211" s="18"/>
      <c r="AM211" s="18"/>
    </row>
    <row r="212" spans="36:39">
      <c r="AJ212" s="93"/>
      <c r="AK212" s="18"/>
      <c r="AL212" s="18"/>
      <c r="AM212" s="18"/>
    </row>
    <row r="213" spans="36:39">
      <c r="AJ213" s="93"/>
      <c r="AK213" s="18"/>
      <c r="AL213" s="18"/>
      <c r="AM213" s="18"/>
    </row>
    <row r="214" spans="36:39">
      <c r="AJ214" s="93"/>
      <c r="AK214" s="18"/>
      <c r="AL214" s="18"/>
      <c r="AM214" s="18"/>
    </row>
    <row r="215" spans="36:39">
      <c r="AJ215" s="93"/>
      <c r="AK215" s="18"/>
      <c r="AL215" s="18"/>
      <c r="AM215" s="18"/>
    </row>
    <row r="216" spans="36:39">
      <c r="AJ216" s="93"/>
      <c r="AK216" s="18"/>
      <c r="AL216" s="18"/>
      <c r="AM216" s="18"/>
    </row>
    <row r="217" spans="36:39">
      <c r="AJ217" s="93"/>
      <c r="AK217" s="18"/>
      <c r="AL217" s="18"/>
      <c r="AM217" s="18"/>
    </row>
    <row r="218" spans="36:39">
      <c r="AJ218" s="93"/>
      <c r="AK218" s="18"/>
      <c r="AL218" s="18"/>
      <c r="AM218" s="18"/>
    </row>
    <row r="219" spans="36:39">
      <c r="AJ219" s="93"/>
      <c r="AK219" s="18"/>
      <c r="AL219" s="18"/>
      <c r="AM219" s="18"/>
    </row>
    <row r="220" spans="36:39">
      <c r="AJ220" s="93"/>
      <c r="AK220" s="18"/>
      <c r="AL220" s="18"/>
      <c r="AM220" s="18"/>
    </row>
    <row r="221" spans="36:39">
      <c r="AJ221" s="93"/>
      <c r="AK221" s="18"/>
      <c r="AL221" s="18"/>
      <c r="AM221" s="18"/>
    </row>
    <row r="222" spans="36:39">
      <c r="AJ222" s="93"/>
      <c r="AK222" s="18"/>
      <c r="AL222" s="18"/>
      <c r="AM222" s="18"/>
    </row>
    <row r="223" spans="36:39">
      <c r="AJ223" s="93"/>
      <c r="AK223" s="18"/>
      <c r="AL223" s="18"/>
      <c r="AM223" s="18"/>
    </row>
    <row r="224" spans="36:39">
      <c r="AJ224" s="93"/>
      <c r="AK224" s="18"/>
      <c r="AL224" s="18"/>
      <c r="AM224" s="18"/>
    </row>
    <row r="225" spans="36:39">
      <c r="AJ225" s="93"/>
      <c r="AK225" s="18"/>
      <c r="AL225" s="18"/>
      <c r="AM225" s="18"/>
    </row>
    <row r="226" spans="36:39">
      <c r="AJ226" s="93"/>
      <c r="AK226" s="18"/>
      <c r="AL226" s="18"/>
      <c r="AM226" s="18"/>
    </row>
    <row r="227" spans="36:39">
      <c r="AJ227" s="93"/>
      <c r="AK227" s="18"/>
      <c r="AL227" s="18"/>
      <c r="AM227" s="18"/>
    </row>
    <row r="228" spans="36:39">
      <c r="AJ228" s="93"/>
      <c r="AK228" s="18"/>
      <c r="AL228" s="18"/>
      <c r="AM228" s="18"/>
    </row>
    <row r="229" spans="36:39">
      <c r="AJ229" s="93"/>
      <c r="AK229" s="18"/>
      <c r="AL229" s="18"/>
      <c r="AM229" s="18"/>
    </row>
    <row r="230" spans="36:39">
      <c r="AJ230" s="93"/>
      <c r="AK230" s="18"/>
      <c r="AL230" s="18"/>
      <c r="AM230" s="18"/>
    </row>
    <row r="231" spans="36:39">
      <c r="AJ231" s="93"/>
      <c r="AK231" s="18"/>
      <c r="AL231" s="18"/>
      <c r="AM231" s="18"/>
    </row>
    <row r="232" spans="36:39">
      <c r="AJ232" s="93"/>
      <c r="AK232" s="18"/>
      <c r="AL232" s="18"/>
      <c r="AM232" s="18"/>
    </row>
    <row r="233" spans="36:39">
      <c r="AJ233" s="93"/>
      <c r="AK233" s="18"/>
      <c r="AL233" s="18"/>
      <c r="AM233" s="18"/>
    </row>
    <row r="234" spans="36:39">
      <c r="AJ234" s="93"/>
      <c r="AK234" s="18"/>
      <c r="AL234" s="18"/>
      <c r="AM234" s="18"/>
    </row>
    <row r="235" spans="36:39">
      <c r="AJ235" s="93"/>
      <c r="AK235" s="18"/>
      <c r="AL235" s="18"/>
      <c r="AM235" s="18"/>
    </row>
    <row r="236" spans="36:39">
      <c r="AJ236" s="93"/>
      <c r="AK236" s="18"/>
      <c r="AL236" s="18"/>
      <c r="AM236" s="18"/>
    </row>
    <row r="237" spans="36:39">
      <c r="AJ237" s="93"/>
      <c r="AK237" s="18"/>
      <c r="AL237" s="18"/>
      <c r="AM237" s="18"/>
    </row>
    <row r="238" spans="36:39">
      <c r="AJ238" s="93"/>
      <c r="AK238" s="18"/>
      <c r="AL238" s="18"/>
      <c r="AM238" s="18"/>
    </row>
    <row r="239" spans="36:39">
      <c r="AJ239" s="93"/>
      <c r="AK239" s="18"/>
      <c r="AL239" s="18"/>
      <c r="AM239" s="18"/>
    </row>
    <row r="240" spans="36:39">
      <c r="AJ240" s="93"/>
      <c r="AK240" s="18"/>
      <c r="AL240" s="18"/>
      <c r="AM240" s="18"/>
    </row>
    <row r="241" spans="36:39">
      <c r="AJ241" s="93"/>
      <c r="AK241" s="18"/>
      <c r="AL241" s="18"/>
      <c r="AM241" s="18"/>
    </row>
    <row r="242" spans="36:39">
      <c r="AJ242" s="93"/>
      <c r="AK242" s="18"/>
      <c r="AL242" s="18"/>
      <c r="AM242" s="18"/>
    </row>
    <row r="243" spans="36:39">
      <c r="AJ243" s="93"/>
      <c r="AK243" s="18"/>
      <c r="AL243" s="18"/>
      <c r="AM243" s="18"/>
    </row>
    <row r="244" spans="36:39">
      <c r="AJ244" s="93"/>
      <c r="AK244" s="18"/>
      <c r="AL244" s="18"/>
      <c r="AM244" s="18"/>
    </row>
    <row r="245" spans="36:39">
      <c r="AJ245" s="93"/>
      <c r="AK245" s="18"/>
      <c r="AL245" s="18"/>
      <c r="AM245" s="18"/>
    </row>
    <row r="246" spans="36:39">
      <c r="AJ246" s="93"/>
      <c r="AK246" s="18"/>
      <c r="AL246" s="18"/>
      <c r="AM246" s="18"/>
    </row>
    <row r="247" spans="36:39">
      <c r="AJ247" s="93"/>
      <c r="AK247" s="18"/>
      <c r="AL247" s="18"/>
      <c r="AM247" s="18"/>
    </row>
    <row r="248" spans="36:39">
      <c r="AJ248" s="93"/>
      <c r="AK248" s="18"/>
      <c r="AL248" s="18"/>
      <c r="AM248" s="18"/>
    </row>
    <row r="249" spans="36:39">
      <c r="AJ249" s="93"/>
      <c r="AK249" s="18"/>
      <c r="AL249" s="18"/>
      <c r="AM249" s="18"/>
    </row>
    <row r="250" spans="36:39">
      <c r="AJ250" s="93"/>
      <c r="AK250" s="18"/>
      <c r="AL250" s="18"/>
      <c r="AM250" s="18"/>
    </row>
    <row r="251" spans="36:39">
      <c r="AJ251" s="93"/>
      <c r="AK251" s="18"/>
      <c r="AL251" s="18"/>
      <c r="AM251" s="18"/>
    </row>
    <row r="252" spans="36:39">
      <c r="AJ252" s="93"/>
      <c r="AK252" s="18"/>
      <c r="AL252" s="18"/>
      <c r="AM252" s="18"/>
    </row>
    <row r="253" spans="36:39">
      <c r="AJ253" s="93"/>
      <c r="AK253" s="18"/>
      <c r="AL253" s="18"/>
      <c r="AM253" s="18"/>
    </row>
    <row r="254" spans="36:39">
      <c r="AJ254" s="93"/>
      <c r="AK254" s="18"/>
      <c r="AL254" s="18"/>
      <c r="AM254" s="18"/>
    </row>
    <row r="255" spans="36:39">
      <c r="AJ255" s="93"/>
      <c r="AK255" s="18"/>
      <c r="AL255" s="18"/>
      <c r="AM255" s="18"/>
    </row>
    <row r="256" spans="36:39">
      <c r="AJ256" s="93"/>
      <c r="AK256" s="18"/>
      <c r="AL256" s="18"/>
      <c r="AM256" s="18"/>
    </row>
    <row r="257" spans="36:39">
      <c r="AJ257" s="93"/>
      <c r="AK257" s="18"/>
      <c r="AL257" s="18"/>
      <c r="AM257" s="18"/>
    </row>
    <row r="258" spans="36:39">
      <c r="AJ258" s="93"/>
      <c r="AK258" s="18"/>
      <c r="AL258" s="18"/>
      <c r="AM258" s="18"/>
    </row>
    <row r="259" spans="36:39">
      <c r="AJ259" s="93"/>
      <c r="AK259" s="18"/>
      <c r="AL259" s="18"/>
      <c r="AM259" s="18"/>
    </row>
    <row r="260" spans="36:39">
      <c r="AJ260" s="93"/>
      <c r="AK260" s="18"/>
      <c r="AL260" s="18"/>
      <c r="AM260" s="18"/>
    </row>
    <row r="261" spans="36:39">
      <c r="AJ261" s="93"/>
      <c r="AK261" s="18"/>
      <c r="AL261" s="18"/>
      <c r="AM261" s="18"/>
    </row>
    <row r="262" spans="36:39">
      <c r="AJ262" s="93"/>
      <c r="AK262" s="18"/>
      <c r="AL262" s="18"/>
      <c r="AM262" s="18"/>
    </row>
    <row r="263" spans="36:39">
      <c r="AJ263" s="93"/>
      <c r="AK263" s="18"/>
      <c r="AL263" s="18"/>
      <c r="AM263" s="18"/>
    </row>
    <row r="264" spans="36:39">
      <c r="AJ264" s="93"/>
      <c r="AK264" s="18"/>
      <c r="AL264" s="18"/>
      <c r="AM264" s="18"/>
    </row>
    <row r="265" spans="36:39">
      <c r="AJ265" s="93"/>
      <c r="AK265" s="18"/>
      <c r="AL265" s="18"/>
      <c r="AM265" s="18"/>
    </row>
    <row r="266" spans="36:39">
      <c r="AJ266" s="93"/>
      <c r="AK266" s="18"/>
      <c r="AL266" s="18"/>
      <c r="AM266" s="18"/>
    </row>
    <row r="267" spans="36:39">
      <c r="AJ267" s="93"/>
      <c r="AK267" s="18"/>
      <c r="AL267" s="18"/>
      <c r="AM267" s="18"/>
    </row>
    <row r="268" spans="36:39">
      <c r="AJ268" s="93"/>
      <c r="AK268" s="18"/>
      <c r="AL268" s="18"/>
      <c r="AM268" s="18"/>
    </row>
    <row r="269" spans="36:39">
      <c r="AJ269" s="93"/>
      <c r="AK269" s="18"/>
      <c r="AL269" s="18"/>
      <c r="AM269" s="18"/>
    </row>
    <row r="270" spans="36:39">
      <c r="AJ270" s="93"/>
      <c r="AK270" s="18"/>
      <c r="AL270" s="18"/>
      <c r="AM270" s="18"/>
    </row>
    <row r="271" spans="36:39">
      <c r="AJ271" s="93"/>
      <c r="AK271" s="18"/>
      <c r="AL271" s="18"/>
      <c r="AM271" s="18"/>
    </row>
    <row r="272" spans="36:39">
      <c r="AJ272" s="93"/>
      <c r="AK272" s="18"/>
      <c r="AL272" s="18"/>
      <c r="AM272" s="18"/>
    </row>
    <row r="273" spans="36:39">
      <c r="AJ273" s="93"/>
      <c r="AK273" s="18"/>
      <c r="AL273" s="18"/>
      <c r="AM273" s="18"/>
    </row>
    <row r="274" spans="36:39">
      <c r="AJ274" s="93"/>
      <c r="AK274" s="18"/>
      <c r="AL274" s="18"/>
      <c r="AM274" s="18"/>
    </row>
    <row r="275" spans="36:39">
      <c r="AJ275" s="93"/>
      <c r="AK275" s="18"/>
      <c r="AL275" s="18"/>
      <c r="AM275" s="18"/>
    </row>
    <row r="276" spans="36:39">
      <c r="AJ276" s="93"/>
      <c r="AK276" s="18"/>
      <c r="AL276" s="18"/>
      <c r="AM276" s="18"/>
    </row>
    <row r="277" spans="36:39">
      <c r="AJ277" s="93"/>
      <c r="AK277" s="18"/>
      <c r="AL277" s="18"/>
      <c r="AM277" s="18"/>
    </row>
    <row r="278" spans="36:39">
      <c r="AJ278" s="93"/>
      <c r="AK278" s="18"/>
      <c r="AL278" s="18"/>
      <c r="AM278" s="18"/>
    </row>
    <row r="279" spans="36:39">
      <c r="AJ279" s="93"/>
      <c r="AK279" s="18"/>
      <c r="AL279" s="18"/>
      <c r="AM279" s="18"/>
    </row>
    <row r="280" spans="36:39">
      <c r="AJ280" s="93"/>
      <c r="AK280" s="18"/>
      <c r="AL280" s="18"/>
      <c r="AM280" s="18"/>
    </row>
    <row r="281" spans="36:39">
      <c r="AJ281" s="93"/>
      <c r="AK281" s="18"/>
      <c r="AL281" s="18"/>
      <c r="AM281" s="18"/>
    </row>
    <row r="282" spans="36:39">
      <c r="AJ282" s="93"/>
      <c r="AK282" s="18"/>
      <c r="AL282" s="18"/>
      <c r="AM282" s="18"/>
    </row>
    <row r="283" spans="36:39">
      <c r="AJ283" s="93"/>
      <c r="AK283" s="18"/>
      <c r="AL283" s="18"/>
      <c r="AM283" s="18"/>
    </row>
    <row r="284" spans="36:39">
      <c r="AJ284" s="93"/>
      <c r="AK284" s="18"/>
      <c r="AL284" s="18"/>
      <c r="AM284" s="18"/>
    </row>
    <row r="285" spans="36:39">
      <c r="AJ285" s="93"/>
      <c r="AK285" s="18"/>
      <c r="AL285" s="18"/>
      <c r="AM285" s="18"/>
    </row>
    <row r="286" spans="36:39">
      <c r="AJ286" s="93"/>
      <c r="AK286" s="18"/>
      <c r="AL286" s="18"/>
      <c r="AM286" s="18"/>
    </row>
    <row r="287" spans="36:39">
      <c r="AJ287" s="93"/>
      <c r="AK287" s="18"/>
      <c r="AL287" s="18"/>
      <c r="AM287" s="18"/>
    </row>
    <row r="288" spans="36:39">
      <c r="AJ288" s="93"/>
      <c r="AK288" s="18"/>
      <c r="AL288" s="18"/>
      <c r="AM288" s="18"/>
    </row>
    <row r="289" spans="36:39">
      <c r="AJ289" s="93"/>
      <c r="AK289" s="18"/>
      <c r="AL289" s="18"/>
      <c r="AM289" s="18"/>
    </row>
    <row r="290" spans="36:39">
      <c r="AJ290" s="93"/>
      <c r="AK290" s="18"/>
      <c r="AL290" s="18"/>
      <c r="AM290" s="18"/>
    </row>
    <row r="291" spans="36:39">
      <c r="AJ291" s="93"/>
      <c r="AK291" s="18"/>
      <c r="AL291" s="18"/>
      <c r="AM291" s="18"/>
    </row>
    <row r="292" spans="36:39">
      <c r="AJ292" s="93"/>
      <c r="AK292" s="18"/>
      <c r="AL292" s="18"/>
      <c r="AM292" s="18"/>
    </row>
    <row r="293" spans="36:39">
      <c r="AJ293" s="93"/>
      <c r="AK293" s="18"/>
      <c r="AL293" s="18"/>
      <c r="AM293" s="18"/>
    </row>
    <row r="294" spans="36:39">
      <c r="AJ294" s="93"/>
      <c r="AK294" s="18"/>
      <c r="AL294" s="18"/>
      <c r="AM294" s="18"/>
    </row>
    <row r="295" spans="36:39">
      <c r="AJ295" s="93"/>
      <c r="AK295" s="18"/>
      <c r="AL295" s="18"/>
      <c r="AM295" s="18"/>
    </row>
    <row r="296" spans="36:39">
      <c r="AJ296" s="93"/>
      <c r="AK296" s="18"/>
      <c r="AL296" s="18"/>
      <c r="AM296" s="18"/>
    </row>
    <row r="297" spans="36:39">
      <c r="AJ297" s="93"/>
      <c r="AK297" s="18"/>
      <c r="AL297" s="18"/>
      <c r="AM297" s="18"/>
    </row>
    <row r="298" spans="36:39">
      <c r="AJ298" s="93"/>
      <c r="AK298" s="18"/>
      <c r="AL298" s="18"/>
      <c r="AM298" s="18"/>
    </row>
    <row r="299" spans="36:39">
      <c r="AJ299" s="93"/>
      <c r="AK299" s="18"/>
      <c r="AL299" s="18"/>
      <c r="AM299" s="18"/>
    </row>
    <row r="300" spans="36:39">
      <c r="AJ300" s="93"/>
      <c r="AK300" s="18"/>
      <c r="AL300" s="18"/>
      <c r="AM300" s="18"/>
    </row>
    <row r="301" spans="36:39">
      <c r="AJ301" s="93"/>
      <c r="AK301" s="18"/>
      <c r="AL301" s="18"/>
      <c r="AM301" s="18"/>
    </row>
    <row r="302" spans="36:39">
      <c r="AJ302" s="93"/>
      <c r="AK302" s="18"/>
      <c r="AL302" s="18"/>
      <c r="AM302" s="18"/>
    </row>
    <row r="303" spans="36:39">
      <c r="AJ303" s="93"/>
      <c r="AK303" s="18"/>
      <c r="AL303" s="18"/>
      <c r="AM303" s="18"/>
    </row>
    <row r="304" spans="36:39">
      <c r="AJ304" s="93"/>
      <c r="AK304" s="18"/>
      <c r="AL304" s="18"/>
      <c r="AM304" s="18"/>
    </row>
    <row r="305" spans="36:39">
      <c r="AJ305" s="93"/>
      <c r="AK305" s="18"/>
      <c r="AL305" s="18"/>
      <c r="AM305" s="18"/>
    </row>
    <row r="306" spans="36:39">
      <c r="AJ306" s="93"/>
      <c r="AK306" s="18"/>
      <c r="AL306" s="18"/>
      <c r="AM306" s="18"/>
    </row>
    <row r="307" spans="36:39">
      <c r="AJ307" s="93"/>
      <c r="AK307" s="18"/>
      <c r="AL307" s="18"/>
      <c r="AM307" s="18"/>
    </row>
    <row r="308" spans="36:39">
      <c r="AJ308" s="93"/>
      <c r="AK308" s="18"/>
      <c r="AL308" s="18"/>
      <c r="AM308" s="18"/>
    </row>
    <row r="309" spans="36:39">
      <c r="AJ309" s="93"/>
      <c r="AK309" s="18"/>
      <c r="AL309" s="18"/>
      <c r="AM309" s="18"/>
    </row>
    <row r="310" spans="36:39">
      <c r="AJ310" s="93"/>
      <c r="AK310" s="18"/>
      <c r="AL310" s="18"/>
      <c r="AM310" s="18"/>
    </row>
    <row r="311" spans="36:39">
      <c r="AJ311" s="93"/>
      <c r="AK311" s="18"/>
      <c r="AL311" s="18"/>
      <c r="AM311" s="18"/>
    </row>
    <row r="312" spans="36:39">
      <c r="AJ312" s="93"/>
      <c r="AK312" s="18"/>
      <c r="AL312" s="18"/>
      <c r="AM312" s="18"/>
    </row>
    <row r="313" spans="36:39">
      <c r="AJ313" s="93"/>
      <c r="AK313" s="18"/>
      <c r="AL313" s="18"/>
      <c r="AM313" s="18"/>
    </row>
    <row r="314" spans="36:39">
      <c r="AJ314" s="93"/>
      <c r="AK314" s="18"/>
      <c r="AL314" s="18"/>
      <c r="AM314" s="18"/>
    </row>
    <row r="315" spans="36:39">
      <c r="AJ315" s="93"/>
      <c r="AK315" s="18"/>
      <c r="AL315" s="18"/>
      <c r="AM315" s="18"/>
    </row>
    <row r="316" spans="36:39">
      <c r="AJ316" s="93"/>
      <c r="AK316" s="18"/>
      <c r="AL316" s="18"/>
      <c r="AM316" s="18"/>
    </row>
    <row r="317" spans="36:39">
      <c r="AJ317" s="93"/>
      <c r="AK317" s="18"/>
      <c r="AL317" s="18"/>
      <c r="AM317" s="18"/>
    </row>
    <row r="318" spans="36:39">
      <c r="AJ318" s="93"/>
      <c r="AK318" s="18"/>
      <c r="AL318" s="18"/>
      <c r="AM318" s="18"/>
    </row>
    <row r="319" spans="36:39">
      <c r="AJ319" s="93"/>
      <c r="AK319" s="18"/>
      <c r="AL319" s="18"/>
      <c r="AM319" s="18"/>
    </row>
    <row r="320" spans="36:39">
      <c r="AJ320" s="93"/>
      <c r="AK320" s="18"/>
      <c r="AL320" s="18"/>
      <c r="AM320" s="18"/>
    </row>
    <row r="321" spans="36:39">
      <c r="AJ321" s="93"/>
      <c r="AK321" s="18"/>
      <c r="AL321" s="18"/>
      <c r="AM321" s="18"/>
    </row>
    <row r="322" spans="36:39">
      <c r="AJ322" s="93"/>
      <c r="AK322" s="18"/>
      <c r="AL322" s="18"/>
      <c r="AM322" s="18"/>
    </row>
    <row r="323" spans="36:39">
      <c r="AJ323" s="93"/>
      <c r="AK323" s="18"/>
      <c r="AL323" s="18"/>
      <c r="AM323" s="18"/>
    </row>
    <row r="324" spans="36:39">
      <c r="AJ324" s="93"/>
      <c r="AK324" s="18"/>
      <c r="AL324" s="18"/>
      <c r="AM324" s="18"/>
    </row>
    <row r="325" spans="36:39">
      <c r="AJ325" s="93"/>
      <c r="AK325" s="18"/>
      <c r="AL325" s="18"/>
      <c r="AM325" s="18"/>
    </row>
    <row r="326" spans="36:39">
      <c r="AJ326" s="93"/>
      <c r="AK326" s="18"/>
      <c r="AL326" s="18"/>
      <c r="AM326" s="18"/>
    </row>
    <row r="327" spans="36:39">
      <c r="AJ327" s="93"/>
      <c r="AK327" s="18"/>
      <c r="AL327" s="18"/>
      <c r="AM327" s="18"/>
    </row>
    <row r="328" spans="36:39">
      <c r="AJ328" s="93"/>
      <c r="AK328" s="18"/>
      <c r="AL328" s="18"/>
      <c r="AM328" s="18"/>
    </row>
    <row r="329" spans="36:39">
      <c r="AJ329" s="93"/>
      <c r="AK329" s="18"/>
      <c r="AL329" s="18"/>
      <c r="AM329" s="18"/>
    </row>
    <row r="330" spans="36:39">
      <c r="AJ330" s="93"/>
      <c r="AK330" s="18"/>
      <c r="AL330" s="18"/>
      <c r="AM330" s="18"/>
    </row>
    <row r="331" spans="36:39">
      <c r="AJ331" s="93"/>
      <c r="AK331" s="18"/>
      <c r="AL331" s="18"/>
      <c r="AM331" s="18"/>
    </row>
    <row r="332" spans="36:39">
      <c r="AJ332" s="93"/>
      <c r="AK332" s="18"/>
      <c r="AL332" s="18"/>
      <c r="AM332" s="18"/>
    </row>
    <row r="333" spans="36:39">
      <c r="AJ333" s="93"/>
      <c r="AK333" s="18"/>
      <c r="AL333" s="18"/>
      <c r="AM333" s="18"/>
    </row>
    <row r="334" spans="36:39">
      <c r="AJ334" s="93"/>
      <c r="AK334" s="18"/>
      <c r="AL334" s="18"/>
      <c r="AM334" s="18"/>
    </row>
    <row r="335" spans="36:39">
      <c r="AJ335" s="93"/>
      <c r="AK335" s="18"/>
      <c r="AL335" s="18"/>
      <c r="AM335" s="18"/>
    </row>
    <row r="336" spans="36:39">
      <c r="AJ336" s="93"/>
      <c r="AK336" s="18"/>
      <c r="AL336" s="18"/>
      <c r="AM336" s="18"/>
    </row>
    <row r="337" spans="36:39">
      <c r="AJ337" s="93"/>
      <c r="AK337" s="18"/>
      <c r="AL337" s="18"/>
      <c r="AM337" s="18"/>
    </row>
    <row r="338" spans="36:39">
      <c r="AJ338" s="93"/>
      <c r="AK338" s="18"/>
      <c r="AL338" s="18"/>
      <c r="AM338" s="18"/>
    </row>
    <row r="339" spans="36:39">
      <c r="AJ339" s="93"/>
      <c r="AK339" s="18"/>
      <c r="AL339" s="18"/>
      <c r="AM339" s="18"/>
    </row>
    <row r="340" spans="36:39">
      <c r="AJ340" s="93"/>
      <c r="AK340" s="18"/>
      <c r="AL340" s="18"/>
      <c r="AM340" s="18"/>
    </row>
    <row r="341" spans="36:39">
      <c r="AJ341" s="93"/>
      <c r="AK341" s="18"/>
      <c r="AL341" s="18"/>
      <c r="AM341" s="18"/>
    </row>
    <row r="342" spans="36:39">
      <c r="AJ342" s="93"/>
      <c r="AK342" s="18"/>
      <c r="AL342" s="18"/>
      <c r="AM342" s="18"/>
    </row>
    <row r="343" spans="36:39">
      <c r="AJ343" s="93"/>
      <c r="AK343" s="18"/>
      <c r="AL343" s="18"/>
      <c r="AM343" s="18"/>
    </row>
    <row r="344" spans="36:39">
      <c r="AJ344" s="93"/>
      <c r="AK344" s="18"/>
      <c r="AL344" s="18"/>
      <c r="AM344" s="18"/>
    </row>
    <row r="345" spans="36:39">
      <c r="AJ345" s="93"/>
      <c r="AK345" s="18"/>
      <c r="AL345" s="18"/>
      <c r="AM345" s="18"/>
    </row>
    <row r="346" spans="36:39">
      <c r="AJ346" s="93"/>
      <c r="AK346" s="18"/>
      <c r="AL346" s="18"/>
      <c r="AM346" s="18"/>
    </row>
    <row r="347" spans="36:39">
      <c r="AJ347" s="93"/>
      <c r="AK347" s="18"/>
      <c r="AL347" s="18"/>
      <c r="AM347" s="18"/>
    </row>
    <row r="348" spans="36:39">
      <c r="AJ348" s="93"/>
      <c r="AK348" s="18"/>
      <c r="AL348" s="18"/>
      <c r="AM348" s="18"/>
    </row>
    <row r="349" spans="36:39">
      <c r="AJ349" s="93"/>
      <c r="AK349" s="18"/>
      <c r="AL349" s="18"/>
      <c r="AM349" s="18"/>
    </row>
    <row r="350" spans="36:39">
      <c r="AJ350" s="93"/>
      <c r="AK350" s="18"/>
      <c r="AL350" s="18"/>
      <c r="AM350" s="18"/>
    </row>
    <row r="351" spans="36:39">
      <c r="AJ351" s="93"/>
      <c r="AK351" s="18"/>
      <c r="AL351" s="18"/>
      <c r="AM351" s="18"/>
    </row>
    <row r="352" spans="36:39">
      <c r="AJ352" s="93"/>
      <c r="AK352" s="18"/>
      <c r="AL352" s="18"/>
      <c r="AM352" s="18"/>
    </row>
    <row r="353" spans="36:39">
      <c r="AJ353" s="93"/>
      <c r="AK353" s="18"/>
      <c r="AL353" s="18"/>
      <c r="AM353" s="18"/>
    </row>
    <row r="354" spans="36:39">
      <c r="AJ354" s="93"/>
      <c r="AK354" s="18"/>
      <c r="AL354" s="18"/>
      <c r="AM354" s="18"/>
    </row>
    <row r="355" spans="36:39">
      <c r="AJ355" s="93"/>
      <c r="AK355" s="18"/>
      <c r="AL355" s="18"/>
      <c r="AM355" s="18"/>
    </row>
    <row r="356" spans="36:39">
      <c r="AJ356" s="93"/>
      <c r="AK356" s="18"/>
      <c r="AL356" s="18"/>
      <c r="AM356" s="18"/>
    </row>
    <row r="357" spans="36:39">
      <c r="AJ357" s="93"/>
      <c r="AK357" s="18"/>
      <c r="AL357" s="18"/>
      <c r="AM357" s="18"/>
    </row>
    <row r="358" spans="36:39">
      <c r="AJ358" s="93"/>
      <c r="AK358" s="18"/>
      <c r="AL358" s="18"/>
      <c r="AM358" s="18"/>
    </row>
    <row r="359" spans="36:39">
      <c r="AJ359" s="93"/>
      <c r="AK359" s="18"/>
      <c r="AL359" s="18"/>
      <c r="AM359" s="18"/>
    </row>
    <row r="360" spans="36:39">
      <c r="AJ360" s="93"/>
      <c r="AK360" s="18"/>
      <c r="AL360" s="18"/>
      <c r="AM360" s="18"/>
    </row>
    <row r="361" spans="36:39">
      <c r="AJ361" s="93"/>
      <c r="AK361" s="18"/>
      <c r="AL361" s="18"/>
      <c r="AM361" s="18"/>
    </row>
    <row r="362" spans="36:39">
      <c r="AJ362" s="93"/>
      <c r="AK362" s="18"/>
      <c r="AL362" s="18"/>
      <c r="AM362" s="18"/>
    </row>
    <row r="363" spans="36:39">
      <c r="AJ363" s="93"/>
      <c r="AK363" s="18"/>
      <c r="AL363" s="18"/>
      <c r="AM363" s="18"/>
    </row>
    <row r="364" spans="36:39">
      <c r="AJ364" s="93"/>
      <c r="AK364" s="18"/>
      <c r="AL364" s="18"/>
      <c r="AM364" s="18"/>
    </row>
    <row r="365" spans="36:39">
      <c r="AJ365" s="93"/>
      <c r="AK365" s="18"/>
      <c r="AL365" s="18"/>
      <c r="AM365" s="18"/>
    </row>
    <row r="366" spans="36:39">
      <c r="AJ366" s="93"/>
      <c r="AK366" s="18"/>
      <c r="AL366" s="18"/>
      <c r="AM366" s="18"/>
    </row>
    <row r="367" spans="36:39">
      <c r="AJ367" s="93"/>
      <c r="AK367" s="18"/>
      <c r="AL367" s="18"/>
      <c r="AM367" s="18"/>
    </row>
    <row r="368" spans="36:39">
      <c r="AJ368" s="93"/>
      <c r="AK368" s="18"/>
      <c r="AL368" s="18"/>
      <c r="AM368" s="18"/>
    </row>
    <row r="369" spans="36:39">
      <c r="AJ369" s="93"/>
      <c r="AK369" s="18"/>
      <c r="AL369" s="18"/>
      <c r="AM369" s="18"/>
    </row>
    <row r="370" spans="36:39">
      <c r="AJ370" s="93"/>
      <c r="AK370" s="18"/>
      <c r="AL370" s="18"/>
      <c r="AM370" s="18"/>
    </row>
    <row r="371" spans="36:39">
      <c r="AJ371" s="93"/>
      <c r="AK371" s="18"/>
      <c r="AL371" s="18"/>
      <c r="AM371" s="18"/>
    </row>
    <row r="372" spans="36:39">
      <c r="AJ372" s="93"/>
      <c r="AK372" s="18"/>
      <c r="AL372" s="18"/>
      <c r="AM372" s="18"/>
    </row>
    <row r="373" spans="36:39">
      <c r="AJ373" s="93"/>
      <c r="AK373" s="18"/>
      <c r="AL373" s="18"/>
      <c r="AM373" s="18"/>
    </row>
    <row r="374" spans="36:39">
      <c r="AJ374" s="93"/>
      <c r="AK374" s="18"/>
      <c r="AL374" s="18"/>
      <c r="AM374" s="18"/>
    </row>
    <row r="375" spans="36:39">
      <c r="AJ375" s="93"/>
      <c r="AK375" s="18"/>
      <c r="AL375" s="18"/>
      <c r="AM375" s="18"/>
    </row>
    <row r="376" spans="36:39">
      <c r="AJ376" s="93"/>
      <c r="AK376" s="18"/>
      <c r="AL376" s="18"/>
      <c r="AM376" s="18"/>
    </row>
    <row r="377" spans="36:39">
      <c r="AJ377" s="93"/>
      <c r="AK377" s="18"/>
      <c r="AL377" s="18"/>
      <c r="AM377" s="18"/>
    </row>
    <row r="378" spans="36:39">
      <c r="AJ378" s="93"/>
      <c r="AK378" s="18"/>
      <c r="AL378" s="18"/>
      <c r="AM378" s="18"/>
    </row>
    <row r="379" spans="36:39">
      <c r="AJ379" s="93"/>
      <c r="AK379" s="18"/>
      <c r="AL379" s="18"/>
      <c r="AM379" s="18"/>
    </row>
    <row r="380" spans="36:39">
      <c r="AJ380" s="93"/>
      <c r="AK380" s="18"/>
      <c r="AL380" s="18"/>
      <c r="AM380" s="18"/>
    </row>
    <row r="381" spans="36:39">
      <c r="AJ381" s="93"/>
      <c r="AK381" s="18"/>
      <c r="AL381" s="18"/>
      <c r="AM381" s="18"/>
    </row>
    <row r="382" spans="36:39">
      <c r="AJ382" s="93"/>
      <c r="AK382" s="18"/>
      <c r="AL382" s="18"/>
      <c r="AM382" s="18"/>
    </row>
    <row r="383" spans="36:39">
      <c r="AJ383" s="93"/>
      <c r="AK383" s="18"/>
      <c r="AL383" s="18"/>
      <c r="AM383" s="18"/>
    </row>
    <row r="384" spans="36:39">
      <c r="AJ384" s="93"/>
      <c r="AK384" s="18"/>
      <c r="AL384" s="18"/>
      <c r="AM384" s="18"/>
    </row>
    <row r="385" spans="36:39">
      <c r="AJ385" s="93"/>
      <c r="AK385" s="18"/>
      <c r="AL385" s="18"/>
      <c r="AM385" s="18"/>
    </row>
    <row r="386" spans="36:39">
      <c r="AJ386" s="93"/>
      <c r="AK386" s="18"/>
      <c r="AL386" s="18"/>
      <c r="AM386" s="18"/>
    </row>
    <row r="387" spans="36:39">
      <c r="AJ387" s="93"/>
      <c r="AK387" s="18"/>
      <c r="AL387" s="18"/>
      <c r="AM387" s="18"/>
    </row>
    <row r="388" spans="36:39">
      <c r="AJ388" s="93"/>
      <c r="AK388" s="18"/>
      <c r="AL388" s="18"/>
      <c r="AM388" s="18"/>
    </row>
    <row r="389" spans="36:39">
      <c r="AJ389" s="93"/>
      <c r="AK389" s="18"/>
      <c r="AL389" s="18"/>
      <c r="AM389" s="18"/>
    </row>
    <row r="390" spans="36:39">
      <c r="AJ390" s="93"/>
      <c r="AK390" s="18"/>
      <c r="AL390" s="18"/>
      <c r="AM390" s="18"/>
    </row>
    <row r="391" spans="36:39">
      <c r="AJ391" s="93"/>
      <c r="AK391" s="18"/>
      <c r="AL391" s="18"/>
      <c r="AM391" s="18"/>
    </row>
    <row r="392" spans="36:39">
      <c r="AJ392" s="93"/>
      <c r="AK392" s="18"/>
      <c r="AL392" s="18"/>
      <c r="AM392" s="18"/>
    </row>
    <row r="393" spans="36:39">
      <c r="AJ393" s="93"/>
      <c r="AK393" s="18"/>
      <c r="AL393" s="18"/>
      <c r="AM393" s="18"/>
    </row>
    <row r="394" spans="36:39">
      <c r="AJ394" s="93"/>
      <c r="AK394" s="18"/>
      <c r="AL394" s="18"/>
      <c r="AM394" s="18"/>
    </row>
    <row r="395" spans="36:39">
      <c r="AJ395" s="93"/>
      <c r="AK395" s="18"/>
      <c r="AL395" s="18"/>
      <c r="AM395" s="18"/>
    </row>
    <row r="396" spans="36:39">
      <c r="AJ396" s="93"/>
      <c r="AK396" s="18"/>
      <c r="AL396" s="18"/>
      <c r="AM396" s="18"/>
    </row>
    <row r="397" spans="36:39">
      <c r="AJ397" s="93"/>
      <c r="AK397" s="18"/>
      <c r="AL397" s="18"/>
      <c r="AM397" s="18"/>
    </row>
    <row r="398" spans="36:39">
      <c r="AJ398" s="93"/>
      <c r="AK398" s="18"/>
      <c r="AL398" s="18"/>
      <c r="AM398" s="18"/>
    </row>
    <row r="399" spans="36:39">
      <c r="AJ399" s="93"/>
      <c r="AK399" s="18"/>
      <c r="AL399" s="18"/>
      <c r="AM399" s="18"/>
    </row>
    <row r="400" spans="36:39">
      <c r="AJ400" s="93"/>
      <c r="AK400" s="18"/>
      <c r="AL400" s="18"/>
      <c r="AM400" s="18"/>
    </row>
    <row r="401" spans="36:39">
      <c r="AJ401" s="93"/>
      <c r="AK401" s="18"/>
      <c r="AL401" s="18"/>
      <c r="AM401" s="18"/>
    </row>
    <row r="402" spans="36:39">
      <c r="AJ402" s="93"/>
      <c r="AK402" s="18"/>
      <c r="AL402" s="18"/>
      <c r="AM402" s="18"/>
    </row>
    <row r="403" spans="36:39">
      <c r="AJ403" s="93"/>
      <c r="AK403" s="18"/>
      <c r="AL403" s="18"/>
      <c r="AM403" s="18"/>
    </row>
    <row r="404" spans="36:39">
      <c r="AJ404" s="93"/>
      <c r="AK404" s="18"/>
      <c r="AL404" s="18"/>
      <c r="AM404" s="18"/>
    </row>
    <row r="405" spans="36:39">
      <c r="AJ405" s="93"/>
      <c r="AK405" s="18"/>
      <c r="AL405" s="18"/>
      <c r="AM405" s="18"/>
    </row>
    <row r="406" spans="36:39">
      <c r="AJ406" s="93"/>
      <c r="AK406" s="18"/>
      <c r="AL406" s="18"/>
      <c r="AM406" s="18"/>
    </row>
    <row r="407" spans="36:39">
      <c r="AJ407" s="93"/>
      <c r="AK407" s="18"/>
      <c r="AL407" s="18"/>
      <c r="AM407" s="18"/>
    </row>
    <row r="408" spans="36:39">
      <c r="AJ408" s="93"/>
      <c r="AK408" s="18"/>
      <c r="AL408" s="18"/>
      <c r="AM408" s="18"/>
    </row>
    <row r="409" spans="36:39">
      <c r="AJ409" s="93"/>
      <c r="AK409" s="18"/>
      <c r="AL409" s="18"/>
      <c r="AM409" s="18"/>
    </row>
    <row r="410" spans="36:39">
      <c r="AJ410" s="93"/>
      <c r="AK410" s="18"/>
      <c r="AL410" s="18"/>
      <c r="AM410" s="18"/>
    </row>
    <row r="411" spans="36:39">
      <c r="AJ411" s="93"/>
      <c r="AK411" s="18"/>
      <c r="AL411" s="18"/>
      <c r="AM411" s="18"/>
    </row>
    <row r="412" spans="36:39">
      <c r="AJ412" s="93"/>
      <c r="AK412" s="18"/>
      <c r="AL412" s="18"/>
      <c r="AM412" s="18"/>
    </row>
    <row r="413" spans="36:39">
      <c r="AJ413" s="93"/>
      <c r="AK413" s="18"/>
      <c r="AL413" s="18"/>
      <c r="AM413" s="18"/>
    </row>
    <row r="414" spans="36:39">
      <c r="AJ414" s="93"/>
      <c r="AK414" s="18"/>
      <c r="AL414" s="18"/>
      <c r="AM414" s="18"/>
    </row>
    <row r="415" spans="36:39">
      <c r="AJ415" s="93"/>
      <c r="AK415" s="18"/>
      <c r="AL415" s="18"/>
      <c r="AM415" s="18"/>
    </row>
    <row r="416" spans="36:39">
      <c r="AJ416" s="93"/>
      <c r="AK416" s="18"/>
      <c r="AL416" s="18"/>
      <c r="AM416" s="18"/>
    </row>
    <row r="417" spans="36:39">
      <c r="AJ417" s="93"/>
      <c r="AK417" s="18"/>
      <c r="AL417" s="18"/>
      <c r="AM417" s="18"/>
    </row>
    <row r="418" spans="36:39">
      <c r="AJ418" s="93"/>
      <c r="AK418" s="18"/>
      <c r="AL418" s="18"/>
      <c r="AM418" s="18"/>
    </row>
    <row r="419" spans="36:39">
      <c r="AJ419" s="93"/>
      <c r="AK419" s="18"/>
      <c r="AL419" s="18"/>
      <c r="AM419" s="18"/>
    </row>
    <row r="420" spans="36:39">
      <c r="AJ420" s="93"/>
      <c r="AK420" s="18"/>
      <c r="AL420" s="18"/>
      <c r="AM420" s="18"/>
    </row>
    <row r="421" spans="36:39">
      <c r="AJ421" s="93"/>
      <c r="AK421" s="18"/>
      <c r="AL421" s="18"/>
      <c r="AM421" s="18"/>
    </row>
    <row r="422" spans="36:39">
      <c r="AJ422" s="93"/>
      <c r="AK422" s="18"/>
      <c r="AL422" s="18"/>
      <c r="AM422" s="18"/>
    </row>
    <row r="423" spans="36:39">
      <c r="AJ423" s="93"/>
      <c r="AK423" s="18"/>
      <c r="AL423" s="18"/>
      <c r="AM423" s="18"/>
    </row>
    <row r="424" spans="36:39">
      <c r="AJ424" s="93"/>
      <c r="AK424" s="18"/>
      <c r="AL424" s="18"/>
      <c r="AM424" s="18"/>
    </row>
    <row r="425" spans="36:39">
      <c r="AJ425" s="93"/>
      <c r="AK425" s="18"/>
      <c r="AL425" s="18"/>
      <c r="AM425" s="18"/>
    </row>
    <row r="426" spans="36:39">
      <c r="AJ426" s="93"/>
      <c r="AK426" s="18"/>
      <c r="AL426" s="18"/>
      <c r="AM426" s="18"/>
    </row>
    <row r="427" spans="36:39">
      <c r="AJ427" s="93"/>
      <c r="AK427" s="18"/>
      <c r="AL427" s="18"/>
      <c r="AM427" s="18"/>
    </row>
    <row r="428" spans="36:39">
      <c r="AJ428" s="93"/>
      <c r="AK428" s="18"/>
      <c r="AL428" s="18"/>
      <c r="AM428" s="18"/>
    </row>
    <row r="429" spans="36:39">
      <c r="AJ429" s="93"/>
      <c r="AK429" s="18"/>
      <c r="AL429" s="18"/>
      <c r="AM429" s="18"/>
    </row>
    <row r="430" spans="36:39">
      <c r="AJ430" s="93"/>
      <c r="AK430" s="18"/>
      <c r="AL430" s="18"/>
      <c r="AM430" s="18"/>
    </row>
    <row r="431" spans="36:39">
      <c r="AJ431" s="93"/>
      <c r="AK431" s="18"/>
      <c r="AL431" s="18"/>
      <c r="AM431" s="18"/>
    </row>
    <row r="432" spans="36:39">
      <c r="AJ432" s="93"/>
      <c r="AK432" s="18"/>
      <c r="AL432" s="18"/>
      <c r="AM432" s="18"/>
    </row>
    <row r="433" spans="36:39">
      <c r="AJ433" s="93"/>
      <c r="AK433" s="18"/>
      <c r="AL433" s="18"/>
      <c r="AM433" s="18"/>
    </row>
    <row r="434" spans="36:39">
      <c r="AJ434" s="93"/>
      <c r="AK434" s="18"/>
      <c r="AL434" s="18"/>
      <c r="AM434" s="18"/>
    </row>
    <row r="435" spans="36:39">
      <c r="AJ435" s="93"/>
      <c r="AK435" s="18"/>
      <c r="AL435" s="18"/>
      <c r="AM435" s="18"/>
    </row>
    <row r="436" spans="36:39">
      <c r="AJ436" s="93"/>
      <c r="AK436" s="18"/>
      <c r="AL436" s="18"/>
      <c r="AM436" s="18"/>
    </row>
    <row r="437" spans="36:39">
      <c r="AJ437" s="93"/>
      <c r="AK437" s="18"/>
      <c r="AL437" s="18"/>
      <c r="AM437" s="18"/>
    </row>
    <row r="438" spans="36:39">
      <c r="AJ438" s="93"/>
      <c r="AK438" s="18"/>
      <c r="AL438" s="18"/>
      <c r="AM438" s="18"/>
    </row>
    <row r="439" spans="36:39">
      <c r="AJ439" s="93"/>
      <c r="AK439" s="18"/>
      <c r="AL439" s="18"/>
      <c r="AM439" s="18"/>
    </row>
    <row r="440" spans="36:39">
      <c r="AJ440" s="93"/>
      <c r="AK440" s="18"/>
      <c r="AL440" s="18"/>
      <c r="AM440" s="18"/>
    </row>
    <row r="441" spans="36:39">
      <c r="AJ441" s="93"/>
      <c r="AK441" s="18"/>
      <c r="AL441" s="18"/>
      <c r="AM441" s="18"/>
    </row>
    <row r="442" spans="36:39">
      <c r="AJ442" s="93"/>
      <c r="AK442" s="18"/>
      <c r="AL442" s="18"/>
      <c r="AM442" s="18"/>
    </row>
    <row r="443" spans="36:39">
      <c r="AJ443" s="93"/>
      <c r="AK443" s="18"/>
      <c r="AL443" s="18"/>
      <c r="AM443" s="18"/>
    </row>
    <row r="444" spans="36:39">
      <c r="AJ444" s="93"/>
      <c r="AK444" s="18"/>
      <c r="AL444" s="18"/>
      <c r="AM444" s="18"/>
    </row>
    <row r="445" spans="36:39">
      <c r="AJ445" s="93"/>
      <c r="AK445" s="18"/>
      <c r="AL445" s="18"/>
      <c r="AM445" s="18"/>
    </row>
    <row r="446" spans="36:39">
      <c r="AJ446" s="93"/>
      <c r="AK446" s="18"/>
      <c r="AL446" s="18"/>
      <c r="AM446" s="18"/>
    </row>
    <row r="447" spans="36:39">
      <c r="AJ447" s="93"/>
      <c r="AK447" s="18"/>
      <c r="AL447" s="18"/>
      <c r="AM447" s="18"/>
    </row>
    <row r="448" spans="36:39">
      <c r="AJ448" s="93"/>
      <c r="AK448" s="18"/>
      <c r="AL448" s="18"/>
      <c r="AM448" s="18"/>
    </row>
    <row r="449" spans="36:39">
      <c r="AJ449" s="93"/>
      <c r="AK449" s="18"/>
      <c r="AL449" s="18"/>
      <c r="AM449" s="18"/>
    </row>
    <row r="450" spans="36:39">
      <c r="AJ450" s="93"/>
      <c r="AK450" s="18"/>
      <c r="AL450" s="18"/>
      <c r="AM450" s="18"/>
    </row>
    <row r="451" spans="36:39">
      <c r="AJ451" s="93"/>
      <c r="AK451" s="18"/>
      <c r="AL451" s="18"/>
      <c r="AM451" s="18"/>
    </row>
    <row r="452" spans="36:39">
      <c r="AJ452" s="93"/>
      <c r="AK452" s="18"/>
      <c r="AL452" s="18"/>
      <c r="AM452" s="18"/>
    </row>
    <row r="453" spans="36:39">
      <c r="AJ453" s="93"/>
      <c r="AK453" s="18"/>
      <c r="AL453" s="18"/>
      <c r="AM453" s="18"/>
    </row>
    <row r="454" spans="36:39">
      <c r="AJ454" s="93"/>
      <c r="AK454" s="18"/>
      <c r="AL454" s="18"/>
      <c r="AM454" s="18"/>
    </row>
    <row r="455" spans="36:39">
      <c r="AJ455" s="93"/>
      <c r="AK455" s="18"/>
      <c r="AL455" s="18"/>
      <c r="AM455" s="18"/>
    </row>
    <row r="456" spans="36:39">
      <c r="AJ456" s="93"/>
      <c r="AK456" s="18"/>
      <c r="AL456" s="18"/>
      <c r="AM456" s="18"/>
    </row>
    <row r="457" spans="36:39">
      <c r="AJ457" s="93"/>
      <c r="AK457" s="18"/>
      <c r="AL457" s="18"/>
      <c r="AM457" s="18"/>
    </row>
    <row r="458" spans="36:39">
      <c r="AJ458" s="93"/>
      <c r="AK458" s="18"/>
      <c r="AL458" s="18"/>
      <c r="AM458" s="18"/>
    </row>
    <row r="459" spans="36:39">
      <c r="AJ459" s="93"/>
      <c r="AK459" s="18"/>
      <c r="AL459" s="18"/>
      <c r="AM459" s="18"/>
    </row>
    <row r="460" spans="36:39">
      <c r="AJ460" s="93"/>
      <c r="AK460" s="18"/>
      <c r="AL460" s="18"/>
      <c r="AM460" s="18"/>
    </row>
    <row r="461" spans="36:39">
      <c r="AJ461" s="93"/>
      <c r="AK461" s="18"/>
      <c r="AL461" s="18"/>
      <c r="AM461" s="18"/>
    </row>
    <row r="462" spans="36:39">
      <c r="AJ462" s="93"/>
      <c r="AK462" s="18"/>
      <c r="AL462" s="18"/>
      <c r="AM462" s="18"/>
    </row>
    <row r="463" spans="36:39">
      <c r="AJ463" s="93"/>
      <c r="AK463" s="18"/>
      <c r="AL463" s="18"/>
      <c r="AM463" s="18"/>
    </row>
    <row r="464" spans="36:39">
      <c r="AJ464" s="93"/>
      <c r="AK464" s="18"/>
      <c r="AL464" s="18"/>
      <c r="AM464" s="18"/>
    </row>
    <row r="465" spans="36:39">
      <c r="AJ465" s="93"/>
      <c r="AK465" s="18"/>
      <c r="AL465" s="18"/>
      <c r="AM465" s="18"/>
    </row>
    <row r="466" spans="36:39">
      <c r="AJ466" s="93"/>
      <c r="AK466" s="18"/>
      <c r="AL466" s="18"/>
      <c r="AM466" s="18"/>
    </row>
    <row r="467" spans="36:39">
      <c r="AJ467" s="93"/>
      <c r="AK467" s="18"/>
      <c r="AL467" s="18"/>
      <c r="AM467" s="18"/>
    </row>
    <row r="468" spans="36:39">
      <c r="AJ468" s="93"/>
      <c r="AK468" s="18"/>
      <c r="AL468" s="18"/>
      <c r="AM468" s="18"/>
    </row>
    <row r="469" spans="36:39">
      <c r="AJ469" s="93"/>
      <c r="AK469" s="18"/>
      <c r="AL469" s="18"/>
      <c r="AM469" s="18"/>
    </row>
    <row r="470" spans="36:39">
      <c r="AJ470" s="93"/>
      <c r="AK470" s="18"/>
      <c r="AL470" s="18"/>
      <c r="AM470" s="18"/>
    </row>
    <row r="471" spans="36:39">
      <c r="AJ471" s="93"/>
      <c r="AK471" s="18"/>
      <c r="AL471" s="18"/>
      <c r="AM471" s="18"/>
    </row>
    <row r="472" spans="36:39">
      <c r="AJ472" s="93"/>
      <c r="AK472" s="18"/>
      <c r="AL472" s="18"/>
      <c r="AM472" s="18"/>
    </row>
    <row r="473" spans="36:39">
      <c r="AJ473" s="93"/>
      <c r="AK473" s="18"/>
      <c r="AL473" s="18"/>
      <c r="AM473" s="18"/>
    </row>
    <row r="474" spans="36:39">
      <c r="AJ474" s="93"/>
      <c r="AK474" s="18"/>
      <c r="AL474" s="18"/>
      <c r="AM474" s="18"/>
    </row>
    <row r="475" spans="36:39">
      <c r="AJ475" s="93"/>
      <c r="AK475" s="18"/>
      <c r="AL475" s="18"/>
      <c r="AM475" s="18"/>
    </row>
    <row r="476" spans="36:39">
      <c r="AJ476" s="93"/>
      <c r="AK476" s="18"/>
      <c r="AL476" s="18"/>
      <c r="AM476" s="18"/>
    </row>
    <row r="477" spans="36:39">
      <c r="AJ477" s="93"/>
      <c r="AK477" s="18"/>
      <c r="AL477" s="18"/>
      <c r="AM477" s="18"/>
    </row>
    <row r="478" spans="36:39">
      <c r="AJ478" s="93"/>
      <c r="AK478" s="18"/>
      <c r="AL478" s="18"/>
      <c r="AM478" s="18"/>
    </row>
    <row r="479" spans="36:39">
      <c r="AJ479" s="93"/>
      <c r="AK479" s="18"/>
      <c r="AL479" s="18"/>
      <c r="AM479" s="18"/>
    </row>
    <row r="480" spans="36:39">
      <c r="AJ480" s="93"/>
      <c r="AK480" s="18"/>
      <c r="AL480" s="18"/>
      <c r="AM480" s="18"/>
    </row>
    <row r="481" spans="36:39">
      <c r="AJ481" s="93"/>
      <c r="AK481" s="18"/>
      <c r="AL481" s="18"/>
      <c r="AM481" s="18"/>
    </row>
    <row r="482" spans="36:39">
      <c r="AJ482" s="93"/>
      <c r="AK482" s="18"/>
      <c r="AL482" s="18"/>
      <c r="AM482" s="18"/>
    </row>
    <row r="483" spans="36:39">
      <c r="AJ483" s="93"/>
      <c r="AK483" s="18"/>
      <c r="AL483" s="18"/>
      <c r="AM483" s="18"/>
    </row>
    <row r="484" spans="36:39">
      <c r="AJ484" s="93"/>
      <c r="AK484" s="18"/>
      <c r="AL484" s="18"/>
      <c r="AM484" s="18"/>
    </row>
    <row r="485" spans="36:39">
      <c r="AJ485" s="93"/>
      <c r="AK485" s="18"/>
      <c r="AL485" s="18"/>
      <c r="AM485" s="18"/>
    </row>
    <row r="486" spans="36:39">
      <c r="AJ486" s="93"/>
      <c r="AK486" s="18"/>
      <c r="AL486" s="18"/>
      <c r="AM486" s="18"/>
    </row>
    <row r="487" spans="36:39">
      <c r="AJ487" s="93"/>
      <c r="AK487" s="18"/>
      <c r="AL487" s="18"/>
      <c r="AM487" s="18"/>
    </row>
    <row r="488" spans="36:39">
      <c r="AJ488" s="93"/>
      <c r="AK488" s="18"/>
      <c r="AL488" s="18"/>
      <c r="AM488" s="18"/>
    </row>
    <row r="489" spans="36:39">
      <c r="AJ489" s="93"/>
      <c r="AK489" s="18"/>
      <c r="AL489" s="18"/>
      <c r="AM489" s="18"/>
    </row>
    <row r="490" spans="36:39">
      <c r="AJ490" s="93"/>
      <c r="AK490" s="18"/>
      <c r="AL490" s="18"/>
      <c r="AM490" s="18"/>
    </row>
    <row r="491" spans="36:39">
      <c r="AJ491" s="93"/>
      <c r="AK491" s="18"/>
      <c r="AL491" s="18"/>
      <c r="AM491" s="18"/>
    </row>
    <row r="492" spans="36:39">
      <c r="AJ492" s="93"/>
      <c r="AK492" s="18"/>
      <c r="AL492" s="18"/>
      <c r="AM492" s="18"/>
    </row>
    <row r="493" spans="36:39">
      <c r="AJ493" s="93"/>
      <c r="AK493" s="18"/>
      <c r="AL493" s="18"/>
      <c r="AM493" s="18"/>
    </row>
    <row r="494" spans="36:39">
      <c r="AJ494" s="93"/>
      <c r="AK494" s="18"/>
      <c r="AL494" s="18"/>
      <c r="AM494" s="18"/>
    </row>
    <row r="495" spans="36:39">
      <c r="AJ495" s="93"/>
      <c r="AK495" s="18"/>
      <c r="AL495" s="18"/>
      <c r="AM495" s="18"/>
    </row>
    <row r="496" spans="36:39">
      <c r="AJ496" s="93"/>
      <c r="AK496" s="18"/>
      <c r="AL496" s="18"/>
      <c r="AM496" s="18"/>
    </row>
    <row r="497" spans="36:39">
      <c r="AJ497" s="94"/>
      <c r="AK497" s="19"/>
      <c r="AL497" s="19"/>
      <c r="AM497" s="19"/>
    </row>
    <row r="498" spans="36:39">
      <c r="AJ498" s="93"/>
      <c r="AK498" s="18"/>
      <c r="AL498" s="18"/>
      <c r="AM498" s="18"/>
    </row>
    <row r="499" spans="36:39">
      <c r="AJ499" s="93"/>
      <c r="AK499" s="18"/>
      <c r="AL499" s="18"/>
      <c r="AM499" s="18"/>
    </row>
    <row r="500" spans="36:39">
      <c r="AJ500" s="93"/>
      <c r="AK500" s="18"/>
      <c r="AL500" s="18"/>
      <c r="AM500" s="18"/>
    </row>
    <row r="501" spans="36:39">
      <c r="AJ501" s="93"/>
      <c r="AK501" s="18"/>
      <c r="AL501" s="18"/>
      <c r="AM501" s="18"/>
    </row>
    <row r="502" spans="36:39">
      <c r="AJ502" s="93"/>
      <c r="AK502" s="18"/>
      <c r="AL502" s="18"/>
      <c r="AM502" s="18"/>
    </row>
    <row r="503" spans="36:39">
      <c r="AJ503" s="93"/>
      <c r="AK503" s="18"/>
      <c r="AL503" s="18"/>
      <c r="AM503" s="18"/>
    </row>
    <row r="504" spans="36:39">
      <c r="AJ504" s="93"/>
      <c r="AK504" s="18"/>
      <c r="AL504" s="18"/>
      <c r="AM504" s="18"/>
    </row>
    <row r="505" spans="36:39">
      <c r="AJ505" s="93"/>
      <c r="AK505" s="18"/>
      <c r="AL505" s="18"/>
      <c r="AM505" s="18"/>
    </row>
    <row r="506" spans="36:39">
      <c r="AJ506" s="93"/>
      <c r="AK506" s="18"/>
      <c r="AL506" s="18"/>
      <c r="AM506" s="18"/>
    </row>
    <row r="507" spans="36:39">
      <c r="AJ507" s="93"/>
      <c r="AK507" s="18"/>
      <c r="AL507" s="18"/>
      <c r="AM507" s="18"/>
    </row>
    <row r="508" spans="36:39">
      <c r="AJ508" s="93"/>
      <c r="AK508" s="18"/>
      <c r="AL508" s="18"/>
      <c r="AM508" s="18"/>
    </row>
    <row r="509" spans="36:39">
      <c r="AJ509" s="93"/>
      <c r="AK509" s="18"/>
      <c r="AL509" s="18"/>
      <c r="AM509" s="18"/>
    </row>
    <row r="510" spans="36:39">
      <c r="AJ510" s="93"/>
      <c r="AK510" s="18"/>
      <c r="AL510" s="18"/>
      <c r="AM510" s="18"/>
    </row>
    <row r="511" spans="36:39">
      <c r="AJ511" s="93"/>
      <c r="AK511" s="18"/>
      <c r="AL511" s="18"/>
      <c r="AM511" s="18"/>
    </row>
    <row r="512" spans="36:39">
      <c r="AJ512" s="93"/>
      <c r="AK512" s="18"/>
      <c r="AL512" s="18"/>
      <c r="AM512" s="18"/>
    </row>
    <row r="513" spans="36:39">
      <c r="AJ513" s="93"/>
      <c r="AK513" s="18"/>
      <c r="AL513" s="18"/>
      <c r="AM513" s="18"/>
    </row>
    <row r="514" spans="36:39">
      <c r="AJ514" s="93"/>
      <c r="AK514" s="18"/>
      <c r="AL514" s="18"/>
      <c r="AM514" s="18"/>
    </row>
    <row r="515" spans="36:39">
      <c r="AJ515" s="93"/>
      <c r="AK515" s="18"/>
      <c r="AL515" s="18"/>
      <c r="AM515" s="18"/>
    </row>
    <row r="516" spans="36:39">
      <c r="AJ516" s="93"/>
      <c r="AK516" s="18"/>
      <c r="AL516" s="18"/>
      <c r="AM516" s="18"/>
    </row>
    <row r="517" spans="36:39">
      <c r="AJ517" s="93"/>
      <c r="AK517" s="18"/>
      <c r="AL517" s="18"/>
      <c r="AM517" s="18"/>
    </row>
    <row r="518" spans="36:39">
      <c r="AJ518" s="93"/>
      <c r="AK518" s="18"/>
      <c r="AL518" s="18"/>
      <c r="AM518" s="18"/>
    </row>
    <row r="519" spans="36:39">
      <c r="AJ519" s="93"/>
      <c r="AK519" s="18"/>
      <c r="AL519" s="18"/>
      <c r="AM519" s="18"/>
    </row>
    <row r="520" spans="36:39">
      <c r="AJ520" s="93"/>
      <c r="AK520" s="18"/>
      <c r="AL520" s="18"/>
      <c r="AM520" s="18"/>
    </row>
    <row r="521" spans="36:39">
      <c r="AJ521" s="93"/>
      <c r="AK521" s="18"/>
      <c r="AL521" s="18"/>
      <c r="AM521" s="18"/>
    </row>
    <row r="522" spans="36:39">
      <c r="AJ522" s="93"/>
      <c r="AK522" s="18"/>
      <c r="AL522" s="18"/>
      <c r="AM522" s="18"/>
    </row>
    <row r="523" spans="36:39">
      <c r="AJ523" s="93"/>
      <c r="AK523" s="18"/>
      <c r="AL523" s="18"/>
      <c r="AM523" s="18"/>
    </row>
    <row r="524" spans="36:39">
      <c r="AJ524" s="93"/>
      <c r="AK524" s="18"/>
      <c r="AL524" s="18"/>
      <c r="AM524" s="18"/>
    </row>
    <row r="525" spans="36:39">
      <c r="AJ525" s="93"/>
      <c r="AK525" s="18"/>
      <c r="AL525" s="18"/>
      <c r="AM525" s="18"/>
    </row>
    <row r="526" spans="36:39">
      <c r="AJ526" s="93"/>
      <c r="AK526" s="18"/>
      <c r="AL526" s="18"/>
      <c r="AM526" s="18"/>
    </row>
    <row r="527" spans="36:39">
      <c r="AJ527" s="93"/>
      <c r="AK527" s="18"/>
      <c r="AL527" s="18"/>
      <c r="AM527" s="18"/>
    </row>
    <row r="528" spans="36:39">
      <c r="AJ528" s="93"/>
      <c r="AK528" s="18"/>
      <c r="AL528" s="18"/>
      <c r="AM528" s="18"/>
    </row>
    <row r="529" spans="36:39">
      <c r="AJ529" s="93"/>
      <c r="AK529" s="18"/>
      <c r="AL529" s="18"/>
      <c r="AM529" s="18"/>
    </row>
    <row r="530" spans="36:39">
      <c r="AJ530" s="93"/>
      <c r="AK530" s="18"/>
      <c r="AL530" s="18"/>
      <c r="AM530" s="18"/>
    </row>
    <row r="531" spans="36:39">
      <c r="AJ531" s="93"/>
      <c r="AK531" s="18"/>
      <c r="AL531" s="18"/>
      <c r="AM531" s="18"/>
    </row>
    <row r="532" spans="36:39">
      <c r="AJ532" s="93"/>
      <c r="AK532" s="18"/>
      <c r="AL532" s="18"/>
      <c r="AM532" s="18"/>
    </row>
    <row r="533" spans="36:39">
      <c r="AJ533" s="93"/>
      <c r="AK533" s="18"/>
      <c r="AL533" s="18"/>
      <c r="AM533" s="18"/>
    </row>
    <row r="534" spans="36:39">
      <c r="AJ534" s="93"/>
      <c r="AK534" s="18"/>
      <c r="AL534" s="18"/>
      <c r="AM534" s="18"/>
    </row>
    <row r="535" spans="36:39">
      <c r="AJ535" s="93"/>
      <c r="AK535" s="18"/>
      <c r="AL535" s="18"/>
      <c r="AM535" s="18"/>
    </row>
    <row r="536" spans="36:39">
      <c r="AJ536" s="93"/>
      <c r="AK536" s="18"/>
      <c r="AL536" s="18"/>
      <c r="AM536" s="18"/>
    </row>
    <row r="537" spans="36:39">
      <c r="AJ537" s="93"/>
      <c r="AK537" s="18"/>
      <c r="AL537" s="18"/>
      <c r="AM537" s="18"/>
    </row>
    <row r="538" spans="36:39">
      <c r="AJ538" s="93"/>
      <c r="AK538" s="18"/>
      <c r="AL538" s="18"/>
      <c r="AM538" s="18"/>
    </row>
    <row r="539" spans="36:39">
      <c r="AJ539" s="93"/>
      <c r="AK539" s="18"/>
      <c r="AL539" s="18"/>
      <c r="AM539" s="18"/>
    </row>
    <row r="540" spans="36:39">
      <c r="AJ540" s="93"/>
      <c r="AK540" s="18"/>
      <c r="AL540" s="18"/>
      <c r="AM540" s="18"/>
    </row>
    <row r="541" spans="36:39">
      <c r="AJ541" s="93"/>
      <c r="AK541" s="18"/>
      <c r="AL541" s="18"/>
      <c r="AM541" s="18"/>
    </row>
    <row r="542" spans="36:39">
      <c r="AJ542" s="93"/>
      <c r="AK542" s="18"/>
      <c r="AL542" s="18"/>
      <c r="AM542" s="18"/>
    </row>
    <row r="543" spans="36:39">
      <c r="AJ543" s="93"/>
      <c r="AK543" s="18"/>
      <c r="AL543" s="18"/>
      <c r="AM543" s="18"/>
    </row>
    <row r="544" spans="36:39">
      <c r="AJ544" s="93"/>
      <c r="AK544" s="18"/>
      <c r="AL544" s="18"/>
      <c r="AM544" s="18"/>
    </row>
    <row r="545" spans="36:39">
      <c r="AJ545" s="93"/>
      <c r="AK545" s="18"/>
      <c r="AL545" s="18"/>
      <c r="AM545" s="18"/>
    </row>
    <row r="546" spans="36:39">
      <c r="AJ546" s="93"/>
      <c r="AK546" s="18"/>
      <c r="AL546" s="18"/>
      <c r="AM546" s="18"/>
    </row>
    <row r="547" spans="36:39">
      <c r="AJ547" s="93"/>
      <c r="AK547" s="18"/>
      <c r="AL547" s="18"/>
      <c r="AM547" s="18"/>
    </row>
    <row r="548" spans="36:39">
      <c r="AJ548" s="93"/>
      <c r="AK548" s="18"/>
      <c r="AL548" s="18"/>
      <c r="AM548" s="18"/>
    </row>
    <row r="549" spans="36:39">
      <c r="AJ549" s="93"/>
      <c r="AK549" s="18"/>
      <c r="AL549" s="18"/>
      <c r="AM549" s="18"/>
    </row>
    <row r="550" spans="36:39">
      <c r="AJ550" s="93"/>
      <c r="AK550" s="18"/>
      <c r="AL550" s="18"/>
      <c r="AM550" s="18"/>
    </row>
    <row r="551" spans="36:39">
      <c r="AJ551" s="93"/>
      <c r="AK551" s="18"/>
      <c r="AL551" s="18"/>
      <c r="AM551" s="18"/>
    </row>
    <row r="552" spans="36:39">
      <c r="AJ552" s="93"/>
      <c r="AK552" s="18"/>
      <c r="AL552" s="18"/>
      <c r="AM552" s="18"/>
    </row>
    <row r="553" spans="36:39">
      <c r="AJ553" s="93"/>
      <c r="AK553" s="18"/>
      <c r="AL553" s="18"/>
      <c r="AM553" s="18"/>
    </row>
    <row r="554" spans="36:39">
      <c r="AJ554" s="93"/>
      <c r="AK554" s="18"/>
      <c r="AL554" s="18"/>
      <c r="AM554" s="18"/>
    </row>
    <row r="555" spans="36:39">
      <c r="AJ555" s="93"/>
      <c r="AK555" s="18"/>
      <c r="AL555" s="18"/>
      <c r="AM555" s="18"/>
    </row>
    <row r="556" spans="36:39">
      <c r="AJ556" s="93"/>
      <c r="AK556" s="18"/>
      <c r="AL556" s="18"/>
      <c r="AM556" s="18"/>
    </row>
    <row r="557" spans="36:39">
      <c r="AJ557" s="93"/>
      <c r="AK557" s="18"/>
      <c r="AL557" s="18"/>
      <c r="AM557" s="18"/>
    </row>
    <row r="558" spans="36:39">
      <c r="AJ558" s="93"/>
      <c r="AK558" s="18"/>
      <c r="AL558" s="18"/>
      <c r="AM558" s="18"/>
    </row>
    <row r="559" spans="36:39">
      <c r="AJ559" s="93"/>
      <c r="AK559" s="18"/>
      <c r="AL559" s="18"/>
      <c r="AM559" s="18"/>
    </row>
    <row r="560" spans="36:39">
      <c r="AJ560" s="93"/>
      <c r="AK560" s="18"/>
      <c r="AL560" s="18"/>
      <c r="AM560" s="18"/>
    </row>
    <row r="561" spans="36:39">
      <c r="AJ561" s="93"/>
      <c r="AK561" s="18"/>
      <c r="AL561" s="18"/>
      <c r="AM561" s="18"/>
    </row>
    <row r="562" spans="36:39">
      <c r="AJ562" s="93"/>
      <c r="AK562" s="18"/>
      <c r="AL562" s="18"/>
      <c r="AM562" s="18"/>
    </row>
    <row r="563" spans="36:39">
      <c r="AJ563" s="93"/>
      <c r="AK563" s="18"/>
      <c r="AL563" s="18"/>
      <c r="AM563" s="18"/>
    </row>
    <row r="564" spans="36:39">
      <c r="AJ564" s="93"/>
      <c r="AK564" s="18"/>
      <c r="AL564" s="18"/>
      <c r="AM564" s="18"/>
    </row>
    <row r="565" spans="36:39">
      <c r="AJ565" s="93"/>
      <c r="AK565" s="18"/>
      <c r="AL565" s="18"/>
      <c r="AM565" s="18"/>
    </row>
    <row r="566" spans="36:39">
      <c r="AJ566" s="93"/>
      <c r="AK566" s="18"/>
      <c r="AL566" s="18"/>
      <c r="AM566" s="18"/>
    </row>
    <row r="567" spans="36:39">
      <c r="AJ567" s="93"/>
      <c r="AK567" s="18"/>
      <c r="AL567" s="18"/>
      <c r="AM567" s="18"/>
    </row>
    <row r="568" spans="36:39">
      <c r="AJ568" s="93"/>
      <c r="AK568" s="18"/>
      <c r="AL568" s="18"/>
      <c r="AM568" s="18"/>
    </row>
    <row r="569" spans="36:39">
      <c r="AJ569" s="93"/>
      <c r="AK569" s="18"/>
      <c r="AL569" s="18"/>
      <c r="AM569" s="18"/>
    </row>
    <row r="570" spans="36:39">
      <c r="AJ570" s="93"/>
      <c r="AK570" s="18"/>
      <c r="AL570" s="18"/>
      <c r="AM570" s="18"/>
    </row>
    <row r="571" spans="36:39">
      <c r="AJ571" s="93"/>
      <c r="AK571" s="18"/>
      <c r="AL571" s="18"/>
      <c r="AM571" s="18"/>
    </row>
    <row r="572" spans="36:39">
      <c r="AJ572" s="93"/>
      <c r="AK572" s="18"/>
      <c r="AL572" s="18"/>
      <c r="AM572" s="18"/>
    </row>
    <row r="573" spans="36:39">
      <c r="AJ573" s="93"/>
      <c r="AK573" s="18"/>
      <c r="AL573" s="18"/>
      <c r="AM573" s="18"/>
    </row>
    <row r="574" spans="36:39">
      <c r="AJ574" s="93"/>
      <c r="AK574" s="18"/>
      <c r="AL574" s="18"/>
      <c r="AM574" s="18"/>
    </row>
    <row r="575" spans="36:39">
      <c r="AJ575" s="93"/>
      <c r="AK575" s="18"/>
      <c r="AL575" s="18"/>
      <c r="AM575" s="18"/>
    </row>
    <row r="576" spans="36:39">
      <c r="AJ576" s="93"/>
      <c r="AK576" s="18"/>
      <c r="AL576" s="18"/>
      <c r="AM576" s="18"/>
    </row>
    <row r="577" spans="36:39">
      <c r="AJ577" s="93"/>
      <c r="AK577" s="18"/>
      <c r="AL577" s="18"/>
      <c r="AM577" s="18"/>
    </row>
    <row r="578" spans="36:39">
      <c r="AJ578" s="93"/>
      <c r="AK578" s="18"/>
      <c r="AL578" s="18"/>
      <c r="AM578" s="18"/>
    </row>
    <row r="579" spans="36:39">
      <c r="AJ579" s="93"/>
      <c r="AK579" s="18"/>
      <c r="AL579" s="18"/>
      <c r="AM579" s="18"/>
    </row>
    <row r="580" spans="36:39">
      <c r="AJ580" s="93"/>
      <c r="AK580" s="18"/>
      <c r="AL580" s="18"/>
      <c r="AM580" s="18"/>
    </row>
    <row r="581" spans="36:39">
      <c r="AJ581" s="93"/>
      <c r="AK581" s="18"/>
      <c r="AL581" s="18"/>
      <c r="AM581" s="18"/>
    </row>
    <row r="582" spans="36:39">
      <c r="AJ582" s="93"/>
      <c r="AK582" s="18"/>
      <c r="AL582" s="18"/>
      <c r="AM582" s="18"/>
    </row>
    <row r="583" spans="36:39">
      <c r="AJ583" s="93"/>
      <c r="AK583" s="18"/>
      <c r="AL583" s="18"/>
      <c r="AM583" s="18"/>
    </row>
    <row r="584" spans="36:39">
      <c r="AJ584" s="93"/>
      <c r="AK584" s="18"/>
      <c r="AL584" s="18"/>
      <c r="AM584" s="18"/>
    </row>
    <row r="585" spans="36:39">
      <c r="AJ585" s="93"/>
      <c r="AK585" s="18"/>
      <c r="AL585" s="18"/>
      <c r="AM585" s="18"/>
    </row>
    <row r="586" spans="36:39">
      <c r="AJ586" s="93"/>
      <c r="AK586" s="18"/>
      <c r="AL586" s="18"/>
      <c r="AM586" s="18"/>
    </row>
    <row r="587" spans="36:39">
      <c r="AJ587" s="93"/>
      <c r="AK587" s="18"/>
      <c r="AL587" s="18"/>
      <c r="AM587" s="18"/>
    </row>
    <row r="588" spans="36:39">
      <c r="AJ588" s="93"/>
      <c r="AK588" s="18"/>
      <c r="AL588" s="18"/>
      <c r="AM588" s="18"/>
    </row>
    <row r="589" spans="36:39">
      <c r="AJ589" s="93"/>
      <c r="AK589" s="18"/>
      <c r="AL589" s="18"/>
      <c r="AM589" s="18"/>
    </row>
    <row r="590" spans="36:39">
      <c r="AJ590" s="93"/>
      <c r="AK590" s="18"/>
      <c r="AL590" s="18"/>
      <c r="AM590" s="18"/>
    </row>
    <row r="591" spans="36:39">
      <c r="AJ591" s="93"/>
      <c r="AK591" s="18"/>
      <c r="AL591" s="18"/>
      <c r="AM591" s="18"/>
    </row>
    <row r="592" spans="36:39">
      <c r="AJ592" s="93"/>
      <c r="AK592" s="18"/>
      <c r="AL592" s="18"/>
      <c r="AM592" s="18"/>
    </row>
    <row r="593" spans="36:39">
      <c r="AJ593" s="93"/>
      <c r="AK593" s="18"/>
      <c r="AL593" s="18"/>
      <c r="AM593" s="18"/>
    </row>
    <row r="594" spans="36:39">
      <c r="AJ594" s="93"/>
      <c r="AK594" s="18"/>
      <c r="AL594" s="18"/>
      <c r="AM594" s="18"/>
    </row>
    <row r="595" spans="36:39">
      <c r="AJ595" s="93"/>
      <c r="AK595" s="18"/>
      <c r="AL595" s="18"/>
      <c r="AM595" s="18"/>
    </row>
    <row r="596" spans="36:39">
      <c r="AJ596" s="93"/>
      <c r="AK596" s="18"/>
      <c r="AL596" s="18"/>
      <c r="AM596" s="18"/>
    </row>
    <row r="597" spans="36:39">
      <c r="AJ597" s="93"/>
      <c r="AK597" s="18"/>
      <c r="AL597" s="18"/>
      <c r="AM597" s="18"/>
    </row>
    <row r="598" spans="36:39">
      <c r="AJ598" s="93"/>
      <c r="AK598" s="18"/>
      <c r="AL598" s="18"/>
      <c r="AM598" s="18"/>
    </row>
    <row r="599" spans="36:39">
      <c r="AJ599" s="93"/>
      <c r="AK599" s="18"/>
      <c r="AL599" s="18"/>
      <c r="AM599" s="18"/>
    </row>
    <row r="600" spans="36:39">
      <c r="AJ600" s="93"/>
      <c r="AK600" s="18"/>
      <c r="AL600" s="18"/>
      <c r="AM600" s="18"/>
    </row>
    <row r="601" spans="36:39">
      <c r="AJ601" s="93"/>
      <c r="AK601" s="18"/>
      <c r="AL601" s="18"/>
      <c r="AM601" s="18"/>
    </row>
    <row r="602" spans="36:39">
      <c r="AJ602" s="93"/>
      <c r="AK602" s="18"/>
      <c r="AL602" s="18"/>
      <c r="AM602" s="18"/>
    </row>
    <row r="603" spans="36:39">
      <c r="AJ603" s="93"/>
      <c r="AK603" s="18"/>
      <c r="AL603" s="18"/>
      <c r="AM603" s="18"/>
    </row>
    <row r="604" spans="36:39">
      <c r="AJ604" s="93"/>
      <c r="AK604" s="18"/>
      <c r="AL604" s="18"/>
      <c r="AM604" s="18"/>
    </row>
    <row r="605" spans="36:39">
      <c r="AJ605" s="93"/>
      <c r="AK605" s="18"/>
      <c r="AL605" s="18"/>
      <c r="AM605" s="18"/>
    </row>
    <row r="606" spans="36:39">
      <c r="AJ606" s="93"/>
      <c r="AK606" s="18"/>
      <c r="AL606" s="18"/>
      <c r="AM606" s="18"/>
    </row>
    <row r="607" spans="36:39">
      <c r="AJ607" s="93"/>
      <c r="AK607" s="18"/>
      <c r="AL607" s="18"/>
      <c r="AM607" s="18"/>
    </row>
    <row r="608" spans="36:39">
      <c r="AJ608" s="93"/>
      <c r="AK608" s="18"/>
      <c r="AL608" s="18"/>
      <c r="AM608" s="18"/>
    </row>
    <row r="609" spans="36:39">
      <c r="AJ609" s="93"/>
      <c r="AK609" s="18"/>
      <c r="AL609" s="18"/>
      <c r="AM609" s="18"/>
    </row>
    <row r="610" spans="36:39">
      <c r="AJ610" s="93"/>
      <c r="AK610" s="18"/>
      <c r="AL610" s="18"/>
      <c r="AM610" s="18"/>
    </row>
    <row r="611" spans="36:39">
      <c r="AJ611" s="93"/>
      <c r="AK611" s="18"/>
      <c r="AL611" s="18"/>
      <c r="AM611" s="18"/>
    </row>
    <row r="612" spans="36:39">
      <c r="AJ612" s="93"/>
      <c r="AK612" s="18"/>
      <c r="AL612" s="18"/>
      <c r="AM612" s="18"/>
    </row>
    <row r="613" spans="36:39">
      <c r="AJ613" s="93"/>
      <c r="AK613" s="18"/>
      <c r="AL613" s="18"/>
      <c r="AM613" s="18"/>
    </row>
    <row r="614" spans="36:39">
      <c r="AJ614" s="93"/>
      <c r="AK614" s="18"/>
      <c r="AL614" s="18"/>
      <c r="AM614" s="18"/>
    </row>
    <row r="615" spans="36:39">
      <c r="AJ615" s="93"/>
      <c r="AK615" s="18"/>
      <c r="AL615" s="18"/>
      <c r="AM615" s="18"/>
    </row>
    <row r="616" spans="36:39">
      <c r="AJ616" s="93"/>
      <c r="AK616" s="18"/>
      <c r="AL616" s="18"/>
      <c r="AM616" s="18"/>
    </row>
    <row r="617" spans="36:39">
      <c r="AJ617" s="93"/>
      <c r="AK617" s="18"/>
      <c r="AL617" s="18"/>
      <c r="AM617" s="18"/>
    </row>
    <row r="618" spans="36:39">
      <c r="AJ618" s="93"/>
      <c r="AK618" s="18"/>
      <c r="AL618" s="18"/>
      <c r="AM618" s="18"/>
    </row>
    <row r="619" spans="36:39">
      <c r="AJ619" s="93"/>
      <c r="AK619" s="18"/>
      <c r="AL619" s="18"/>
      <c r="AM619" s="18"/>
    </row>
    <row r="620" spans="36:39">
      <c r="AJ620" s="93"/>
      <c r="AK620" s="18"/>
      <c r="AL620" s="18"/>
      <c r="AM620" s="18"/>
    </row>
    <row r="621" spans="36:39">
      <c r="AJ621" s="93"/>
      <c r="AK621" s="18"/>
      <c r="AL621" s="18"/>
      <c r="AM621" s="18"/>
    </row>
    <row r="622" spans="36:39">
      <c r="AJ622" s="93"/>
      <c r="AK622" s="18"/>
      <c r="AL622" s="18"/>
      <c r="AM622" s="18"/>
    </row>
    <row r="623" spans="36:39">
      <c r="AJ623" s="93"/>
      <c r="AK623" s="18"/>
      <c r="AL623" s="18"/>
      <c r="AM623" s="18"/>
    </row>
    <row r="624" spans="36:39">
      <c r="AJ624" s="93"/>
      <c r="AK624" s="18"/>
      <c r="AL624" s="18"/>
      <c r="AM624" s="18"/>
    </row>
    <row r="625" spans="36:39">
      <c r="AJ625" s="93"/>
      <c r="AK625" s="18"/>
      <c r="AL625" s="18"/>
      <c r="AM625" s="18"/>
    </row>
    <row r="626" spans="36:39">
      <c r="AJ626" s="93"/>
      <c r="AK626" s="18"/>
      <c r="AL626" s="18"/>
      <c r="AM626" s="18"/>
    </row>
    <row r="627" spans="36:39">
      <c r="AJ627" s="93"/>
      <c r="AK627" s="18"/>
      <c r="AL627" s="18"/>
      <c r="AM627" s="18"/>
    </row>
    <row r="628" spans="36:39">
      <c r="AJ628" s="93"/>
      <c r="AK628" s="18"/>
      <c r="AL628" s="18"/>
      <c r="AM628" s="18"/>
    </row>
    <row r="629" spans="36:39">
      <c r="AJ629" s="93"/>
      <c r="AK629" s="18"/>
      <c r="AL629" s="18"/>
      <c r="AM629" s="18"/>
    </row>
    <row r="630" spans="36:39">
      <c r="AJ630" s="93"/>
      <c r="AK630" s="18"/>
      <c r="AL630" s="18"/>
      <c r="AM630" s="18"/>
    </row>
    <row r="631" spans="36:39">
      <c r="AJ631" s="93"/>
      <c r="AK631" s="18"/>
      <c r="AL631" s="18"/>
      <c r="AM631" s="18"/>
    </row>
    <row r="632" spans="36:39">
      <c r="AJ632" s="93"/>
      <c r="AK632" s="18"/>
      <c r="AL632" s="18"/>
      <c r="AM632" s="18"/>
    </row>
    <row r="633" spans="36:39">
      <c r="AJ633" s="93"/>
      <c r="AK633" s="18"/>
      <c r="AL633" s="18"/>
      <c r="AM633" s="18"/>
    </row>
    <row r="634" spans="36:39">
      <c r="AJ634" s="93"/>
      <c r="AK634" s="18"/>
      <c r="AL634" s="18"/>
      <c r="AM634" s="18"/>
    </row>
    <row r="635" spans="36:39">
      <c r="AJ635" s="93"/>
      <c r="AK635" s="18"/>
      <c r="AL635" s="18"/>
      <c r="AM635" s="18"/>
    </row>
    <row r="636" spans="36:39">
      <c r="AJ636" s="93"/>
      <c r="AK636" s="18"/>
      <c r="AL636" s="18"/>
      <c r="AM636" s="18"/>
    </row>
    <row r="637" spans="36:39">
      <c r="AJ637" s="93"/>
      <c r="AK637" s="18"/>
      <c r="AL637" s="18"/>
      <c r="AM637" s="18"/>
    </row>
    <row r="638" spans="36:39">
      <c r="AJ638" s="93"/>
      <c r="AK638" s="18"/>
      <c r="AL638" s="18"/>
      <c r="AM638" s="18"/>
    </row>
    <row r="639" spans="36:39">
      <c r="AJ639" s="93"/>
      <c r="AK639" s="18"/>
      <c r="AL639" s="18"/>
      <c r="AM639" s="18"/>
    </row>
    <row r="640" spans="36:39">
      <c r="AJ640" s="93"/>
      <c r="AK640" s="18"/>
      <c r="AL640" s="18"/>
      <c r="AM640" s="18"/>
    </row>
    <row r="641" spans="36:39">
      <c r="AJ641" s="93"/>
      <c r="AK641" s="18"/>
      <c r="AL641" s="18"/>
      <c r="AM641" s="18"/>
    </row>
    <row r="642" spans="36:39">
      <c r="AJ642" s="93"/>
      <c r="AK642" s="18"/>
      <c r="AL642" s="18"/>
      <c r="AM642" s="18"/>
    </row>
    <row r="643" spans="36:39">
      <c r="AJ643" s="93"/>
      <c r="AK643" s="18"/>
      <c r="AL643" s="18"/>
      <c r="AM643" s="18"/>
    </row>
    <row r="644" spans="36:39">
      <c r="AJ644" s="93"/>
      <c r="AK644" s="18"/>
      <c r="AL644" s="18"/>
      <c r="AM644" s="18"/>
    </row>
    <row r="645" spans="36:39">
      <c r="AJ645" s="93"/>
      <c r="AK645" s="18"/>
      <c r="AL645" s="18"/>
      <c r="AM645" s="18"/>
    </row>
    <row r="646" spans="36:39">
      <c r="AJ646" s="93"/>
      <c r="AK646" s="18"/>
      <c r="AL646" s="18"/>
      <c r="AM646" s="18"/>
    </row>
    <row r="647" spans="36:39">
      <c r="AJ647" s="93"/>
      <c r="AK647" s="18"/>
      <c r="AL647" s="18"/>
      <c r="AM647" s="18"/>
    </row>
    <row r="648" spans="36:39">
      <c r="AJ648" s="93"/>
      <c r="AK648" s="18"/>
      <c r="AL648" s="18"/>
      <c r="AM648" s="18"/>
    </row>
    <row r="649" spans="36:39">
      <c r="AJ649" s="93"/>
      <c r="AK649" s="18"/>
      <c r="AL649" s="18"/>
      <c r="AM649" s="18"/>
    </row>
    <row r="650" spans="36:39">
      <c r="AJ650" s="93"/>
      <c r="AK650" s="18"/>
      <c r="AL650" s="18"/>
      <c r="AM650" s="18"/>
    </row>
    <row r="651" spans="36:39">
      <c r="AJ651" s="93"/>
      <c r="AK651" s="18"/>
      <c r="AL651" s="18"/>
      <c r="AM651" s="18"/>
    </row>
    <row r="652" spans="36:39">
      <c r="AJ652" s="93"/>
      <c r="AK652" s="18"/>
      <c r="AL652" s="18"/>
      <c r="AM652" s="18"/>
    </row>
    <row r="653" spans="36:39">
      <c r="AJ653" s="93"/>
      <c r="AK653" s="18"/>
      <c r="AL653" s="18"/>
      <c r="AM653" s="18"/>
    </row>
    <row r="654" spans="36:39">
      <c r="AJ654" s="93"/>
      <c r="AK654" s="18"/>
      <c r="AL654" s="18"/>
      <c r="AM654" s="18"/>
    </row>
    <row r="655" spans="36:39">
      <c r="AJ655" s="93"/>
      <c r="AK655" s="18"/>
      <c r="AL655" s="18"/>
      <c r="AM655" s="18"/>
    </row>
    <row r="656" spans="36:39">
      <c r="AJ656" s="93"/>
      <c r="AK656" s="18"/>
      <c r="AL656" s="18"/>
      <c r="AM656" s="18"/>
    </row>
    <row r="657" spans="36:39">
      <c r="AJ657" s="93"/>
      <c r="AK657" s="18"/>
      <c r="AL657" s="18"/>
      <c r="AM657" s="18"/>
    </row>
    <row r="658" spans="36:39">
      <c r="AJ658" s="93"/>
      <c r="AK658" s="18"/>
      <c r="AL658" s="18"/>
      <c r="AM658" s="18"/>
    </row>
    <row r="659" spans="36:39">
      <c r="AJ659" s="93"/>
      <c r="AK659" s="18"/>
      <c r="AL659" s="18"/>
      <c r="AM659" s="18"/>
    </row>
    <row r="660" spans="36:39">
      <c r="AJ660" s="93"/>
      <c r="AK660" s="18"/>
      <c r="AL660" s="18"/>
      <c r="AM660" s="18"/>
    </row>
    <row r="661" spans="36:39">
      <c r="AJ661" s="93"/>
      <c r="AK661" s="18"/>
      <c r="AL661" s="18"/>
      <c r="AM661" s="18"/>
    </row>
    <row r="662" spans="36:39">
      <c r="AJ662" s="93"/>
      <c r="AK662" s="18"/>
      <c r="AL662" s="18"/>
      <c r="AM662" s="18"/>
    </row>
    <row r="663" spans="36:39">
      <c r="AJ663" s="93"/>
      <c r="AK663" s="18"/>
      <c r="AL663" s="18"/>
      <c r="AM663" s="18"/>
    </row>
    <row r="664" spans="36:39">
      <c r="AJ664" s="93"/>
      <c r="AK664" s="18"/>
      <c r="AL664" s="18"/>
      <c r="AM664" s="18"/>
    </row>
    <row r="665" spans="36:39">
      <c r="AJ665" s="93"/>
      <c r="AK665" s="18"/>
      <c r="AL665" s="18"/>
      <c r="AM665" s="18"/>
    </row>
    <row r="666" spans="36:39">
      <c r="AJ666" s="93"/>
      <c r="AK666" s="18"/>
      <c r="AL666" s="18"/>
      <c r="AM666" s="18"/>
    </row>
    <row r="667" spans="36:39">
      <c r="AJ667" s="93"/>
      <c r="AK667" s="18"/>
      <c r="AL667" s="18"/>
      <c r="AM667" s="18"/>
    </row>
    <row r="668" spans="36:39">
      <c r="AJ668" s="93"/>
      <c r="AK668" s="18"/>
      <c r="AL668" s="18"/>
      <c r="AM668" s="18"/>
    </row>
    <row r="669" spans="36:39">
      <c r="AJ669" s="94"/>
      <c r="AK669" s="19"/>
      <c r="AL669" s="19"/>
      <c r="AM669" s="19"/>
    </row>
    <row r="670" spans="36:39">
      <c r="AJ670" s="94"/>
      <c r="AK670" s="19"/>
      <c r="AL670" s="19"/>
      <c r="AM670" s="19"/>
    </row>
    <row r="671" spans="36:39">
      <c r="AJ671" s="94"/>
      <c r="AK671" s="19"/>
      <c r="AL671" s="19"/>
      <c r="AM671" s="19"/>
    </row>
    <row r="672" spans="36:39">
      <c r="AJ672" s="94"/>
      <c r="AK672" s="19"/>
      <c r="AL672" s="19"/>
      <c r="AM672" s="19"/>
    </row>
    <row r="673" spans="36:39">
      <c r="AJ673" s="94"/>
      <c r="AK673" s="19"/>
      <c r="AL673" s="19"/>
      <c r="AM673" s="19"/>
    </row>
    <row r="674" spans="36:39">
      <c r="AJ674" s="94"/>
      <c r="AK674" s="19"/>
      <c r="AL674" s="19"/>
      <c r="AM674" s="19"/>
    </row>
    <row r="675" spans="36:39">
      <c r="AJ675" s="94"/>
      <c r="AK675" s="19"/>
      <c r="AL675" s="19"/>
      <c r="AM675" s="19"/>
    </row>
    <row r="676" spans="36:39">
      <c r="AJ676" s="94"/>
      <c r="AK676" s="19"/>
      <c r="AL676" s="19"/>
      <c r="AM676" s="19"/>
    </row>
    <row r="677" spans="36:39">
      <c r="AJ677" s="94"/>
      <c r="AK677" s="19"/>
      <c r="AL677" s="19"/>
      <c r="AM677" s="19"/>
    </row>
    <row r="678" spans="36:39">
      <c r="AJ678" s="94"/>
      <c r="AK678" s="19"/>
      <c r="AL678" s="19"/>
      <c r="AM678" s="19"/>
    </row>
    <row r="679" spans="36:39">
      <c r="AJ679" s="94"/>
      <c r="AK679" s="19"/>
      <c r="AL679" s="19"/>
      <c r="AM679" s="19"/>
    </row>
    <row r="680" spans="36:39">
      <c r="AJ680" s="94"/>
      <c r="AK680" s="19"/>
      <c r="AL680" s="19"/>
      <c r="AM680" s="19"/>
    </row>
    <row r="681" spans="36:39">
      <c r="AJ681" s="94"/>
      <c r="AK681" s="19"/>
      <c r="AL681" s="19"/>
      <c r="AM681" s="19"/>
    </row>
    <row r="682" spans="36:39">
      <c r="AJ682" s="94"/>
      <c r="AK682" s="19"/>
      <c r="AL682" s="19"/>
      <c r="AM682" s="19"/>
    </row>
    <row r="683" spans="36:39">
      <c r="AJ683" s="94"/>
      <c r="AK683" s="19"/>
      <c r="AL683" s="19"/>
      <c r="AM683" s="19"/>
    </row>
    <row r="684" spans="36:39">
      <c r="AJ684" s="94"/>
      <c r="AK684" s="19"/>
      <c r="AL684" s="19"/>
      <c r="AM684" s="19"/>
    </row>
    <row r="685" spans="36:39">
      <c r="AJ685" s="94"/>
      <c r="AK685" s="19"/>
      <c r="AL685" s="19"/>
      <c r="AM685" s="19"/>
    </row>
    <row r="686" spans="36:39">
      <c r="AJ686" s="94"/>
      <c r="AK686" s="19"/>
      <c r="AL686" s="19"/>
      <c r="AM686" s="19"/>
    </row>
    <row r="687" spans="36:39">
      <c r="AJ687" s="94"/>
      <c r="AK687" s="19"/>
      <c r="AL687" s="19"/>
      <c r="AM687" s="19"/>
    </row>
    <row r="688" spans="36:39">
      <c r="AJ688" s="94"/>
      <c r="AK688" s="19"/>
      <c r="AL688" s="19"/>
      <c r="AM688" s="19"/>
    </row>
    <row r="689" spans="36:39">
      <c r="AJ689" s="94"/>
      <c r="AK689" s="19"/>
      <c r="AL689" s="19"/>
      <c r="AM689" s="19"/>
    </row>
    <row r="690" spans="36:39">
      <c r="AJ690" s="94"/>
      <c r="AK690" s="19"/>
      <c r="AL690" s="19"/>
      <c r="AM690" s="19"/>
    </row>
    <row r="691" spans="36:39">
      <c r="AJ691" s="94"/>
      <c r="AK691" s="19"/>
      <c r="AL691" s="19"/>
      <c r="AM691" s="19"/>
    </row>
    <row r="692" spans="36:39">
      <c r="AJ692" s="94"/>
      <c r="AK692" s="19"/>
      <c r="AL692" s="19"/>
      <c r="AM692" s="19"/>
    </row>
    <row r="693" spans="36:39">
      <c r="AJ693" s="94"/>
      <c r="AK693" s="19"/>
      <c r="AL693" s="19"/>
      <c r="AM693" s="19"/>
    </row>
    <row r="694" spans="36:39">
      <c r="AJ694" s="94"/>
      <c r="AK694" s="19"/>
      <c r="AL694" s="19"/>
      <c r="AM694" s="19"/>
    </row>
    <row r="695" spans="36:39">
      <c r="AJ695" s="94"/>
      <c r="AK695" s="19"/>
      <c r="AL695" s="19"/>
      <c r="AM695" s="19"/>
    </row>
    <row r="696" spans="36:39">
      <c r="AJ696" s="94"/>
      <c r="AK696" s="19"/>
      <c r="AL696" s="19"/>
      <c r="AM696" s="19"/>
    </row>
    <row r="697" spans="36:39">
      <c r="AJ697" s="94"/>
      <c r="AK697" s="19"/>
      <c r="AL697" s="19"/>
      <c r="AM697" s="19"/>
    </row>
    <row r="698" spans="36:39">
      <c r="AJ698" s="94"/>
      <c r="AK698" s="19"/>
      <c r="AL698" s="19"/>
      <c r="AM698" s="19"/>
    </row>
    <row r="699" spans="36:39">
      <c r="AJ699" s="94"/>
      <c r="AK699" s="19"/>
      <c r="AL699" s="19"/>
      <c r="AM699" s="19"/>
    </row>
    <row r="700" spans="36:39">
      <c r="AJ700" s="94"/>
      <c r="AK700" s="19"/>
      <c r="AL700" s="19"/>
      <c r="AM700" s="19"/>
    </row>
    <row r="701" spans="36:39">
      <c r="AJ701" s="94"/>
      <c r="AK701" s="19"/>
      <c r="AL701" s="19"/>
      <c r="AM701" s="19"/>
    </row>
    <row r="702" spans="36:39">
      <c r="AJ702" s="94"/>
      <c r="AK702" s="19"/>
      <c r="AL702" s="19"/>
      <c r="AM702" s="19"/>
    </row>
    <row r="703" spans="36:39">
      <c r="AJ703" s="94"/>
      <c r="AK703" s="19"/>
      <c r="AL703" s="19"/>
      <c r="AM703" s="19"/>
    </row>
    <row r="704" spans="36:39">
      <c r="AJ704" s="94"/>
      <c r="AK704" s="19"/>
      <c r="AL704" s="19"/>
      <c r="AM704" s="19"/>
    </row>
    <row r="705" spans="36:39">
      <c r="AJ705" s="94"/>
      <c r="AK705" s="19"/>
      <c r="AL705" s="19"/>
      <c r="AM705" s="19"/>
    </row>
    <row r="706" spans="36:39">
      <c r="AJ706" s="94"/>
      <c r="AK706" s="19"/>
      <c r="AL706" s="19"/>
      <c r="AM706" s="19"/>
    </row>
    <row r="707" spans="36:39">
      <c r="AJ707" s="94"/>
      <c r="AK707" s="19"/>
      <c r="AL707" s="19"/>
      <c r="AM707" s="19"/>
    </row>
    <row r="708" spans="36:39">
      <c r="AJ708" s="94"/>
      <c r="AK708" s="19"/>
      <c r="AL708" s="19"/>
      <c r="AM708" s="19"/>
    </row>
    <row r="709" spans="36:39">
      <c r="AJ709" s="94"/>
      <c r="AK709" s="19"/>
      <c r="AL709" s="19"/>
      <c r="AM709" s="19"/>
    </row>
    <row r="710" spans="36:39">
      <c r="AJ710" s="94"/>
      <c r="AK710" s="19"/>
      <c r="AL710" s="19"/>
      <c r="AM710" s="19"/>
    </row>
    <row r="711" spans="36:39">
      <c r="AJ711" s="94"/>
      <c r="AK711" s="19"/>
      <c r="AL711" s="19"/>
      <c r="AM711" s="19"/>
    </row>
    <row r="712" spans="36:39">
      <c r="AJ712" s="94"/>
      <c r="AK712" s="19"/>
      <c r="AL712" s="19"/>
      <c r="AM712" s="19"/>
    </row>
    <row r="713" spans="36:39">
      <c r="AJ713" s="94"/>
      <c r="AK713" s="19"/>
      <c r="AL713" s="19"/>
      <c r="AM713" s="19"/>
    </row>
    <row r="714" spans="36:39">
      <c r="AJ714" s="94"/>
      <c r="AK714" s="19"/>
      <c r="AL714" s="19"/>
      <c r="AM714" s="19"/>
    </row>
    <row r="715" spans="36:39">
      <c r="AJ715" s="94"/>
      <c r="AK715" s="19"/>
      <c r="AL715" s="19"/>
      <c r="AM715" s="19"/>
    </row>
    <row r="716" spans="36:39">
      <c r="AJ716" s="94"/>
      <c r="AK716" s="19"/>
      <c r="AL716" s="19"/>
      <c r="AM716" s="19"/>
    </row>
    <row r="717" spans="36:39">
      <c r="AJ717" s="94"/>
      <c r="AK717" s="19"/>
      <c r="AL717" s="19"/>
      <c r="AM717" s="19"/>
    </row>
    <row r="718" spans="36:39">
      <c r="AJ718" s="94"/>
      <c r="AK718" s="19"/>
      <c r="AL718" s="19"/>
      <c r="AM718" s="19"/>
    </row>
    <row r="719" spans="36:39">
      <c r="AJ719" s="94"/>
      <c r="AK719" s="19"/>
      <c r="AL719" s="19"/>
      <c r="AM719" s="19"/>
    </row>
    <row r="720" spans="36:39">
      <c r="AJ720" s="94"/>
      <c r="AK720" s="19"/>
      <c r="AL720" s="19"/>
      <c r="AM720" s="19"/>
    </row>
    <row r="721" spans="36:39">
      <c r="AJ721" s="94"/>
      <c r="AK721" s="19"/>
      <c r="AL721" s="19"/>
      <c r="AM721" s="19"/>
    </row>
    <row r="722" spans="36:39">
      <c r="AJ722" s="94"/>
      <c r="AK722" s="19"/>
      <c r="AL722" s="19"/>
      <c r="AM722" s="19"/>
    </row>
    <row r="723" spans="36:39">
      <c r="AJ723" s="94"/>
      <c r="AK723" s="19"/>
      <c r="AL723" s="19"/>
      <c r="AM723" s="19"/>
    </row>
    <row r="724" spans="36:39">
      <c r="AJ724" s="94"/>
      <c r="AK724" s="19"/>
      <c r="AL724" s="19"/>
      <c r="AM724" s="19"/>
    </row>
    <row r="725" spans="36:39">
      <c r="AJ725" s="94"/>
      <c r="AK725" s="19"/>
      <c r="AL725" s="19"/>
      <c r="AM725" s="19"/>
    </row>
    <row r="726" spans="36:39">
      <c r="AJ726" s="94"/>
      <c r="AK726" s="19"/>
      <c r="AL726" s="19"/>
      <c r="AM726" s="19"/>
    </row>
    <row r="727" spans="36:39">
      <c r="AJ727" s="94"/>
      <c r="AK727" s="19"/>
      <c r="AL727" s="19"/>
      <c r="AM727" s="19"/>
    </row>
    <row r="728" spans="36:39">
      <c r="AJ728" s="94"/>
      <c r="AK728" s="19"/>
      <c r="AL728" s="19"/>
      <c r="AM728" s="19"/>
    </row>
    <row r="729" spans="36:39">
      <c r="AJ729" s="94"/>
      <c r="AK729" s="19"/>
      <c r="AL729" s="19"/>
      <c r="AM729" s="19"/>
    </row>
    <row r="730" spans="36:39">
      <c r="AJ730" s="94"/>
      <c r="AK730" s="19"/>
      <c r="AL730" s="19"/>
      <c r="AM730" s="19"/>
    </row>
    <row r="731" spans="36:39">
      <c r="AJ731" s="94"/>
      <c r="AK731" s="19"/>
      <c r="AL731" s="19"/>
      <c r="AM731" s="19"/>
    </row>
    <row r="732" spans="36:39">
      <c r="AJ732" s="94"/>
      <c r="AK732" s="19"/>
      <c r="AL732" s="19"/>
      <c r="AM732" s="19"/>
    </row>
    <row r="733" spans="36:39">
      <c r="AJ733" s="94"/>
      <c r="AK733" s="19"/>
      <c r="AL733" s="19"/>
      <c r="AM733" s="19"/>
    </row>
    <row r="734" spans="36:39">
      <c r="AJ734" s="94"/>
      <c r="AK734" s="19"/>
      <c r="AL734" s="19"/>
      <c r="AM734" s="19"/>
    </row>
    <row r="735" spans="36:39">
      <c r="AJ735" s="94"/>
      <c r="AK735" s="19"/>
      <c r="AL735" s="19"/>
      <c r="AM735" s="19"/>
    </row>
    <row r="736" spans="36:39">
      <c r="AJ736" s="94"/>
      <c r="AK736" s="19"/>
      <c r="AL736" s="19"/>
      <c r="AM736" s="19"/>
    </row>
    <row r="737" spans="36:39">
      <c r="AJ737" s="94"/>
      <c r="AK737" s="19"/>
      <c r="AL737" s="19"/>
      <c r="AM737" s="19"/>
    </row>
    <row r="738" spans="36:39">
      <c r="AJ738" s="93"/>
      <c r="AK738" s="19"/>
      <c r="AL738" s="19"/>
      <c r="AM738" s="19"/>
    </row>
    <row r="739" spans="36:39">
      <c r="AJ739" s="93"/>
      <c r="AK739" s="18"/>
      <c r="AL739" s="18"/>
      <c r="AM739" s="18"/>
    </row>
    <row r="740" spans="36:39">
      <c r="AJ740" s="93"/>
      <c r="AK740" s="18"/>
      <c r="AL740" s="18"/>
      <c r="AM740" s="18"/>
    </row>
    <row r="741" spans="36:39">
      <c r="AJ741" s="93"/>
      <c r="AK741" s="18"/>
      <c r="AL741" s="18"/>
      <c r="AM741" s="18"/>
    </row>
    <row r="742" spans="36:39">
      <c r="AJ742" s="93"/>
      <c r="AK742" s="18"/>
      <c r="AL742" s="18"/>
      <c r="AM742" s="18"/>
    </row>
    <row r="743" spans="36:39">
      <c r="AJ743" s="93"/>
      <c r="AK743" s="18"/>
      <c r="AL743" s="18"/>
      <c r="AM743" s="18"/>
    </row>
    <row r="744" spans="36:39">
      <c r="AJ744" s="93"/>
      <c r="AK744" s="18"/>
      <c r="AL744" s="18"/>
      <c r="AM744" s="18"/>
    </row>
    <row r="745" spans="36:39">
      <c r="AJ745" s="93"/>
      <c r="AK745" s="18"/>
      <c r="AL745" s="18"/>
      <c r="AM745" s="18"/>
    </row>
    <row r="746" spans="36:39">
      <c r="AJ746" s="93"/>
      <c r="AK746" s="20"/>
      <c r="AL746" s="20"/>
      <c r="AM746" s="20"/>
    </row>
    <row r="747" spans="36:39">
      <c r="AJ747" s="93"/>
      <c r="AK747" s="18"/>
      <c r="AL747" s="18"/>
      <c r="AM747" s="18"/>
    </row>
    <row r="748" spans="36:39">
      <c r="AJ748" s="94"/>
      <c r="AK748" s="18"/>
      <c r="AL748" s="18"/>
      <c r="AM748" s="18"/>
    </row>
    <row r="749" spans="36:39">
      <c r="AJ749" s="94"/>
      <c r="AK749" s="18"/>
      <c r="AL749" s="18"/>
      <c r="AM749" s="18"/>
    </row>
    <row r="750" spans="36:39">
      <c r="AJ750" s="94"/>
      <c r="AK750" s="18"/>
      <c r="AL750" s="18"/>
      <c r="AM750" s="18"/>
    </row>
    <row r="751" spans="36:39">
      <c r="AJ751" s="94"/>
      <c r="AK751" s="18"/>
      <c r="AL751" s="18"/>
      <c r="AM751" s="18"/>
    </row>
    <row r="752" spans="36:39">
      <c r="AJ752" s="93"/>
      <c r="AK752" s="18"/>
      <c r="AL752" s="18"/>
      <c r="AM752" s="18"/>
    </row>
    <row r="753" spans="36:39">
      <c r="AJ753" s="93"/>
      <c r="AK753" s="18"/>
      <c r="AL753" s="18"/>
      <c r="AM753" s="18"/>
    </row>
    <row r="754" spans="36:39">
      <c r="AJ754" s="93"/>
      <c r="AK754" s="18"/>
      <c r="AL754" s="18"/>
      <c r="AM754" s="18"/>
    </row>
    <row r="755" spans="36:39">
      <c r="AJ755" s="94"/>
      <c r="AK755" s="18"/>
      <c r="AL755" s="18"/>
      <c r="AM755" s="18"/>
    </row>
    <row r="756" spans="36:39">
      <c r="AJ756" s="94"/>
      <c r="AK756" s="18"/>
      <c r="AL756" s="18"/>
      <c r="AM756" s="18"/>
    </row>
    <row r="757" spans="36:39">
      <c r="AJ757" s="93"/>
      <c r="AK757" s="18"/>
      <c r="AL757" s="18"/>
      <c r="AM757" s="18"/>
    </row>
    <row r="758" spans="36:39">
      <c r="AJ758" s="93"/>
      <c r="AK758" s="18"/>
      <c r="AL758" s="18"/>
      <c r="AM758" s="18"/>
    </row>
    <row r="759" spans="36:39">
      <c r="AJ759" s="93"/>
      <c r="AK759" s="18"/>
      <c r="AL759" s="18"/>
      <c r="AM759" s="18"/>
    </row>
    <row r="760" spans="36:39">
      <c r="AJ760" s="93"/>
      <c r="AK760" s="18"/>
      <c r="AL760" s="18"/>
      <c r="AM760" s="18"/>
    </row>
    <row r="761" spans="36:39">
      <c r="AJ761" s="93"/>
      <c r="AK761" s="18"/>
      <c r="AL761" s="18"/>
      <c r="AM761" s="18"/>
    </row>
    <row r="762" spans="36:39">
      <c r="AJ762" s="93"/>
      <c r="AK762" s="18"/>
      <c r="AL762" s="18"/>
      <c r="AM762" s="18"/>
    </row>
    <row r="763" spans="36:39">
      <c r="AJ763" s="93"/>
      <c r="AK763" s="18"/>
      <c r="AL763" s="18"/>
      <c r="AM763" s="18"/>
    </row>
    <row r="764" spans="36:39">
      <c r="AJ764" s="93"/>
      <c r="AK764" s="18"/>
      <c r="AL764" s="18"/>
      <c r="AM764" s="18"/>
    </row>
    <row r="765" spans="36:39">
      <c r="AJ765" s="93"/>
      <c r="AK765" s="18"/>
      <c r="AL765" s="18"/>
      <c r="AM765" s="18"/>
    </row>
    <row r="766" spans="36:39">
      <c r="AJ766" s="93"/>
      <c r="AK766" s="18"/>
      <c r="AL766" s="18"/>
      <c r="AM766" s="18"/>
    </row>
    <row r="767" spans="36:39">
      <c r="AJ767" s="93"/>
      <c r="AK767" s="18"/>
      <c r="AL767" s="18"/>
      <c r="AM767" s="18"/>
    </row>
    <row r="768" spans="36:39">
      <c r="AJ768" s="93"/>
      <c r="AK768" s="18"/>
      <c r="AL768" s="18"/>
      <c r="AM768" s="18"/>
    </row>
    <row r="769" spans="36:39">
      <c r="AJ769" s="93"/>
      <c r="AK769" s="18"/>
      <c r="AL769" s="18"/>
      <c r="AM769" s="18"/>
    </row>
    <row r="770" spans="36:39">
      <c r="AJ770" s="93"/>
      <c r="AK770" s="18"/>
      <c r="AL770" s="18"/>
      <c r="AM770" s="18"/>
    </row>
    <row r="771" spans="36:39">
      <c r="AJ771" s="93"/>
      <c r="AK771" s="18"/>
      <c r="AL771" s="18"/>
      <c r="AM771" s="18"/>
    </row>
    <row r="772" spans="36:39">
      <c r="AJ772" s="93"/>
      <c r="AK772" s="18"/>
      <c r="AL772" s="18"/>
      <c r="AM772" s="18"/>
    </row>
    <row r="773" spans="36:39">
      <c r="AJ773" s="93"/>
      <c r="AK773" s="18"/>
      <c r="AL773" s="18"/>
      <c r="AM773" s="18"/>
    </row>
    <row r="774" spans="36:39">
      <c r="AJ774" s="93"/>
      <c r="AK774" s="18"/>
      <c r="AL774" s="18"/>
      <c r="AM774" s="18"/>
    </row>
    <row r="775" spans="36:39">
      <c r="AJ775" s="93"/>
      <c r="AK775" s="18"/>
      <c r="AL775" s="18"/>
      <c r="AM775" s="18"/>
    </row>
    <row r="776" spans="36:39">
      <c r="AJ776" s="93"/>
      <c r="AK776" s="18"/>
      <c r="AL776" s="18"/>
      <c r="AM776" s="18"/>
    </row>
    <row r="777" spans="36:39">
      <c r="AJ777" s="93"/>
      <c r="AK777" s="18"/>
      <c r="AL777" s="18"/>
      <c r="AM777" s="18"/>
    </row>
    <row r="778" spans="36:39">
      <c r="AJ778" s="93"/>
      <c r="AK778" s="18"/>
      <c r="AL778" s="18"/>
      <c r="AM778" s="18"/>
    </row>
    <row r="779" spans="36:39">
      <c r="AJ779" s="93"/>
      <c r="AK779" s="18"/>
      <c r="AL779" s="18"/>
      <c r="AM779" s="18"/>
    </row>
    <row r="780" spans="36:39">
      <c r="AJ780" s="93"/>
      <c r="AK780" s="18"/>
      <c r="AL780" s="18"/>
      <c r="AM780" s="18"/>
    </row>
    <row r="781" spans="36:39">
      <c r="AJ781" s="93"/>
      <c r="AK781" s="18"/>
      <c r="AL781" s="18"/>
      <c r="AM781" s="18"/>
    </row>
    <row r="782" spans="36:39">
      <c r="AJ782" s="93"/>
      <c r="AK782" s="18"/>
      <c r="AL782" s="18"/>
      <c r="AM782" s="18"/>
    </row>
    <row r="783" spans="36:39">
      <c r="AJ783" s="93"/>
      <c r="AK783" s="18"/>
      <c r="AL783" s="18"/>
      <c r="AM783" s="18"/>
    </row>
    <row r="784" spans="36:39">
      <c r="AJ784" s="93"/>
      <c r="AK784" s="18"/>
      <c r="AL784" s="18"/>
      <c r="AM784" s="18"/>
    </row>
    <row r="785" spans="36:39">
      <c r="AJ785" s="93"/>
      <c r="AK785" s="18"/>
      <c r="AL785" s="18"/>
      <c r="AM785" s="18"/>
    </row>
    <row r="786" spans="36:39">
      <c r="AJ786" s="93"/>
      <c r="AK786" s="18"/>
      <c r="AL786" s="18"/>
      <c r="AM786" s="18"/>
    </row>
    <row r="787" spans="36:39">
      <c r="AJ787" s="93"/>
      <c r="AK787" s="18"/>
      <c r="AL787" s="18"/>
      <c r="AM787" s="18"/>
    </row>
    <row r="788" spans="36:39">
      <c r="AJ788" s="93"/>
      <c r="AK788" s="18"/>
      <c r="AL788" s="18"/>
      <c r="AM788" s="18"/>
    </row>
    <row r="789" spans="36:39">
      <c r="AJ789" s="93"/>
      <c r="AK789" s="18"/>
      <c r="AL789" s="18"/>
      <c r="AM789" s="18"/>
    </row>
    <row r="790" spans="36:39">
      <c r="AJ790" s="93"/>
      <c r="AK790" s="18"/>
      <c r="AL790" s="18"/>
      <c r="AM790" s="18"/>
    </row>
    <row r="791" spans="36:39">
      <c r="AJ791" s="93"/>
      <c r="AK791" s="18"/>
      <c r="AL791" s="18"/>
      <c r="AM791" s="18"/>
    </row>
    <row r="792" spans="36:39">
      <c r="AJ792" s="93"/>
      <c r="AK792" s="18"/>
      <c r="AL792" s="18"/>
      <c r="AM792" s="18"/>
    </row>
    <row r="793" spans="36:39">
      <c r="AJ793" s="93"/>
      <c r="AK793" s="18"/>
      <c r="AL793" s="18"/>
      <c r="AM793" s="18"/>
    </row>
    <row r="794" spans="36:39">
      <c r="AJ794" s="93"/>
      <c r="AK794" s="18"/>
      <c r="AL794" s="18"/>
      <c r="AM794" s="18"/>
    </row>
    <row r="795" spans="36:39">
      <c r="AJ795" s="93"/>
      <c r="AK795" s="18"/>
      <c r="AL795" s="18"/>
      <c r="AM795" s="18"/>
    </row>
    <row r="796" spans="36:39">
      <c r="AJ796" s="93"/>
      <c r="AK796" s="18"/>
      <c r="AL796" s="18"/>
      <c r="AM796" s="18"/>
    </row>
    <row r="797" spans="36:39">
      <c r="AJ797" s="93"/>
      <c r="AK797" s="18"/>
      <c r="AL797" s="18"/>
      <c r="AM797" s="18"/>
    </row>
    <row r="798" spans="36:39">
      <c r="AJ798" s="93"/>
      <c r="AK798" s="18"/>
      <c r="AL798" s="18"/>
      <c r="AM798" s="18"/>
    </row>
    <row r="799" spans="36:39">
      <c r="AJ799" s="93"/>
      <c r="AK799" s="18"/>
      <c r="AL799" s="18"/>
      <c r="AM799" s="18"/>
    </row>
    <row r="800" spans="36:39">
      <c r="AJ800" s="93"/>
      <c r="AK800" s="18"/>
      <c r="AL800" s="18"/>
      <c r="AM800" s="18"/>
    </row>
    <row r="801" spans="36:39">
      <c r="AJ801" s="93"/>
      <c r="AK801" s="18"/>
      <c r="AL801" s="18"/>
      <c r="AM801" s="18"/>
    </row>
    <row r="802" spans="36:39">
      <c r="AJ802" s="93"/>
      <c r="AK802" s="18"/>
      <c r="AL802" s="18"/>
      <c r="AM802" s="18"/>
    </row>
    <row r="803" spans="36:39">
      <c r="AJ803" s="93"/>
      <c r="AK803" s="18"/>
      <c r="AL803" s="18"/>
      <c r="AM803" s="18"/>
    </row>
    <row r="804" spans="36:39">
      <c r="AJ804" s="93"/>
      <c r="AK804" s="18"/>
      <c r="AL804" s="18"/>
      <c r="AM804" s="18"/>
    </row>
    <row r="805" spans="36:39">
      <c r="AJ805" s="93"/>
      <c r="AK805" s="18"/>
      <c r="AL805" s="18"/>
      <c r="AM805" s="18"/>
    </row>
    <row r="806" spans="36:39">
      <c r="AJ806" s="93"/>
      <c r="AK806" s="18"/>
      <c r="AL806" s="18"/>
      <c r="AM806" s="18"/>
    </row>
    <row r="807" spans="36:39">
      <c r="AJ807" s="93"/>
      <c r="AK807" s="18"/>
      <c r="AL807" s="18"/>
      <c r="AM807" s="18"/>
    </row>
    <row r="808" spans="36:39">
      <c r="AJ808" s="93"/>
      <c r="AK808" s="20"/>
      <c r="AL808" s="20"/>
      <c r="AM808" s="20"/>
    </row>
    <row r="809" spans="36:39">
      <c r="AJ809" s="93"/>
      <c r="AK809" s="20"/>
      <c r="AL809" s="20"/>
      <c r="AM809" s="20"/>
    </row>
    <row r="810" spans="36:39">
      <c r="AJ810" s="93"/>
      <c r="AK810" s="20"/>
      <c r="AL810" s="20"/>
      <c r="AM810" s="20"/>
    </row>
    <row r="811" spans="36:39">
      <c r="AJ811" s="93"/>
      <c r="AK811" s="20"/>
      <c r="AL811" s="20"/>
      <c r="AM811" s="20"/>
    </row>
    <row r="812" spans="36:39">
      <c r="AJ812" s="93"/>
      <c r="AK812" s="20"/>
      <c r="AL812" s="20"/>
      <c r="AM812" s="20"/>
    </row>
    <row r="813" spans="36:39">
      <c r="AJ813" s="93"/>
      <c r="AK813" s="20"/>
      <c r="AL813" s="20"/>
      <c r="AM813" s="20"/>
    </row>
    <row r="814" spans="36:39">
      <c r="AJ814" s="93"/>
      <c r="AK814" s="20"/>
      <c r="AL814" s="20"/>
      <c r="AM814" s="20"/>
    </row>
    <row r="815" spans="36:39">
      <c r="AJ815" s="93"/>
      <c r="AK815" s="20"/>
      <c r="AL815" s="20"/>
      <c r="AM815" s="20"/>
    </row>
    <row r="816" spans="36:39">
      <c r="AJ816" s="93"/>
      <c r="AK816" s="20"/>
      <c r="AL816" s="20"/>
      <c r="AM816" s="20"/>
    </row>
    <row r="817" spans="36:39">
      <c r="AJ817" s="93"/>
      <c r="AK817" s="20"/>
      <c r="AL817" s="20"/>
      <c r="AM817" s="20"/>
    </row>
    <row r="818" spans="36:39">
      <c r="AJ818" s="93"/>
      <c r="AK818" s="20"/>
      <c r="AL818" s="20"/>
      <c r="AM818" s="20"/>
    </row>
    <row r="819" spans="36:39">
      <c r="AJ819" s="93"/>
      <c r="AK819" s="20"/>
      <c r="AL819" s="20"/>
      <c r="AM819" s="20"/>
    </row>
    <row r="820" spans="36:39">
      <c r="AJ820" s="93"/>
      <c r="AK820" s="20"/>
      <c r="AL820" s="20"/>
      <c r="AM820" s="20"/>
    </row>
    <row r="821" spans="36:39">
      <c r="AJ821" s="93"/>
      <c r="AK821" s="20"/>
      <c r="AL821" s="20"/>
      <c r="AM821" s="20"/>
    </row>
    <row r="822" spans="36:39">
      <c r="AJ822" s="93"/>
      <c r="AK822" s="20"/>
      <c r="AL822" s="20"/>
      <c r="AM822" s="20"/>
    </row>
    <row r="823" spans="36:39">
      <c r="AJ823" s="93"/>
      <c r="AK823" s="20"/>
      <c r="AL823" s="20"/>
      <c r="AM823" s="20"/>
    </row>
    <row r="824" spans="36:39">
      <c r="AJ824" s="93"/>
      <c r="AK824" s="20"/>
      <c r="AL824" s="20"/>
      <c r="AM824" s="20"/>
    </row>
    <row r="825" spans="36:39">
      <c r="AJ825" s="95"/>
      <c r="AK825" s="20"/>
      <c r="AL825" s="20"/>
      <c r="AM825" s="20"/>
    </row>
    <row r="826" spans="36:39">
      <c r="AJ826" s="93"/>
      <c r="AK826" s="18"/>
      <c r="AL826" s="18"/>
      <c r="AM826" s="18"/>
    </row>
    <row r="827" spans="36:39">
      <c r="AJ827" s="93"/>
      <c r="AK827" s="20"/>
      <c r="AL827" s="20"/>
      <c r="AM827" s="20"/>
    </row>
    <row r="828" spans="36:39">
      <c r="AJ828" s="93"/>
      <c r="AK828" s="20"/>
      <c r="AL828" s="20"/>
      <c r="AM828" s="20"/>
    </row>
    <row r="829" spans="36:39">
      <c r="AJ829" s="93"/>
      <c r="AK829" s="20"/>
      <c r="AL829" s="20"/>
      <c r="AM829" s="20"/>
    </row>
    <row r="830" spans="36:39">
      <c r="AJ830" s="93"/>
      <c r="AK830" s="20"/>
      <c r="AL830" s="20"/>
      <c r="AM830" s="20"/>
    </row>
    <row r="831" spans="36:39">
      <c r="AJ831" s="93"/>
      <c r="AK831" s="20"/>
      <c r="AL831" s="20"/>
      <c r="AM831" s="20"/>
    </row>
    <row r="832" spans="36:39">
      <c r="AJ832" s="93"/>
      <c r="AK832" s="18"/>
      <c r="AL832" s="18"/>
      <c r="AM832" s="18"/>
    </row>
    <row r="833" spans="36:39">
      <c r="AJ833" s="93"/>
      <c r="AK833" s="20"/>
      <c r="AL833" s="20"/>
      <c r="AM833" s="20"/>
    </row>
    <row r="834" spans="36:39">
      <c r="AJ834" s="93"/>
      <c r="AK834" s="20"/>
      <c r="AL834" s="20"/>
      <c r="AM834" s="20"/>
    </row>
    <row r="835" spans="36:39">
      <c r="AJ835" s="93"/>
      <c r="AK835" s="20"/>
      <c r="AL835" s="20"/>
      <c r="AM835" s="20"/>
    </row>
    <row r="836" spans="36:39">
      <c r="AJ836" s="93"/>
      <c r="AK836" s="20"/>
      <c r="AL836" s="20"/>
      <c r="AM836" s="20"/>
    </row>
    <row r="837" spans="36:39">
      <c r="AJ837" s="93"/>
      <c r="AK837" s="20"/>
      <c r="AL837" s="20"/>
      <c r="AM837" s="20"/>
    </row>
    <row r="838" spans="36:39">
      <c r="AJ838" s="93"/>
      <c r="AK838" s="20"/>
      <c r="AL838" s="20"/>
      <c r="AM838" s="20"/>
    </row>
    <row r="839" spans="36:39">
      <c r="AJ839" s="93"/>
      <c r="AK839" s="18"/>
      <c r="AL839" s="18"/>
      <c r="AM839" s="18"/>
    </row>
    <row r="840" spans="36:39">
      <c r="AJ840" s="93"/>
      <c r="AK840" s="18"/>
      <c r="AL840" s="18"/>
      <c r="AM840" s="18"/>
    </row>
    <row r="841" spans="36:39">
      <c r="AJ841" s="93"/>
      <c r="AK841" s="18"/>
      <c r="AL841" s="18"/>
      <c r="AM841" s="18"/>
    </row>
    <row r="842" spans="36:39">
      <c r="AJ842" s="93"/>
      <c r="AK842" s="18"/>
      <c r="AL842" s="18"/>
      <c r="AM842" s="18"/>
    </row>
    <row r="843" spans="36:39">
      <c r="AJ843" s="93"/>
      <c r="AK843" s="18"/>
      <c r="AL843" s="18"/>
      <c r="AM843" s="18"/>
    </row>
    <row r="844" spans="36:39">
      <c r="AJ844" s="93"/>
      <c r="AK844" s="18"/>
      <c r="AL844" s="18"/>
      <c r="AM844" s="18"/>
    </row>
    <row r="845" spans="36:39">
      <c r="AJ845" s="93"/>
      <c r="AK845" s="18"/>
      <c r="AL845" s="18"/>
      <c r="AM845" s="18"/>
    </row>
    <row r="846" spans="36:39">
      <c r="AJ846" s="93"/>
      <c r="AK846" s="18"/>
      <c r="AL846" s="18"/>
      <c r="AM846" s="18"/>
    </row>
    <row r="847" spans="36:39">
      <c r="AJ847" s="93"/>
      <c r="AK847" s="18"/>
      <c r="AL847" s="18"/>
      <c r="AM847" s="18"/>
    </row>
    <row r="848" spans="36:39">
      <c r="AJ848" s="93"/>
      <c r="AK848" s="18"/>
      <c r="AL848" s="18"/>
      <c r="AM848" s="18"/>
    </row>
    <row r="849" spans="36:39">
      <c r="AJ849" s="93"/>
      <c r="AK849" s="18"/>
      <c r="AL849" s="18"/>
      <c r="AM849" s="18"/>
    </row>
    <row r="850" spans="36:39">
      <c r="AJ850" s="93"/>
      <c r="AK850" s="18"/>
      <c r="AL850" s="18"/>
      <c r="AM850" s="18"/>
    </row>
    <row r="851" spans="36:39">
      <c r="AJ851" s="93"/>
      <c r="AK851" s="18"/>
      <c r="AL851" s="18"/>
      <c r="AM851" s="18"/>
    </row>
    <row r="852" spans="36:39">
      <c r="AJ852" s="93"/>
      <c r="AK852" s="18"/>
      <c r="AL852" s="18"/>
      <c r="AM852" s="18"/>
    </row>
    <row r="853" spans="36:39">
      <c r="AJ853" s="93"/>
      <c r="AK853" s="18"/>
      <c r="AL853" s="18"/>
      <c r="AM853" s="18"/>
    </row>
    <row r="854" spans="36:39">
      <c r="AJ854" s="93"/>
      <c r="AK854" s="18"/>
      <c r="AL854" s="18"/>
      <c r="AM854" s="18"/>
    </row>
    <row r="855" spans="36:39">
      <c r="AJ855" s="93"/>
      <c r="AK855" s="18"/>
      <c r="AL855" s="18"/>
      <c r="AM855" s="18"/>
    </row>
    <row r="856" spans="36:39">
      <c r="AJ856" s="93"/>
      <c r="AK856" s="18"/>
      <c r="AL856" s="18"/>
      <c r="AM856" s="18"/>
    </row>
    <row r="857" spans="36:39">
      <c r="AJ857" s="93"/>
      <c r="AK857" s="18"/>
      <c r="AL857" s="18"/>
      <c r="AM857" s="18"/>
    </row>
    <row r="858" spans="36:39">
      <c r="AJ858" s="93"/>
      <c r="AK858" s="18"/>
      <c r="AL858" s="18"/>
      <c r="AM858" s="18"/>
    </row>
    <row r="859" spans="36:39">
      <c r="AJ859" s="93"/>
      <c r="AK859" s="18"/>
      <c r="AL859" s="18"/>
      <c r="AM859" s="18"/>
    </row>
    <row r="860" spans="36:39">
      <c r="AJ860" s="93"/>
      <c r="AK860" s="18"/>
      <c r="AL860" s="18"/>
      <c r="AM860" s="18"/>
    </row>
    <row r="861" spans="36:39">
      <c r="AJ861" s="93"/>
      <c r="AK861" s="18"/>
      <c r="AL861" s="18"/>
      <c r="AM861" s="18"/>
    </row>
    <row r="862" spans="36:39">
      <c r="AJ862" s="93"/>
      <c r="AK862" s="18"/>
      <c r="AL862" s="18"/>
      <c r="AM862" s="18"/>
    </row>
    <row r="863" spans="36:39">
      <c r="AJ863" s="93"/>
      <c r="AK863" s="18"/>
      <c r="AL863" s="18"/>
      <c r="AM863" s="18"/>
    </row>
    <row r="864" spans="36:39">
      <c r="AJ864" s="93"/>
      <c r="AK864" s="18"/>
      <c r="AL864" s="18"/>
      <c r="AM864" s="18"/>
    </row>
    <row r="865" spans="36:39">
      <c r="AJ865" s="93"/>
      <c r="AK865" s="20"/>
      <c r="AL865" s="20"/>
      <c r="AM865" s="20"/>
    </row>
    <row r="866" spans="36:39">
      <c r="AJ866" s="93"/>
      <c r="AK866" s="20"/>
      <c r="AL866" s="20"/>
      <c r="AM866" s="20"/>
    </row>
    <row r="867" spans="36:39">
      <c r="AJ867" s="93"/>
      <c r="AK867" s="20"/>
      <c r="AL867" s="20"/>
      <c r="AM867" s="20"/>
    </row>
    <row r="868" spans="36:39">
      <c r="AJ868" s="93"/>
      <c r="AK868" s="20"/>
      <c r="AL868" s="20"/>
      <c r="AM868" s="20"/>
    </row>
    <row r="869" spans="36:39">
      <c r="AJ869" s="93"/>
      <c r="AK869" s="20"/>
      <c r="AL869" s="20"/>
      <c r="AM869" s="20"/>
    </row>
    <row r="870" spans="36:39">
      <c r="AJ870" s="93"/>
      <c r="AK870" s="20"/>
      <c r="AL870" s="20"/>
      <c r="AM870" s="20"/>
    </row>
    <row r="871" spans="36:39">
      <c r="AJ871" s="93"/>
      <c r="AK871" s="20"/>
      <c r="AL871" s="20"/>
      <c r="AM871" s="20"/>
    </row>
    <row r="872" spans="36:39">
      <c r="AJ872" s="93"/>
      <c r="AK872" s="20"/>
      <c r="AL872" s="20"/>
      <c r="AM872" s="20"/>
    </row>
    <row r="873" spans="36:39">
      <c r="AJ873" s="93"/>
      <c r="AK873" s="20"/>
      <c r="AL873" s="20"/>
      <c r="AM873" s="20"/>
    </row>
    <row r="874" spans="36:39">
      <c r="AJ874" s="93"/>
      <c r="AK874" s="20"/>
      <c r="AL874" s="20"/>
      <c r="AM874" s="20"/>
    </row>
    <row r="875" spans="36:39">
      <c r="AJ875" s="93"/>
      <c r="AK875" s="20"/>
      <c r="AL875" s="20"/>
      <c r="AM875" s="20"/>
    </row>
    <row r="876" spans="36:39">
      <c r="AJ876" s="93"/>
      <c r="AK876" s="20"/>
      <c r="AL876" s="20"/>
      <c r="AM876" s="20"/>
    </row>
    <row r="877" spans="36:39">
      <c r="AJ877" s="93"/>
      <c r="AK877" s="20"/>
      <c r="AL877" s="20"/>
      <c r="AM877" s="20"/>
    </row>
    <row r="878" spans="36:39">
      <c r="AJ878" s="93"/>
      <c r="AK878" s="20"/>
      <c r="AL878" s="20"/>
      <c r="AM878" s="20"/>
    </row>
    <row r="879" spans="36:39">
      <c r="AJ879" s="93"/>
      <c r="AK879" s="20"/>
      <c r="AL879" s="20"/>
      <c r="AM879" s="20"/>
    </row>
    <row r="880" spans="36:39">
      <c r="AJ880" s="93"/>
      <c r="AK880" s="20"/>
      <c r="AL880" s="20"/>
      <c r="AM880" s="20"/>
    </row>
    <row r="881" spans="36:39">
      <c r="AJ881" s="93"/>
      <c r="AK881" s="20"/>
      <c r="AL881" s="20"/>
      <c r="AM881" s="20"/>
    </row>
    <row r="882" spans="36:39">
      <c r="AJ882" s="93"/>
      <c r="AK882" s="20"/>
      <c r="AL882" s="20"/>
      <c r="AM882" s="20"/>
    </row>
    <row r="883" spans="36:39">
      <c r="AJ883" s="93"/>
      <c r="AK883" s="20"/>
      <c r="AL883" s="20"/>
      <c r="AM883" s="20"/>
    </row>
    <row r="884" spans="36:39">
      <c r="AJ884" s="93"/>
      <c r="AK884" s="20"/>
      <c r="AL884" s="20"/>
      <c r="AM884" s="20"/>
    </row>
    <row r="885" spans="36:39">
      <c r="AJ885" s="93"/>
      <c r="AK885" s="20"/>
      <c r="AL885" s="20"/>
      <c r="AM885" s="20"/>
    </row>
    <row r="886" spans="36:39">
      <c r="AJ886" s="93"/>
      <c r="AK886" s="20"/>
      <c r="AL886" s="20"/>
      <c r="AM886" s="20"/>
    </row>
    <row r="887" spans="36:39">
      <c r="AJ887" s="93"/>
      <c r="AK887" s="20"/>
      <c r="AL887" s="20"/>
      <c r="AM887" s="20"/>
    </row>
    <row r="888" spans="36:39">
      <c r="AJ888" s="93"/>
      <c r="AK888" s="20"/>
      <c r="AL888" s="20"/>
      <c r="AM888" s="20"/>
    </row>
    <row r="889" spans="36:39">
      <c r="AJ889" s="93"/>
      <c r="AK889" s="20"/>
      <c r="AL889" s="20"/>
      <c r="AM889" s="20"/>
    </row>
    <row r="890" spans="36:39">
      <c r="AJ890" s="93"/>
      <c r="AK890" s="20"/>
      <c r="AL890" s="20"/>
      <c r="AM890" s="20"/>
    </row>
    <row r="891" spans="36:39">
      <c r="AJ891" s="93"/>
      <c r="AK891" s="20"/>
      <c r="AL891" s="20"/>
      <c r="AM891" s="20"/>
    </row>
    <row r="892" spans="36:39">
      <c r="AJ892" s="93"/>
      <c r="AK892" s="20"/>
      <c r="AL892" s="20"/>
      <c r="AM892" s="20"/>
    </row>
    <row r="893" spans="36:39">
      <c r="AJ893" s="93"/>
      <c r="AK893" s="20"/>
      <c r="AL893" s="20"/>
      <c r="AM893" s="20"/>
    </row>
    <row r="894" spans="36:39">
      <c r="AJ894" s="93"/>
      <c r="AK894" s="20"/>
      <c r="AL894" s="20"/>
      <c r="AM894" s="20"/>
    </row>
    <row r="895" spans="36:39">
      <c r="AJ895" s="93"/>
      <c r="AK895" s="20"/>
      <c r="AL895" s="20"/>
      <c r="AM895" s="20"/>
    </row>
    <row r="896" spans="36:39">
      <c r="AJ896" s="93"/>
      <c r="AK896" s="20"/>
      <c r="AL896" s="20"/>
      <c r="AM896" s="20"/>
    </row>
    <row r="897" spans="36:39">
      <c r="AJ897" s="93"/>
      <c r="AK897" s="20"/>
      <c r="AL897" s="20"/>
      <c r="AM897" s="20"/>
    </row>
    <row r="898" spans="36:39">
      <c r="AJ898" s="93"/>
      <c r="AK898" s="20"/>
      <c r="AL898" s="20"/>
      <c r="AM898" s="20"/>
    </row>
    <row r="899" spans="36:39">
      <c r="AJ899" s="93"/>
      <c r="AK899" s="20"/>
      <c r="AL899" s="20"/>
      <c r="AM899" s="20"/>
    </row>
    <row r="900" spans="36:39">
      <c r="AJ900" s="93"/>
      <c r="AK900" s="20"/>
      <c r="AL900" s="20"/>
      <c r="AM900" s="20"/>
    </row>
    <row r="901" spans="36:39">
      <c r="AJ901" s="93"/>
      <c r="AK901" s="20"/>
      <c r="AL901" s="20"/>
      <c r="AM901" s="20"/>
    </row>
    <row r="902" spans="36:39">
      <c r="AJ902" s="93"/>
      <c r="AK902" s="20"/>
      <c r="AL902" s="20"/>
      <c r="AM902" s="20"/>
    </row>
    <row r="903" spans="36:39">
      <c r="AJ903" s="93"/>
      <c r="AK903" s="20"/>
      <c r="AL903" s="20"/>
      <c r="AM903" s="20"/>
    </row>
    <row r="904" spans="36:39">
      <c r="AJ904" s="93"/>
      <c r="AK904" s="20"/>
      <c r="AL904" s="20"/>
      <c r="AM904" s="20"/>
    </row>
    <row r="905" spans="36:39">
      <c r="AJ905" s="93"/>
      <c r="AK905" s="20"/>
      <c r="AL905" s="20"/>
      <c r="AM905" s="20"/>
    </row>
    <row r="906" spans="36:39">
      <c r="AJ906" s="93"/>
      <c r="AK906" s="20"/>
      <c r="AL906" s="20"/>
      <c r="AM906" s="20"/>
    </row>
    <row r="907" spans="36:39">
      <c r="AJ907" s="93"/>
      <c r="AK907" s="20"/>
      <c r="AL907" s="20"/>
      <c r="AM907" s="20"/>
    </row>
    <row r="908" spans="36:39">
      <c r="AJ908" s="93"/>
      <c r="AK908" s="20"/>
      <c r="AL908" s="20"/>
      <c r="AM908" s="20"/>
    </row>
    <row r="909" spans="36:39">
      <c r="AJ909" s="93"/>
      <c r="AK909" s="20"/>
      <c r="AL909" s="20"/>
      <c r="AM909" s="20"/>
    </row>
    <row r="910" spans="36:39">
      <c r="AJ910" s="93"/>
      <c r="AK910" s="20"/>
      <c r="AL910" s="20"/>
      <c r="AM910" s="20"/>
    </row>
    <row r="911" spans="36:39">
      <c r="AJ911" s="93"/>
      <c r="AK911" s="20"/>
      <c r="AL911" s="20"/>
      <c r="AM911" s="20"/>
    </row>
    <row r="912" spans="36:39">
      <c r="AJ912" s="93"/>
      <c r="AK912" s="20"/>
      <c r="AL912" s="20"/>
      <c r="AM912" s="20"/>
    </row>
    <row r="913" spans="36:39">
      <c r="AJ913" s="93"/>
      <c r="AK913" s="20"/>
      <c r="AL913" s="20"/>
      <c r="AM913" s="20"/>
    </row>
    <row r="914" spans="36:39">
      <c r="AJ914" s="93"/>
      <c r="AK914" s="20"/>
      <c r="AL914" s="20"/>
      <c r="AM914" s="20"/>
    </row>
    <row r="915" spans="36:39">
      <c r="AJ915" s="93"/>
      <c r="AK915" s="20"/>
      <c r="AL915" s="20"/>
      <c r="AM915" s="20"/>
    </row>
    <row r="916" spans="36:39">
      <c r="AJ916" s="93"/>
      <c r="AK916" s="20"/>
      <c r="AL916" s="20"/>
      <c r="AM916" s="20"/>
    </row>
    <row r="917" spans="36:39">
      <c r="AJ917" s="93"/>
      <c r="AK917" s="20"/>
      <c r="AL917" s="20"/>
      <c r="AM917" s="20"/>
    </row>
    <row r="918" spans="36:39">
      <c r="AJ918" s="93"/>
      <c r="AK918" s="20"/>
      <c r="AL918" s="20"/>
      <c r="AM918" s="20"/>
    </row>
    <row r="919" spans="36:39">
      <c r="AJ919" s="93"/>
      <c r="AK919" s="20"/>
      <c r="AL919" s="20"/>
      <c r="AM919" s="20"/>
    </row>
    <row r="920" spans="36:39">
      <c r="AJ920" s="93"/>
      <c r="AK920" s="20"/>
      <c r="AL920" s="20"/>
      <c r="AM920" s="20"/>
    </row>
    <row r="921" spans="36:39">
      <c r="AJ921" s="93"/>
      <c r="AK921" s="20"/>
      <c r="AL921" s="20"/>
      <c r="AM921" s="20"/>
    </row>
    <row r="922" spans="36:39">
      <c r="AJ922" s="93"/>
      <c r="AK922" s="20"/>
      <c r="AL922" s="20"/>
      <c r="AM922" s="20"/>
    </row>
    <row r="923" spans="36:39">
      <c r="AJ923" s="93"/>
      <c r="AK923" s="20"/>
      <c r="AL923" s="20"/>
      <c r="AM923" s="20"/>
    </row>
    <row r="924" spans="36:39">
      <c r="AJ924" s="93"/>
      <c r="AK924" s="20"/>
      <c r="AL924" s="20"/>
      <c r="AM924" s="20"/>
    </row>
    <row r="925" spans="36:39">
      <c r="AJ925" s="93"/>
      <c r="AK925" s="20"/>
      <c r="AL925" s="20"/>
      <c r="AM925" s="20"/>
    </row>
    <row r="926" spans="36:39">
      <c r="AJ926" s="93"/>
      <c r="AK926" s="20"/>
      <c r="AL926" s="20"/>
      <c r="AM926" s="20"/>
    </row>
    <row r="927" spans="36:39">
      <c r="AJ927" s="93"/>
      <c r="AK927" s="20"/>
      <c r="AL927" s="20"/>
      <c r="AM927" s="20"/>
    </row>
    <row r="928" spans="36:39">
      <c r="AJ928" s="93"/>
      <c r="AK928" s="20"/>
      <c r="AL928" s="20"/>
      <c r="AM928" s="20"/>
    </row>
    <row r="929" spans="36:39">
      <c r="AJ929" s="93"/>
      <c r="AK929" s="20"/>
      <c r="AL929" s="20"/>
      <c r="AM929" s="20"/>
    </row>
    <row r="930" spans="36:39">
      <c r="AJ930" s="93"/>
      <c r="AK930" s="20"/>
      <c r="AL930" s="20"/>
      <c r="AM930" s="20"/>
    </row>
    <row r="931" spans="36:39">
      <c r="AJ931" s="93"/>
      <c r="AK931" s="20"/>
      <c r="AL931" s="20"/>
      <c r="AM931" s="20"/>
    </row>
    <row r="932" spans="36:39">
      <c r="AJ932" s="93"/>
      <c r="AK932" s="20"/>
      <c r="AL932" s="20"/>
      <c r="AM932" s="20"/>
    </row>
    <row r="933" spans="36:39">
      <c r="AJ933" s="93"/>
      <c r="AK933" s="20"/>
      <c r="AL933" s="20"/>
      <c r="AM933" s="20"/>
    </row>
    <row r="934" spans="36:39">
      <c r="AJ934" s="93"/>
      <c r="AK934" s="20"/>
      <c r="AL934" s="20"/>
      <c r="AM934" s="20"/>
    </row>
    <row r="935" spans="36:39">
      <c r="AJ935" s="93"/>
      <c r="AK935" s="20"/>
      <c r="AL935" s="20"/>
      <c r="AM935" s="20"/>
    </row>
    <row r="936" spans="36:39">
      <c r="AJ936" s="93"/>
      <c r="AK936" s="20"/>
      <c r="AL936" s="20"/>
      <c r="AM936" s="20"/>
    </row>
    <row r="937" spans="36:39">
      <c r="AJ937" s="93"/>
      <c r="AK937" s="20"/>
      <c r="AL937" s="20"/>
      <c r="AM937" s="20"/>
    </row>
    <row r="938" spans="36:39">
      <c r="AJ938" s="93"/>
      <c r="AK938" s="20"/>
      <c r="AL938" s="20"/>
      <c r="AM938" s="20"/>
    </row>
    <row r="939" spans="36:39">
      <c r="AJ939" s="93"/>
      <c r="AK939" s="20"/>
      <c r="AL939" s="20"/>
      <c r="AM939" s="20"/>
    </row>
    <row r="940" spans="36:39">
      <c r="AJ940" s="93"/>
      <c r="AK940" s="20"/>
      <c r="AL940" s="20"/>
      <c r="AM940" s="20"/>
    </row>
    <row r="941" spans="36:39">
      <c r="AJ941" s="93"/>
      <c r="AK941" s="20"/>
      <c r="AL941" s="20"/>
      <c r="AM941" s="20"/>
    </row>
    <row r="942" spans="36:39">
      <c r="AJ942" s="93"/>
      <c r="AK942" s="20"/>
      <c r="AL942" s="20"/>
      <c r="AM942" s="20"/>
    </row>
    <row r="943" spans="36:39">
      <c r="AJ943" s="93"/>
      <c r="AK943" s="20"/>
      <c r="AL943" s="20"/>
      <c r="AM943" s="20"/>
    </row>
    <row r="944" spans="36:39">
      <c r="AJ944" s="93"/>
      <c r="AK944" s="20"/>
      <c r="AL944" s="20"/>
      <c r="AM944" s="20"/>
    </row>
    <row r="945" spans="36:39">
      <c r="AJ945" s="93"/>
      <c r="AK945" s="20"/>
      <c r="AL945" s="20"/>
      <c r="AM945" s="20"/>
    </row>
    <row r="946" spans="36:39">
      <c r="AJ946" s="93"/>
      <c r="AK946" s="20"/>
      <c r="AL946" s="20"/>
      <c r="AM946" s="20"/>
    </row>
    <row r="947" spans="36:39">
      <c r="AJ947" s="93"/>
      <c r="AK947" s="20"/>
      <c r="AL947" s="20"/>
      <c r="AM947" s="20"/>
    </row>
    <row r="948" spans="36:39">
      <c r="AJ948" s="93"/>
      <c r="AK948" s="20"/>
      <c r="AL948" s="20"/>
      <c r="AM948" s="20"/>
    </row>
    <row r="949" spans="36:39">
      <c r="AJ949" s="93"/>
      <c r="AK949" s="20"/>
      <c r="AL949" s="20"/>
      <c r="AM949" s="20"/>
    </row>
    <row r="950" spans="36:39">
      <c r="AJ950" s="93"/>
      <c r="AK950" s="20"/>
      <c r="AL950" s="20"/>
      <c r="AM950" s="20"/>
    </row>
    <row r="951" spans="36:39">
      <c r="AJ951" s="93"/>
      <c r="AK951" s="20"/>
      <c r="AL951" s="20"/>
      <c r="AM951" s="20"/>
    </row>
    <row r="952" spans="36:39">
      <c r="AJ952" s="93"/>
      <c r="AK952" s="20"/>
      <c r="AL952" s="20"/>
      <c r="AM952" s="20"/>
    </row>
    <row r="953" spans="36:39">
      <c r="AJ953" s="93"/>
      <c r="AK953" s="20"/>
      <c r="AL953" s="20"/>
      <c r="AM953" s="20"/>
    </row>
    <row r="954" spans="36:39">
      <c r="AJ954" s="93"/>
      <c r="AK954" s="20"/>
      <c r="AL954" s="20"/>
      <c r="AM954" s="20"/>
    </row>
    <row r="955" spans="36:39">
      <c r="AJ955" s="93"/>
      <c r="AK955" s="20"/>
      <c r="AL955" s="20"/>
      <c r="AM955" s="20"/>
    </row>
    <row r="956" spans="36:39">
      <c r="AJ956" s="93"/>
      <c r="AK956" s="20"/>
      <c r="AL956" s="20"/>
      <c r="AM956" s="20"/>
    </row>
    <row r="957" spans="36:39">
      <c r="AJ957" s="93"/>
      <c r="AK957" s="20"/>
      <c r="AL957" s="20"/>
      <c r="AM957" s="20"/>
    </row>
    <row r="958" spans="36:39">
      <c r="AJ958" s="93"/>
      <c r="AK958" s="20"/>
      <c r="AL958" s="20"/>
      <c r="AM958" s="20"/>
    </row>
    <row r="959" spans="36:39">
      <c r="AJ959" s="93"/>
      <c r="AK959" s="20"/>
      <c r="AL959" s="20"/>
      <c r="AM959" s="20"/>
    </row>
    <row r="960" spans="36:39">
      <c r="AJ960" s="93"/>
      <c r="AK960" s="20"/>
      <c r="AL960" s="20"/>
      <c r="AM960" s="20"/>
    </row>
    <row r="961" spans="36:39">
      <c r="AJ961" s="93"/>
      <c r="AK961" s="20"/>
      <c r="AL961" s="20"/>
      <c r="AM961" s="20"/>
    </row>
    <row r="962" spans="36:39">
      <c r="AJ962" s="93"/>
      <c r="AK962" s="20"/>
      <c r="AL962" s="20"/>
      <c r="AM962" s="20"/>
    </row>
    <row r="963" spans="36:39">
      <c r="AJ963" s="93"/>
      <c r="AK963" s="20"/>
      <c r="AL963" s="20"/>
      <c r="AM963" s="20"/>
    </row>
    <row r="964" spans="36:39">
      <c r="AJ964" s="93"/>
      <c r="AK964" s="20"/>
      <c r="AL964" s="20"/>
      <c r="AM964" s="20"/>
    </row>
    <row r="965" spans="36:39">
      <c r="AJ965" s="93"/>
      <c r="AK965" s="20"/>
      <c r="AL965" s="20"/>
      <c r="AM965" s="20"/>
    </row>
    <row r="966" spans="36:39">
      <c r="AJ966" s="93"/>
      <c r="AK966" s="20"/>
      <c r="AL966" s="20"/>
      <c r="AM966" s="20"/>
    </row>
    <row r="967" spans="36:39">
      <c r="AJ967" s="93"/>
      <c r="AK967" s="20"/>
      <c r="AL967" s="20"/>
      <c r="AM967" s="20"/>
    </row>
    <row r="968" spans="36:39">
      <c r="AJ968" s="93"/>
      <c r="AK968" s="20"/>
      <c r="AL968" s="20"/>
      <c r="AM968" s="20"/>
    </row>
    <row r="969" spans="36:39">
      <c r="AJ969" s="93"/>
      <c r="AK969" s="20"/>
      <c r="AL969" s="20"/>
      <c r="AM969" s="20"/>
    </row>
    <row r="970" spans="36:39">
      <c r="AJ970" s="93"/>
      <c r="AK970" s="20"/>
      <c r="AL970" s="20"/>
      <c r="AM970" s="20"/>
    </row>
    <row r="971" spans="36:39">
      <c r="AJ971" s="93"/>
      <c r="AK971" s="20"/>
      <c r="AL971" s="20"/>
      <c r="AM971" s="20"/>
    </row>
    <row r="972" spans="36:39">
      <c r="AJ972" s="93"/>
      <c r="AK972" s="20"/>
      <c r="AL972" s="20"/>
      <c r="AM972" s="20"/>
    </row>
    <row r="973" spans="36:39">
      <c r="AJ973" s="93"/>
      <c r="AK973" s="20"/>
      <c r="AL973" s="20"/>
      <c r="AM973" s="20"/>
    </row>
    <row r="974" spans="36:39">
      <c r="AJ974" s="93"/>
      <c r="AK974" s="20"/>
      <c r="AL974" s="20"/>
      <c r="AM974" s="20"/>
    </row>
    <row r="975" spans="36:39">
      <c r="AJ975" s="93"/>
      <c r="AK975" s="20"/>
      <c r="AL975" s="20"/>
      <c r="AM975" s="20"/>
    </row>
    <row r="976" spans="36:39">
      <c r="AJ976" s="93"/>
      <c r="AK976" s="20"/>
      <c r="AL976" s="20"/>
      <c r="AM976" s="20"/>
    </row>
    <row r="977" spans="36:39">
      <c r="AJ977" s="93"/>
      <c r="AK977" s="20"/>
      <c r="AL977" s="20"/>
      <c r="AM977" s="20"/>
    </row>
    <row r="978" spans="36:39">
      <c r="AJ978" s="93"/>
      <c r="AK978" s="20"/>
      <c r="AL978" s="20"/>
      <c r="AM978" s="20"/>
    </row>
    <row r="979" spans="36:39">
      <c r="AJ979" s="93"/>
      <c r="AK979" s="20"/>
      <c r="AL979" s="20"/>
      <c r="AM979" s="20"/>
    </row>
    <row r="980" spans="36:39">
      <c r="AJ980" s="93"/>
      <c r="AK980" s="20"/>
      <c r="AL980" s="20"/>
      <c r="AM980" s="20"/>
    </row>
    <row r="981" spans="36:39">
      <c r="AJ981" s="93"/>
      <c r="AK981" s="20"/>
      <c r="AL981" s="20"/>
      <c r="AM981" s="20"/>
    </row>
    <row r="982" spans="36:39">
      <c r="AJ982" s="93"/>
      <c r="AK982" s="20"/>
      <c r="AL982" s="20"/>
      <c r="AM982" s="20"/>
    </row>
    <row r="983" spans="36:39">
      <c r="AJ983" s="93"/>
      <c r="AK983" s="20"/>
      <c r="AL983" s="20"/>
      <c r="AM983" s="20"/>
    </row>
    <row r="984" spans="36:39">
      <c r="AJ984" s="93"/>
      <c r="AK984" s="20"/>
      <c r="AL984" s="20"/>
      <c r="AM984" s="20"/>
    </row>
    <row r="985" spans="36:39">
      <c r="AJ985" s="93"/>
      <c r="AK985" s="20"/>
      <c r="AL985" s="20"/>
      <c r="AM985" s="20"/>
    </row>
    <row r="986" spans="36:39">
      <c r="AJ986" s="93"/>
      <c r="AK986" s="20"/>
      <c r="AL986" s="20"/>
      <c r="AM986" s="20"/>
    </row>
    <row r="987" spans="36:39">
      <c r="AJ987" s="93"/>
      <c r="AK987" s="20"/>
      <c r="AL987" s="20"/>
      <c r="AM987" s="20"/>
    </row>
    <row r="988" spans="36:39">
      <c r="AJ988" s="93"/>
      <c r="AK988" s="20"/>
      <c r="AL988" s="20"/>
      <c r="AM988" s="20"/>
    </row>
    <row r="989" spans="36:39">
      <c r="AJ989" s="93"/>
      <c r="AK989" s="20"/>
      <c r="AL989" s="20"/>
      <c r="AM989" s="20"/>
    </row>
    <row r="990" spans="36:39">
      <c r="AJ990" s="93"/>
      <c r="AK990" s="20"/>
      <c r="AL990" s="20"/>
      <c r="AM990" s="20"/>
    </row>
    <row r="991" spans="36:39">
      <c r="AJ991" s="93"/>
      <c r="AK991" s="20"/>
      <c r="AL991" s="20"/>
      <c r="AM991" s="20"/>
    </row>
    <row r="992" spans="36:39">
      <c r="AJ992" s="93"/>
      <c r="AK992" s="20"/>
      <c r="AL992" s="20"/>
      <c r="AM992" s="20"/>
    </row>
    <row r="993" spans="36:39">
      <c r="AJ993" s="93"/>
      <c r="AK993" s="20"/>
      <c r="AL993" s="20"/>
      <c r="AM993" s="20"/>
    </row>
    <row r="994" spans="36:39">
      <c r="AJ994" s="93"/>
      <c r="AK994" s="20"/>
      <c r="AL994" s="20"/>
      <c r="AM994" s="20"/>
    </row>
    <row r="995" spans="36:39">
      <c r="AJ995" s="93"/>
      <c r="AK995" s="20"/>
      <c r="AL995" s="20"/>
      <c r="AM995" s="20"/>
    </row>
    <row r="996" spans="36:39">
      <c r="AJ996" s="93"/>
      <c r="AK996" s="20"/>
      <c r="AL996" s="20"/>
      <c r="AM996" s="20"/>
    </row>
    <row r="997" spans="36:39">
      <c r="AJ997" s="93"/>
      <c r="AK997" s="20"/>
      <c r="AL997" s="20"/>
      <c r="AM997" s="20"/>
    </row>
    <row r="998" spans="36:39">
      <c r="AJ998" s="93"/>
      <c r="AK998" s="20"/>
      <c r="AL998" s="20"/>
      <c r="AM998" s="20"/>
    </row>
    <row r="999" spans="36:39">
      <c r="AJ999" s="93"/>
      <c r="AK999" s="20"/>
      <c r="AL999" s="20"/>
      <c r="AM999" s="20"/>
    </row>
    <row r="1000" spans="36:39">
      <c r="AJ1000" s="93"/>
      <c r="AK1000" s="20"/>
      <c r="AL1000" s="20"/>
      <c r="AM1000" s="20"/>
    </row>
    <row r="1001" spans="36:39">
      <c r="AJ1001" s="93"/>
      <c r="AK1001" s="20"/>
      <c r="AL1001" s="20"/>
      <c r="AM1001" s="20"/>
    </row>
    <row r="1002" spans="36:39">
      <c r="AJ1002" s="93"/>
      <c r="AK1002" s="20"/>
      <c r="AL1002" s="20"/>
      <c r="AM1002" s="20"/>
    </row>
    <row r="1003" spans="36:39">
      <c r="AJ1003" s="93"/>
      <c r="AK1003" s="20"/>
      <c r="AL1003" s="20"/>
      <c r="AM1003" s="20"/>
    </row>
    <row r="1004" spans="36:39">
      <c r="AJ1004" s="93"/>
      <c r="AK1004" s="20"/>
      <c r="AL1004" s="20"/>
      <c r="AM1004" s="20"/>
    </row>
    <row r="1005" spans="36:39">
      <c r="AJ1005" s="93"/>
      <c r="AK1005" s="20"/>
      <c r="AL1005" s="20"/>
      <c r="AM1005" s="20"/>
    </row>
    <row r="1006" spans="36:39">
      <c r="AJ1006" s="93"/>
      <c r="AK1006" s="20"/>
      <c r="AL1006" s="20"/>
      <c r="AM1006" s="20"/>
    </row>
    <row r="1007" spans="36:39">
      <c r="AJ1007" s="93"/>
      <c r="AK1007" s="20"/>
      <c r="AL1007" s="20"/>
      <c r="AM1007" s="20"/>
    </row>
    <row r="1008" spans="36:39">
      <c r="AJ1008" s="93"/>
      <c r="AK1008" s="20"/>
      <c r="AL1008" s="20"/>
      <c r="AM1008" s="20"/>
    </row>
    <row r="1009" spans="36:39">
      <c r="AJ1009" s="93"/>
      <c r="AK1009" s="20"/>
      <c r="AL1009" s="20"/>
      <c r="AM1009" s="20"/>
    </row>
    <row r="1010" spans="36:39">
      <c r="AJ1010" s="93"/>
      <c r="AK1010" s="20"/>
      <c r="AL1010" s="20"/>
      <c r="AM1010" s="20"/>
    </row>
    <row r="1011" spans="36:39">
      <c r="AJ1011" s="93"/>
      <c r="AK1011" s="20"/>
      <c r="AL1011" s="20"/>
      <c r="AM1011" s="20"/>
    </row>
    <row r="1012" spans="36:39">
      <c r="AJ1012" s="93"/>
      <c r="AK1012" s="20"/>
      <c r="AL1012" s="20"/>
      <c r="AM1012" s="20"/>
    </row>
    <row r="1013" spans="36:39">
      <c r="AJ1013" s="93"/>
      <c r="AK1013" s="20"/>
      <c r="AL1013" s="20"/>
      <c r="AM1013" s="20"/>
    </row>
    <row r="1014" spans="36:39">
      <c r="AJ1014" s="93"/>
      <c r="AK1014" s="20"/>
      <c r="AL1014" s="20"/>
      <c r="AM1014" s="20"/>
    </row>
    <row r="1015" spans="36:39">
      <c r="AJ1015" s="93"/>
      <c r="AK1015" s="20"/>
      <c r="AL1015" s="20"/>
      <c r="AM1015" s="20"/>
    </row>
    <row r="1016" spans="36:39">
      <c r="AJ1016" s="93"/>
      <c r="AK1016" s="20"/>
      <c r="AL1016" s="20"/>
      <c r="AM1016" s="20"/>
    </row>
    <row r="1017" spans="36:39">
      <c r="AJ1017" s="93"/>
      <c r="AK1017" s="20"/>
      <c r="AL1017" s="20"/>
      <c r="AM1017" s="20"/>
    </row>
    <row r="1018" spans="36:39">
      <c r="AJ1018" s="93"/>
      <c r="AK1018" s="20"/>
      <c r="AL1018" s="20"/>
      <c r="AM1018" s="20"/>
    </row>
    <row r="1019" spans="36:39">
      <c r="AJ1019" s="93"/>
      <c r="AK1019" s="20"/>
      <c r="AL1019" s="20"/>
      <c r="AM1019" s="20"/>
    </row>
    <row r="1020" spans="36:39">
      <c r="AJ1020" s="93"/>
      <c r="AK1020" s="20"/>
      <c r="AL1020" s="20"/>
      <c r="AM1020" s="20"/>
    </row>
    <row r="1021" spans="36:39">
      <c r="AJ1021" s="93"/>
      <c r="AK1021" s="20"/>
      <c r="AL1021" s="20"/>
      <c r="AM1021" s="20"/>
    </row>
    <row r="1022" spans="36:39">
      <c r="AJ1022" s="93"/>
      <c r="AK1022" s="20"/>
      <c r="AL1022" s="20"/>
      <c r="AM1022" s="20"/>
    </row>
    <row r="1023" spans="36:39">
      <c r="AJ1023" s="93"/>
      <c r="AK1023" s="20"/>
      <c r="AL1023" s="20"/>
      <c r="AM1023" s="20"/>
    </row>
    <row r="1024" spans="36:39">
      <c r="AJ1024" s="93"/>
      <c r="AK1024" s="20"/>
      <c r="AL1024" s="20"/>
      <c r="AM1024" s="20"/>
    </row>
    <row r="1025" spans="36:39">
      <c r="AJ1025" s="93"/>
      <c r="AK1025" s="20"/>
      <c r="AL1025" s="20"/>
      <c r="AM1025" s="20"/>
    </row>
    <row r="1026" spans="36:39">
      <c r="AJ1026" s="93"/>
      <c r="AK1026" s="20"/>
      <c r="AL1026" s="20"/>
      <c r="AM1026" s="20"/>
    </row>
    <row r="1027" spans="36:39">
      <c r="AJ1027" s="93"/>
      <c r="AK1027" s="20"/>
      <c r="AL1027" s="20"/>
      <c r="AM1027" s="20"/>
    </row>
    <row r="1028" spans="36:39">
      <c r="AJ1028" s="93"/>
      <c r="AK1028" s="20"/>
      <c r="AL1028" s="20"/>
      <c r="AM1028" s="20"/>
    </row>
    <row r="1029" spans="36:39">
      <c r="AJ1029" s="93"/>
      <c r="AK1029" s="20"/>
      <c r="AL1029" s="20"/>
      <c r="AM1029" s="20"/>
    </row>
    <row r="1030" spans="36:39">
      <c r="AJ1030" s="93"/>
      <c r="AK1030" s="20"/>
      <c r="AL1030" s="20"/>
      <c r="AM1030" s="20"/>
    </row>
    <row r="1031" spans="36:39">
      <c r="AJ1031" s="93"/>
      <c r="AK1031" s="20"/>
      <c r="AL1031" s="20"/>
      <c r="AM1031" s="20"/>
    </row>
    <row r="1032" spans="36:39">
      <c r="AJ1032" s="93"/>
      <c r="AK1032" s="20"/>
      <c r="AL1032" s="20"/>
      <c r="AM1032" s="20"/>
    </row>
    <row r="1033" spans="36:39">
      <c r="AJ1033" s="93"/>
      <c r="AK1033" s="20"/>
      <c r="AL1033" s="20"/>
      <c r="AM1033" s="20"/>
    </row>
    <row r="1034" spans="36:39">
      <c r="AJ1034" s="93"/>
      <c r="AK1034" s="20"/>
      <c r="AL1034" s="20"/>
      <c r="AM1034" s="20"/>
    </row>
    <row r="1035" spans="36:39">
      <c r="AJ1035" s="93"/>
      <c r="AK1035" s="20"/>
      <c r="AL1035" s="20"/>
      <c r="AM1035" s="20"/>
    </row>
    <row r="1036" spans="36:39">
      <c r="AJ1036" s="93"/>
      <c r="AK1036" s="20"/>
      <c r="AL1036" s="20"/>
      <c r="AM1036" s="20"/>
    </row>
    <row r="1037" spans="36:39">
      <c r="AJ1037" s="93"/>
      <c r="AK1037" s="20"/>
      <c r="AL1037" s="20"/>
      <c r="AM1037" s="20"/>
    </row>
    <row r="1038" spans="36:39">
      <c r="AJ1038" s="93"/>
      <c r="AK1038" s="18"/>
      <c r="AL1038" s="18"/>
      <c r="AM1038" s="18"/>
    </row>
    <row r="1039" spans="36:39">
      <c r="AJ1039" s="93"/>
      <c r="AK1039" s="18"/>
      <c r="AL1039" s="18"/>
      <c r="AM1039" s="18"/>
    </row>
    <row r="1040" spans="36:39">
      <c r="AJ1040" s="93"/>
      <c r="AK1040" s="20"/>
      <c r="AL1040" s="20"/>
      <c r="AM1040" s="20"/>
    </row>
    <row r="1041" spans="36:39">
      <c r="AJ1041" s="93"/>
      <c r="AK1041" s="20"/>
      <c r="AL1041" s="20"/>
      <c r="AM1041" s="20"/>
    </row>
    <row r="1042" spans="36:39">
      <c r="AJ1042" s="93"/>
      <c r="AK1042" s="20"/>
      <c r="AL1042" s="20"/>
      <c r="AM1042" s="20"/>
    </row>
    <row r="1043" spans="36:39">
      <c r="AJ1043" s="93"/>
      <c r="AK1043" s="20"/>
      <c r="AL1043" s="20"/>
      <c r="AM1043" s="20"/>
    </row>
    <row r="1044" spans="36:39">
      <c r="AJ1044" s="93"/>
      <c r="AK1044" s="20"/>
      <c r="AL1044" s="20"/>
      <c r="AM1044" s="20"/>
    </row>
    <row r="1045" spans="36:39">
      <c r="AJ1045" s="93"/>
      <c r="AK1045" s="20"/>
      <c r="AL1045" s="20"/>
      <c r="AM1045" s="20"/>
    </row>
    <row r="1046" spans="36:39">
      <c r="AJ1046" s="93"/>
      <c r="AK1046" s="20"/>
      <c r="AL1046" s="20"/>
      <c r="AM1046" s="20"/>
    </row>
    <row r="1047" spans="36:39">
      <c r="AJ1047" s="93"/>
      <c r="AK1047" s="20"/>
      <c r="AL1047" s="20"/>
      <c r="AM1047" s="20"/>
    </row>
    <row r="1048" spans="36:39">
      <c r="AJ1048" s="93"/>
      <c r="AK1048" s="20"/>
      <c r="AL1048" s="20"/>
      <c r="AM1048" s="20"/>
    </row>
    <row r="1049" spans="36:39">
      <c r="AJ1049" s="93"/>
      <c r="AK1049" s="20"/>
      <c r="AL1049" s="20"/>
      <c r="AM1049" s="20"/>
    </row>
    <row r="1050" spans="36:39">
      <c r="AJ1050" s="93"/>
      <c r="AK1050" s="20"/>
      <c r="AL1050" s="20"/>
      <c r="AM1050" s="20"/>
    </row>
    <row r="1051" spans="36:39">
      <c r="AJ1051" s="93"/>
      <c r="AK1051" s="20"/>
      <c r="AL1051" s="20"/>
      <c r="AM1051" s="20"/>
    </row>
    <row r="1052" spans="36:39">
      <c r="AJ1052" s="93"/>
      <c r="AK1052" s="20"/>
      <c r="AL1052" s="20"/>
      <c r="AM1052" s="20"/>
    </row>
    <row r="1053" spans="36:39">
      <c r="AJ1053" s="93"/>
      <c r="AK1053" s="20"/>
      <c r="AL1053" s="20"/>
      <c r="AM1053" s="20"/>
    </row>
    <row r="1054" spans="36:39">
      <c r="AJ1054" s="93"/>
      <c r="AK1054" s="20"/>
      <c r="AL1054" s="20"/>
      <c r="AM1054" s="20"/>
    </row>
    <row r="1055" spans="36:39">
      <c r="AJ1055" s="93"/>
      <c r="AK1055" s="20"/>
      <c r="AL1055" s="20"/>
      <c r="AM1055" s="20"/>
    </row>
    <row r="1056" spans="36:39">
      <c r="AJ1056" s="93"/>
      <c r="AK1056" s="20"/>
      <c r="AL1056" s="20"/>
      <c r="AM1056" s="20"/>
    </row>
    <row r="1057" spans="36:39">
      <c r="AJ1057" s="93"/>
      <c r="AK1057" s="20"/>
      <c r="AL1057" s="20"/>
      <c r="AM1057" s="20"/>
    </row>
    <row r="1058" spans="36:39">
      <c r="AJ1058" s="93"/>
      <c r="AK1058" s="18"/>
      <c r="AL1058" s="20"/>
      <c r="AM1058" s="20"/>
    </row>
    <row r="1059" spans="36:39">
      <c r="AJ1059" s="93"/>
      <c r="AK1059" s="18"/>
      <c r="AL1059" s="20"/>
      <c r="AM1059" s="20"/>
    </row>
    <row r="1060" spans="36:39">
      <c r="AJ1060" s="93"/>
      <c r="AK1060" s="17"/>
      <c r="AL1060" s="17"/>
      <c r="AM1060" s="17"/>
    </row>
    <row r="1061" spans="36:39">
      <c r="AJ1061" s="93"/>
      <c r="AK1061" s="17"/>
      <c r="AL1061" s="17"/>
      <c r="AM1061" s="17"/>
    </row>
    <row r="1062" spans="36:39">
      <c r="AJ1062" s="93"/>
      <c r="AK1062" s="17"/>
      <c r="AL1062" s="17"/>
      <c r="AM1062" s="17"/>
    </row>
    <row r="1063" spans="36:39">
      <c r="AJ1063" s="93"/>
      <c r="AK1063" s="17"/>
      <c r="AL1063" s="17"/>
      <c r="AM1063" s="17"/>
    </row>
    <row r="1064" spans="36:39">
      <c r="AJ1064" s="93"/>
      <c r="AK1064" s="17"/>
      <c r="AL1064" s="17"/>
      <c r="AM1064" s="17"/>
    </row>
    <row r="1065" spans="36:39">
      <c r="AJ1065" s="93"/>
      <c r="AK1065" s="17"/>
      <c r="AL1065" s="17"/>
      <c r="AM1065" s="17"/>
    </row>
    <row r="1066" spans="36:39">
      <c r="AJ1066" s="93"/>
      <c r="AK1066" s="17"/>
      <c r="AL1066" s="17"/>
      <c r="AM1066" s="17"/>
    </row>
    <row r="1067" spans="36:39">
      <c r="AJ1067" s="93"/>
      <c r="AK1067" s="17"/>
      <c r="AL1067" s="17"/>
      <c r="AM1067" s="17"/>
    </row>
    <row r="1068" spans="36:39">
      <c r="AJ1068" s="93"/>
      <c r="AK1068" s="17"/>
      <c r="AL1068" s="17"/>
      <c r="AM1068" s="17"/>
    </row>
    <row r="1069" spans="36:39">
      <c r="AJ1069" s="93"/>
      <c r="AK1069" s="17"/>
      <c r="AL1069" s="17"/>
      <c r="AM1069" s="17"/>
    </row>
    <row r="1070" spans="36:39">
      <c r="AJ1070" s="93"/>
      <c r="AK1070" s="17"/>
      <c r="AL1070" s="17"/>
      <c r="AM1070" s="17"/>
    </row>
    <row r="1071" spans="36:39">
      <c r="AJ1071" s="93"/>
      <c r="AK1071" s="17"/>
      <c r="AL1071" s="17"/>
      <c r="AM1071" s="17"/>
    </row>
    <row r="1072" spans="36:39">
      <c r="AJ1072" s="93"/>
      <c r="AK1072" s="17"/>
      <c r="AL1072" s="17"/>
      <c r="AM1072" s="17"/>
    </row>
    <row r="1073" spans="36:39">
      <c r="AJ1073" s="93"/>
      <c r="AK1073" s="17"/>
      <c r="AL1073" s="17"/>
      <c r="AM1073" s="17"/>
    </row>
    <row r="1074" spans="36:39">
      <c r="AJ1074" s="93"/>
      <c r="AK1074" s="17"/>
      <c r="AL1074" s="17"/>
      <c r="AM1074" s="17"/>
    </row>
    <row r="1075" spans="36:39">
      <c r="AJ1075" s="21"/>
      <c r="AK1075" s="17"/>
      <c r="AL1075" s="17"/>
      <c r="AM1075" s="17"/>
    </row>
    <row r="1076" spans="36:39">
      <c r="AJ1076" s="93"/>
      <c r="AK1076" s="17"/>
      <c r="AL1076" s="17"/>
      <c r="AM1076" s="17"/>
    </row>
    <row r="1077" spans="36:39">
      <c r="AJ1077" s="93"/>
      <c r="AK1077" s="17"/>
      <c r="AL1077" s="17"/>
      <c r="AM1077" s="17"/>
    </row>
    <row r="1078" spans="36:39">
      <c r="AJ1078" s="93"/>
      <c r="AK1078" s="17"/>
      <c r="AL1078" s="17"/>
      <c r="AM1078" s="17"/>
    </row>
    <row r="1079" spans="36:39">
      <c r="AJ1079" s="93"/>
      <c r="AK1079" s="17"/>
      <c r="AL1079" s="17"/>
      <c r="AM1079" s="17"/>
    </row>
    <row r="1080" spans="36:39">
      <c r="AJ1080" s="93"/>
      <c r="AK1080" s="17"/>
      <c r="AL1080" s="17"/>
      <c r="AM1080" s="17"/>
    </row>
    <row r="1081" spans="36:39">
      <c r="AJ1081" s="93"/>
      <c r="AK1081" s="17"/>
      <c r="AL1081" s="17"/>
      <c r="AM1081" s="17"/>
    </row>
    <row r="1082" spans="36:39">
      <c r="AJ1082" s="93"/>
      <c r="AK1082" s="17"/>
      <c r="AL1082" s="17"/>
      <c r="AM1082" s="17"/>
    </row>
    <row r="1083" spans="36:39">
      <c r="AJ1083" s="93"/>
      <c r="AK1083" s="17"/>
      <c r="AL1083" s="17"/>
      <c r="AM1083" s="17"/>
    </row>
    <row r="1084" spans="36:39">
      <c r="AJ1084" s="93"/>
      <c r="AK1084" s="17"/>
      <c r="AL1084" s="17"/>
      <c r="AM1084" s="17"/>
    </row>
    <row r="1085" spans="36:39">
      <c r="AJ1085" s="93"/>
      <c r="AK1085" s="17"/>
      <c r="AL1085" s="17"/>
      <c r="AM1085" s="17"/>
    </row>
    <row r="1086" spans="36:39">
      <c r="AJ1086" s="93"/>
      <c r="AK1086" s="17"/>
      <c r="AL1086" s="17"/>
      <c r="AM1086" s="17"/>
    </row>
    <row r="1087" spans="36:39">
      <c r="AJ1087" s="93"/>
      <c r="AK1087" s="17"/>
      <c r="AL1087" s="17"/>
      <c r="AM1087" s="17"/>
    </row>
    <row r="1088" spans="36:39">
      <c r="AJ1088" s="93"/>
      <c r="AK1088" s="17"/>
      <c r="AL1088" s="17"/>
      <c r="AM1088" s="17"/>
    </row>
    <row r="1089" spans="36:39">
      <c r="AJ1089" s="93"/>
      <c r="AK1089" s="17"/>
      <c r="AL1089" s="17"/>
      <c r="AM1089" s="17"/>
    </row>
    <row r="1090" spans="36:39">
      <c r="AJ1090" s="93"/>
      <c r="AK1090" s="17"/>
      <c r="AL1090" s="17"/>
      <c r="AM1090" s="17"/>
    </row>
    <row r="1091" spans="36:39">
      <c r="AJ1091" s="21"/>
      <c r="AK1091" s="17"/>
      <c r="AL1091" s="17"/>
      <c r="AM1091" s="17"/>
    </row>
    <row r="1092" spans="36:39">
      <c r="AJ1092" s="21"/>
      <c r="AK1092" s="17"/>
      <c r="AL1092" s="17"/>
      <c r="AM1092" s="17"/>
    </row>
    <row r="1093" spans="36:39">
      <c r="AJ1093" s="21"/>
      <c r="AK1093" s="17"/>
      <c r="AL1093" s="17"/>
      <c r="AM1093" s="17"/>
    </row>
    <row r="1094" spans="36:39">
      <c r="AJ1094" s="21"/>
      <c r="AK1094" s="17"/>
      <c r="AL1094" s="17"/>
      <c r="AM1094" s="17"/>
    </row>
    <row r="1095" spans="36:39">
      <c r="AJ1095" s="21"/>
      <c r="AK1095" s="17"/>
      <c r="AL1095" s="17"/>
      <c r="AM1095" s="17"/>
    </row>
    <row r="1096" spans="36:39">
      <c r="AJ1096" s="21"/>
      <c r="AK1096" s="17"/>
      <c r="AL1096" s="17"/>
      <c r="AM1096" s="17"/>
    </row>
    <row r="1097" spans="36:39">
      <c r="AJ1097" s="21"/>
      <c r="AK1097" s="17"/>
      <c r="AL1097" s="17"/>
      <c r="AM1097" s="17"/>
    </row>
    <row r="1098" spans="36:39">
      <c r="AJ1098" s="93"/>
      <c r="AK1098" s="17"/>
      <c r="AL1098" s="17"/>
      <c r="AM1098" s="17"/>
    </row>
    <row r="1099" spans="36:39">
      <c r="AJ1099" s="93"/>
      <c r="AK1099" s="17"/>
      <c r="AL1099" s="17"/>
      <c r="AM1099" s="17"/>
    </row>
    <row r="1100" spans="36:39">
      <c r="AJ1100" s="93"/>
      <c r="AK1100" s="17"/>
      <c r="AL1100" s="17"/>
      <c r="AM1100" s="17"/>
    </row>
    <row r="1101" spans="36:39">
      <c r="AJ1101" s="93"/>
      <c r="AK1101" s="17"/>
      <c r="AL1101" s="17"/>
      <c r="AM1101" s="17"/>
    </row>
    <row r="1102" spans="36:39">
      <c r="AJ1102" s="93"/>
      <c r="AK1102" s="17"/>
      <c r="AL1102" s="17"/>
      <c r="AM1102" s="17"/>
    </row>
    <row r="1103" spans="36:39">
      <c r="AJ1103" s="93"/>
      <c r="AK1103" s="17"/>
      <c r="AL1103" s="17"/>
      <c r="AM1103" s="17"/>
    </row>
    <row r="1104" spans="36:39">
      <c r="AJ1104" s="93"/>
      <c r="AK1104" s="17"/>
      <c r="AL1104" s="17"/>
      <c r="AM1104" s="17"/>
    </row>
    <row r="1105" spans="36:39">
      <c r="AJ1105" s="93"/>
      <c r="AK1105" s="17"/>
      <c r="AL1105" s="17"/>
      <c r="AM1105" s="17"/>
    </row>
    <row r="1106" spans="36:39">
      <c r="AJ1106" s="93"/>
      <c r="AK1106" s="17"/>
      <c r="AL1106" s="17"/>
      <c r="AM1106" s="17"/>
    </row>
    <row r="1107" spans="36:39">
      <c r="AJ1107" s="93"/>
      <c r="AK1107" s="17"/>
      <c r="AL1107" s="17"/>
      <c r="AM1107" s="17"/>
    </row>
    <row r="1108" spans="36:39">
      <c r="AJ1108" s="93"/>
      <c r="AK1108" s="17"/>
      <c r="AL1108" s="17"/>
      <c r="AM1108" s="17"/>
    </row>
    <row r="1109" spans="36:39">
      <c r="AJ1109" s="93"/>
      <c r="AK1109" s="17"/>
      <c r="AL1109" s="17"/>
      <c r="AM1109" s="17"/>
    </row>
    <row r="1110" spans="36:39">
      <c r="AJ1110" s="93"/>
      <c r="AK1110" s="17"/>
      <c r="AL1110" s="17"/>
      <c r="AM1110" s="17"/>
    </row>
    <row r="1111" spans="36:39">
      <c r="AJ1111" s="93"/>
      <c r="AK1111" s="17"/>
      <c r="AL1111" s="17"/>
      <c r="AM1111" s="17"/>
    </row>
    <row r="1112" spans="36:39">
      <c r="AJ1112" s="93"/>
      <c r="AK1112" s="17"/>
      <c r="AL1112" s="17"/>
      <c r="AM1112" s="17"/>
    </row>
    <row r="1113" spans="36:39">
      <c r="AJ1113" s="93"/>
      <c r="AK1113" s="17"/>
      <c r="AL1113" s="17"/>
      <c r="AM1113" s="17"/>
    </row>
    <row r="1114" spans="36:39">
      <c r="AJ1114" s="93"/>
      <c r="AK1114" s="17"/>
      <c r="AL1114" s="17"/>
      <c r="AM1114" s="17"/>
    </row>
    <row r="1115" spans="36:39">
      <c r="AJ1115" s="93"/>
      <c r="AK1115" s="17"/>
      <c r="AL1115" s="17"/>
      <c r="AM1115" s="17"/>
    </row>
    <row r="1116" spans="36:39">
      <c r="AJ1116" s="93"/>
      <c r="AK1116" s="17"/>
      <c r="AL1116" s="17"/>
      <c r="AM1116" s="17"/>
    </row>
    <row r="1117" spans="36:39">
      <c r="AJ1117" s="93"/>
      <c r="AK1117" s="17"/>
      <c r="AL1117" s="17"/>
      <c r="AM1117" s="17"/>
    </row>
    <row r="1118" spans="36:39">
      <c r="AJ1118" s="93"/>
      <c r="AK1118" s="17"/>
      <c r="AL1118" s="17"/>
      <c r="AM1118" s="17"/>
    </row>
    <row r="1119" spans="36:39">
      <c r="AJ1119" s="93"/>
      <c r="AK1119" s="17"/>
      <c r="AL1119" s="17"/>
      <c r="AM1119" s="17"/>
    </row>
    <row r="1120" spans="36:39">
      <c r="AJ1120" s="93"/>
      <c r="AK1120" s="17"/>
      <c r="AL1120" s="17"/>
      <c r="AM1120" s="17"/>
    </row>
    <row r="1121" spans="36:39">
      <c r="AJ1121" s="93"/>
      <c r="AK1121" s="17"/>
      <c r="AL1121" s="17"/>
      <c r="AM1121" s="17"/>
    </row>
    <row r="1122" spans="36:39">
      <c r="AJ1122" s="93"/>
      <c r="AK1122" s="17"/>
      <c r="AL1122" s="17"/>
      <c r="AM1122" s="17"/>
    </row>
    <row r="1123" spans="36:39">
      <c r="AJ1123" s="93"/>
      <c r="AK1123" s="17"/>
      <c r="AL1123" s="17"/>
      <c r="AM1123" s="17"/>
    </row>
    <row r="1124" spans="36:39">
      <c r="AJ1124" s="93"/>
      <c r="AK1124" s="17"/>
      <c r="AL1124" s="17"/>
      <c r="AM1124" s="17"/>
    </row>
    <row r="1125" spans="36:39">
      <c r="AJ1125" s="93"/>
      <c r="AK1125" s="17"/>
      <c r="AL1125" s="17"/>
      <c r="AM1125" s="17"/>
    </row>
    <row r="1126" spans="36:39">
      <c r="AJ1126" s="93"/>
      <c r="AK1126" s="17"/>
      <c r="AL1126" s="17"/>
      <c r="AM1126" s="17"/>
    </row>
    <row r="1127" spans="36:39">
      <c r="AJ1127" s="93"/>
      <c r="AK1127" s="17"/>
      <c r="AL1127" s="17"/>
      <c r="AM1127" s="17"/>
    </row>
    <row r="1128" spans="36:39">
      <c r="AJ1128" s="93"/>
      <c r="AK1128" s="17"/>
      <c r="AL1128" s="17"/>
      <c r="AM1128" s="17"/>
    </row>
    <row r="1129" spans="36:39">
      <c r="AJ1129" s="93"/>
      <c r="AK1129" s="17"/>
      <c r="AL1129" s="17"/>
      <c r="AM1129" s="17"/>
    </row>
    <row r="1130" spans="36:39">
      <c r="AJ1130" s="93"/>
      <c r="AK1130" s="17"/>
      <c r="AL1130" s="17"/>
      <c r="AM1130" s="17"/>
    </row>
    <row r="1131" spans="36:39">
      <c r="AJ1131" s="93"/>
      <c r="AK1131" s="17"/>
      <c r="AL1131" s="17"/>
      <c r="AM1131" s="17"/>
    </row>
    <row r="1132" spans="36:39">
      <c r="AJ1132" s="93"/>
      <c r="AK1132" s="17"/>
      <c r="AL1132" s="17"/>
      <c r="AM1132" s="17"/>
    </row>
    <row r="1133" spans="36:39">
      <c r="AJ1133" s="93"/>
      <c r="AK1133" s="17"/>
      <c r="AL1133" s="17"/>
      <c r="AM1133" s="17"/>
    </row>
    <row r="1134" spans="36:39">
      <c r="AJ1134" s="93"/>
      <c r="AK1134" s="17"/>
      <c r="AL1134" s="17"/>
      <c r="AM1134" s="17"/>
    </row>
    <row r="1135" spans="36:39">
      <c r="AJ1135" s="93"/>
      <c r="AK1135" s="17"/>
      <c r="AL1135" s="17"/>
      <c r="AM1135" s="17"/>
    </row>
    <row r="1136" spans="36:39">
      <c r="AJ1136" s="93"/>
      <c r="AK1136" s="17"/>
      <c r="AL1136" s="17"/>
      <c r="AM1136" s="17"/>
    </row>
    <row r="1137" spans="36:39">
      <c r="AJ1137" s="93"/>
      <c r="AK1137" s="17"/>
      <c r="AL1137" s="17"/>
      <c r="AM1137" s="17"/>
    </row>
    <row r="1138" spans="36:39">
      <c r="AJ1138" s="93"/>
      <c r="AK1138" s="17"/>
      <c r="AL1138" s="17"/>
      <c r="AM1138" s="17"/>
    </row>
    <row r="1139" spans="36:39">
      <c r="AJ1139" s="93"/>
      <c r="AK1139" s="17"/>
      <c r="AL1139" s="17"/>
      <c r="AM1139" s="17"/>
    </row>
    <row r="1140" spans="36:39">
      <c r="AJ1140" s="93"/>
      <c r="AK1140" s="17"/>
      <c r="AL1140" s="17"/>
      <c r="AM1140" s="17"/>
    </row>
    <row r="1141" spans="36:39">
      <c r="AJ1141" s="93"/>
      <c r="AK1141" s="17"/>
      <c r="AL1141" s="17"/>
      <c r="AM1141" s="17"/>
    </row>
    <row r="1142" spans="36:39">
      <c r="AJ1142" s="93"/>
      <c r="AK1142" s="17"/>
      <c r="AL1142" s="17"/>
      <c r="AM1142" s="17"/>
    </row>
    <row r="1143" spans="36:39">
      <c r="AJ1143" s="93"/>
      <c r="AK1143" s="17"/>
      <c r="AL1143" s="17"/>
      <c r="AM1143" s="17"/>
    </row>
    <row r="1144" spans="36:39">
      <c r="AJ1144" s="93"/>
      <c r="AK1144" s="17"/>
      <c r="AL1144" s="17"/>
      <c r="AM1144" s="17"/>
    </row>
    <row r="1145" spans="36:39">
      <c r="AJ1145" s="93"/>
      <c r="AK1145" s="17"/>
      <c r="AL1145" s="17"/>
      <c r="AM1145" s="17"/>
    </row>
    <row r="1146" spans="36:39">
      <c r="AJ1146" s="93"/>
      <c r="AK1146" s="17"/>
      <c r="AL1146" s="17"/>
      <c r="AM1146" s="17"/>
    </row>
    <row r="1147" spans="36:39">
      <c r="AJ1147" s="93"/>
      <c r="AK1147" s="17"/>
      <c r="AL1147" s="17"/>
      <c r="AM1147" s="17"/>
    </row>
    <row r="1148" spans="36:39">
      <c r="AJ1148" s="93"/>
      <c r="AK1148" s="17"/>
      <c r="AL1148" s="17"/>
      <c r="AM1148" s="17"/>
    </row>
    <row r="1149" spans="36:39">
      <c r="AJ1149" s="93"/>
      <c r="AK1149" s="17"/>
      <c r="AL1149" s="17"/>
      <c r="AM1149" s="17"/>
    </row>
    <row r="1150" spans="36:39">
      <c r="AJ1150" s="93"/>
      <c r="AK1150" s="17"/>
      <c r="AL1150" s="17"/>
      <c r="AM1150" s="17"/>
    </row>
    <row r="1151" spans="36:39">
      <c r="AJ1151" s="93"/>
      <c r="AK1151" s="17"/>
      <c r="AL1151" s="17"/>
      <c r="AM1151" s="17"/>
    </row>
    <row r="1152" spans="36:39">
      <c r="AJ1152" s="93"/>
      <c r="AK1152" s="17"/>
      <c r="AL1152" s="17"/>
      <c r="AM1152" s="17"/>
    </row>
    <row r="1153" spans="36:39">
      <c r="AJ1153" s="93"/>
      <c r="AK1153" s="17"/>
      <c r="AL1153" s="17"/>
      <c r="AM1153" s="17"/>
    </row>
    <row r="1154" spans="36:39">
      <c r="AJ1154" s="93"/>
      <c r="AK1154" s="17"/>
      <c r="AL1154" s="17"/>
      <c r="AM1154" s="17"/>
    </row>
    <row r="1155" spans="36:39">
      <c r="AJ1155" s="93"/>
      <c r="AK1155" s="17"/>
      <c r="AL1155" s="17"/>
      <c r="AM1155" s="17"/>
    </row>
    <row r="1156" spans="36:39">
      <c r="AJ1156" s="93"/>
      <c r="AK1156" s="17"/>
      <c r="AL1156" s="17"/>
      <c r="AM1156" s="17"/>
    </row>
    <row r="1157" spans="36:39">
      <c r="AJ1157" s="93"/>
      <c r="AK1157" s="17"/>
      <c r="AL1157" s="17"/>
      <c r="AM1157" s="17"/>
    </row>
    <row r="1158" spans="36:39">
      <c r="AJ1158" s="93"/>
      <c r="AK1158" s="17"/>
      <c r="AL1158" s="17"/>
      <c r="AM1158" s="17"/>
    </row>
    <row r="1159" spans="36:39">
      <c r="AJ1159" s="93"/>
      <c r="AK1159" s="17"/>
      <c r="AL1159" s="17"/>
      <c r="AM1159" s="17"/>
    </row>
    <row r="1160" spans="36:39">
      <c r="AJ1160" s="93"/>
      <c r="AK1160" s="17"/>
      <c r="AL1160" s="17"/>
      <c r="AM1160" s="17"/>
    </row>
    <row r="1161" spans="36:39">
      <c r="AJ1161" s="93"/>
      <c r="AK1161" s="17"/>
      <c r="AL1161" s="17"/>
      <c r="AM1161" s="17"/>
    </row>
    <row r="1162" spans="36:39">
      <c r="AJ1162" s="93"/>
      <c r="AK1162" s="17"/>
      <c r="AL1162" s="17"/>
      <c r="AM1162" s="17"/>
    </row>
    <row r="1163" spans="36:39">
      <c r="AJ1163" s="93"/>
      <c r="AK1163" s="17"/>
      <c r="AL1163" s="17"/>
      <c r="AM1163" s="17"/>
    </row>
    <row r="1164" spans="36:39">
      <c r="AJ1164" s="93"/>
      <c r="AK1164" s="17"/>
      <c r="AL1164" s="17"/>
      <c r="AM1164" s="17"/>
    </row>
    <row r="1165" spans="36:39">
      <c r="AJ1165" s="93"/>
      <c r="AK1165" s="17"/>
      <c r="AL1165" s="17"/>
      <c r="AM1165" s="17"/>
    </row>
    <row r="1166" spans="36:39">
      <c r="AJ1166" s="93"/>
      <c r="AK1166" s="17"/>
      <c r="AL1166" s="17"/>
      <c r="AM1166" s="17"/>
    </row>
    <row r="1167" spans="36:39">
      <c r="AJ1167" s="93"/>
      <c r="AK1167" s="17"/>
      <c r="AL1167" s="17"/>
      <c r="AM1167" s="17"/>
    </row>
    <row r="1168" spans="36:39">
      <c r="AJ1168" s="93"/>
      <c r="AK1168" s="17"/>
      <c r="AL1168" s="17"/>
      <c r="AM1168" s="17"/>
    </row>
    <row r="1169" spans="36:39">
      <c r="AJ1169" s="93"/>
      <c r="AK1169" s="17"/>
      <c r="AL1169" s="17"/>
      <c r="AM1169" s="17"/>
    </row>
    <row r="1170" spans="36:39">
      <c r="AJ1170" s="93"/>
      <c r="AK1170" s="17"/>
      <c r="AL1170" s="17"/>
      <c r="AM1170" s="17"/>
    </row>
    <row r="1171" spans="36:39">
      <c r="AJ1171" s="93"/>
      <c r="AK1171" s="17"/>
      <c r="AL1171" s="17"/>
      <c r="AM1171" s="17"/>
    </row>
    <row r="1172" spans="36:39">
      <c r="AJ1172" s="93"/>
      <c r="AK1172" s="17"/>
      <c r="AL1172" s="17"/>
      <c r="AM1172" s="17"/>
    </row>
    <row r="1173" spans="36:39">
      <c r="AJ1173" s="93"/>
      <c r="AK1173" s="17"/>
      <c r="AL1173" s="17"/>
      <c r="AM1173" s="17"/>
    </row>
    <row r="1174" spans="36:39">
      <c r="AJ1174" s="93"/>
      <c r="AK1174" s="17"/>
      <c r="AL1174" s="17"/>
      <c r="AM1174" s="17"/>
    </row>
    <row r="1175" spans="36:39">
      <c r="AJ1175" s="93"/>
      <c r="AK1175" s="17"/>
      <c r="AL1175" s="17"/>
      <c r="AM1175" s="17"/>
    </row>
    <row r="1176" spans="36:39">
      <c r="AJ1176" s="93"/>
      <c r="AK1176" s="17"/>
      <c r="AL1176" s="17"/>
      <c r="AM1176" s="17"/>
    </row>
    <row r="1177" spans="36:39">
      <c r="AJ1177" s="93"/>
      <c r="AK1177" s="17"/>
      <c r="AL1177" s="17"/>
      <c r="AM1177" s="17"/>
    </row>
    <row r="1178" spans="36:39">
      <c r="AJ1178" s="93"/>
      <c r="AK1178" s="17"/>
      <c r="AL1178" s="17"/>
      <c r="AM1178" s="17"/>
    </row>
    <row r="1179" spans="36:39">
      <c r="AJ1179" s="93"/>
      <c r="AK1179" s="17"/>
      <c r="AL1179" s="17"/>
      <c r="AM1179" s="17"/>
    </row>
    <row r="1180" spans="36:39">
      <c r="AJ1180" s="93"/>
      <c r="AK1180" s="17"/>
      <c r="AL1180" s="17"/>
      <c r="AM1180" s="17"/>
    </row>
    <row r="1181" spans="36:39">
      <c r="AJ1181" s="93"/>
      <c r="AK1181" s="17"/>
      <c r="AL1181" s="17"/>
      <c r="AM1181" s="17"/>
    </row>
    <row r="1182" spans="36:39">
      <c r="AJ1182" s="93"/>
      <c r="AK1182" s="17"/>
      <c r="AL1182" s="17"/>
      <c r="AM1182" s="17"/>
    </row>
    <row r="1183" spans="36:39">
      <c r="AJ1183" s="93"/>
      <c r="AK1183" s="17"/>
      <c r="AL1183" s="17"/>
      <c r="AM1183" s="17"/>
    </row>
    <row r="1184" spans="36:39">
      <c r="AJ1184" s="93"/>
      <c r="AK1184" s="17"/>
      <c r="AL1184" s="17"/>
      <c r="AM1184" s="17"/>
    </row>
    <row r="1185" spans="36:39">
      <c r="AJ1185" s="93"/>
      <c r="AK1185" s="17"/>
      <c r="AL1185" s="17"/>
      <c r="AM1185" s="17"/>
    </row>
    <row r="1186" spans="36:39">
      <c r="AJ1186" s="93"/>
      <c r="AK1186" s="17"/>
      <c r="AL1186" s="17"/>
      <c r="AM1186" s="17"/>
    </row>
    <row r="1187" spans="36:39">
      <c r="AJ1187" s="21"/>
      <c r="AK1187" s="17"/>
      <c r="AL1187" s="17"/>
      <c r="AM1187" s="17"/>
    </row>
    <row r="1188" spans="36:39">
      <c r="AJ1188" s="21"/>
      <c r="AK1188" s="17"/>
      <c r="AL1188" s="17"/>
      <c r="AM1188" s="17"/>
    </row>
    <row r="1189" spans="36:39">
      <c r="AJ1189" s="21"/>
      <c r="AK1189" s="17"/>
      <c r="AL1189" s="17"/>
      <c r="AM1189" s="17"/>
    </row>
    <row r="1190" spans="36:39">
      <c r="AJ1190" s="21"/>
      <c r="AK1190" s="17"/>
      <c r="AL1190" s="17"/>
      <c r="AM1190" s="17"/>
    </row>
    <row r="1191" spans="36:39">
      <c r="AJ1191" s="21"/>
      <c r="AK1191" s="17"/>
      <c r="AL1191" s="17"/>
      <c r="AM1191" s="17"/>
    </row>
    <row r="1192" spans="36:39">
      <c r="AJ1192" s="21"/>
      <c r="AK1192" s="17"/>
      <c r="AL1192" s="17"/>
      <c r="AM1192" s="17"/>
    </row>
    <row r="1193" spans="36:39">
      <c r="AJ1193" s="21"/>
      <c r="AK1193" s="17"/>
      <c r="AL1193" s="17"/>
      <c r="AM1193" s="17"/>
    </row>
    <row r="1194" spans="36:39">
      <c r="AJ1194" s="21"/>
      <c r="AK1194" s="17"/>
      <c r="AL1194" s="17"/>
      <c r="AM1194" s="17"/>
    </row>
    <row r="1195" spans="36:39">
      <c r="AJ1195" s="21"/>
      <c r="AK1195" s="17"/>
      <c r="AL1195" s="17"/>
      <c r="AM1195" s="17"/>
    </row>
    <row r="1196" spans="36:39">
      <c r="AJ1196" s="21"/>
      <c r="AK1196" s="17"/>
      <c r="AL1196" s="17"/>
      <c r="AM1196" s="17"/>
    </row>
    <row r="1197" spans="36:39">
      <c r="AJ1197" s="21"/>
      <c r="AK1197" s="17"/>
      <c r="AL1197" s="17"/>
      <c r="AM1197" s="17"/>
    </row>
    <row r="1198" spans="36:39">
      <c r="AJ1198" s="21"/>
      <c r="AK1198" s="17"/>
      <c r="AL1198" s="17"/>
      <c r="AM1198" s="17"/>
    </row>
    <row r="1199" spans="36:39">
      <c r="AJ1199" s="21"/>
      <c r="AK1199" s="17"/>
      <c r="AL1199" s="17"/>
      <c r="AM1199" s="17"/>
    </row>
    <row r="1200" spans="36:39">
      <c r="AJ1200" s="21"/>
      <c r="AK1200" s="17"/>
      <c r="AL1200" s="17"/>
      <c r="AM1200" s="17"/>
    </row>
    <row r="1201" spans="36:39">
      <c r="AJ1201" s="21"/>
      <c r="AK1201" s="17"/>
      <c r="AL1201" s="17"/>
      <c r="AM1201" s="17"/>
    </row>
    <row r="1202" spans="36:39">
      <c r="AJ1202" s="21"/>
      <c r="AK1202" s="17"/>
      <c r="AL1202" s="17"/>
      <c r="AM1202" s="17"/>
    </row>
    <row r="1203" spans="36:39">
      <c r="AJ1203" s="21"/>
      <c r="AK1203" s="17"/>
      <c r="AL1203" s="17"/>
      <c r="AM1203" s="17"/>
    </row>
    <row r="1204" spans="36:39">
      <c r="AJ1204" s="21"/>
      <c r="AK1204" s="17"/>
      <c r="AL1204" s="17"/>
      <c r="AM1204" s="17"/>
    </row>
    <row r="1205" spans="36:39">
      <c r="AJ1205" s="21"/>
      <c r="AK1205" s="17"/>
      <c r="AL1205" s="17"/>
      <c r="AM1205" s="17"/>
    </row>
    <row r="1206" spans="36:39">
      <c r="AJ1206" s="21"/>
      <c r="AK1206" s="17"/>
      <c r="AL1206" s="17"/>
      <c r="AM1206" s="17"/>
    </row>
    <row r="1207" spans="36:39">
      <c r="AJ1207" s="21"/>
      <c r="AK1207" s="17"/>
      <c r="AL1207" s="17"/>
      <c r="AM1207" s="17"/>
    </row>
    <row r="1208" spans="36:39">
      <c r="AJ1208" s="21"/>
      <c r="AK1208" s="17"/>
      <c r="AL1208" s="17"/>
      <c r="AM1208" s="17"/>
    </row>
    <row r="1209" spans="36:39">
      <c r="AJ1209" s="21"/>
      <c r="AK1209" s="17"/>
      <c r="AL1209" s="17"/>
      <c r="AM1209" s="17"/>
    </row>
    <row r="1210" spans="36:39">
      <c r="AJ1210" s="21"/>
      <c r="AK1210" s="17"/>
      <c r="AL1210" s="17"/>
      <c r="AM1210" s="17"/>
    </row>
    <row r="1211" spans="36:39">
      <c r="AJ1211" s="21"/>
      <c r="AK1211" s="17"/>
      <c r="AL1211" s="17"/>
      <c r="AM1211" s="17"/>
    </row>
    <row r="1212" spans="36:39">
      <c r="AJ1212" s="21"/>
      <c r="AK1212" s="17"/>
      <c r="AL1212" s="17"/>
      <c r="AM1212" s="17"/>
    </row>
    <row r="1213" spans="36:39">
      <c r="AJ1213" s="21"/>
      <c r="AK1213" s="17"/>
      <c r="AL1213" s="17"/>
      <c r="AM1213" s="17"/>
    </row>
    <row r="1214" spans="36:39">
      <c r="AJ1214" s="21"/>
      <c r="AK1214" s="17"/>
      <c r="AL1214" s="17"/>
      <c r="AM1214" s="17"/>
    </row>
    <row r="1215" spans="36:39">
      <c r="AJ1215" s="21"/>
      <c r="AK1215" s="17"/>
      <c r="AL1215" s="17"/>
      <c r="AM1215" s="17"/>
    </row>
    <row r="1216" spans="36:39">
      <c r="AJ1216" s="21"/>
      <c r="AK1216" s="17"/>
      <c r="AL1216" s="17"/>
      <c r="AM1216" s="17"/>
    </row>
    <row r="1217" spans="36:39">
      <c r="AJ1217" s="21"/>
      <c r="AK1217" s="17"/>
      <c r="AL1217" s="17"/>
      <c r="AM1217" s="17"/>
    </row>
    <row r="1218" spans="36:39">
      <c r="AJ1218" s="21"/>
      <c r="AK1218" s="17"/>
      <c r="AL1218" s="17"/>
      <c r="AM1218" s="17"/>
    </row>
    <row r="1219" spans="36:39">
      <c r="AJ1219" s="21"/>
      <c r="AK1219" s="17"/>
      <c r="AL1219" s="17"/>
      <c r="AM1219" s="17"/>
    </row>
    <row r="1220" spans="36:39">
      <c r="AJ1220" s="21"/>
      <c r="AK1220" s="17"/>
      <c r="AL1220" s="17"/>
      <c r="AM1220" s="17"/>
    </row>
    <row r="1221" spans="36:39">
      <c r="AJ1221" s="21"/>
      <c r="AK1221" s="17"/>
      <c r="AL1221" s="17"/>
      <c r="AM1221" s="17"/>
    </row>
    <row r="1222" spans="36:39">
      <c r="AJ1222" s="21"/>
      <c r="AK1222" s="17"/>
      <c r="AL1222" s="17"/>
      <c r="AM1222" s="17"/>
    </row>
    <row r="1223" spans="36:39">
      <c r="AJ1223" s="21"/>
      <c r="AK1223" s="17"/>
      <c r="AL1223" s="17"/>
      <c r="AM1223" s="17"/>
    </row>
    <row r="1224" spans="36:39">
      <c r="AJ1224" s="21"/>
      <c r="AK1224" s="17"/>
      <c r="AL1224" s="17"/>
      <c r="AM1224" s="17"/>
    </row>
    <row r="1225" spans="36:39">
      <c r="AJ1225" s="21"/>
      <c r="AK1225" s="17"/>
      <c r="AL1225" s="17"/>
      <c r="AM1225" s="17"/>
    </row>
    <row r="1226" spans="36:39">
      <c r="AJ1226" s="21"/>
      <c r="AK1226" s="17"/>
      <c r="AL1226" s="17"/>
      <c r="AM1226" s="17"/>
    </row>
    <row r="1227" spans="36:39">
      <c r="AJ1227" s="21"/>
      <c r="AK1227" s="17"/>
      <c r="AL1227" s="17"/>
      <c r="AM1227" s="17"/>
    </row>
    <row r="1228" spans="36:39">
      <c r="AJ1228" s="21"/>
      <c r="AK1228" s="17"/>
      <c r="AL1228" s="17"/>
      <c r="AM1228" s="17"/>
    </row>
    <row r="1229" spans="36:39">
      <c r="AJ1229" s="21"/>
      <c r="AK1229" s="17"/>
      <c r="AL1229" s="17"/>
      <c r="AM1229" s="17"/>
    </row>
    <row r="1230" spans="36:39">
      <c r="AJ1230" s="21"/>
      <c r="AK1230" s="17"/>
      <c r="AL1230" s="17"/>
      <c r="AM1230" s="17"/>
    </row>
    <row r="1231" spans="36:39">
      <c r="AJ1231" s="21"/>
      <c r="AK1231" s="17"/>
      <c r="AL1231" s="17"/>
      <c r="AM1231" s="17"/>
    </row>
    <row r="1232" spans="36:39">
      <c r="AJ1232" s="21"/>
      <c r="AK1232" s="17"/>
      <c r="AL1232" s="17"/>
      <c r="AM1232" s="17"/>
    </row>
    <row r="1233" spans="36:39">
      <c r="AJ1233" s="21"/>
      <c r="AK1233" s="17"/>
      <c r="AL1233" s="17"/>
      <c r="AM1233" s="17"/>
    </row>
    <row r="1234" spans="36:39">
      <c r="AJ1234" s="21"/>
      <c r="AK1234" s="17"/>
      <c r="AL1234" s="17"/>
      <c r="AM1234" s="17"/>
    </row>
    <row r="1235" spans="36:39">
      <c r="AJ1235" s="21"/>
      <c r="AK1235" s="17"/>
      <c r="AL1235" s="17"/>
      <c r="AM1235" s="17"/>
    </row>
    <row r="1236" spans="36:39">
      <c r="AJ1236" s="21"/>
      <c r="AK1236" s="17"/>
      <c r="AL1236" s="17"/>
      <c r="AM1236" s="17"/>
    </row>
    <row r="1237" spans="36:39">
      <c r="AJ1237" s="21"/>
      <c r="AK1237" s="17"/>
      <c r="AL1237" s="17"/>
      <c r="AM1237" s="17"/>
    </row>
    <row r="1238" spans="36:39">
      <c r="AJ1238" s="21"/>
      <c r="AK1238" s="17"/>
      <c r="AL1238" s="17"/>
      <c r="AM1238" s="17"/>
    </row>
    <row r="1239" spans="36:39">
      <c r="AJ1239" s="21"/>
      <c r="AK1239" s="17"/>
      <c r="AL1239" s="17"/>
      <c r="AM1239" s="17"/>
    </row>
    <row r="1240" spans="36:39">
      <c r="AJ1240" s="93"/>
      <c r="AK1240" s="17"/>
      <c r="AL1240" s="17"/>
      <c r="AM1240" s="17"/>
    </row>
    <row r="1241" spans="36:39">
      <c r="AJ1241" s="93"/>
      <c r="AK1241" s="17"/>
      <c r="AL1241" s="17"/>
      <c r="AM1241" s="17"/>
    </row>
    <row r="1242" spans="36:39">
      <c r="AJ1242" s="21"/>
      <c r="AK1242" s="17"/>
      <c r="AL1242" s="17"/>
      <c r="AM1242" s="17"/>
    </row>
    <row r="1243" spans="36:39">
      <c r="AJ1243" s="21"/>
      <c r="AK1243" s="17"/>
      <c r="AL1243" s="17"/>
      <c r="AM1243" s="17"/>
    </row>
    <row r="1244" spans="36:39">
      <c r="AJ1244" s="21"/>
      <c r="AK1244" s="17"/>
      <c r="AL1244" s="17"/>
      <c r="AM1244" s="17"/>
    </row>
    <row r="1245" spans="36:39">
      <c r="AJ1245" s="21"/>
      <c r="AK1245" s="17"/>
      <c r="AL1245" s="17"/>
      <c r="AM1245" s="17"/>
    </row>
    <row r="1246" spans="36:39">
      <c r="AJ1246" s="21"/>
      <c r="AK1246" s="17"/>
      <c r="AL1246" s="17"/>
      <c r="AM1246" s="17"/>
    </row>
    <row r="1247" spans="36:39">
      <c r="AJ1247" s="21"/>
      <c r="AK1247" s="17"/>
      <c r="AL1247" s="17"/>
      <c r="AM1247" s="17"/>
    </row>
    <row r="1248" spans="36:39">
      <c r="AJ1248" s="21"/>
      <c r="AK1248" s="17"/>
      <c r="AL1248" s="17"/>
      <c r="AM1248" s="17"/>
    </row>
    <row r="1249" spans="36:39">
      <c r="AJ1249" s="21"/>
      <c r="AK1249" s="17"/>
      <c r="AL1249" s="17"/>
      <c r="AM1249" s="17"/>
    </row>
    <row r="1250" spans="36:39">
      <c r="AJ1250" s="21"/>
      <c r="AK1250" s="17"/>
      <c r="AL1250" s="17"/>
      <c r="AM1250" s="17"/>
    </row>
    <row r="1251" spans="36:39">
      <c r="AJ1251" s="21"/>
      <c r="AK1251" s="17"/>
      <c r="AL1251" s="17"/>
      <c r="AM1251" s="17"/>
    </row>
    <row r="1252" spans="36:39">
      <c r="AJ1252" s="21"/>
      <c r="AK1252" s="17"/>
      <c r="AL1252" s="17"/>
      <c r="AM1252" s="17"/>
    </row>
    <row r="1253" spans="36:39">
      <c r="AJ1253" s="21"/>
      <c r="AK1253" s="17"/>
      <c r="AL1253" s="17"/>
      <c r="AM1253" s="17"/>
    </row>
    <row r="1254" spans="36:39">
      <c r="AJ1254" s="21"/>
      <c r="AK1254" s="17"/>
      <c r="AL1254" s="17"/>
      <c r="AM1254" s="17"/>
    </row>
    <row r="1255" spans="36:39">
      <c r="AJ1255" s="21"/>
      <c r="AK1255" s="17"/>
      <c r="AL1255" s="17"/>
      <c r="AM1255" s="17"/>
    </row>
    <row r="1256" spans="36:39">
      <c r="AJ1256" s="21"/>
      <c r="AK1256" s="17"/>
      <c r="AL1256" s="17"/>
      <c r="AM1256" s="17"/>
    </row>
    <row r="1257" spans="36:39">
      <c r="AJ1257" s="21"/>
      <c r="AK1257" s="17"/>
      <c r="AL1257" s="17"/>
      <c r="AM1257" s="17"/>
    </row>
    <row r="1258" spans="36:39">
      <c r="AJ1258" s="21"/>
      <c r="AK1258" s="17"/>
      <c r="AL1258" s="17"/>
      <c r="AM1258" s="17"/>
    </row>
    <row r="1259" spans="36:39">
      <c r="AJ1259" s="21"/>
      <c r="AK1259" s="17"/>
      <c r="AL1259" s="17"/>
      <c r="AM1259" s="17"/>
    </row>
    <row r="1260" spans="36:39">
      <c r="AJ1260" s="21"/>
      <c r="AK1260" s="17"/>
      <c r="AL1260" s="17"/>
      <c r="AM1260" s="17"/>
    </row>
    <row r="1261" spans="36:39">
      <c r="AJ1261" s="21"/>
      <c r="AK1261" s="17"/>
      <c r="AL1261" s="17"/>
      <c r="AM1261" s="17"/>
    </row>
    <row r="1262" spans="36:39">
      <c r="AJ1262" s="21"/>
      <c r="AK1262" s="17"/>
      <c r="AL1262" s="17"/>
      <c r="AM1262" s="17"/>
    </row>
    <row r="1263" spans="36:39">
      <c r="AJ1263" s="21"/>
      <c r="AK1263" s="17"/>
      <c r="AL1263" s="17"/>
      <c r="AM1263" s="17"/>
    </row>
    <row r="1264" spans="36:39">
      <c r="AJ1264" s="21"/>
      <c r="AK1264" s="17"/>
      <c r="AL1264" s="17"/>
      <c r="AM1264" s="17"/>
    </row>
    <row r="1265" spans="36:39">
      <c r="AJ1265" s="21"/>
      <c r="AK1265" s="17"/>
      <c r="AL1265" s="17"/>
      <c r="AM1265" s="17"/>
    </row>
    <row r="1266" spans="36:39">
      <c r="AJ1266" s="21"/>
      <c r="AK1266" s="17"/>
      <c r="AL1266" s="17"/>
      <c r="AM1266" s="17"/>
    </row>
    <row r="1267" spans="36:39">
      <c r="AJ1267" s="21"/>
      <c r="AK1267" s="17"/>
      <c r="AL1267" s="17"/>
      <c r="AM1267" s="17"/>
    </row>
    <row r="1268" spans="36:39">
      <c r="AJ1268" s="21"/>
      <c r="AK1268" s="17"/>
      <c r="AL1268" s="17"/>
      <c r="AM1268" s="17"/>
    </row>
    <row r="1269" spans="36:39">
      <c r="AJ1269" s="21"/>
      <c r="AK1269" s="17"/>
      <c r="AL1269" s="17"/>
      <c r="AM1269" s="17"/>
    </row>
    <row r="1270" spans="36:39">
      <c r="AJ1270" s="21"/>
      <c r="AK1270" s="17"/>
      <c r="AL1270" s="17"/>
      <c r="AM1270" s="17"/>
    </row>
    <row r="1271" spans="36:39">
      <c r="AJ1271" s="21"/>
      <c r="AK1271" s="17"/>
      <c r="AL1271" s="17"/>
      <c r="AM1271" s="17"/>
    </row>
    <row r="1272" spans="36:39">
      <c r="AJ1272" s="21"/>
      <c r="AK1272" s="17"/>
      <c r="AL1272" s="17"/>
      <c r="AM1272" s="17"/>
    </row>
    <row r="1273" spans="36:39">
      <c r="AJ1273" s="21"/>
      <c r="AK1273" s="17"/>
      <c r="AL1273" s="17"/>
      <c r="AM1273" s="17"/>
    </row>
    <row r="1274" spans="36:39">
      <c r="AJ1274" s="21"/>
      <c r="AK1274" s="17"/>
      <c r="AL1274" s="17"/>
      <c r="AM1274" s="17"/>
    </row>
    <row r="1275" spans="36:39">
      <c r="AJ1275" s="21"/>
      <c r="AK1275" s="17"/>
      <c r="AL1275" s="17"/>
      <c r="AM1275" s="17"/>
    </row>
    <row r="1276" spans="36:39">
      <c r="AJ1276" s="21"/>
      <c r="AK1276" s="17"/>
      <c r="AL1276" s="17"/>
      <c r="AM1276" s="17"/>
    </row>
    <row r="1277" spans="36:39">
      <c r="AJ1277" s="21"/>
      <c r="AK1277" s="17"/>
      <c r="AL1277" s="17"/>
      <c r="AM1277" s="17"/>
    </row>
    <row r="1278" spans="36:39">
      <c r="AJ1278" s="21"/>
      <c r="AK1278" s="17"/>
      <c r="AL1278" s="17"/>
      <c r="AM1278" s="17"/>
    </row>
    <row r="1279" spans="36:39">
      <c r="AJ1279" s="21"/>
      <c r="AK1279" s="17"/>
      <c r="AL1279" s="17"/>
      <c r="AM1279" s="17"/>
    </row>
    <row r="1280" spans="36:39">
      <c r="AJ1280" s="21"/>
      <c r="AK1280" s="17"/>
      <c r="AL1280" s="17"/>
      <c r="AM1280" s="17"/>
    </row>
    <row r="1281" spans="36:39">
      <c r="AJ1281" s="21"/>
      <c r="AK1281" s="17"/>
      <c r="AL1281" s="17"/>
      <c r="AM1281" s="17"/>
    </row>
    <row r="1282" spans="36:39">
      <c r="AJ1282" s="21"/>
      <c r="AK1282" s="17"/>
      <c r="AL1282" s="17"/>
      <c r="AM1282" s="17"/>
    </row>
    <row r="1283" spans="36:39">
      <c r="AJ1283" s="21"/>
      <c r="AK1283" s="17"/>
      <c r="AL1283" s="17"/>
      <c r="AM1283" s="17"/>
    </row>
    <row r="1284" spans="36:39">
      <c r="AJ1284" s="21"/>
      <c r="AK1284" s="21"/>
      <c r="AL1284" s="21"/>
      <c r="AM1284" s="21"/>
    </row>
    <row r="1285" spans="36:39">
      <c r="AJ1285" s="21"/>
      <c r="AK1285" s="21"/>
      <c r="AL1285" s="21"/>
      <c r="AM1285" s="21"/>
    </row>
    <row r="1286" spans="36:39">
      <c r="AJ1286" s="21"/>
      <c r="AK1286" s="21"/>
      <c r="AL1286" s="21"/>
      <c r="AM1286" s="21"/>
    </row>
    <row r="1287" spans="36:39">
      <c r="AJ1287" s="21"/>
      <c r="AK1287" s="21"/>
      <c r="AL1287" s="21"/>
      <c r="AM1287" s="21"/>
    </row>
    <row r="1288" spans="36:39">
      <c r="AJ1288" s="21"/>
      <c r="AK1288" s="21"/>
      <c r="AL1288" s="21"/>
      <c r="AM1288" s="21"/>
    </row>
    <row r="1289" spans="36:39">
      <c r="AJ1289" s="21"/>
      <c r="AK1289" s="21"/>
      <c r="AL1289" s="21"/>
      <c r="AM1289" s="21"/>
    </row>
    <row r="1290" spans="36:39">
      <c r="AJ1290" s="21"/>
      <c r="AK1290" s="21"/>
      <c r="AL1290" s="21"/>
      <c r="AM1290" s="21"/>
    </row>
    <row r="1291" spans="36:39">
      <c r="AJ1291" s="21"/>
      <c r="AK1291" s="21"/>
      <c r="AL1291" s="21"/>
      <c r="AM1291" s="21"/>
    </row>
    <row r="1292" spans="36:39">
      <c r="AJ1292" s="21"/>
      <c r="AK1292" s="21"/>
      <c r="AL1292" s="21"/>
      <c r="AM1292" s="21"/>
    </row>
    <row r="1293" spans="36:39">
      <c r="AJ1293" s="21"/>
      <c r="AK1293" s="21"/>
      <c r="AL1293" s="21"/>
      <c r="AM1293" s="21"/>
    </row>
    <row r="1294" spans="36:39">
      <c r="AJ1294" s="21"/>
      <c r="AK1294" s="17"/>
      <c r="AL1294" s="17"/>
      <c r="AM1294" s="17"/>
    </row>
    <row r="1295" spans="36:39">
      <c r="AJ1295" s="21"/>
      <c r="AK1295" s="17"/>
      <c r="AL1295" s="17"/>
      <c r="AM1295" s="17"/>
    </row>
    <row r="1296" spans="36:39">
      <c r="AJ1296" s="21"/>
      <c r="AK1296" s="17"/>
      <c r="AL1296" s="17"/>
      <c r="AM1296" s="17"/>
    </row>
    <row r="1297" spans="36:39">
      <c r="AJ1297" s="21"/>
      <c r="AK1297" s="17"/>
      <c r="AL1297" s="17"/>
      <c r="AM1297" s="17"/>
    </row>
    <row r="1298" spans="36:39">
      <c r="AJ1298" s="21"/>
      <c r="AK1298" s="17"/>
      <c r="AL1298" s="17"/>
      <c r="AM1298" s="17"/>
    </row>
    <row r="1299" spans="36:39">
      <c r="AJ1299" s="21"/>
      <c r="AK1299" s="17"/>
      <c r="AL1299" s="17"/>
      <c r="AM1299" s="17"/>
    </row>
    <row r="1300" spans="36:39">
      <c r="AJ1300" s="21"/>
      <c r="AK1300" s="17"/>
      <c r="AL1300" s="17"/>
      <c r="AM1300" s="17"/>
    </row>
    <row r="1301" spans="36:39">
      <c r="AJ1301" s="21"/>
      <c r="AK1301" s="17"/>
      <c r="AL1301" s="17"/>
      <c r="AM1301" s="17"/>
    </row>
    <row r="1302" spans="36:39">
      <c r="AJ1302" s="21"/>
      <c r="AK1302" s="17"/>
      <c r="AL1302" s="17"/>
      <c r="AM1302" s="17"/>
    </row>
    <row r="1303" spans="36:39">
      <c r="AJ1303" s="21"/>
      <c r="AK1303" s="17"/>
      <c r="AL1303" s="17"/>
      <c r="AM1303" s="17"/>
    </row>
    <row r="1304" spans="36:39">
      <c r="AJ1304" s="21"/>
      <c r="AK1304" s="17"/>
      <c r="AL1304" s="17"/>
      <c r="AM1304" s="17"/>
    </row>
    <row r="1305" spans="36:39">
      <c r="AJ1305" s="21"/>
      <c r="AK1305" s="17"/>
      <c r="AL1305" s="17"/>
      <c r="AM1305" s="17"/>
    </row>
    <row r="1306" spans="36:39">
      <c r="AJ1306" s="21"/>
      <c r="AK1306" s="17"/>
      <c r="AL1306" s="17"/>
      <c r="AM1306" s="17"/>
    </row>
    <row r="1307" spans="36:39">
      <c r="AJ1307" s="21"/>
      <c r="AK1307" s="17"/>
      <c r="AL1307" s="17"/>
      <c r="AM1307" s="17"/>
    </row>
    <row r="1308" spans="36:39">
      <c r="AJ1308" s="21"/>
      <c r="AK1308" s="17"/>
      <c r="AL1308" s="17"/>
      <c r="AM1308" s="17"/>
    </row>
    <row r="1309" spans="36:39">
      <c r="AJ1309" s="21"/>
      <c r="AK1309" s="17"/>
      <c r="AL1309" s="17"/>
      <c r="AM1309" s="17"/>
    </row>
    <row r="1310" spans="36:39">
      <c r="AJ1310" s="21"/>
      <c r="AK1310" s="17"/>
      <c r="AL1310" s="17"/>
      <c r="AM1310" s="17"/>
    </row>
    <row r="1311" spans="36:39">
      <c r="AJ1311" s="21"/>
      <c r="AK1311" s="17"/>
      <c r="AL1311" s="17"/>
      <c r="AM1311" s="17"/>
    </row>
    <row r="1312" spans="36:39">
      <c r="AJ1312" s="21"/>
      <c r="AK1312" s="17"/>
      <c r="AL1312" s="17"/>
      <c r="AM1312" s="17"/>
    </row>
    <row r="1313" spans="36:39">
      <c r="AJ1313" s="21"/>
      <c r="AK1313" s="17"/>
      <c r="AL1313" s="17"/>
      <c r="AM1313" s="17"/>
    </row>
    <row r="1314" spans="36:39">
      <c r="AJ1314" s="21"/>
      <c r="AK1314" s="17"/>
      <c r="AL1314" s="17"/>
      <c r="AM1314" s="17"/>
    </row>
    <row r="1315" spans="36:39">
      <c r="AJ1315" s="21"/>
      <c r="AK1315" s="17"/>
      <c r="AL1315" s="17"/>
      <c r="AM1315" s="17"/>
    </row>
    <row r="1316" spans="36:39">
      <c r="AJ1316" s="21"/>
      <c r="AK1316" s="17"/>
      <c r="AL1316" s="17"/>
      <c r="AM1316" s="17"/>
    </row>
    <row r="1317" spans="36:39">
      <c r="AJ1317" s="21"/>
      <c r="AK1317" s="17"/>
      <c r="AL1317" s="17"/>
      <c r="AM1317" s="17"/>
    </row>
    <row r="1318" spans="36:39">
      <c r="AJ1318" s="21"/>
      <c r="AK1318" s="17"/>
      <c r="AL1318" s="17"/>
      <c r="AM1318" s="17"/>
    </row>
    <row r="1319" spans="36:39">
      <c r="AJ1319" s="21"/>
      <c r="AK1319" s="17"/>
      <c r="AL1319" s="17"/>
      <c r="AM1319" s="17"/>
    </row>
    <row r="1320" spans="36:39">
      <c r="AJ1320" s="21"/>
      <c r="AK1320" s="17"/>
      <c r="AL1320" s="17"/>
      <c r="AM1320" s="17"/>
    </row>
    <row r="1321" spans="36:39">
      <c r="AJ1321" s="21"/>
      <c r="AK1321" s="17"/>
      <c r="AL1321" s="17"/>
      <c r="AM1321" s="17"/>
    </row>
    <row r="1322" spans="36:39">
      <c r="AJ1322" s="21"/>
      <c r="AK1322" s="17"/>
      <c r="AL1322" s="17"/>
      <c r="AM1322" s="17"/>
    </row>
    <row r="1323" spans="36:39">
      <c r="AJ1323" s="21"/>
      <c r="AK1323" s="17"/>
      <c r="AL1323" s="17"/>
      <c r="AM1323" s="17"/>
    </row>
    <row r="1324" spans="36:39">
      <c r="AJ1324" s="21"/>
      <c r="AK1324" s="17"/>
      <c r="AL1324" s="17"/>
      <c r="AM1324" s="17"/>
    </row>
    <row r="1325" spans="36:39">
      <c r="AJ1325" s="21"/>
      <c r="AK1325" s="17"/>
      <c r="AL1325" s="17"/>
      <c r="AM1325" s="17"/>
    </row>
    <row r="1326" spans="36:39">
      <c r="AJ1326" s="21"/>
      <c r="AK1326" s="17"/>
      <c r="AL1326" s="17"/>
      <c r="AM1326" s="17"/>
    </row>
    <row r="1327" spans="36:39">
      <c r="AJ1327" s="21"/>
      <c r="AK1327" s="17"/>
      <c r="AL1327" s="17"/>
      <c r="AM1327" s="17"/>
    </row>
    <row r="1328" spans="36:39">
      <c r="AJ1328" s="21"/>
      <c r="AK1328" s="17"/>
      <c r="AL1328" s="17"/>
      <c r="AM1328" s="17"/>
    </row>
    <row r="1329" spans="36:39">
      <c r="AJ1329" s="21"/>
      <c r="AK1329" s="17"/>
      <c r="AL1329" s="17"/>
      <c r="AM1329" s="17"/>
    </row>
    <row r="1330" spans="36:39">
      <c r="AJ1330" s="21"/>
      <c r="AK1330" s="17"/>
      <c r="AL1330" s="17"/>
      <c r="AM1330" s="17"/>
    </row>
    <row r="1331" spans="36:39">
      <c r="AJ1331" s="21"/>
      <c r="AK1331" s="17"/>
      <c r="AL1331" s="17"/>
      <c r="AM1331" s="17"/>
    </row>
    <row r="1332" spans="36:39">
      <c r="AJ1332" s="21"/>
      <c r="AK1332" s="17"/>
      <c r="AL1332" s="17"/>
      <c r="AM1332" s="17"/>
    </row>
    <row r="1333" spans="36:39">
      <c r="AJ1333" s="21"/>
      <c r="AK1333" s="17"/>
      <c r="AL1333" s="17"/>
      <c r="AM1333" s="17"/>
    </row>
    <row r="1334" spans="36:39">
      <c r="AJ1334" s="21"/>
      <c r="AK1334" s="17"/>
      <c r="AL1334" s="17"/>
      <c r="AM1334" s="17"/>
    </row>
    <row r="1335" spans="36:39">
      <c r="AJ1335" s="21"/>
      <c r="AK1335" s="17"/>
      <c r="AL1335" s="17"/>
      <c r="AM1335" s="17"/>
    </row>
    <row r="1336" spans="36:39">
      <c r="AJ1336" s="21"/>
      <c r="AK1336" s="17"/>
      <c r="AL1336" s="17"/>
      <c r="AM1336" s="17"/>
    </row>
    <row r="1337" spans="36:39">
      <c r="AJ1337" s="21"/>
      <c r="AK1337" s="17"/>
      <c r="AL1337" s="17"/>
      <c r="AM1337" s="17"/>
    </row>
    <row r="1338" spans="36:39">
      <c r="AJ1338" s="21"/>
      <c r="AK1338" s="17"/>
      <c r="AL1338" s="17"/>
      <c r="AM1338" s="17"/>
    </row>
    <row r="1339" spans="36:39">
      <c r="AJ1339" s="21"/>
      <c r="AK1339" s="17"/>
      <c r="AL1339" s="17"/>
      <c r="AM1339" s="17"/>
    </row>
    <row r="1340" spans="36:39">
      <c r="AJ1340" s="21"/>
      <c r="AK1340" s="17"/>
      <c r="AL1340" s="17"/>
      <c r="AM1340" s="17"/>
    </row>
    <row r="1341" spans="36:39">
      <c r="AJ1341" s="21"/>
      <c r="AK1341" s="17"/>
      <c r="AL1341" s="17"/>
      <c r="AM1341" s="17"/>
    </row>
    <row r="1342" spans="36:39">
      <c r="AJ1342" s="21"/>
      <c r="AK1342" s="17"/>
      <c r="AL1342" s="17"/>
      <c r="AM1342" s="17"/>
    </row>
    <row r="1343" spans="36:39">
      <c r="AJ1343" s="21"/>
      <c r="AK1343" s="17"/>
      <c r="AL1343" s="17"/>
      <c r="AM1343" s="17"/>
    </row>
    <row r="1344" spans="36:39">
      <c r="AJ1344" s="21"/>
      <c r="AK1344" s="17"/>
      <c r="AL1344" s="17"/>
      <c r="AM1344" s="17"/>
    </row>
    <row r="1345" spans="36:39">
      <c r="AJ1345" s="21"/>
      <c r="AK1345" s="17"/>
      <c r="AL1345" s="17"/>
      <c r="AM1345" s="17"/>
    </row>
    <row r="1346" spans="36:39">
      <c r="AJ1346" s="21"/>
      <c r="AK1346" s="17"/>
      <c r="AL1346" s="17"/>
      <c r="AM1346" s="17"/>
    </row>
    <row r="1347" spans="36:39">
      <c r="AJ1347" s="21"/>
      <c r="AK1347" s="17"/>
      <c r="AL1347" s="17"/>
      <c r="AM1347" s="17"/>
    </row>
    <row r="1348" spans="36:39">
      <c r="AJ1348" s="21"/>
      <c r="AK1348" s="17"/>
      <c r="AL1348" s="17"/>
      <c r="AM1348" s="17"/>
    </row>
    <row r="1349" spans="36:39">
      <c r="AJ1349" s="21"/>
      <c r="AK1349" s="17"/>
      <c r="AL1349" s="17"/>
      <c r="AM1349" s="17"/>
    </row>
    <row r="1350" spans="36:39">
      <c r="AJ1350" s="21"/>
      <c r="AK1350" s="17"/>
      <c r="AL1350" s="17"/>
      <c r="AM1350" s="17"/>
    </row>
    <row r="1351" spans="36:39">
      <c r="AJ1351" s="21"/>
      <c r="AK1351" s="17"/>
      <c r="AL1351" s="17"/>
      <c r="AM1351" s="17"/>
    </row>
    <row r="1352" spans="36:39">
      <c r="AJ1352" s="21"/>
      <c r="AK1352" s="17"/>
      <c r="AL1352" s="17"/>
      <c r="AM1352" s="17"/>
    </row>
    <row r="1353" spans="36:39">
      <c r="AJ1353" s="21"/>
      <c r="AK1353" s="17"/>
      <c r="AL1353" s="17"/>
      <c r="AM1353" s="17"/>
    </row>
    <row r="1354" spans="36:39">
      <c r="AJ1354" s="21"/>
      <c r="AK1354" s="17"/>
      <c r="AL1354" s="17"/>
      <c r="AM1354" s="17"/>
    </row>
    <row r="1355" spans="36:39">
      <c r="AJ1355" s="21"/>
      <c r="AK1355" s="17"/>
      <c r="AL1355" s="17"/>
      <c r="AM1355" s="17"/>
    </row>
    <row r="1356" spans="36:39">
      <c r="AJ1356" s="21"/>
      <c r="AK1356" s="17"/>
      <c r="AL1356" s="17"/>
      <c r="AM1356" s="17"/>
    </row>
    <row r="1357" spans="36:39">
      <c r="AJ1357" s="21"/>
      <c r="AK1357" s="17"/>
      <c r="AL1357" s="17"/>
      <c r="AM1357" s="17"/>
    </row>
    <row r="1358" spans="36:39">
      <c r="AJ1358" s="21"/>
      <c r="AK1358" s="17"/>
      <c r="AL1358" s="17"/>
      <c r="AM1358" s="17"/>
    </row>
    <row r="1359" spans="36:39">
      <c r="AJ1359" s="21"/>
      <c r="AK1359" s="17"/>
      <c r="AL1359" s="17"/>
      <c r="AM1359" s="17"/>
    </row>
    <row r="1360" spans="36:39">
      <c r="AJ1360" s="21"/>
      <c r="AK1360" s="17"/>
      <c r="AL1360" s="17"/>
      <c r="AM1360" s="17"/>
    </row>
    <row r="1361" spans="36:39">
      <c r="AJ1361" s="21"/>
      <c r="AK1361" s="17"/>
      <c r="AL1361" s="17"/>
      <c r="AM1361" s="17"/>
    </row>
    <row r="1362" spans="36:39">
      <c r="AJ1362" s="21"/>
      <c r="AK1362" s="17"/>
      <c r="AL1362" s="17"/>
      <c r="AM1362" s="17"/>
    </row>
    <row r="1363" spans="36:39">
      <c r="AJ1363" s="21"/>
      <c r="AK1363" s="17"/>
      <c r="AL1363" s="17"/>
      <c r="AM1363" s="17"/>
    </row>
    <row r="1364" spans="36:39">
      <c r="AJ1364" s="21"/>
      <c r="AK1364" s="17"/>
      <c r="AL1364" s="17"/>
      <c r="AM1364" s="17"/>
    </row>
    <row r="1365" spans="36:39">
      <c r="AJ1365" s="21"/>
      <c r="AK1365" s="17"/>
      <c r="AL1365" s="17"/>
      <c r="AM1365" s="17"/>
    </row>
    <row r="1366" spans="36:39">
      <c r="AJ1366" s="21"/>
      <c r="AK1366" s="17"/>
      <c r="AL1366" s="17"/>
      <c r="AM1366" s="17"/>
    </row>
    <row r="1367" spans="36:39">
      <c r="AJ1367" s="21"/>
      <c r="AK1367" s="17"/>
      <c r="AL1367" s="17"/>
      <c r="AM1367" s="17"/>
    </row>
    <row r="1368" spans="36:39">
      <c r="AJ1368" s="21"/>
      <c r="AK1368" s="17"/>
      <c r="AL1368" s="17"/>
      <c r="AM1368" s="17"/>
    </row>
    <row r="1369" spans="36:39">
      <c r="AJ1369" s="21"/>
      <c r="AK1369" s="17"/>
      <c r="AL1369" s="17"/>
      <c r="AM1369" s="17"/>
    </row>
    <row r="1370" spans="36:39">
      <c r="AJ1370" s="21"/>
      <c r="AK1370" s="17"/>
      <c r="AL1370" s="17"/>
      <c r="AM1370" s="17"/>
    </row>
    <row r="1371" spans="36:39">
      <c r="AJ1371" s="21"/>
      <c r="AK1371" s="17"/>
      <c r="AL1371" s="17"/>
      <c r="AM1371" s="17"/>
    </row>
    <row r="1372" spans="36:39">
      <c r="AJ1372" s="21"/>
      <c r="AK1372" s="17"/>
      <c r="AL1372" s="17"/>
      <c r="AM1372" s="17"/>
    </row>
    <row r="1373" spans="36:39">
      <c r="AJ1373" s="21"/>
      <c r="AK1373" s="17"/>
      <c r="AL1373" s="17"/>
      <c r="AM1373" s="17"/>
    </row>
    <row r="1374" spans="36:39">
      <c r="AJ1374" s="21"/>
      <c r="AK1374" s="17"/>
      <c r="AL1374" s="17"/>
      <c r="AM1374" s="17"/>
    </row>
    <row r="1375" spans="36:39">
      <c r="AJ1375" s="21"/>
      <c r="AK1375" s="17"/>
      <c r="AL1375" s="17"/>
      <c r="AM1375" s="17"/>
    </row>
    <row r="1376" spans="36:39">
      <c r="AJ1376" s="21"/>
      <c r="AK1376" s="17"/>
      <c r="AL1376" s="17"/>
      <c r="AM1376" s="17"/>
    </row>
    <row r="1377" spans="36:39">
      <c r="AJ1377" s="21"/>
      <c r="AK1377" s="17"/>
      <c r="AL1377" s="17"/>
      <c r="AM1377" s="17"/>
    </row>
    <row r="1378" spans="36:39">
      <c r="AJ1378" s="21"/>
      <c r="AK1378" s="17"/>
      <c r="AL1378" s="17"/>
      <c r="AM1378" s="17"/>
    </row>
    <row r="1379" spans="36:39">
      <c r="AJ1379" s="21"/>
      <c r="AK1379" s="17"/>
      <c r="AL1379" s="17"/>
      <c r="AM1379" s="17"/>
    </row>
    <row r="1380" spans="36:39">
      <c r="AJ1380" s="21"/>
      <c r="AK1380" s="17"/>
      <c r="AL1380" s="17"/>
      <c r="AM1380" s="17"/>
    </row>
    <row r="1381" spans="36:39">
      <c r="AJ1381" s="21"/>
      <c r="AK1381" s="17"/>
      <c r="AL1381" s="17"/>
      <c r="AM1381" s="17"/>
    </row>
    <row r="1382" spans="36:39">
      <c r="AJ1382" s="21"/>
      <c r="AK1382" s="17"/>
      <c r="AL1382" s="17"/>
      <c r="AM1382" s="17"/>
    </row>
    <row r="1383" spans="36:39">
      <c r="AJ1383" s="21"/>
      <c r="AK1383" s="17"/>
      <c r="AL1383" s="17"/>
      <c r="AM1383" s="17"/>
    </row>
    <row r="1384" spans="36:39">
      <c r="AJ1384" s="21"/>
      <c r="AK1384" s="17"/>
      <c r="AL1384" s="17"/>
      <c r="AM1384" s="17"/>
    </row>
    <row r="1385" spans="36:39">
      <c r="AJ1385" s="21"/>
      <c r="AK1385" s="17"/>
      <c r="AL1385" s="17"/>
      <c r="AM1385" s="17"/>
    </row>
    <row r="1386" spans="36:39">
      <c r="AJ1386" s="21"/>
      <c r="AK1386" s="17"/>
      <c r="AL1386" s="17"/>
      <c r="AM1386" s="17"/>
    </row>
    <row r="1387" spans="36:39">
      <c r="AJ1387" s="21"/>
      <c r="AK1387" s="17"/>
      <c r="AL1387" s="17"/>
      <c r="AM1387" s="17"/>
    </row>
    <row r="1388" spans="36:39">
      <c r="AJ1388" s="21"/>
      <c r="AK1388" s="17"/>
      <c r="AL1388" s="17"/>
      <c r="AM1388" s="17"/>
    </row>
    <row r="1389" spans="36:39">
      <c r="AJ1389" s="21"/>
      <c r="AK1389" s="17"/>
      <c r="AL1389" s="17"/>
      <c r="AM1389" s="17"/>
    </row>
    <row r="1390" spans="36:39">
      <c r="AJ1390" s="21"/>
      <c r="AK1390" s="17"/>
      <c r="AL1390" s="17"/>
      <c r="AM1390" s="17"/>
    </row>
    <row r="1391" spans="36:39">
      <c r="AJ1391" s="21"/>
      <c r="AK1391" s="17"/>
      <c r="AL1391" s="17"/>
      <c r="AM1391" s="17"/>
    </row>
    <row r="1392" spans="36:39">
      <c r="AJ1392" s="21"/>
      <c r="AK1392" s="17"/>
      <c r="AL1392" s="17"/>
      <c r="AM1392" s="17"/>
    </row>
    <row r="1393" spans="36:39">
      <c r="AJ1393" s="21"/>
      <c r="AK1393" s="17"/>
      <c r="AL1393" s="17"/>
      <c r="AM1393" s="17"/>
    </row>
    <row r="1394" spans="36:39">
      <c r="AJ1394" s="21"/>
      <c r="AK1394" s="17"/>
      <c r="AL1394" s="17"/>
      <c r="AM1394" s="17"/>
    </row>
    <row r="1395" spans="36:39">
      <c r="AJ1395" s="21"/>
      <c r="AK1395" s="17"/>
      <c r="AL1395" s="17"/>
      <c r="AM1395" s="17"/>
    </row>
    <row r="1396" spans="36:39">
      <c r="AJ1396" s="21"/>
      <c r="AK1396" s="17"/>
      <c r="AL1396" s="17"/>
      <c r="AM1396" s="17"/>
    </row>
    <row r="1397" spans="36:39">
      <c r="AJ1397" s="21"/>
      <c r="AK1397" s="17"/>
      <c r="AL1397" s="17"/>
      <c r="AM1397" s="17"/>
    </row>
    <row r="1398" spans="36:39">
      <c r="AJ1398" s="21"/>
      <c r="AK1398" s="17"/>
      <c r="AL1398" s="17"/>
      <c r="AM1398" s="17"/>
    </row>
    <row r="1399" spans="36:39">
      <c r="AJ1399" s="21"/>
      <c r="AK1399" s="17"/>
      <c r="AL1399" s="17"/>
      <c r="AM1399" s="17"/>
    </row>
    <row r="1400" spans="36:39">
      <c r="AJ1400" s="21"/>
      <c r="AK1400" s="17"/>
      <c r="AL1400" s="17"/>
      <c r="AM1400" s="17"/>
    </row>
    <row r="1401" spans="36:39">
      <c r="AJ1401" s="21"/>
      <c r="AK1401" s="17"/>
      <c r="AL1401" s="17"/>
      <c r="AM1401" s="17"/>
    </row>
    <row r="1402" spans="36:39">
      <c r="AJ1402" s="21"/>
      <c r="AK1402" s="17"/>
      <c r="AL1402" s="17"/>
      <c r="AM1402" s="17"/>
    </row>
    <row r="1403" spans="36:39">
      <c r="AJ1403" s="21"/>
      <c r="AK1403" s="17"/>
      <c r="AL1403" s="17"/>
      <c r="AM1403" s="17"/>
    </row>
    <row r="1404" spans="36:39">
      <c r="AJ1404" s="21"/>
      <c r="AK1404" s="17"/>
      <c r="AL1404" s="17"/>
      <c r="AM1404" s="17"/>
    </row>
    <row r="1405" spans="36:39">
      <c r="AJ1405" s="21"/>
      <c r="AK1405" s="17"/>
      <c r="AL1405" s="17"/>
      <c r="AM1405" s="17"/>
    </row>
    <row r="1406" spans="36:39">
      <c r="AJ1406" s="21"/>
      <c r="AK1406" s="17"/>
      <c r="AL1406" s="17"/>
      <c r="AM1406" s="17"/>
    </row>
    <row r="1407" spans="36:39">
      <c r="AJ1407" s="21"/>
      <c r="AK1407" s="17"/>
      <c r="AL1407" s="17"/>
      <c r="AM1407" s="17"/>
    </row>
    <row r="1408" spans="36:39">
      <c r="AJ1408" s="21"/>
      <c r="AK1408" s="17"/>
      <c r="AL1408" s="17"/>
      <c r="AM1408" s="17"/>
    </row>
    <row r="1409" spans="36:39">
      <c r="AJ1409" s="21"/>
      <c r="AK1409" s="17"/>
      <c r="AL1409" s="17"/>
      <c r="AM1409" s="17"/>
    </row>
    <row r="1410" spans="36:39">
      <c r="AJ1410" s="21"/>
      <c r="AK1410" s="17"/>
      <c r="AL1410" s="17"/>
      <c r="AM1410" s="17"/>
    </row>
    <row r="1411" spans="36:39">
      <c r="AJ1411" s="21"/>
      <c r="AK1411" s="17"/>
      <c r="AL1411" s="17"/>
      <c r="AM1411" s="17"/>
    </row>
    <row r="1412" spans="36:39">
      <c r="AJ1412" s="21"/>
      <c r="AK1412" s="17"/>
      <c r="AL1412" s="17"/>
      <c r="AM1412" s="17"/>
    </row>
    <row r="1413" spans="36:39">
      <c r="AJ1413" s="21"/>
      <c r="AK1413" s="17"/>
      <c r="AL1413" s="17"/>
      <c r="AM1413" s="17"/>
    </row>
    <row r="1414" spans="36:39">
      <c r="AJ1414" s="21"/>
      <c r="AK1414" s="17"/>
      <c r="AL1414" s="17"/>
      <c r="AM1414" s="17"/>
    </row>
    <row r="1415" spans="36:39">
      <c r="AJ1415" s="21"/>
      <c r="AK1415" s="17"/>
      <c r="AL1415" s="17"/>
      <c r="AM1415" s="17"/>
    </row>
    <row r="1416" spans="36:39">
      <c r="AJ1416" s="21"/>
      <c r="AK1416" s="17"/>
      <c r="AL1416" s="17"/>
      <c r="AM1416" s="17"/>
    </row>
    <row r="1417" spans="36:39">
      <c r="AJ1417" s="21"/>
      <c r="AK1417" s="17"/>
      <c r="AL1417" s="17"/>
      <c r="AM1417" s="17"/>
    </row>
    <row r="1418" spans="36:39">
      <c r="AJ1418" s="96"/>
      <c r="AK1418" s="16"/>
      <c r="AL1418" s="16"/>
      <c r="AM1418" s="16"/>
    </row>
    <row r="1419" spans="36:39">
      <c r="AJ1419" s="97"/>
      <c r="AK1419" s="16"/>
      <c r="AL1419" s="16"/>
      <c r="AM1419" s="16"/>
    </row>
    <row r="1420" spans="36:39">
      <c r="AJ1420" s="98"/>
      <c r="AK1420" s="22"/>
      <c r="AL1420" s="22"/>
      <c r="AM1420" s="22"/>
    </row>
    <row r="1421" spans="36:39">
      <c r="AJ1421" s="98"/>
      <c r="AK1421" s="22"/>
      <c r="AL1421" s="22"/>
      <c r="AM1421" s="22"/>
    </row>
    <row r="1422" spans="36:39">
      <c r="AJ1422" s="97"/>
      <c r="AK1422" s="16"/>
      <c r="AL1422" s="16"/>
      <c r="AM1422" s="16"/>
    </row>
    <row r="1423" spans="36:39">
      <c r="AJ1423" s="97"/>
      <c r="AK1423" s="16"/>
      <c r="AL1423" s="16"/>
      <c r="AM1423" s="16"/>
    </row>
    <row r="1424" spans="36:39">
      <c r="AJ1424" s="98"/>
      <c r="AK1424" s="22"/>
      <c r="AL1424" s="22"/>
      <c r="AM1424" s="22"/>
    </row>
  </sheetData>
  <mergeCells count="36">
    <mergeCell ref="H1:H2"/>
    <mergeCell ref="W1:W2"/>
    <mergeCell ref="M1:M2"/>
    <mergeCell ref="N1:N2"/>
    <mergeCell ref="O1:O2"/>
    <mergeCell ref="P1:P2"/>
    <mergeCell ref="Q1:Q2"/>
    <mergeCell ref="R1:R2"/>
    <mergeCell ref="J1:J2"/>
    <mergeCell ref="K1:K2"/>
    <mergeCell ref="L1:L2"/>
    <mergeCell ref="U1:U2"/>
    <mergeCell ref="V1:V2"/>
    <mergeCell ref="AH1:AH2"/>
    <mergeCell ref="AI1:AI2"/>
    <mergeCell ref="Z1:Z2"/>
    <mergeCell ref="AD1:AD2"/>
    <mergeCell ref="AE1:AE2"/>
    <mergeCell ref="AA1:AA2"/>
    <mergeCell ref="AC1:AC2"/>
    <mergeCell ref="AJ1:AM1"/>
    <mergeCell ref="S1:S2"/>
    <mergeCell ref="T1:T2"/>
    <mergeCell ref="A1:A2"/>
    <mergeCell ref="X1:X2"/>
    <mergeCell ref="Y1:Y2"/>
    <mergeCell ref="B1:B2"/>
    <mergeCell ref="C1:C2"/>
    <mergeCell ref="E1:E2"/>
    <mergeCell ref="G1:G2"/>
    <mergeCell ref="I1:I2"/>
    <mergeCell ref="D1:D2"/>
    <mergeCell ref="F1:F2"/>
    <mergeCell ref="AB1:AB2"/>
    <mergeCell ref="AF1:AF2"/>
    <mergeCell ref="AG1:AG2"/>
  </mergeCells>
  <printOptions horizontalCentered="1"/>
  <pageMargins left="0.196850393700787" right="0.196850393700787" top="0.35433070866141703" bottom="0.35433070866141703" header="0.196850393700787" footer="0.196850393700787"/>
  <pageSetup paperSize="8" scale="50" fitToWidth="5" orientation="landscape" r:id="rId1"/>
  <headerFooter alignWithMargins="0">
    <oddHeader>&amp;R&amp;D    &amp;T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topLeftCell="A4" workbookViewId="0">
      <selection activeCell="H31" sqref="H31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TOTAL ORDER</vt:lpstr>
      <vt:lpstr>TOTAL SHIPPED</vt:lpstr>
      <vt:lpstr>TOTAL LOADED</vt:lpstr>
      <vt:lpstr>Header</vt:lpstr>
      <vt:lpstr>Report_RAPEU_Order_View</vt:lpstr>
      <vt:lpstr>Report_RAPEU_Shipped_View</vt:lpstr>
      <vt:lpstr>Report_RAPEU_Loaded_View</vt:lpstr>
      <vt:lpstr>SupplierSCMResponsible</vt:lpstr>
      <vt:lpstr>Report_RAPEU_OnSea_View</vt:lpstr>
      <vt:lpstr>ON SEA</vt:lpstr>
      <vt:lpstr>TO BE SHIPPED</vt:lpstr>
      <vt:lpstr>Check</vt:lpstr>
      <vt:lpstr>'TO BE SHIPPED'!Print_Area</vt:lpstr>
      <vt:lpstr>'TOTAL LOADED'!Print_Area</vt:lpstr>
      <vt:lpstr>'TOTAL ORDER'!Print_Area</vt:lpstr>
      <vt:lpstr>'TOTAL SHIPPED'!Print_Area</vt:lpstr>
      <vt:lpstr>'TO BE SHIPPED'!Print_Titles</vt:lpstr>
      <vt:lpstr>'TOTAL ORDER'!Print_Titles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AuVietSoft</cp:lastModifiedBy>
  <cp:lastPrinted>2013-11-30T03:10:35Z</cp:lastPrinted>
  <dcterms:created xsi:type="dcterms:W3CDTF">2005-09-19T14:27:04Z</dcterms:created>
  <dcterms:modified xsi:type="dcterms:W3CDTF">2019-11-18T06:26:57Z</dcterms:modified>
</cp:coreProperties>
</file>