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SingleCells2.xml" ContentType="application/vnd.openxmlformats-officedocument.spreadsheetml.tableSingleCells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\PROJECT\FURNINDO\VSGIT\SOLUTION\TilsoftService\Reports\"/>
    </mc:Choice>
  </mc:AlternateContent>
  <bookViews>
    <workbookView xWindow="0" yWindow="0" windowWidth="19365" windowHeight="9390" tabRatio="825"/>
  </bookViews>
  <sheets>
    <sheet name="SRF" sheetId="1" r:id="rId1"/>
    <sheet name="Blad1" sheetId="2" state="hidden" r:id="rId2"/>
    <sheet name="EXTRA PHOTOS" sheetId="3" r:id="rId3"/>
    <sheet name="Temp" sheetId="5" state="hidden" r:id="rId4"/>
    <sheet name="Ref" sheetId="6" state="hidden" r:id="rId5"/>
    <sheet name="tmpReportSample" sheetId="7" state="hidden" r:id="rId6"/>
    <sheet name="tmpLoadingPlan" sheetId="8" state="hidden" r:id="rId7"/>
    <sheet name="tmpLoadingPlanDetail" sheetId="9" state="hidden" r:id="rId8"/>
    <sheet name="PS" sheetId="20" r:id="rId9"/>
    <sheet name="Booking" sheetId="11" r:id="rId10"/>
    <sheet name="Data1" sheetId="15" r:id="rId11"/>
    <sheet name="SRFData" sheetId="23" r:id="rId12"/>
    <sheet name="SRFDataImages" sheetId="24" r:id="rId13"/>
    <sheet name="PLCReport" sheetId="12" state="hidden" r:id="rId14"/>
    <sheet name="PLCRefData" sheetId="13" state="hidden" r:id="rId15"/>
    <sheet name="PLCRefImage" sheetId="14" state="hidden" r:id="rId16"/>
  </sheets>
  <functionGroups builtInGroupCount="18"/>
  <definedNames>
    <definedName name="_xlnm._FilterDatabase" localSheetId="1" hidden="1">Blad1!$B$1:$B$9</definedName>
    <definedName name="Accountmanager">Blad1!$B$2:$B$7</definedName>
    <definedName name="Excel_BuiltIn_Print_Area_1" localSheetId="8">#REF!</definedName>
    <definedName name="Excel_BuiltIn_Print_Area_1">#REF!</definedName>
    <definedName name="_xlnm.Print_Area" localSheetId="9">Booking!$A$1:$J$49</definedName>
    <definedName name="_xlnm.Print_Area" localSheetId="13">PLCReport!$A$1:$L$63</definedName>
    <definedName name="_xlnm.Print_Area" localSheetId="8">PS!$A$1:$U$79</definedName>
    <definedName name="_xlnm.Print_Area" localSheetId="0">SRF!$A$1:$I$37</definedName>
    <definedName name="_xlnm.Print_Area" localSheetId="5">tmpReportSample!$A$1:$AG$39</definedName>
    <definedName name="Seizoen">Blad1!$A$2:$A$6</definedName>
  </definedNames>
  <calcPr calcId="152511"/>
</workbook>
</file>

<file path=xl/calcChain.xml><?xml version="1.0" encoding="utf-8"?>
<calcChain xmlns="http://schemas.openxmlformats.org/spreadsheetml/2006/main">
  <c r="A15" i="20" l="1"/>
  <c r="G23" i="1" l="1"/>
  <c r="E23" i="1"/>
  <c r="C23" i="1"/>
  <c r="A23" i="1"/>
  <c r="H12" i="1"/>
  <c r="H13" i="1"/>
  <c r="F13" i="1"/>
  <c r="F12" i="1"/>
  <c r="D12" i="1"/>
  <c r="B13" i="1"/>
  <c r="B12" i="1"/>
  <c r="F4" i="1"/>
  <c r="F3" i="1"/>
  <c r="D4" i="1"/>
  <c r="D3" i="1"/>
  <c r="B4" i="1"/>
  <c r="B3" i="1"/>
  <c r="H8" i="1"/>
  <c r="G8" i="1"/>
  <c r="E8" i="1"/>
  <c r="D8" i="1"/>
  <c r="B8" i="1"/>
  <c r="A8" i="1"/>
  <c r="A66" i="20" l="1"/>
  <c r="A72" i="20"/>
  <c r="J27" i="20" l="1"/>
  <c r="J12" i="20"/>
  <c r="C8" i="20" l="1"/>
  <c r="C7" i="20"/>
  <c r="C6" i="20"/>
  <c r="M10" i="20"/>
  <c r="M9" i="20"/>
  <c r="M8" i="20"/>
  <c r="N26" i="20"/>
  <c r="N25" i="20"/>
  <c r="U26" i="20"/>
  <c r="U25" i="20"/>
  <c r="U40" i="20"/>
  <c r="N41" i="20"/>
  <c r="N40" i="20"/>
  <c r="T45" i="20"/>
  <c r="R45" i="20"/>
  <c r="P45" i="20"/>
  <c r="T44" i="20"/>
  <c r="R44" i="20"/>
  <c r="P44" i="20"/>
  <c r="H48" i="20"/>
  <c r="F48" i="20"/>
  <c r="E48" i="20"/>
  <c r="H47" i="20"/>
  <c r="F47" i="20"/>
  <c r="E47" i="20"/>
  <c r="H46" i="20"/>
  <c r="F46" i="20"/>
  <c r="E46" i="20"/>
  <c r="H45" i="20"/>
  <c r="F45" i="20"/>
  <c r="E45" i="20"/>
  <c r="C53" i="20"/>
  <c r="C52" i="20"/>
  <c r="C51" i="20"/>
  <c r="O55" i="20"/>
  <c r="O54" i="20"/>
  <c r="O53" i="20"/>
  <c r="O52" i="20"/>
  <c r="O51" i="20"/>
  <c r="O49" i="20"/>
  <c r="O48" i="20"/>
  <c r="O47" i="20"/>
  <c r="D62" i="20"/>
  <c r="C62" i="20"/>
  <c r="B62" i="20"/>
  <c r="E61" i="20"/>
  <c r="D61" i="20"/>
  <c r="C61" i="20"/>
  <c r="B61" i="20"/>
  <c r="M62" i="20"/>
  <c r="L62" i="20"/>
  <c r="K62" i="20"/>
  <c r="M61" i="20"/>
  <c r="L61" i="20"/>
  <c r="K61" i="20"/>
  <c r="I61" i="20"/>
  <c r="G61" i="20"/>
  <c r="M68" i="20"/>
  <c r="M6" i="20"/>
  <c r="H79" i="20" s="1"/>
  <c r="I8" i="1" l="1"/>
  <c r="I9" i="1" s="1"/>
  <c r="F2" i="12" l="1"/>
  <c r="AE38" i="7"/>
  <c r="AB38" i="7"/>
  <c r="A8" i="7"/>
  <c r="E32" i="1"/>
</calcChain>
</file>

<file path=xl/connections.xml><?xml version="1.0" encoding="utf-8"?>
<connections xmlns="http://schemas.openxmlformats.org/spreadsheetml/2006/main">
  <connection id="1" name="ClientComplaint" type="4" refreshedVersion="0" background="1">
    <webPr xml="1" sourceData="1" url="D:\PROJECTS\OMSv3\RELEASE\CLIENT\Reports\ClientComplaint.xml" htmlTables="1" htmlFormat="all"/>
  </connection>
  <connection id="2" name="tmpE9A7" type="4" refreshedVersion="0" background="1">
    <webPr xml="1" sourceData="1" url="C:\Users\breijmerink\AppData\Local\Temp\6\tmpE9A7.xml" htmlTables="1" htmlFormat="all"/>
  </connection>
</connections>
</file>

<file path=xl/sharedStrings.xml><?xml version="1.0" encoding="utf-8"?>
<sst xmlns="http://schemas.openxmlformats.org/spreadsheetml/2006/main" count="533" uniqueCount="453">
  <si>
    <t>ART. CODE</t>
  </si>
  <si>
    <t>ART. DESCRIPTION</t>
  </si>
  <si>
    <t># COMPLAINTS</t>
  </si>
  <si>
    <t>COMPLAINT DESCRIPTION</t>
  </si>
  <si>
    <t>2009-2010</t>
  </si>
  <si>
    <t>2010-2011</t>
  </si>
  <si>
    <t>2011-2012</t>
  </si>
  <si>
    <t>2012-2013</t>
  </si>
  <si>
    <t>2013-2014</t>
  </si>
  <si>
    <t>RV</t>
  </si>
  <si>
    <t>YH</t>
  </si>
  <si>
    <t>JW</t>
  </si>
  <si>
    <t>GM</t>
  </si>
  <si>
    <t>RJ</t>
  </si>
  <si>
    <t>IB</t>
  </si>
  <si>
    <t>SALES</t>
  </si>
  <si>
    <t>SERVICE REGISTRATION FORM (SRF)</t>
  </si>
  <si>
    <t>CLIENT ID</t>
  </si>
  <si>
    <t>SEASON</t>
  </si>
  <si>
    <t>ORDER NO.</t>
  </si>
  <si>
    <t>ORDER QNT</t>
  </si>
  <si>
    <t>ACCOUNT MANAGER</t>
  </si>
  <si>
    <t>COMPLAINT REFERENCE</t>
  </si>
  <si>
    <t>TOTALS</t>
  </si>
  <si>
    <t>LOGISTICS</t>
  </si>
  <si>
    <t>PRODUCTION</t>
  </si>
  <si>
    <t>SIGNATURES</t>
  </si>
  <si>
    <t>SALES MANAGER</t>
  </si>
  <si>
    <t>MANAGEMENT</t>
  </si>
  <si>
    <t>LR NO.</t>
  </si>
  <si>
    <t>QC CONTROLLER</t>
  </si>
  <si>
    <t>COSTS</t>
  </si>
  <si>
    <t>FACTORY</t>
  </si>
  <si>
    <t>TOTAL VALUE IN $</t>
  </si>
  <si>
    <t>PICTURE REAL PRODUCTION (BEFORE LOADING CONTAINER)</t>
  </si>
  <si>
    <t>PICTURE MODEL</t>
  </si>
  <si>
    <t>DATE RECEIVED COMPLAINT</t>
  </si>
  <si>
    <t>SUGGESTED SOLUTION</t>
  </si>
  <si>
    <t>LOGISTICS SERVICE PROVIDER (LSP)</t>
  </si>
  <si>
    <t>CONTAINER NO.</t>
  </si>
  <si>
    <t>Image</t>
  </si>
  <si>
    <t>Remark</t>
  </si>
  <si>
    <t>ns1:ArticleCode</t>
  </si>
  <si>
    <t>ns1:Description</t>
  </si>
  <si>
    <t>ns1:ComPlaintDescription</t>
  </si>
  <si>
    <t>ns1:ComplaintNumber</t>
  </si>
  <si>
    <t>ns1:Price</t>
  </si>
  <si>
    <t>ns1:TotalValue</t>
  </si>
  <si>
    <t>COMPLAINT DATE</t>
  </si>
  <si>
    <t>ns1:LoadedQnt</t>
  </si>
  <si>
    <t>ns2:IsSelected</t>
  </si>
  <si>
    <t>ns2:ClientComplaintDetailID</t>
  </si>
  <si>
    <t>ns2:ClientComplaintID</t>
  </si>
  <si>
    <t>ns2:ComplaintNumber</t>
  </si>
  <si>
    <t>ns2:ComplaintDescription</t>
  </si>
  <si>
    <t>ns2:Price</t>
  </si>
  <si>
    <t>ns2:LoadedQnt</t>
  </si>
  <si>
    <t>ns2:ProformaInvoiceNo</t>
  </si>
  <si>
    <t>ns2:FactoryID</t>
  </si>
  <si>
    <t>ns2:ProductOptionID</t>
  </si>
  <si>
    <t>ns2:ContainerNo</t>
  </si>
  <si>
    <t>ns2:LoadingPlanUD</t>
  </si>
  <si>
    <t>ns2:ControllerName</t>
  </si>
  <si>
    <t>ns2:ArticleCode</t>
  </si>
  <si>
    <t>ns2:Description</t>
  </si>
  <si>
    <t>ns2:FactoryNM</t>
  </si>
  <si>
    <t>ns2:ReceivedAtWarehouse</t>
  </si>
  <si>
    <t>ns2:LSP</t>
  </si>
  <si>
    <t>ns2:CMRNo</t>
  </si>
  <si>
    <t>ns2:SuggestedSolution</t>
  </si>
  <si>
    <t>ns2:PictureModel</t>
  </si>
  <si>
    <t>ns2:PictureRealProduction</t>
  </si>
  <si>
    <t>ns2:PictureComplaintReceiveFromClient1</t>
  </si>
  <si>
    <t>ns2:PictureComplaintReceiveFromClient2</t>
  </si>
  <si>
    <t>ns2:PictureComplaintShotByEuroFar1</t>
  </si>
  <si>
    <t>ns2:PictureComplaintShotByEuroFar2</t>
  </si>
  <si>
    <t>ns2:SignatureSaleManager</t>
  </si>
  <si>
    <t>ns2:SignatureProduction</t>
  </si>
  <si>
    <t>ns2:SignatureLogistics</t>
  </si>
  <si>
    <t>ns2:SignatureManagement</t>
  </si>
  <si>
    <t>ns2:PictureModelBinary</t>
  </si>
  <si>
    <t>ns2:PictureRealProductionBinary</t>
  </si>
  <si>
    <t>ns2:PictureComplaintReceiveFromClient1Binary</t>
  </si>
  <si>
    <t>ns2:PictureComplaintReceiveFromClient2Binary</t>
  </si>
  <si>
    <t>ns2:PictureComplaintShotByEuroFar1Binary</t>
  </si>
  <si>
    <t>ns2:PictureComplaintShotByEuroFar2Binary</t>
  </si>
  <si>
    <t>ns2:SignatureSaleManagerBinary</t>
  </si>
  <si>
    <t>ns2:SignatureProductionBinary</t>
  </si>
  <si>
    <t>ns2:SignatureLogisticsBinary</t>
  </si>
  <si>
    <t>ns2:SignatureManagementBinary</t>
  </si>
  <si>
    <t>ns2:PictureModelHasChange</t>
  </si>
  <si>
    <t>ns2:PictureRealProductionHasChange</t>
  </si>
  <si>
    <t>ns2:PictureComplaintReceiveFromClient1HasChange</t>
  </si>
  <si>
    <t>ns2:PictureComplaintReceiveFromClient2HasChange</t>
  </si>
  <si>
    <t>ns2:PictureComplaintShotByEuroFar1HasChange</t>
  </si>
  <si>
    <t>ns2:PictureComplaintShotByEuroFar2HasChange</t>
  </si>
  <si>
    <t>ns2:SignatureSaleManagerHasChange</t>
  </si>
  <si>
    <t>ns2:SignatureProductionHasChange</t>
  </si>
  <si>
    <t>ns2:SignatureLogisticsHasChange</t>
  </si>
  <si>
    <t>ns2:SignatureManagementHasChange</t>
  </si>
  <si>
    <t>ns2:PictureModelPath</t>
  </si>
  <si>
    <t>ns2:PictureRealProductionPath</t>
  </si>
  <si>
    <t>ns2:PictureComplaintReceiveFromClient1Path</t>
  </si>
  <si>
    <t>ns2:PictureComplaintReceiveFromClient2Path</t>
  </si>
  <si>
    <t>ns2:PictureComplaintShotByEuroFar1Path</t>
  </si>
  <si>
    <t>ns2:PictureComplaintShotByEuroFar2Path</t>
  </si>
  <si>
    <t>ns2:SignatureSaleManagerPath</t>
  </si>
  <si>
    <t>ns2:SignatureProductionPath</t>
  </si>
  <si>
    <t>ns2:SignatureLogisticsPath</t>
  </si>
  <si>
    <t>ns2:SignatureManagementPath</t>
  </si>
  <si>
    <t>ns2:Total</t>
  </si>
  <si>
    <t>EUROFURNINDO
PRICE IN $</t>
  </si>
  <si>
    <t>LOGISTICS AND PRODUCTION</t>
  </si>
  <si>
    <t>BL NO</t>
  </si>
  <si>
    <t>PICTURE 1 COMPLAINT</t>
  </si>
  <si>
    <t>PICTURE 2 COMPLAINT</t>
  </si>
  <si>
    <t>COMPENSATION STATUS</t>
  </si>
  <si>
    <t>DOCUMENTS SEND FROM EUROFAR TO EUROFURNINDO ON:</t>
  </si>
  <si>
    <t>COMPENSATION APPROVED ON:</t>
  </si>
  <si>
    <t>COMPENSATION RECEIVED ON:</t>
  </si>
  <si>
    <t>DOCUMENTS SEND FROM EUROFURNINDO TO CLIENT ON:</t>
  </si>
  <si>
    <t xml:space="preserve">COMPENSATION APPROVED ON: </t>
  </si>
  <si>
    <t>REMARKS</t>
  </si>
  <si>
    <t>TYPE</t>
  </si>
  <si>
    <t>ELABORATE DESCRIPTION</t>
  </si>
  <si>
    <t>VALUE IN $</t>
  </si>
  <si>
    <t>PERCENTAGE TO BE COMPENSATED</t>
  </si>
  <si>
    <t>PRODUCT COSTS</t>
  </si>
  <si>
    <t>LOGISTICS COSTS</t>
  </si>
  <si>
    <t>OTHER COSTS</t>
  </si>
  <si>
    <t>TOTAL COST</t>
  </si>
  <si>
    <t>AMOUNT TO BE COMPENSATED</t>
  </si>
  <si>
    <t>REPORT
DATE:</t>
  </si>
  <si>
    <t>NAME 
CONTROLLER:</t>
  </si>
  <si>
    <t>LOADING
DATE:</t>
  </si>
  <si>
    <t>SIGNATURE:</t>
  </si>
  <si>
    <t>CONTAINER
NUMBER:</t>
  </si>
  <si>
    <t>SEAL
NUMBER:</t>
  </si>
  <si>
    <t>PORT OF LOADING:</t>
  </si>
  <si>
    <t>ETD:</t>
  </si>
  <si>
    <t>PORT OF DISCHARGE:</t>
  </si>
  <si>
    <t>ETA:</t>
  </si>
  <si>
    <t>20'ft</t>
  </si>
  <si>
    <t>40'ft</t>
  </si>
  <si>
    <t>40'ft HC</t>
  </si>
  <si>
    <t>LCL</t>
  </si>
  <si>
    <t>PICTURES</t>
  </si>
  <si>
    <t/>
  </si>
  <si>
    <t>Order number</t>
  </si>
  <si>
    <t>Name client</t>
  </si>
  <si>
    <t>Article code</t>
  </si>
  <si>
    <t>Description of goods</t>
  </si>
  <si>
    <t>Quantity</t>
  </si>
  <si>
    <t>QNT/40HC</t>
  </si>
  <si>
    <t>TOTAL</t>
  </si>
  <si>
    <t>ns2:LoadingPlanDetailID</t>
  </si>
  <si>
    <t>ns2:LoadingPlanID</t>
  </si>
  <si>
    <t>ns2:BuyerUD</t>
  </si>
  <si>
    <t>ns2:Quantity</t>
  </si>
  <si>
    <t>ns2:QntIn40HC</t>
  </si>
  <si>
    <t>ns2:FactoryUD</t>
  </si>
  <si>
    <t>ns2:ContainerRefNo</t>
  </si>
  <si>
    <t>ns2:ReportDate</t>
  </si>
  <si>
    <t>ns2:LoadingDate</t>
  </si>
  <si>
    <t>ns2:SealNo</t>
  </si>
  <si>
    <t>ns2:SignatureImagePath</t>
  </si>
  <si>
    <t>ns2:POLNM</t>
  </si>
  <si>
    <t>ns2:PODNM</t>
  </si>
  <si>
    <t>ns2:ETD</t>
  </si>
  <si>
    <t>ns2:ETA</t>
  </si>
  <si>
    <t>ns2:Cont20DC</t>
  </si>
  <si>
    <t>ns2:Cont40DC</t>
  </si>
  <si>
    <t>ns2:Cont40HC</t>
  </si>
  <si>
    <t>ns2:ProductImage1Path</t>
  </si>
  <si>
    <t>ns2:ProductImage2Path</t>
  </si>
  <si>
    <t>ns2:ContainerImage1Path</t>
  </si>
  <si>
    <t>ns2:ContainerImage2Path</t>
  </si>
  <si>
    <t>ns2:ProductImage1</t>
  </si>
  <si>
    <t>ns2:ProductImage2</t>
  </si>
  <si>
    <t>ns2:ContainerImage1</t>
  </si>
  <si>
    <t>ns2:ContainerImage2</t>
  </si>
  <si>
    <t>ns2:SignatureImage</t>
  </si>
  <si>
    <t>PRODUCT SHEET</t>
  </si>
  <si>
    <t>CLIENT:</t>
  </si>
  <si>
    <t>DATE:</t>
  </si>
  <si>
    <t>VERSION:</t>
  </si>
  <si>
    <t>PRODUCT DESCRIPTION:</t>
  </si>
  <si>
    <t>CREATED BY</t>
  </si>
  <si>
    <t>CREATED DATE</t>
  </si>
  <si>
    <t xml:space="preserve"> </t>
  </si>
  <si>
    <t>REMARKS: THE BELOW PICTURE IS THE MODEL OF PRODUCT ONLY</t>
  </si>
  <si>
    <t>FOR ACTUAL MATERIALS, PLEASE SEE MAIN &amp; SUB MATERIAL</t>
  </si>
  <si>
    <t>SUB-MATERIAL:</t>
  </si>
  <si>
    <t>COLOR / FINISHING MATERIAL:</t>
  </si>
  <si>
    <t>COLOR CUSHION:</t>
  </si>
  <si>
    <t>FABRIC WEIGHT M2:</t>
  </si>
  <si>
    <t>DIMENSIONS</t>
  </si>
  <si>
    <t>L</t>
  </si>
  <si>
    <t>W</t>
  </si>
  <si>
    <t>H</t>
  </si>
  <si>
    <t>SEAT CUSION DIMENSION (CM):</t>
  </si>
  <si>
    <t>OVERALL DIMENSION (CM):</t>
  </si>
  <si>
    <t>BACK CUSION DIMENSION (CM):</t>
  </si>
  <si>
    <t>SEAT DIMENSION (CM):</t>
  </si>
  <si>
    <t>ARM DIMENSION (CM):</t>
  </si>
  <si>
    <t>SEAT CUSHION STUFFING:</t>
  </si>
  <si>
    <t>OTHERS:</t>
  </si>
  <si>
    <t>SEAT CUSHION WEIGHT (GR):</t>
  </si>
  <si>
    <t>SEAT CUSHION PARTS:</t>
  </si>
  <si>
    <t>MAIN MATERIAL:</t>
  </si>
  <si>
    <t>BACK CUSHION TYPE:</t>
  </si>
  <si>
    <t>BACK CUSHION STUFFING:</t>
  </si>
  <si>
    <t>NET WEIGHT ITEM (KG):</t>
  </si>
  <si>
    <t>BACK CUSHION WEIGHT (GR):</t>
  </si>
  <si>
    <t>BACK CUSHION PARTS:</t>
  </si>
  <si>
    <t>BACK CUSHION FINISHING:</t>
  </si>
  <si>
    <t>PACKAGING &amp; LOADABILITY</t>
  </si>
  <si>
    <t>PAPER WRAPPED
BOX SIZE (CM)</t>
  </si>
  <si>
    <t>QNT BOX</t>
  </si>
  <si>
    <t>CARTON / PAPER THICKNESS</t>
  </si>
  <si>
    <t>GROSS WEIGHT (KG)</t>
  </si>
  <si>
    <t>QNT CONTAINER</t>
  </si>
  <si>
    <t>PALLET SIZE (CM)</t>
  </si>
  <si>
    <t>PALLET CONTAINER</t>
  </si>
  <si>
    <t>20'</t>
  </si>
  <si>
    <t>40'</t>
  </si>
  <si>
    <t>40'HC</t>
  </si>
  <si>
    <t>ITEM:</t>
  </si>
  <si>
    <t>SET:</t>
  </si>
  <si>
    <t>REMARKS (TECHNICAL)</t>
  </si>
  <si>
    <t>BUYING TERMS</t>
  </si>
  <si>
    <t>SIGNATURE EUROFURNINDO:</t>
  </si>
  <si>
    <t>SIGNATURE EUROFAR</t>
  </si>
  <si>
    <t>NAME:</t>
  </si>
  <si>
    <t>Shipper / Exporter</t>
  </si>
  <si>
    <t>Contact details of Forwarder / Shipping line</t>
  </si>
  <si>
    <t>Consignee</t>
  </si>
  <si>
    <t>1. Notify Party</t>
  </si>
  <si>
    <t>2. Notify Party</t>
  </si>
  <si>
    <t>ETD / Feeder &amp; Voyage</t>
  </si>
  <si>
    <t>Port of Loading (POL)</t>
  </si>
  <si>
    <t>Place of Receipt</t>
  </si>
  <si>
    <t>Port of Discharge (POD)</t>
  </si>
  <si>
    <t>Port of Delivery</t>
  </si>
  <si>
    <t>Terms of Delivery</t>
  </si>
  <si>
    <t>Movement</t>
  </si>
  <si>
    <t>Marks &amp; Numbers</t>
  </si>
  <si>
    <t>No. of Pkgs</t>
  </si>
  <si>
    <t>Desccription of goods</t>
  </si>
  <si>
    <t>kgs</t>
  </si>
  <si>
    <t>cbm</t>
  </si>
  <si>
    <t>Oceanfreight</t>
  </si>
  <si>
    <t>Eurofurnindo Rep. office
124 Truong Chinh, Tan Hung Thuan Ward, 12 District
Hochiminh City, Vietnam
phone: +84 3592 1812  fax: +84 3592 1811</t>
  </si>
  <si>
    <t>Original B/L - No. of Original Documents</t>
  </si>
  <si>
    <t>REPORT DATE:</t>
  </si>
  <si>
    <t>Client art. code</t>
  </si>
  <si>
    <t>VERSION</t>
  </si>
  <si>
    <t>1</t>
  </si>
  <si>
    <t>Client art. name</t>
  </si>
  <si>
    <t xml:space="preserve"> CODE:</t>
  </si>
  <si>
    <t>Client order no</t>
  </si>
  <si>
    <t>Client EAN code</t>
  </si>
  <si>
    <t>ORDER No</t>
  </si>
  <si>
    <t>CLIENT</t>
  </si>
  <si>
    <t>ART.CODE</t>
  </si>
  <si>
    <t>ART.DESCRIPTION</t>
  </si>
  <si>
    <t>QUANTITY</t>
  </si>
  <si>
    <t>PICTURE ITEM</t>
  </si>
  <si>
    <t>PICTURE MATERIAL 2</t>
  </si>
  <si>
    <t>PICTURE SEAT CUSHION</t>
  </si>
  <si>
    <t>PICTURE BACK CUSHION</t>
  </si>
  <si>
    <t>PICTURE LABEL</t>
  </si>
  <si>
    <t>PICTURES PACKAGING</t>
  </si>
  <si>
    <t>MATERIAL 1:</t>
  </si>
  <si>
    <t>COLOUR CUSHION:</t>
  </si>
  <si>
    <t>WEIGHT MATERIAL 1 (KG):</t>
  </si>
  <si>
    <t>BOX SIZE (CM):</t>
  </si>
  <si>
    <t>FINISHING:</t>
  </si>
  <si>
    <t>CUSHION BATCH CODE:</t>
  </si>
  <si>
    <t>TYPE LEGS:</t>
  </si>
  <si>
    <t>QNT BOX:</t>
  </si>
  <si>
    <t>NETT. WEIGHT (KG):</t>
  </si>
  <si>
    <t>SEAT CUSHION WEIGHT (KG):</t>
  </si>
  <si>
    <t>CARTON THICKNESS:</t>
  </si>
  <si>
    <t>GROSS WEIGHT (KG):</t>
  </si>
  <si>
    <t>SEAT CUSHION FINISHING:</t>
  </si>
  <si>
    <t>SEAT DIMENSION (CM NO CUSHION):</t>
  </si>
  <si>
    <t>BACK CUSHION WEIGHT (KG):</t>
  </si>
  <si>
    <t>MATERIAL 2:</t>
  </si>
  <si>
    <t>COLOR MATERIAL 2:</t>
  </si>
  <si>
    <t>RATING</t>
  </si>
  <si>
    <t>COMMENTS</t>
  </si>
  <si>
    <t>SIGNATURE EUROFAR:</t>
  </si>
  <si>
    <t>CONFIRMED BY:</t>
  </si>
  <si>
    <t>RATED BY</t>
  </si>
  <si>
    <t>RATED DATE</t>
  </si>
  <si>
    <t xml:space="preserve">DATE: </t>
  </si>
  <si>
    <t>ns2:PLCID</t>
  </si>
  <si>
    <t>ns2:CurrentUserName</t>
  </si>
  <si>
    <t>ns2:MaterialNM</t>
  </si>
  <si>
    <t>ns2:MaterialWeight</t>
  </si>
  <si>
    <t>ns2:MaterialColorNM</t>
  </si>
  <si>
    <t>ns2:TypeLeg</t>
  </si>
  <si>
    <t>ns2:NetWeight</t>
  </si>
  <si>
    <t>ns2:OverallDimL</t>
  </si>
  <si>
    <t>ns2:OverallDimW</t>
  </si>
  <si>
    <t>ns2:OverallDimH</t>
  </si>
  <si>
    <t>ns2:SeatDimL</t>
  </si>
  <si>
    <t>ns2:SeatDimW</t>
  </si>
  <si>
    <t>ns2:SeatDimH</t>
  </si>
  <si>
    <t>ns2:ArmDimL</t>
  </si>
  <si>
    <t>ns2:ArmDimW</t>
  </si>
  <si>
    <t>ns2:ArmDimH</t>
  </si>
  <si>
    <t>ns2:OtherDimL</t>
  </si>
  <si>
    <t>ns2:OtherDimW</t>
  </si>
  <si>
    <t>ns2:OtherDimH</t>
  </si>
  <si>
    <t>ns2:FrameMaterialNM</t>
  </si>
  <si>
    <t>ns2:FrameMaterialColor</t>
  </si>
  <si>
    <t>ns2:PLCRating</t>
  </si>
  <si>
    <t>ns2:RatingComment</t>
  </si>
  <si>
    <t>ns2:RatorName</t>
  </si>
  <si>
    <t>ns2:RatedDate</t>
  </si>
  <si>
    <t>ns2:Remark</t>
  </si>
  <si>
    <t>ns2:CushionColorNM</t>
  </si>
  <si>
    <t>ns2:FabricWeight</t>
  </si>
  <si>
    <t>ns2:CushionBatchCode</t>
  </si>
  <si>
    <t>ns2:SeatCushionStuffing</t>
  </si>
  <si>
    <t>ns2:SeatCushionWeight</t>
  </si>
  <si>
    <t>ns2:SeatCushionParts</t>
  </si>
  <si>
    <t>ns2:SeatCushionFinishing</t>
  </si>
  <si>
    <t>ns2:CushionTypeNM</t>
  </si>
  <si>
    <t>ns2:BackCushionStuffing</t>
  </si>
  <si>
    <t>ns2:BackCushionWeight</t>
  </si>
  <si>
    <t>ns2:BackCushionParts</t>
  </si>
  <si>
    <t>ns2:BackCushionFinishing</t>
  </si>
  <si>
    <t>ns2:SeatCushionDimL</t>
  </si>
  <si>
    <t>ns2:SeatCushionDimW</t>
  </si>
  <si>
    <t>ns2:SeatCushionDimH</t>
  </si>
  <si>
    <t>ns2:BackCushionDimL</t>
  </si>
  <si>
    <t>ns2:BackCushionDimW</t>
  </si>
  <si>
    <t>ns2:BackCushionDimH</t>
  </si>
  <si>
    <t>ns2:CartonBoxDimL</t>
  </si>
  <si>
    <t>ns2:CartonBoxDimW</t>
  </si>
  <si>
    <t>ns2:CartonBoxDimH</t>
  </si>
  <si>
    <t>ns2:QntInBox</t>
  </si>
  <si>
    <t>ns2:CartonThickness</t>
  </si>
  <si>
    <t>ns2:GrossWeight</t>
  </si>
  <si>
    <t>ns2:ConfirmerName</t>
  </si>
  <si>
    <t>ns2:ConfirmedDate</t>
  </si>
  <si>
    <t>ns2:ClientArticleCode</t>
  </si>
  <si>
    <t>ns2:ClientArticleName</t>
  </si>
  <si>
    <t>ns2:ClientOrderNumber</t>
  </si>
  <si>
    <t>ns2:ClientEANCode</t>
  </si>
  <si>
    <t>ns2:ImageType</t>
  </si>
  <si>
    <t>ns2:FileName</t>
  </si>
  <si>
    <t>ns2:FilePath</t>
  </si>
  <si>
    <t>C:\Users\breijmerink\AppData\Local\Temp\6\tmpE83F.jpg</t>
  </si>
  <si>
    <t>[NO IMAGE]</t>
  </si>
  <si>
    <t>COVERS ARE DIRTY ,  SPOTS ON THE COVER</t>
  </si>
  <si>
    <t>32715NL</t>
  </si>
  <si>
    <t>F9D00000042502</t>
  </si>
  <si>
    <t>CAPRI TEXTILANE DINING CHAIR / TEXTILENE TEXTILANE TAUPE</t>
  </si>
  <si>
    <t>8b18d73952b441e4834a2f0322630887.jpg</t>
  </si>
  <si>
    <t>/9j/4AAQSkZJRgABAQEASABIAAD/4QZQRXhpZgAATU0AKgAAAAgADQEPAAIAAAAGAAAAqgEQAAIAAAAJAAAAsAESAAMAAAABAAYAAAEaAAUAAAABAAAAugEbAAUAAAABAAAAwgEoAAMAAAABAAIAAAExAAIAAAAGAAAAygEyAAIAAAAUAAAA0AITAAMAAAABAAEAAIdpAAQAAAABAAAA5KQyAAUAAAAEAAAGAKQzAAIAAAAGAAAGIKQ0AAIAAAAiAAAGJgAAAABBcHBsZQBpUGhvbmUgNgAAAAAASAAAAAEAAABIAAAAATkuMy4yADIwMTY6MDg6MDggMDc6MzE6NTMAAB6CmgAFAAAAAQAAAlKCnQAFAAAAAQAAAlqIIgADAAAAAQACAACIJwADAAAAAQBAAACQAAAHAAAABDAyMjGQAwACAAAAFAAAAmKQBAACAAAAFAAAAnaRAQAHAAAABAECAwCSAQAKAAAAAQAAAoqSAgAFAAAAAQAAApKSAwAKAAAAAQAAApqSBAAKAAAAAQAAAqKSBwADAAAAAQAFAACSCQADAAAAAQAYAACSCgAFAAAAAQAAAqqSFAADAAAABAAAArKSfAAHAAADRgAAArqSkQACAAAABDUxMACSkgACAAAABDUxMACgAAAHAAAABDAxMDCgAQADAAAAAQABAACgAgAEAAAAAQAADMCgAwAEAAAAAQAACZCiFwADAAAAAQACAACjAQAHAAAAAQEAAACkAgADAAAAAQAAAACkAwADAAAAAQAAAACkBQADAAAAAQAdAACkBgADAAAAAQAAAADqHQAJAAAAAQAAAAAAAAAAAAAAAQAAACEAAAALAAAABTIwMTY6MDg6MDggMDc6MzE6NTMAMjAxNjowODowOCAwNzozMTo1MwAAAAD9AAAAMgAAHtQAAA2NAAARVwAABQkAAAAAAAAAAQAAAFMAAAAUBl8ExwcDBDVBcHBsZSBpT1MAAAFNTQALAAEACQAAAAEAAAAEAAIABwAAAi4AAACYAAMABwAAAGgAAALGAAQACQAAAAEAAAABAAUACQAAAAEAAACwAAYACQAAAAEAAACxAAcACQAAAAEAAAABAAgACgAAAAMAAAMuAAkACQAAAAEAAAETAA4ACQAAAAEAAAAEABQACQAAAAEAAAAEAAAAAGJwbGlzdDAwTxECALwA2QCZALMA2QDmANwAMgHVAVcBkQB+APcASwFsAY4B+QDMAJwAkQCwANkAVgEHAjsBdACCAOkADAFMAWcBZAGDAcgAkgCTAJAAzADrAS8BZgCFANEA+wD8AB0BUQFoAUEBwQCMAJMAkACOALMAdwCjAM0AywDCAN8A9QAjAVkBzQC4AIsAjgCPAI0AjwCaALAAsQCrAKIApQDGAP8AOwHDALAAjQCQAI0AjQCPAJcAnwCaAJsAkAB+AJEAsgBMAcgApwCKAI0AjgCNAI8AlgCfAKUAnwCxAMIAugCtAB8B2QChAIsAjwCQAJEAkQCVAJ8ApACqAKYAtADKANMALAHyAJYAhgCNAI4AkwCXAJkAnwCnAKkArwCvAL0AywADAQABjACEAIwAkwCSAJYAmQCgAKcArgCwALQAuADEAPQAQQGjAJIAlACEAHkAeQCKAJIAmQCoALIAtwC6AMAA2wAwAZYAlACYAJ8AqwCyAK4AsQC3ALUAtwC5ALoAuADVABEBlQCWAJkAnACdAKEAqgCyALkAvQDCAMYAzADQANUA/wCXAJoAnACfAKEApgCvALsAwgDHAMwA0QDaANUA0gDuAJsAngChAKMApgCsALcAwwDKANEA1ADhANwA0ADPANMAoQCjAKUAqACtALQAwADMANQA2ADoAOYA1gDRAMoAAAgAAAAAAAACAQAAAAAAAAABAAAAAAAAAAAAAAAAAAACDGJwbGlzdDAw1AECAwQFBgcIVWZsYWdzVXZhbHVlVWVwb2NoWXRpbWVzY2FsZRABEwAAAvweh6zqEAASO5rKAAgRFx0jLS84OgAAAAAAAAEBAAAAAAAAAAkAAAAAAAAAAAAAAAAAAAA////z7AAAdRX///qHAAAHIf///OkAAAUgAAAAUwAAABQAAABTAAAAFAAAAAsAAAAFAAAACwAAAAVBcHBsZQBpUGhvbmUgNiBiYWNrIGNhbWVyYSA0LjE1bW0gZi8yLjIA/9sAQwABAQEBAQECAQECAwICAgMEAwMDAwQFBAQEBAQFBgUFBQUFBQYGBgYGBgYGBwcHBwcHCAgICAgJCQkJCQkJCQkJ/9sAQwEBAQECAgIEAgIECQYFBgkJCQkJCQkJCQkJCQkJCQkJCQkJCQkJCQkJCQkJCQkJCQkJCQkJCQkJCQkJCQkJCQkJ/8AAEQgA8AFAAwEiAAIRAQMRAf/EAB8AAAEFAQEBAQEBAAAAAAAAAAABAgMEBQYHCAkKC//EALUQAAIBAwMCBAMFBQQEAAABfQECAwAEEQUSITFBBhNRYQcicRQygZGhCCNCscEVUtHwJDNicoIJChYXGBkaJSYnKCkqNDU2Nzg5OkNERUZHSElKU1RVVldYWVpjZGVmZ2hpanN0dXZ3eHl6g4SFhoeIiYqSk5SVlpeYmZqio6Slpqeoqaqys7S1tre4ubrCw8TFxsfIycrS09TV1tfY2drh4uPk5ebn6Onq8fLz9PX29/j5+v/EAB8BAAMBAQEBAQEBAQEAAAAAAAABAgMEBQYHCAkKC//EALURAAIBAgQEAwQHBQQEAAECdwABAgMRBAUhMQYSQVEHYXETIjKBCBRCkaGxwQkjM1LwFWJy0QoWJDThJfEXGBkaJicoKSo1Njc4OTpDREVGR0hJSlNUVVZXWFlaY2RlZmdoaWpzdHV2d3h5eoKDhIWGh4iJipKTlJWWl5iZmqKjpKWmp6ipqrKztLW2t7i5usLDxMXGx8jJytLT1NXW19jZ2uLj5OXm5+jp6vLz9PX29/j5+v/dAAQAFP/aAAwDAQACEQMRAD8A/DPSdRQO06fK54K4xtB6Y/ya6a2vWlPlmTlRwR6Z6j6815hZGVvLaMNvPcjk8f5/GuzsLqZYyOMHg/QV/QuHraWPyKtRV3Y9QsJ4GnMikjH3QTySeO9f2I/8E44NM079lbQvDFrHhBpFrqW8ciSS/e5MuQfRkxz2r+NTS8EjaSCQOT6dee9f2Ff8E2zIP2ddLivf9da+HNJTOckrK15Ouc+zjFepGd42PO9jaWpwn7VV3Np9nG5cy2+WUjOSrDHOOnHOD7mvxb8ceFI4NW/tPQm8lnYn5em7uCPev14/bA1AQ6FLNESDDMQDxkgg/wBBX5diS01wyW5bB+9u9DivMx83Frlep6OBpp3T2OH8MavFdzrp2p/uLkHof4uDyp6Z7etey6Sxi8uBTzkkAdiQcH8sj8a8J1zTYncwTrwp+VuhyO/r+Va2heM73w7MLPxCHuLT7vnJy6jsT/eH6/WvpMn4pi37PE6Pv0+Z4WZ8MyjeeH1Xb/I+nrMmIK8Z3hQVLevbg/lXbw+Tu3hl+YjbwAMYBPTqa8m03xRY3sCT2sySxzfcKHjIIxnHp3zzxXT2mpxysiRtkYOBkEckAnPYcV95Tqpq6Pi61J6pnpMSpOd+8+b8ucn5mzxyfpjjtWlbQyKVXI3AYGM/d5+uP6/SuMstRMSmYruJAHJwOOPfP410sdyJnMkbZEmPmbucEKB6+vHtWqkjmdNm7thiQouATjLj0Hp6isq8QTPggYBOOh/yf8MVfgWUxoSDzkehP4VA9sfKMincFHzZPXkce/vVJpEuNlY5v7LAuRt+8+4nGMnPHT35rAvZlSRJm5JJAz2GP05rqr7I2OBkvjknoMfyH9c1zd/5kaeec5HI9Se3I9en+c1EqhUUcfeBI93BUMuCT12jGR9CT/nvydzOjk7Qd7Dgnn8z6811tyrTksGJwdpB6YB9T15rD/sy6kyI19wepye2K5akzqhE5xlmSEgMVGMNj0yM+1WrTRjK0draL5jyAbUQZPsoGOp6V2+keCtU1q8FpapzGAZGfKpF7ueg64Hr0AzX6ffsyfsX3/iS9hmuBKkB+a4vWVkwP7seei9cD7zH0Febi8bTox56jsjvw9GU2oQV2fK3wF/Zz8QeKtZto4bJr7U5ZM29sgDLHIoJ3PyFATjczfInu2Af6DvgL+zj4P8Agnp6ag6C91+ZD9pvWyxDSYMgjJ5wSOT1IA6DAqh4c+HHg/4JeLvDdh4QtzbpfpdWDyHkyN5fnDzDn/YO3HevpKOZm4XBIPNfjHE/FNTGe5SdofmfpfD2RQw8vaVtZmhaSyW8xaNgcnhT3HetjUvEOm+H9P8A7T1iRYYidqgn5nbsqDufb868G8f/ABc8KfD5t19KJb1GCrEpyoc/dR8Zbc2eEUFj6Ac18MfEXx/qfis3Xjr4lXi6ToenxljDLKEMgzkLIQdsceP+WSklv42bpXyuWZJWxE+Smj3M8z/D4eF6j1Ppvx3+05e67NNo/gmMLbRuY2uW+aI9vlxkzOP9n92p6liMV+fHxy/bK8JfBy1nsVf+1/EU7k+SDukkAGP3hHCZxjHpgV+aX7Tf/BRfSbKKSx+GuoNp9lEjRNexJ+8RGGz9wpICA9AxG7HIHGK/KjxJ8VNab4qWfha5cyJqdhLdvPli8kkTpgMxJzx1Ar9EwlLDZfHloe9U/m6L07+ux+aYihiczlz4n3af8vV+vZeW59KftMftQeNfHMerfE7xHeLqK6MX220ZKww+WNzRIqngj+IjkV8tfFXXZV17wB4w0m5k2T6krXLFi++G6jOBk/3QwC57fnXmng2wvL/wf488I3c5nEV7dhVI5zcRq/r06gGqXibV4Lr4A+G9XkLRfY206VpACQiIyICfXnjArwK+KnUu5O99/W59bhMFTopRgrW29LHsmtvpmm/tKWN7IWgGo6U6KzDJPlndt46k8Zp/gbUjpX7QvibRZSQL2wtrzb1JAbacemeP5Vd8ceFr+9+KPhHV9KnWNLETPdA5LIkqAIATnLM3YnivvL4KfskeIviT4tm8ZJpy25uo47b7XIoRvs6EkAt1IByRng54BqcJhJ1GlBXd/vNcViqdOLdR2Vt+x8bfBP4e6/ovijxM96v2i213VC1lHEjFhDtxlj6k5HHTGa/VP4Cf8E7rLWp4NW8T2i6JpLbpZLaFAhuXZydz8ktuXGeh4wTX358Hv2d/h98INORo4Uur1cs00oDYzzkbu3p2HoK7PxD8brLTZItH8G2M2s3ssoiLwgmCJmzzI44wMdF/OvvMDw/DARWLx8+RLp1/ryR+cZjxfPFt4XLYcz6y6f15s9C8PeFvhR8AvBdxqim20HSbCHdPd3DLHGiAfxMeBn+6OT6E1x/hz9oTTPibZW+qfCC1m1DSrmUwx6nJHsjkYcZgjcqWUHgu2FHoa8QvvgD4i+M/jG1+Jnxlv21iw07abHQoiY7COVASZJVBImkLcDjgcZNfXui+H/7E8NLItrHZLpLRT28MGEhSJW+ZVUYGPb1rws04wrVL0cDHkguv2n6Lp+YZbwTHmWIx755fgv8AP8j0Hwh8GpvEdnFN8SJJLxY2BVXIZpCvO5zwMHJ4HGK+mLfTLSKJLewTZBCNqIoAAHTgVnCaARuLbDx4yM8fL6GrdleCQiPIPc84Ht+VfjOMxM6knzH9B5ZldHDR5aa+ZIlpBHC8AYKWG4Njv3xTIrCaR1Mp+ReG38n3H4nrV251HTbdV89jGmQCzDhcgnJ56DHOK8c8b/G7T9CEelaL5N9cSOEiOWI9cqkYLvwOgxzxXHToVKr5YK56lXEUqKvUdj3Ca802CAm8lW3bnczEBVC4zkscAYrzLx38YdK8MWVvFocKXzT5AdztUIOTgDc75xxgEc8kV4R4i0Dxr8R7JBPLJpoeVW8y52mQ7SDhIQTGg9Cxc+or0DQPDdpoMErWUXmXDKFnmdg0jE44D9cD+6PlHtXo0skpx1qu/kv8zyp51Vqe7Qjbzf8Akf/Q/Hm0+FGqaj50fhG8tNbEXBSxmVp1I67oH2yqfYrWBd6Vc6VcfYr6Frd1/wCWcqFGx/FwefWv251/RZPHJI+JNlp/i1o/+g9Zx3F0mOmy+i8m+jI9ROa841n4HaJfW8sWh/2vpJVSY7dpIvEOntxwoh1DyLyMdvku3x71+uUc1nHSaufkUa8Zan5UQ2rD9/ECwdTz7Yzgf41/Zh+wxp5074NzW6qUEOieGrf33DTBIwOPTzfxr+SPxRdp4Zvp9M+JfgrUdBaMuFu9OBSJ1GcP9lvNoyeuI53x0Ga/sH/ZZitrP4da9HppLo0WhCNnGxig0W12sy84JB6djxX0mW5rSr3jTeqJrUpR1a0PlX9qaztb3RNTso8Hkn3yAT3r8XbPVjpXiAg5KZ/ACv2J/aVvZILy7Mo3qThzjrlTxxX4r+Lw2n63KVB2luPcZ9aM4lazOvLY30R614i022v7AXtvnLLkke/PSvKmvXjk8idcqQAfSvW/CWpRa5pIjLDO0jJwD6c+ntXA+LdFezvDJGpw3JOPf8q8h2a5j0ovWxg2s2oaRMb/AEGQqxxviJyjY55Hr717B4L8Z2epzfZJSYrpFO6Nzy3Izt/vD9a8TtrgwnKfQ55FX7i2tL0LJyJFwQV4wR3BHQ17eU8QVcK+XePb/I8vMcjpYlXeku/+Z9j6fqUWQgJLKc56H/P6V2tnfxiNCAHw2RnoAOhz+HWvjfw58Q9V0J47XxJm4t14W4UDzAe28fxD36+xr6U0LWLbV44rvTZFkhkX5WQ5HyjH+Rx6V+lZdm9LEx5qT+XU/PMwyyrh5ctRfM9qsb8KYyGO085OBu9D9KuXEyqduM7eceoI+vc/WvPbXVZsDfwWU7jn0PX26V1FveW8yF2yMpk57DoM89favSdZHkuAsiPNu5+d+Pl/Lp6eg71nXGnmc70Oe6gc8c4/+vW3CwlR0U7gccAc8evU9KvWkM00wt7YE9Rhexz2/OspVLDjTOAOlPdFI4lJLEBQBuJzwOnvXp/w9+C3iHxZq1taWEDtG7lXlUbiWxwsfYn+83IGMDJOK+wP2f8A9lHxT8Qb6OQWziOUDcG3IFQkE72425xjjnGa/bL4PfAXwj8JbKG4ijSa/Vdpl2hVTA+5GvRQvQHrj618dxFxXh8EuWTvLt/mfQ5PkVfGS/dq0V1Pjb9nn9hrRPC+n2usfEeJcqyyw2C85ZTkPOx5Ln07e3Svv4W1rpyx2VlGsMKDaqxgBVAHQAV1F/IhcrHwc4zXkvxB8feGvAlnLf6/cIjonmCFWVWx3ZskBEz1diB9elfi+ZZ5icZU56r9F0P1LAZTh8JDlh82zlPjLNb6f4d0/wASTNtTRtTtbt5DkBIwxSRifQK5J9q+Y/iT+1BqE+o3HgX4b2slw7R72uFJjkET8KxYg+QjA5UkGVl5VQOa8o+L/wAbdc+INpLNe3K6ZoFi++88xQsMSABguJRullcEHdIgRVOQpJFfi/8AHn/gonY/D2w1Twl8GZ2W7kmnnv8AWrrMjqHOMqrDLyCNQvOAoAGOMV7OW5N7SKq4j3Y/n6Lr+R83meeNTlQwnvS/rr0/M+6/jP8AtD/D39nLydV8f3H9veI5yPLso22+QGI3KkZyURf43OXfuzGvw8/aH/bG8bfGPxrYaR4mu3i0vUZZhY2cTf6NGEXcQVz8zYHBOemK+VPFPjjXfF/xFvNN8Q3D3l3qGly6h9pmJaV3L4HzMcYwc4HSvIPCOt+FbrwH4L1rxE9x/aNjOIbQRBGiknlDxE3BY7gqjpsByevFeti82hCPsaCtH8/V/wBI48vyZuXtsQ7y/L0X67mj4s1W78R/DLx3pGqvmfT72VYWJw3lBFkjAA7KSTmukn1OG78eeAtZldXS4gnhZsHIMsG/HqcEcVyMcBvdU8dabAARNFDPg5LYkhZSQP7vy5+vFd38Pfh1rvi7SPA1zDvgu9NWO7eKNd077YSmwA8LnOSW6dOpryVOUup7nLGNzqfBX2ZPHPj3SWAjJW1n5bAYyxFQADwMge5r074G/BHxZ438B6Z8MJLFdU8tfmOQ0JaOQzIu48kJxn6YFfdXwf8A2KX1128ReMw9vHcsJZEJxLOF4AJ4JwOFHAA6Zr7K8U/FX4Ffsy6ENItvLF8sOLXTbUK95OR8oCRjnliM5wOeT3r7DJ+FZ1Kft675ILq9ND4zOOL6dGfsaC56j6LX7yr8Cf2NfC3hZbfW/iPjUb2LnyyQ3lseefb8yMcYr6A8VftKfC3wXrMPw68G7tZ1onCaZpaedMoyFy4XhQD1yRXwamt/tCftW+Lbn4e+IBe/D7QmhinhtLV1i1C8gcgN5k/JiUg7sKCxAxX6L/sxfsteDfgtY/Z9Ks4rQEYLZLyTdzJNMxMkjseSWbA7AU8VxnhMBF08sjd/zy6+i3f4L1ODC8H4/NJqePlZfyrZer/4dlbVfhn8SPiPo0uo+Ob2e0hPlyW+m2bbURwDhJZBjfnPI6A+tfRPg3wBpUXh2z07TYmtrPygpijCpz0JJyS5J68mvXdbvLSPQ5Iom5XbwoGVJYdvYc1wfhW+WHSo7OaQN5EkkR3HoFcnt65/Wvg8Rm1bFt4io7yv1/rT5H6LhOHsPg5qhBaWPWtP0m2soVROBGoUZ6cADHT+dZXiG2uJ7aSNwPJa3miwCMEkBk4PuCani/0eDYeq4J9++cZ6+tR6oGuNPLwuUYJtwoBwem4euAfTmuClUkpps9jE0lKlKK7HpvhbWftXhSw13U5ETfbxM4YjarhdrHPHfPFYusfFfw3pV5/ZiszKUfdMQTGjL0UgHeSc9h0r5nT+2dStG8I6rezRWsJ8uOC2/du4AILPNyQGJ5C4K44JJrsPCPga2sLSWx2i4kYcuwOM9icsSccfeJ6c1i8pjzOc2CzubioUl6tnO6/418beKrVLEyu4yVLuDAUUNyEUbiTt6dOOtaPw8hl8PfEfVfDZkaWzns0ns3ldWkESMreWAMnbmVxng8egBPqlxp8FmizRqouDgkkdiOcHPTjnH0ryUw2Vj8V9E1S9gFvLqUUltI6dWC7vL6n029sHFdLjHkcYqxyNS9rGc3d3PpMPafup5JBarI6x9CRk/d6A45GBzXZNDGqMiyh1K5BJ4JHXGM9elcvLqFxlJ7RsO+cjIwQoPzH644/KpPtFxGBfSLJz8r+acKUHUqM84+n9K8WvBvQ+qoyitT//0f0c8ReDPC3nraaL4m1CMAgJBrEcHiGDDcDDTCG/Uf7t0TWBofwd8b+I4pLrw74ah15IAru2hXht7oI4yjHTtXEZIYcgR3jZ6CvZNK8S+Efh4PsMkkL2qoxjnt1H8Kn5ZAmcH36GvY/2fdT1AeKbvxCkRVbmK2tGjbK/LHGuOvTHXNfuePwtDlTitz+H8p41xiUuV3t3PhbW/D+h6UJPD/jESaLI+Va08S2M2l7ieMB7lTaSf8AnYV+m/wAK7OzsdB8Tafp8KW4tLu0tmETAq/l6dbbSu3gKFIUAZGBkcV7L4H1eXxxrOu+ILxzJ4e0JZofLf5obq4WM79yn5WSFeCDkF2/2a8M+F8sYsfG8oxHnxDKoXoPks7UDGPQce3Stsiw3I5NdT9Q4bz+pjablUjax+df7UzpJJdICcJt64/H09ea/HvxvE93MzAFioIz+P+Ffrv8AtVNGftU0L7W3DA9h1r8kNebN3IOnXkHPetM51tE+/wArVlcx/hr4kGmawtlKf3cgxz9f/rV7/rNpa6nY7k+WRRlTj/Pavk9rcreJcQEbo+4FfQ3hXxEb6xRLgh2VcZPU4HpXjUJ6OJ6NWD+JHmc9nJb3LI3UHBpqFo+c8HrXbeILKF7k3EJ++c8Dv+Ncj5LAtnoARn9aTZUJXJknjMZ8wDB7UabqWr+FruS60GUqkmBJExPlyDrggdPqOaor1IHOB/KrDMPujoadKvKnLng7MK1GNSPJNXR9GeD/AImab4klGnrmzuiBugcgnOMHyz/EP1HpXsWmanEVaOYg8k8854zn6ECvgGa2jaQOOCDkMOoPqD1FevfD74py6FdR6f4xDXFmWA+1KC0sSngllHMg+nzfWvuMr4rjO1PEaPv0+fY+IzThiUbzw+q7dfkfdHhbSrzXtQhsNPiaWacgLGvU8e3vx7dzX6+fsn/sXxXqw+LPGSqwyCijBRMdk7O/q3Qc4rd/Yc/ZU+GviDwdpvxmu9Qtdc0+/jVrVLOUSo2MEid1PysOjQ8Efx+lfrdawwWsIt7VFjjQBVVAFVQOAABwB9K8ji3jdUL4fCO8+r6L07s6uG+EJV7V8VpDt1f+SMPwpomi+HdJGm6TbR2yqzKwQYyVOMk9Tkc1HqlwbO+P2sqtu6l97NhVZeobPABHOSexrhviF8T/AA18KbfUdY8aXkVlaxBJ4zIQuUKfO7M5CIilTuZjgD1PFflpe/tK/Fv9re7mvvhjIPDngiwuQp1SVMi4QAlntFlG2ZuyyuCgPKr3r8njGpXnd3bl979D7nE4ujhqdlZKP4ep9qfFr9pTTPDmvWfgTwUkmoa1qGSsdtH58yxAHMojyFjiHTzp2WPP3d54r81/2hf2gPCnwm05/FfxpvIzcwz/AGu20aGQXdzJcQ5Mcl3I2BIUJykaKIkbByxAI+df2gf2+Phv+zjpt74U+EMIutRm3/2jrNzK08xl2HMlxcPl5pAB82PlXoMdK/mi+Nv7Rvj/AOIGsa3r+tXslzfQLC8kz5yyXEhJAHQAAYGK+0wmXUsFFzrJSmunRevn5HxNbF4nMZpU7xp9+r9F282fVv7U/wDwUL+KPxQ8SpqEV4dN0q0vIporSBlJW4eRdsk55EjhgGIbjGBjFfAXiTxr4o8YePPG9/4xvXvL3UYBcSyycl5ZncyvgcDeSM4A615v4ovefEhjAYR3VlKPxK8j05Fde09tL8YL61QgLcaSkcmwkdGA+bqGINRjMbUxFWNWb12+R6uCwFLD0nSprTf5/qa+mamb7xp4Zu7l2P2rTJYm5yxUCJsdSfw9Kg0DwgmpfDKzmur9LFtN1iQxRSK7yyLBcOxVAoIGegZyACe9d38K/hX4q8b6louleGbSS61TTo2RpIgPLAkTy2DE+gAwc/ga/V34Ofsf+Dfh3pq6x8V7m3vJ7RzcTJIQsMRZcjJJxkDrnr1r0Ms4erYmXJTR5+a8QUMLHmqyt+fyR8vfAr9nHxV401WfxPpsEmm2l/bwtPetxujRiVjCt1OCSx/nxX6n+FvAPwk+AGknVNWmiWWMfPNMF3Oc7vlHU4/KvIPEfx3vvFF0/wALf2bdCXX52hVJr1wI9NtEf5T5rclmxyigcgZPFe4/DP8AZss7fUE8W/GbUP8AhJ9YUARxyDFtARyNkeeSMjluuK+gxWYZVlPxfvaq6L4U/wBX/Wh8zhsDm2cu0E6VJ9erX9f0zlx43/aB/aStbnQfgZaHwrojrsXxHfIwZwSQ/kxnnIBBUkYPrX0v+z7+x/8ABj4BXjeKUV/Eni+5H+ka7qrfabgk5LeUG4jUk9q9kt9Zs7S1jhXERjAVVA2qdvGAOg69q0V1XaEXcNpBGD1GeM9e3avzXP8AinGZlO+IlotktvuP1Lh7grBZZH91G8ure55r4msrSx/aN0rxNZoBcajbmCSTdjO1CwwM5JO0j0Hrk4r7HsdctVgS33YkIUlR0Oeepr4f+KPiRNMvtC8SzqYZYbhSzY8wRoSwbDJ0DAjPXr61e0r4s67r959i8M2reYhIlLcsp6D5T8qjvkn2xXPUwk6sIOHY6KGOp0KlWM+59j3viFEhaG6OWYEKMZLk+mOp/CsTwlP51/qXlj5YbwggsGzuRWHK5HXIrw6z0XWtRYX3iu5NyXbmKJvlAHGGk4YkDrtwK6LwZql1beM9b0qJVggC20iYOcllO4jHTp7134fDKFNxTuzz8RiXUrxm1Zan1jp9/bXRmMzFghC7i2AGPRcZ5P5j1rQtbxp/MiMYjZVYHBPpwe+cH8683huJ5ykioFACEYYcrxwc9PcV3UlxHGXJcHBI45yeM+lYulqdCrHlcKyDxJe28w2tHcnyzu3ZVwG7gY69OQOxNe+aBELWITCTGRygzg+xP9a8jvlgtPFS3LhHM8MTK3CnglSWOeeOAfavYbae2exZYWJ2DLKoPynoBn3B/pXXXfunm4JWkzellVoG37WRF+fIBAHY56fhXz948VYNY0/WLaMKdPvIWWTKg53gtGEHO3apOenOMGvap2uUsfKgZpIUUBV3cHA+UN05bua8C8bQL4h0XUdImgyp2uYiOSwYABXHODnr3HpXFCLeh3YqqlG569q3xSNpqcunaNbK0c27bLcYckbuDDCmXcjnBOBg1wN/ofxX8Waul/Z3Vzp1kwcOLhVaQ7u6QJ8iA9t7Mcc4zXY+CrfRotE06bSLVYm2RM4VTgblw2Tn5sNx3xmu0tDPfXMlgMhvvKF5JXAAyGI5z39Olc86kYO0UdFFTmlKcvuP/9L9oPDdz4L8V6RdWN/pcIaMtbusarkmXAX7uCMg+mQa0tC8FeItL17UPD/wyud8Wt3kllZidy0loI+JZvmGWjjQHGe+B3qzP+zfJpkq+IvBXjJLbz9mFvg0IZkO5M7tyZGOpFfW3wJ+GmsfCfwxd+L/AIkB9S1dxsj+yR+cI7UsG3IRgEufnkbjgCv3erPmSdRbH8AZVlc+Zwi9zo/F6eBfgd+zxfaXe3kdjYw2Uljbmdwr3FzOpUKM8s8jsXc9up4r5X+G09wdJ8eIQo8vxRqMan1EccCAnr/dxgV+HP8AwUH/AG25P2lf2pNO8B+Ebh/+ER8O6tb2dnGGKrO6XCCWZlzg5Ycdc49AK/dH4fxxpa+N13HD+KdVLAgDnMYOf6VrkeJ9pUm10sfv2TZO8Nh05byPzW/ankmja5wBtZsZx3Ar8nL1xNeFHJBIPQ9K/VP9qq6QNcPGxMe7jJzgnIPrX5P3s0YvGKAHIPI5PB/lSzmXv2PssufuFO4sVTgcjB/H61d0G6bT74eXz8p74z1pGwwRozuBLDHpj2qkkRFwrg42814Edz1r6WPT5L1dSjYvwcDg+oFc55R+6DyexPtVK1vZI4xuOTnGfbHepROGIkjwDnkGtXrqZLQqFfJXa4wfSmKzpLhun6fSrLLlSjcgnoRUaEFgg6gE1iaXIvszNloweBzj696qMuCd4wenNWGneJx5fGc8iojmUBjyeMgcUvULnvv7On7Ufxu/ZU8VnxX8GdYayWZ1N3YTDzbG8A6rPATgk9A64dezCv338P8A/BbzwF4h+GEb2XhS8h+IEskdsukxkS288kh2h7WY9s87ZQCuf4utfzEJkrlOoz160uBIuCOvTFcWKwVOo7tam0K84pqLP6Ovit4D8Va3q938XP29/F0FxoMH2c2fhSz+eATBt5Fwx+a6ZjhNpUKuSB61+YP7WP8AwUm1bxn9n8J+Dbf+x9Elzp8VvAwEiYyY0bbhY12LkqvPIA4r4q8S+PviR4h8PT6Heaxc3mIRHbNeSvMYGUEI0ZdiRtyeK+VfGOka9ba0b+5R5I59YsbjzOo4i8qQ47YPr14ruoVIYdWoLV7t7+i7I+Ynlkqs+bEtNLZLb1d936nBfEHx74i+Ie/UNTZYVvtHvo/IiP7oGFwAUXPGQOc8nJrxLXxd39pqzwgqZNHs5Qf4jt3cDua9m0DwRqmuaXYatYxF4IE1aylI5YGSXEYC5+bo2cdO9fa3wC/Yf8ZeMYbS915JNP06OKKJ3f78nljbwvO04z0zkdayoUJVZezpq77I68TjYUYupVlZeZ+fuk/DTV/GWqanpljay3C6tBAi+VnKsgO4njjkjn61+hHwn/Yk8ReIdQjv/iRIbGwtIY2lRTiaUvnamP4QArZY889q+xZZPg3+zzeweCvCVv8A2r4gbKQ2tuBLcZIJOccRjvknt1q54R8GfFb41mbxB8QLz+wNEaUQPplq+Zp0gZgVkkUYGWJBCnp35r6X+z8LgUp5hPX+Vb/N9D5aGa4zMJOnl0LR/nlt8l1Oo0rV/B3wu0SDwz8J9ISZzJ9mXycCPziCcPLzuYgZwucng1kP8CviP8TNupfGK6SO38+OQaZbyFBsyA24gEcLyByS3BIFeneOdA0fwvY6Da+H4ltoNO1KBwkY4OeMk/jnce4r0O915LaZRK/J4THOO/4+1eNnXGlerTVLDLkpvov1Z9FkXAdCjVdXFS56itq/0OR+H/hXwv8AD74g6lo/g20js7a7tIZDFGAMmJtoLHvwcZzX0RDqiFgASXbjPsK+OvEXjbTvDPxHt9T1W5WC3awmLNJkKu0g84z6dK88uP2j9a8RPJD8OrNpQh2fa7hCsROf4AfvHHQ4xXx1XDTqOPIuh9xQxNKhCSk7JNn3RqHjLT7C2e+1CeOKFMFyzYwORnJx2GTjvXhuqftMR3WoHw74B099SuJCAt2/FoFx1MmcfoTxnB7/ACdremeJ9S1fTL3x3dHURdTNFNbsWEAVlJBCjgkdWzxXvXh82OnW6wWMIMMS7UGAFCHBXjjAHbA5r0qOWQhrUdzyK+czqPlpK3mzvvB3hC98T3J8TeNbv7dcXCrvWKUvAFU8bFPGPfAJr6h0G5t7H/iUWELxR8Fn42vuPAznJPfB6CvmDT9aaPYYkEezcBtPAB6jj8M/zr1fw/q/2ewjnjUswwSM4xn0554HHtXZUk7Wjsc9CjGL5m7vufRb69DHE1vnmNc5QcblOOhwe/WuU07VrjS/iCt3PJn7VZDI2gMpjbGd2ecg/ga8nvviBpmjNPPrF2mflMcMYLSMGOPuqT1/Cua/4SOy1Oaz1e1kklvII5EZWG1GEhAYFjlVwRkqM4x71vhIaNGGOnytM+77TxFEzhZPnaQgBRyOfQf/AK67c6wIYka9uFSNDhYsZeXGeAqnIHbJwK+K/DOqeJpofMa8dUlG7938vcfKGxvK9cdDzX0To2nWESQIufl6rgDr7evOeTWrpLqcbxEn8J2+p6+H13Tz9iaKNoco0zrIxG7O1QoOMcg17hp1z50gvnKou4byBgso6DI757AHIrw3VLezQabq88ZKxStEHJA27yD9316ivcdOs1+zx3G3O1A6Djnjjp1yDxXPWVkXhE5S1OtF3sjnkK5wpUfXHp+PevBvG1xZwrcDWLgwRtbyF5Y+AioNwYsenTqK9y+1QaUPMnDcqX+Ug4OOpz19MV4vrE1l4jM1rKAco8IZj18wFAox161yUu6O3FR91xZ1/wAF76DX/h1a6jbMsaW8kqRhs8hZSys4JONwK4x9e9exWyxoy6g2clcbh0ILdB9McHkCvBv2e9JstPTUfDsDiKLTJ4QYC+X+aEK24DrhlI+or3bXte0XRm+1aip+yJniNTIxCjptXrjHAHVj+NeNi5SU3FHt5dCEqSm2f//T+9/2dv2rvAFl4tufhz+2DJoXwlPhGaBr/drkN1pd/I4ZoYbV5ZWnTdjdLE4+VRyfmFfV37b/APwU9/Zw079ijxP4h/Zs8e6R4p17XpP7BtP7LnEjW5uFbzZCMAgLGCQRxyK/gg8DarpN7rsWoa5oq6zOYpFf7Qd/mhVIMjFXQ+ZjnKsDkDgnr97/AB3/AGx/iV+0X8Ofh98I9U0fS9C0j4eadNaW0GlWpsRK8jA/abqAfIJimFZwAGPzHljX3NPil1KEadTS3Xq/W2nzP52y/gelhsTd63evZel22bHwdI1r4j6GsvzO+p2ijHU5mT9a/se8Iyqtp4tngwxk8R6qx543LMFOee4FfxVfs0+Jf+L6+BPDsiMxutf0y3DLz9+7jBPvnPUV/Zt4AVzoPimWQMA3iXWjz1/4+SOgPTjivtuD5JqbPtc3g1yn5jftTTMLa6lY5IfB79K/LK88wXLnHAyOT6V+m37U15HvnhYn0+vv19a/MK6lVbkhPmA4J/H/ADmurOpfvbHRlsV7MsgOzheoJPXr+dSRja2Bxzg59qkgZHzg98475PSngs52gEnv6V4aR6iLELkJgKQSfw/GpY0JTfn2/I96pLId67jjp+PNTq3mKQw59vahOxLROrbW5+gz1okiII3rjHQj/OKiRhvA/nU7EAEDr0rNy1sBnvlTgipJArKHB6mnXAXYcnOBUQBMQUcgevWlNjv0J4trMVb1pNjJ7ev4VEjMmXT5Semf89KuHON5xzz+dTzEvQjiBJBbqOOa3re2t7mDy5QG44z/AI1iKCQCvatyyZkbAH0H1pxkZTd0dP4H8Sal8N9STUNHs7O+hRsm2u48o2euGXBU85yD16g17tfftKa58Vddi8F+INVh+H3h+SMLcXEEclxcOehRJlUeSp5wQOB1NfPwXzAd3QVXu9PSSEZAIIIbPNd2Hx9ejTlSoS5ebdq1/v3PGx2S4XE1IVcRHmcdrt2+7Y/VD4X/AAw+Dfw/8LvN8Jvst5HOP399HKLmeUHJBkkyT36HFcd4F8SeTouoRT8tBqN0gLHBX592MfiPevzVtbfU9IuF1Hw9czWMo6vA7I31ypH5HI9q6S1+KXxN0bTZ7OKeO7Fw5kM0qAyAnAJyOM8DqM+9fNyyupyyvLmv3PqKeOpx5VGPKlfY+sPjZ4ht7LwmoubiO3lkvLdgpOQwEgO1ecnPHTpWne6+0mouJXG8g7x0HIPy4OOcDtXwBf3kOsWUmqeLr64n1NCJI2liyu4HgK4LABf4c819K/8ACQW9xZC4t2W5QjO5GDjHcnkn61hWwrpQUWa4fF+0nKS02KPxQh0/WNQ0OHWkWW3M4R48ZDAjAB/nXVtfQWkQtNLRY4UwrnOSMDHykfzPavAvihrGo+XplxpwWdYr+KSQHIxGGAc9eT2wPWukbxFbLKVb74y2AQMDvkD8OgJrro1H7OKOWtTXtZOx0fi3xILaXTXEny/bIlIbk4YEHn0rvYNfkKbnYIhPy/xAKOo7Y6nPXtXyj8SdYnt9AWW3m8uWzlS4GPm3CNt2Bzxn1Nefp4g8c+JZfN1qb7NHct/qkJZtp5DdgAenciureyOKUuSTbPud/inoHh1DHczLPIgAIzleOByTgDrzyc1XHxq1jXo/+JdMLKzl6BCdzL064zn3yK+QNJubK2/c2485YmPmyvzyeNuCeSK2/hZrB1DQYJJZN/lvJG3ODvSQ7h9MY47V1wpxj8RyzrTlotD61090vbiO6YNvIADO+dpXkHB4Jz+pr3fwvLBPbqkMvmyIcKrNyHTqc9BnvXzDpviNYbpLaViu8KVUkDBA7HnAx+Nel6X4quILlREwRFX5sdsdfTrWzqdECw3WTPubQdUs8KsLLEx+Uq5OD0zzzn2P8q930HV4XtUkmZkRuOcDntX5v2XxNtbYKbmQ4H3UB5cfj2FeyaP8S2OnpLd3u1I0Hkq37xypzhVQZLDJIGcflQot6iqSS0R9+eIdZgs/Blzq0sJk8ieF9sIJZjymcZ54OfQVv6X8Rr+0t/3zNJGmVI8tgBjgncB2Jx6V83/D/Xdc8Wafe6bp1nPPHeMiIzMEEiJzlsj92DjopZvXHf6a0f4Oat4ugC+Or4IGjGIbZmhmEf8AcWXPA9doBPOSa5a84RXvsijCtOd6S3KHjv4maT4cm8nxLfw2IYKWtXKzXbBlOPLt49zgEc8gDuTXmgs/iv41njT4G6fcwQSEgapqqNBCgxwyW8uA0hOCpLHA/hJr638I/B34X+BCkXhrQ7W3mKfNN5ayylwe8kmTn8a9kRpLqYSTbmdFG04wCP8AerxsRmEVFqmj6CjlE5v99L7j8/v2bPD/AIl8K67qugeIJvMuUQ77gjYZZo23tJMgGFZjOSeTkYNfZEE909kUkkX7RD9xo0CsxjIxnnv+vXpXkF1PD4c+Py2umB4ZZWEs0jnzIGEsTxLGqHAEu9ULZJHPtXu8ISQzXqbk3IW3yORuwfnJUDnPZc8Z71lVd2vNDy+laLi3s2j/1Pi74C/Aj4X/AAY+L2qPqtvb/GfRrrw9peuxaDEn2DXp5bi1F9Ndadf2rtbae+m3G0TGd/niKgIxO2vzC+Knxi8c/tE/FbxP8cLzUPtWoeKL6a/uIPM/eESt8iYUIrFUwvyqoOOAOlezWnx01pPDthZ6xdCwjTS20S0uoEjb7PbSweQ4WJgQzNE2RMuXzhs7gDXyF4j+C+r+A2sZjfrcW16f9GvIADCUHQZUllkA6qwGPcc17dPEUJybgtO3Y/O8Jh5QruFZ2n5rR/ofcH7DtvPc/ti/CPw3eB2u77xPpDiPI2pEl0C+O+7K/TGR61/aL8ONZe78FeIb2yyVk8Ra2cjk/LeyrwT9OnboK/kd/wCCZ3hrUdY/4KGfBe9ltvLt7XU1TClTlLWGW4MuASVyVGc457Yr+q34Nv8AZfg5NPOhRp9Y1abn+IPfTkEfUDjHWv0fw/U5U6kpq2v6C4mqQvFQd7I/OX9qy9tWlkXnG0HJGc5HSvzPm8ppg556k+n+TX6F/tVXCm6a3HdBjn69vrX50NMPtTFvmU8nnnGf6V351J+2sZ5bpTRtRyxMN8WMnAIHbFa1kY2mMmdoBGB2zXP20h84he/AA785q+s3lzA7sbf8mvKUztZ2k+mW8luXUlmGP0J/SuYjRhM8XcZ6+1WY9Uuov3X4D2wScfrUQaRt0jEFjknP/wBalKS6ChGXUqsPm3fUHFTxthsdR6VGq4AC5zn61Lt3Lk9R07Dis2aIZIxZtzf5xSD5sHrTyCGy+eDzUYUdhz/9eokNDkG5gCeP5VbeMoiNnJcdKqhnAyPzqZXyq56AYFRcUlclBIbA6VqWMjFwM5PTmstDnj0q/bZAyO5FBNjqEdH7Yzj2zUsikDC/Xj9Kp2rYG3PX8a1Y1Qrx3/pW5g0TWF2tswadSwU5K+n41U1bSDcyvfaUNrNyU6Ag81ftXjiV1kAcMNpBzkHrkVsWbQNa+aflK8fUitYGUtNTzO1lglm8icGKVT371ej0nSRP5bg2kr8iWI7NwP04Pvmuy1Xw/BrduJ4htnXkMK4KS4u9Ol+wa4m5AcB+n/6qbaejCO90P13wh4ln002Wm3azw8Y3AK4GQcAjIPT0rGvf7URzLPayxuiHaibWJYd8nv2/Gu302/1DSXWe0fz7bOSueQPY13+naloutqygLvHGG4bn+dYPDwextGrJbnyHr+sSXWmapBdwtH+6zhhtOW+8OeuOMdqxrjW1mht/s5BWNMNkcnaOOc8fWvvz/hC/DWp25XWLTchBAZex+vauL1H9nLwfrKMLG5aLI+725HYCtIYVx0TOapUUndnwp/wkMcVtK2mzNudy23f3P8I/l71v/DnxBPY6fdWVyFCreSyAdNocBgcjp9ele+6x+ybfMr/YZVkQj5dp2kAenvXjd9+y/wDEPQ7yS5jaWa3dt+zORuxgYP07YqZUp3Lp2Wp2K/EbTIAtsJVkmiwx2c49mOcflW7B8W3hVtTuEKxx5LbOp42/xehPTrXh7eAPE/h183NjMm4fMQrNz6jrjmqshuUiubeWJwzxOpOOfu44zmlrHc1ak9j6T0zxmL8rNJIfKeJQRyVIbnk/pjNfUPwh1fTby6F5dSbREyoqAFc56MCePrX5g6R4xezsobaVQqRrwWGPu9uemRX0X8MPiM9jbzvqLAyGQhceh5BGPTiuj2isccaV5an9FXwa8RW0QECMI2lUbSSMZOPwFfemjTNHYpLAxO4ZBAGD2AA5Pb/Oa/n++B/x2tZ76HTb6cAsApV+c8ZyOfyr9t/AOuaNqPhmO/si7yMVyAzBCSARz0GAfqcV4+Lpu1z2cPUs7I9h3zoylgXRjg7c5BJ54OPTP510cM86xlpRsjOSmMenJ56884ri012wtpvs4fzGL5CDjJ9Oc4H+e9ZPiT4meG9A2W+p3lrbTzKHRZn8sKoBzknACkdz0/GvHnTbdkj1qddRV2zh/il4eg/4SXTfHBLq9nLbkHdwVSVWYEfdJyDz1wcV6/ePDaxFwzOAzM4ByVxxkDI6j3xXyb8VPjH4c8SeDv7M8P3dvf3k9wUg+zO0wBVTuwUGVIz8rjdzyFaq2mJ8Y/FdnBa+GPDl9umjj2PqEv2S1Tyht3OZMTSE4I4RQeuK7/Y+7G+ljx6OLXtJpK930P/V/np8OeDLDX/hI2uW+pIdQsZ7hr/TrlFjhs7aFo1tmEs0u+c3DNITHGpMW3BPzADgr3w9pVtcMdfkvdOgUKCsDGXYyqBvCsCHUDgN1xxXF+OtT8QR6sf9Om1iwsZJYrf7VGAGhaVnJaLJ2s5YswBJByMmvR/APxM8OTeHP7A1Vha2qzqEWTLmEPkkI+C5TAJ2v93s2Dit8vqQqxU49Oh8/CpGtDX/AIY/Sn/giY1trX/BSLwkll5ksOk6brV8Wcbc+XYzKrBSARnevbrX9P3wRu54/wBmrSLt3INxNfTHJBI827mcZ9xuFfzz/wDBDr4e2+lft0+JvHdmxurCy8GavLDLJnCNK0ERHcEYY/hX9BHwmjuLL9mTwoZSgZ7J5ioxgiV5H4Ujjhv/ANXOf2fgeElhXJ93+h8pxG4+1Sj0S/U/Nv8Aammb+0iYzwV4OemD0457/wCe/wABB42uGV0G7OBg85/w/wAmvur9pO5eTVWSZg5QenPf86+E7iIC7YrjbuHTiozZ3qm2A+BJmjZuiruZc/73bOeBV5I/NI3c56kdf/r1Bp4iaPYxwzY4PoP8/wCe+9JYPERJDjBHQ+nFeXc6pFeWKPaGUY2/gD9fpQhIHHarqM7R7W6FT15B/HrVdFJULjDAc47+9ElfUcbkJ3b8Jk59KkR8N+8BIH5/pU6LFkDoQeMirCwh1YAgms5MtIp4znHA6Y+tQHcecZ/+tV5UkRmhxnOPqfaprSykm8x4yQUycH0oYmzNVOx6t/OpUilV9qjJzjAqV45IsrjhcfyqSBpA29MgrWaVtQvqLFbtLKIxwcirUcTROUfg/pTIppIp/tCnkn2PXsa0p76G6kGEw3cjpT6XIdy7AQV2k57f5NbVqVDDc2APxrn7VlU4znnpW9ETnjuDVRlpYzdkXkKoWCck8dMjml3uZdxAXdgkD/Col+dgB2q8qbhnpt5/GtbkGqPM0uVSTuRgCCO4NX5dN0jxHA0U+A5/CsFI3HytuI9OuO/epbbzIJvMjbaR6dK150RyNnG6h4d1fwtKZIQZIcnjOenpVWGe31BvNgPlSqR3wfxr2Wz1Ozv4vsuqLnPAb1P+Ncv4g8CrI4u9IOD1+U0gXmWdI8c6rDCumamAyDb8w6nHHPrXrWl61BcRrLAQcgE1832+pXun3It9TjyY/lyRjOPXFdXpl+YpRNbH5T/CP5Ctoz01M3DXQ+lbTUAT5bfr3rahnDKD6E9a8b0jWFkjALEHoK7mx1EtFw3XH6V0KRFn1PRJdOikjWeWNJoWUH5lB6nBFc5qXw88Iapbh77ToysoJB2gd8HBxzzT49UnMQttzFB2zxke1bMWpzmJLaQsYVyR6DdzXRdWCm2eMa3+zz8OtVAb7L5Y5GVPT8OlcZF+yvoUE7S6XOUAHJYZyDxgYIx9RX0+1ysyYX2+lOt7x45QD0FP2cWtUXzNHI+Bf2HvEHjO4hufh9rz2F7DE0jhIvOUsg6lGYMMjqQx9hX6I/s9/Dv9qTwzrT/DDxN5phjgS6tby1hjK3BDlHWT7U48jbxyA5bPGO/zD4F/aI+InwT8SWuq+BbKzvZLwm2nS76GJsN8pHQkgc+lfrd8HviZ4h+Injd9U8QRRWZl02OS1tbdCI0wys77m+8zMSCeg2gAcHPmZm6UYPl3XQ0wqnKahLZ9T0aw+C3xDucjxXrdvZttAj+zW6mREB5DGMqGcjqxJGeAAK3NO+Avw8t4/J1YXOqhVIAuJ2ES5GD+7QIDn0JI9a9ks2l+zrclsYJGRkHGD8xOR19aoXC3ttfIttJhGILqRkDPZQO+PU+lfG1cdVlpe3ofTUMrox95q/rqVNJ8N6BoVr9h0GxgtI1VWZbeFI3bHGNygdec5PT9a39n2s073EhMJVgVbHKEHBAH8R56kVu+ZBG6CPL9d7Sctn12471hWt5b3R8pz5yqud2VQZJwCepGevQ1xqTerO5QS0R//9b+am90LU/EV5cane3U11dXUwkuGuNxleQ8l3ckkk9znJ7mi+0jWBfJcajaQXKbCjOilJec5IkQgsCDgqwKkcY716Z4TU6ZpUM15qb+e6ghgQduR3B+8Rnjn9K+j/htY+ENduN+rSw3G47AsmF5PT0H1rplh1BqUUeLhcVQqSkqfTqtj9Ff+CC9reWOr/FaOeWS6g07wbJvmnQJtnubnGxBnOwRoOWI6e1fuP4duF074FeFbG4YCRNGtuPXdCpz69eetfBP/BPXwF4Z+HvwG+OPjTQ7dVhn0y3tPPjc5JWKeUqBzgqWVvevuD4hzHQfA+k2y/cg0+GPryCsaL+fH0/HFft3BN/qEZPz/M+J4ht9alFdLfkflz+0VO0urzD0wAwA+79B06/4V8V3BKSGIL0PHPtX1L8dtbjvdVlSBzuBO7kY/n7/AOe/yxM4EpZmyDz7cV5uaP8AeM78DB8mpPYv5Q2qec107X06RAMAcjk/jXKWxPmbiD06e+BWs7xqyoueQevt16V597HW0ups2BuLlco2ABwOv6Vekt3hwVPUZ7isKxu/KJWI8BepFbLXfmhQvJA5/wD1URdxMaruSQ3VTgjirAmCpsPy4xVM7yW24w3amb/vZyP8/WkxmiXY4OSCeOD/AEqxbahcW6Nv5AIPTH51TtQbgCAEA+prTubNrNS7c/LjB/z2qfMnyIZ5DdytNj73amRxoFOMjpREN5+TqeM9vStg2KQwNKp9Px9azfM9RJ2djOaMSOqRKRgc/UnH4VZn02bT5cOOGAIPatrRoLQu0VxIY9xyp7DHf86ta5dx3SIkWTg49j64qmtLmTnaXKjBi44PIrdtHHCY5JrHjTDEZ7Z/KtKDPAXuevaoi9Al5m1GE3YU4PTkVfiBBw+fQVRi2sRuOSDkjP4fhW1NDCnlvCSQw59ucY9fpW8WZN2GorMSP51LHZzTo8kZG5MYGRyORT1Ajb5DuAOORjr6Chv3rbQAP51SG35laOUE+W4AYZH9K6fTb6RNsDEOpHTrXLSW5DeZu7Z56e9PtpzBIMHBXoauLM2ux1GraFY6rFg/K5yfx6VwD2E+jZjlUtnkN6c13tnqZi3oxyH4PAORnPFadxbxXkOHA59f8mtY2FztHD6dfOFCrwc8evNd7pmokABzz74rk5dCCXCrD8objOe9Ot7ieJxEx5U4OfWtVIpLU9dgueFKNjHTFdBaXkiqdjYBBBzzxXm1jeSLCCnUHj/PSums74yDBT866KbJcLanYRXKlc9eMe9P8/OCBnP4ViRynGB3NSp5gXbnJHSt0Zt6mpP5TXFrNnGyUZz+WD7Gv1t/Z98S2tl420aaGN4me2a0kCgpE2QzKUJJBAyM4xzX5BXILQAOAcMpwSQCNw44/Wv0k+GOv6la+DtN1SfE09lq0KeXH80jrKgUBRyWJzwB37142ZwTlbujpoytFS7NH672WpwxllOFRjn1zx1x7/1pbvU4mi/dqMRDcxPc85J5OOOK+NtW+L0fhqebS7zb5gXeXLhygfjaobBZt4xtXkHHbmun0/4h/arWF9BOoXUl1tbyzZSEbM878gZyScc8dTXzLy1rc99ZxC9onvJ1Y31x9kZ0iXf1cgLzzhiTwBj2rhrrxVaaXbm61ZmmTlVVG6ddoYLnj044FcZcH4hahaFtL0eOCW2AMf8AaJQxFQcMpMb5UHr0JFYepaj8SdR8Q6Fpp1Gys49SjmjaO2tWCrIi5Bb5wXPB2jIHc1vSwCWrZzYjNZbRT1P/1/5dDDd61pX2q3mhkxLlJ5WeIhQPuhRjKg85Az2zS+Fb34jaTqRk05TqRg8xo4rVgQHI+V2bghfYAmvY7WDw/b6NPYXlrunlAVTHGZYyo6NDIsu3awA6qMD9bPgDw3qOvXbaTp1ixhvo3WOUfu3RkIJYOOVZc5ByfyopYt2SjG58RQzWUKjjy2gj+pH/AIJ62Piu0/4JNTeKfFkAg1LxdrEyPGcj90bqCxjChypOQG6c9x6191/Hq7gigNvncqoVK5BxjHY/l0/DHFeV/s86J/wiP7AnwX+H1/I8VzdLpdxMt0xckSSyag/mMMbjtUHtk4Ge9anxe8Q6JL5kbXMatGNuGO0Ej2IHr+hx/tf0jkeG9lgoRS6L/M+UxldVMTKa6s/Ij4wSQzarMScBicnaOTn8fSvniZmSR0Jx/XjrXtvxR1C2vtRlMbDKt/CQcZ+Y9+vPP+NeA3V6sdy3nOVyBgnn+favjcw/iu59NhbcqN6wIVmJ54yB7/4c1qByhLN344rIs596tIrK2OT0/nWjHIS7Z59vXNcdjoaL0KAk4x6Yz+ua3YYQySAdsdqykkVDgLyMfStW21aJTsY4HPGf/wBdOKQKFy9FZAoW3Z98dOanNigRs/d9/Wks7tJIyq4471qpf2giwzA9OpqZS1BxMRLaW3lSaMbsHOcd89K0L28nniwyYHfHc9wK0Rc6Y4yz7Qckcd+2fQVRuZYd2yMj5cfjmodToZ27jIJ/KYMFByB9K1ZrneWjjGFkGQG6j6GsmNwyhVb1PWpkLhwx7fjxU8+hErp3ZbSPYcIfb/69WbCKJJCswB3dD/8AqqNDGUO4Dnik2HORwPbFTe2rKaLjoqPtYcDjIq1AAH24z0qmhyDnB9quwKN/zLzj+VJMmS6G7bxbyGCn5QxI68jmrEWUIONwz/kVVtZpIMmNiAQc8ZzVmJwsmX5H1xmuhMwZqrHMqh5BjJHT9K6TSVsFkE12nmAHGB1B7e3PIrlI5mkGTk8cfh9O1WUVWUY6fXH/AOutY7mTu0XbyKJLyVbcfIGyozn3x1NRfZYpM7eCeo9KtRLHna6hux4ycVajgj2qIX4z3B/rRfV2KTMN7aSHJY5PPT9K0LG9mgYhvmU9c+lXdjnIPb/PNMezBJdAc1UZWHLYvkx3S5HXoePzrKubLD7l4/WpY2kiILcZ/pWhJKrgOFxwM45ye5raBCKEHmQttyciujs2l25B4PX2rJC5UP8ATNaFmyquPmB9O1bx20LkjqbS6QOA5yvTBrWjmVhuauTiZlcMpxwetbEMjMARz9PyreD1M5Rsbk7obCUMDgoc46gDnIr66+Fer6d4r0e38Lakm5IoXuEkfbuby45NiliNys3HC/MRx0r5Cg3k4HPH9K+qvgXf2z+HdVmZ2QWunu9sxDrslVsknacn5SRg544rz8y+KLNaabpTSP2c8GeFfDiaRbT6TYW8Sy26N5kUKJg7QcDGCOoHsMH2rt74xWU8bNHLIrqkYEfz7csFywx9315zjNecfCPWRqfw80zWABkRJFuYkmTywEJ4GVJPAzivTbkXclq8sMfmyKNxjDbQWwcDJ6HjB6818biL3sfaYPlcb2I7y2u7W6ZbQmON8ptGDlV5OQc9e2fzrxXxrepoWq6LrKFXtbPUEDtkK2xwAABwPXpXvW22itR9oTOMNkDduAHRlz1GeT9a8F+MGmmHwNPJeNtKFZ1ZgNoEfLY7ADPBxnvXTgJ3fKzz82p2ipro0z//0PwI+G3hyz8QeHr+/wBMj8i6t4ngaLIHyS8wyQpjAfJ2nPXA6c19B/s7fs/3Ws/G7wX8I4L0w6Lrmt2MOr3ccpEjLNOscmW+8zMrFMjA+avEIPH73M15feHdEht5NQkilPmOzPGSxyrgMM7S3yqAAvqe/v37NWo+L9W/aj+G8drOZ1k8WaXDNYpHIG8v7REVlfYQwjJzjIABU7sjr7mXRo80XWve9n56/wBXPz3EUsXCrJw5XGSW72tvof2WeOfhx4P0n4h+E/B2oSRWcEMN+tlEpYbXt7cRBF2YKlIi235gMBhgk185fGb4K+GtZ0uS5SeIsDLlg0qnqMEEs+OCfUd+RX0d8ebZ9S/aT0S+sy8Z0/StVuMoV4aeWGEZGOcjdj5gQexr5B+N2tavp2n3ABAzlvlDAfe3fwtjHoPc9Cef6JqxjGm7aHymGvKSZ+fHxJ/Z88J/2Zcz21/I+pqXaONJAAwyMZLxgcDJIJ56A9M/HGq/CTWUWVkhugV4+SNZQSOnMcpPOT2r6Q17xnrVtdSoJCygFSCxPHI43ZPcfl9a5qLx9dWzu8sKsrk5BYf5HWvzTEJObsz7KjJpK6PluHwvrOknEss0HPBnt50H5tGR6d6eo1eNisN1bEt281FOfYMVxX2Pb/EO2aELNbcf7PzdiPXHp+tXYfGGhNu+02vmIcfeXd1PTDDnvWSXQ05tT5SsE126mhS7idonKq7RkEAE4yCNwrldbj+IGkz7Do1045AcQvgg+nFfoFoNz8P5vEdjeWVjZMYJPNcPCiZEeWxuwvJx6jnp1rmtc+G/7P3xGne/16C5sJ5iWaWwvbm25PP3YpQByfStZU/cuJVWp+R8EP4k8a2irE2kXOevMbD+YqnN438UxR4bTbleeSUP+Ffb8v7Hfw71Dang74leJtJzkqqarJIoycdJdx6+9VYP2MfihZP5XhT4262joDxdzpNwDgFg3Y9K5oRd/eNvaRufCjfFDUIeJUdCCOCpz9KvRfFVcrluOnpX3c/7Jf7Y0URjg+IWn6wi4A+26dbyFgfUmJ8151rX7L/7XPkyLfaP4N1dVzkyWX2dj7hoRF0rd4JNXVRfj/kRGors8E0z4oafIylpQpPXnmu3svHmlzBds6jHPUVi6l+z5+0VaxMNY+E+k3W3Pz6ZqU8JPp8sjSAflXE3vwk+JOlq0urfCrxHax9d1lexXGPoPLBrldCauhto9+t/FFnLt2yKw4zgjmtSLW4XwwbjPfrXyJcHSNGx/b+ieMtHC8FpbNHX8wy1taJqvwjvtwm8Xajp2eB9qsSMH/a2SGrhhKstFEhw1ufWEWqw7tuQRz1PNa0F4jDeSO3Ga+azp3hAqG0T4i2Tluizw3KZHv8Au2A/M1q2A8SMxj03xHot4c44uQhx64kCYqpYOtF2lF/cJwvqj6ciuIQoCtn/AOvVtLuMNsLZya+dbS7+JELG2iXT7vbnPlXtux/9GZrXGqfFO3Gf+Efnmx0MBEvH/AWNStNzOdOx9BR3EW0bzycgDIrQgmRiNvHHX39q+dX8YePbfAv/AA5qSYH8VvJ09jtpIPivHYsPt9pc2xPHzxsMevBFVGaMnDsfTkWGJJGB7n/Gr8SDBxn14NeH6R8W/Dl25SSUjHPzAiu6i8f+F41DNdID25x/nFaXRKgzvlOWCnhQOeMY/wA+1WY1jbj1rz9PH+hzNsW4jYjplh/PNaVv4u0uVyVljOBnqMcfj3qmx8p1/wBniDFj2yetHlBWyM89vrXNnxNp7DJkUAdCDmtBNesJFJjkGMdSRWsX3M7M2AB9xxk/z9qngiRWCy5x0yPXtWbDqtm6gRv15x71b/tGD7jNnacZPofStoSLRpRsnlZX73Qe1aUL4YLWJHcW4faWBGenrirkVzEcAHg+lbRC2h1dsScAdT2FfQ3wD1Oa91KfRxiJCWEreZ8/yfNgDJ3BgoHTjp9fma1u/LfcCT1ya634Pn4vTePNRg8EaFaPYKVlbUJpY42CsoLMNzbsqcgKFxn61y5jH3VIqjs490fvv+zxr9nrvgSLW5CpiWe4tQzNgqUnYBWXjnDLg9TnA619QvaQrGbgKwlLElADt2gYDY6g5/QV8L/sVXetah8Nb7TvFhMV1FqMjRq7gHy5I0YNklixfG45ycEZwRX3Xp09z5EjMFYlTJu3fLiPGFPTlj0Gcmvisd7s2fX5XeVKPoWpNJk1G2kjVlikcEKem7GCeMf3enP9a8L+MGiJP4BubnW1iktYX2hGGcxyDaVkJJGd2GB4GMZHFe/2iwyzK8jHkbXC8HLYOWGfw78da4z4lRaWngnUkv4neOCI+YgxHlM/Mc9MhckkkDFcWGxHLUi/M9DG4ZSoyj5H/9H8bvjd4bvfhr45tl8O6fJqfhrUo3+y30D+Yy3KqQLRo4lIEytyQxAdeVI5r6+/4JzeGovid+2R8OWv5DZ3Npqtre3MUEQtJGNhG0gjfO0yw/u90mzlmOT0NfnL4W+POt+FfDzfD3Q7dItBecSSopMdzMMgEPMCTgj+Eceua/V7/gjlaXvi79vu01LyrW5t9D0jUdQ+0728y3TyvswhTa2xhI0wLFwSMDaRyD9PhKdSpi6VCafLJp30012/pH5lhcslHDznONpRT13uvNPZn9FHiy5vdc/aA8RXqZK6ZpVlYLtyPnuZJLiXqQp+UR8gnHQgZBr41+P2tXrLPuV13nBU9eBjPT/PuOn1DaahdXGr+MPES4IutamRH6MyWkaW4ye+CjhTzxkZ6ivhX45+KZ97xO2SSWwD0J5H+f69f3fMalqLZ4+Cj7yR8I+IZGurmQvuVmZsdu/9a5h7ddiqWPWuq1SeN5yzkFskg8Vkboj2/l0/nX5zJXZ9WtiiAY0whwwA6gYOK0Vizgq3tyB/n8qdG0Tr93vjrxirqxxv90bu3Hak1YdkNhupYuBjJAPXj8KlW82kn+Ljpjr6Zp22PgFWG7Oef5c0z7PCXwm7Hp15H41Ei9XogWZwGKEoAvYf5NXrfV763bYs2S2M8nke5zVNbRI1PP5+n+NSxwqV2bt3c+3fNTzMe51ln428TabGI7S+mQKeAkjADHTAz+NdlD8dPiPYgRDU5XRRgCQhhgfUV5U1q4VZRjD9DkDPOKryREjDcEgZ46GpbezJUbbHvmm/tKfESxnDPcxygdA8YOfrj/8AXXZ2H7VniRV2anpttMDn7oZD/X0r5RjjyrA5AHtz9etWo4X3DHAB70rM55wT6H2TbftPaXcbU1XQYpl5JAIOR6YIqK6+JHwa1hhPqHhG3kZsliVTn0AyDxivkoRFmAfGR7dc1qxRB1HHB6YoQpU10Pf7rS/2OfEBa413wHbCU4+YW8Z579KxF+Dn7Ct5GEPhz7M7NksqSx4HsY3yK8rS2/d4PTPr/OtaGM4wR8o9+a6I4ipH4ZP7yY77nW3H7Mn7BWrylr2zulU9xLcrgD6OeprN/wCGM/2GJWWXTNY1mwOTgRXEw2j23KckVSgt5Q20dhnOfWrlussYyeeOuea6Fjq38zHOTXU6uw/Y+/Z/tI8eHPinr+nkj5f3xOB9THVx/wBkjRjIgs/jlq6Bu0m2UbfUhq5mFp4slT+Z5q5BLOHDP82PerlmVZ7y/IyTa0uR3H7I12lxi3+MMWoh+dl5pdnKDgdMlc/rWef2QfE13CU0jxxoRdecXOkRlTnt8lwn6VuCSba0YGdvI5H+NT2eoXagJKdy+nH8jUvEuW6X3Itps5Ff2M/iGjv52s+Bb18lVDWt5bsT77LlhUT/ALFPxTlRo7XSvB91ID/yx1S+h3Yx0DbwP1rv5NRlZh97GT06Vox6hdxMgLkbVz9K0WIVtYr7h80l1PHW/Y1+OWHceDbN0T+Kz8RHB+gmgzVF/wBkf49xz+TD4L1RV4+a116xlwPZZIlyfxr6Bj8Q6iqYildTxn5zn+dMfxXrruJPtc3XGFZhn9aPawlpyL8f8xSqyR876h+zN8dNKX7RaeGvFmBxhW02cj16XC5rnbj4VfHPS22alo/iu0EYzl9HSYfnBcPX15F4x8VRKFiv7gHrgStx6962rD4k+NrSVTFqlyB6CRjW96Tfw/iwVSWx+dkus+KNLna21S91LTSuRnUtDvoF/wC+lVxTIviibGbyz4m0hmGPkmFzAf8Ax+HH61+osHxo+JEWf+JlJKrEfLLhh9PmBpl58XfE92ph1G20+7B7T2kT/wAwa6IOg9HF/f8A8AOeXY/OvSvine3EgMN/o9ypOMx6hEvPph9pz9a+/v2Y7++1y9ltbkiCaZcp5EyTRsjDDHdGTuyQMDsR71y+o+IdHvD/AKb4a0FyepGnQjP4gV3fwMNlY+P0fRreLSIpQDPHZRBEdVySNq9Cex6Z7ZrmzZUPq8uRu/nY68vu6quj9I/2LNXu7nxDq+naoftM1zaWk7QptGyWEtC6DJBywIbBPI/AH9KPMuIGFpCCsY+YkrjLY6EZJAYnPODxX48fsleK7e7/AGo9U8D6nEYi0D3ETP8AK7ZUNnDA8Yi4PQ5/Gv2Z0+yuLmKa1cFT5gdyRlsAgrz93bjseegr89x9eEpn02S05Rp6dGyzFCZJVki+9syRu3DaeBznuSfyrmPGTyxeDNUsLVQJXt5Y2jdScF1xyACSvTuQeOMV2H9n2lpctb2jIyoVdT7MvI77uBwcYzWlqq6T/ZN0yxyPNNGwYIuT5YHJJPTOQcYzxxXkQkk9T6GcHKLsf//S/mcsYcyFXycjqa/ov/4N+/C9tcePfiR8R7y2SBfDuhx2IuQ5/eG8nExGw8KVS3IyDznnpX87durRSjsBX9Sn/BJjQrzwt/wTs8feNraPbdeJ9ffS7SQZBx5cNqOQCcLLO5GM85r9W4eoqWLg+12fn+b1XHDSS66fifo14WsLuw+F1pFdvumuFku5CSu4Ncu07c4AJy469xg8jJ/N344XXmakyySYdDtIwOw6fl+nqK/UvxxBBpPh1oLWRQtrGsSkE/MEAXPUsflA6c/UYr8hPi/di61eRElDtzkjGOeByPf/AD2r73PKnLR5TwctXNUbPDmtZDIZSw2lsH64z/n/APXVSSFi43ngcZ49TU7+YXyx4XsD/LFORPMJ3Z5A/HFfDRi73Po20Vxbsm1weuSeB26Z+lW7cMSEGMdMY78Usce0+X278+v+f897sZhVfmI3YJzz/jSkXZW1I4ot78Hg+nH49aeURVP+z0I9Pzp6BTnb+OCewqWGFmUBufx/xrOa6lRaI40k8vKknB9fWrI3xy7iOQuOuc/XrSSwyDoR14xgcH6VKV2uWBOSfWpcdB3ECTs2ApIU96NjxH68ZwKtBpmJDEgMfwpwB8wbTnjpkfnUjKwjbaSOhI9Ocj61biTaAhA654AGcd+tOyzfeYA+px6VYRW656UntqZ2BPMztXktjjnmtiBHJBI5xjjPcVUWPK7skHrkHP8Ak8VqQfMAW5OOvX+tJGMlqXYOBggYJ/z2rVhjyQpxnGPu1TgRcHBPt/8AqyK3beEMm3YcEDBx0B/GqRGxXjtpN3I2+5HerhATCj5jjkDirMMJZyNpI7Yz+taUVsQxZQAOD05rZeZD2M7y1xgDn3qwiFSEIBGO3cfn2rSS3cxjPc9iOlWYoQvKgcdR/ntimombfUyZEmBG3hwOPcfnVyKFZWy5CknGBir8UJOV4wOeeuasrjd8u3ju3XnsKvbYUZamcYo42G0EsCcdDVlIS3DYLEc5649OK1BGi/OXC8duv44qWOK2+7g4HP1+vXFUkaXRmKjE4OAByAe3+PrUyQ7R5YXr3HWtwQxbVXk5ODx6/WpwqAAKhOTlj/8AXq7DKMUcZypX/wCtj3q5DbKp3qoHOSfetOKHzG/cqRn8Op6HmtRLEEL8vPJGP/11tFDUWjEaFioLL0INQkMc5UA46+tb04WPAIwRx+X61ly8q0qj5T/OtLAcxOvzZYAEDpXUfDbxJp/h3xrbXurXgsIpf3XmsxTOf4Mg5G/kYrn7yfOUUcfTmuB8ZfDDQPi7p8Hg3xS8sVpNcxyGSHHmKYzkFc5H51zY+PNRmn2OvBVHGrFx3ufoZ4Z8TaP4X/by8Oa7Y6jGbXXrH7L9rjwsIMS5279+MKrNuGeMdK/ayD4oeB7OSS0udYtpHgYEKJMOVP3epw3Q524GcCvx5+A//BOP4ENosNhos13Z2/l7pYZBaOpb5fMYh4mOec8dDX19pv8AwTv8A2U8cFj4h1i1t7ePy7dYXhifLcvgiLAy2eB0GMk1+YSqUp/Gz7bD0sVSlLlitfM+3NQ+JHhgosaaglqGwssoG3dHH/AGI+YDtjJwcHFPvPi98PdUsYTDrNqqBCrKskYfoMuVz0CkZ4wM18w337EfgKfULa4v/EuvX0tlKXhinuY5RHhcgglAQc8k4+916Yrmn/4JwfAm4ku9Ru5tXL3DOHaGaOAEEH5S0UakrnOQRjnHNTP2F0rs6ISxiv7q+8//0/5u57KSFxvG1l4YHgjHqPUV/ZT+xl4Jj8H/ALB3wI+Hk0TRT69cy+IbpRty65mu1PIJ6mDkfN0x2qf42f8ABL79kj4m+MfDX7RPjb4aeLPCvib4o67LbWXw/huI1hndMPNeXjoge0t9hMsqLtYr2GSa+5PFVjpdr8XIPBHhOGG30nwVoa2ltBbAxxx/aJAsaoijCqIbcYXJO0jviv2rhDDv20pNpn5RmeYqrCMUmuup4T8ZdRgttHktncK5AJHUYPTtj8+PQjivx++I9yl3rM22Qvhuvb36/wD6/wCv6pftC6q8di/llswqd2euOBx2wM/l1GDx+S/iKZ7jUZHyxySTk5P0/wA/4V7/ABHPVInJYvVnKbVaM9MLz19qjiQlcLwecD1FX2jUNtXOG75OfWrHkJjqM9fevlobH0E4psqSKXmJ7Hrge2KnNvIY956DqSMnrSpFt/P/ADj/AD/9eytspChmzyOcYpSsFmQxRBY8MdxPQEjAqQRKQADg9un+eK0IgsJ3K3seB2+tLGhV2AY4HPbNYyRcdivHCFOVHUfn/OpoY0JKkAZHBwKuIrbgVY/j1AHr+tWFhO4GU+2c+n9azbE9yorIyKJExt7Z9v8APvTcoeAuec/lWiY2dWfvySc0JEkamMqDz05qUVfQghiVQpzjJznbz9avCNQ4ETHGOlPSEgltoPAz1zVmMktuU4AHXHT</t>
  </si>
  <si>
    <t>ART. CODE:</t>
  </si>
  <si>
    <t>LOC:</t>
  </si>
  <si>
    <t>PIECE DETAILS:</t>
  </si>
  <si>
    <t>QNT/SET:</t>
  </si>
  <si>
    <t>CODE</t>
  </si>
  <si>
    <t>MATERIAL WEIGHT:</t>
  </si>
  <si>
    <t>FactoryOrderDetailID</t>
  </si>
  <si>
    <t>ClientUD</t>
  </si>
  <si>
    <t>ArticleCode</t>
  </si>
  <si>
    <t>Description</t>
  </si>
  <si>
    <t>FactoryUD</t>
  </si>
  <si>
    <t>UpdatorName</t>
  </si>
  <si>
    <t>UpdatedDate</t>
  </si>
  <si>
    <t>ModelThumbnail</t>
  </si>
  <si>
    <t>MaterialThumbnail</t>
  </si>
  <si>
    <t>SubMaterialThumbnail</t>
  </si>
  <si>
    <t>SubMaterialOptionNM</t>
  </si>
  <si>
    <t>SubMaterialOptionUD</t>
  </si>
  <si>
    <t>MaterialColorNM</t>
  </si>
  <si>
    <t>MaterialColorUD</t>
  </si>
  <si>
    <t>CushionColorNM</t>
  </si>
  <si>
    <t>CushionColorUD</t>
  </si>
  <si>
    <t>FabricWeight</t>
  </si>
  <si>
    <t>OverallDimL</t>
  </si>
  <si>
    <t>OverallDimW</t>
  </si>
  <si>
    <t>OverallDimH</t>
  </si>
  <si>
    <t>SeatDimL</t>
  </si>
  <si>
    <t>SeatDimW</t>
  </si>
  <si>
    <t>SeatDimH</t>
  </si>
  <si>
    <t>ArmDimL</t>
  </si>
  <si>
    <t>ArmDimW</t>
  </si>
  <si>
    <t>ArmDimH</t>
  </si>
  <si>
    <t>OtherDimL</t>
  </si>
  <si>
    <t>OtherDimW</t>
  </si>
  <si>
    <t>OtherDimH</t>
  </si>
  <si>
    <t>SeatCushionDimL</t>
  </si>
  <si>
    <t>SeatCushionDimW</t>
  </si>
  <si>
    <t>SeatCushionDimH</t>
  </si>
  <si>
    <t>BackCushionDimL</t>
  </si>
  <si>
    <t>BackCushionDimW</t>
  </si>
  <si>
    <t>BackCushionDimH</t>
  </si>
  <si>
    <t>SeatCushionStuffing</t>
  </si>
  <si>
    <t>SeatCushionWeight</t>
  </si>
  <si>
    <t>SeatCushionParts</t>
  </si>
  <si>
    <t>MaterialDescription</t>
  </si>
  <si>
    <t>MaterialWeight</t>
  </si>
  <si>
    <t>NetWeight</t>
  </si>
  <si>
    <t>BackCushionType</t>
  </si>
  <si>
    <t>BackCushionStuffing</t>
  </si>
  <si>
    <t>BackCushionWeight</t>
  </si>
  <si>
    <t>BackCushionParts</t>
  </si>
  <si>
    <t>BackCushionFinishing</t>
  </si>
  <si>
    <t>ItemCartonBoxDimL</t>
  </si>
  <si>
    <t>ItemCartonBoxDimW</t>
  </si>
  <si>
    <t>ItemCartonBoxDimH</t>
  </si>
  <si>
    <t>ItemQnt20DC</t>
  </si>
  <si>
    <t>ItemQnt40DC</t>
  </si>
  <si>
    <t>ItemQnt40HC</t>
  </si>
  <si>
    <t>SetCartonBoxDimL</t>
  </si>
  <si>
    <t>SetCartonBoxDimW</t>
  </si>
  <si>
    <t>SetCartonBoxDimH</t>
  </si>
  <si>
    <t>SetQnt20DC</t>
  </si>
  <si>
    <t>SetQnt40DC</t>
  </si>
  <si>
    <t>SetQnt40HC</t>
  </si>
  <si>
    <t>QntInBox</t>
  </si>
  <si>
    <t>CartonPaperThickness</t>
  </si>
  <si>
    <t>GrossWeight</t>
  </si>
  <si>
    <t>POLNM</t>
  </si>
  <si>
    <t>SignatureThumbnail</t>
  </si>
  <si>
    <t>ClientComplaintItemImageID</t>
  </si>
  <si>
    <t>ClientComplaintItemID</t>
  </si>
  <si>
    <t>FileUD</t>
  </si>
  <si>
    <t>FileLocation</t>
  </si>
  <si>
    <t>ClientComplaintID</t>
  </si>
  <si>
    <t>Season</t>
  </si>
  <si>
    <t>ComplaintReference</t>
  </si>
  <si>
    <t>ComplaintDate</t>
  </si>
  <si>
    <t>AccountManager</t>
  </si>
  <si>
    <t>OrderNo</t>
  </si>
  <si>
    <t>ArticleDescription</t>
  </si>
  <si>
    <t>OrderQnt</t>
  </si>
  <si>
    <t>ComplaintDescription</t>
  </si>
  <si>
    <t>QuantityOfComplaint</t>
  </si>
  <si>
    <t>UnitPrice</t>
  </si>
  <si>
    <t>ForwarderNM</t>
  </si>
  <si>
    <t>ControllerName</t>
  </si>
  <si>
    <t>LoadingPlanUD</t>
  </si>
  <si>
    <t>ContainerNo</t>
  </si>
  <si>
    <t>BLNo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</si>
</sst>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[$-413]d/mmm/yy;@"/>
    <numFmt numFmtId="166" formatCode="_-[$$-409]* #,##0_ ;_-[$$-409]* \-#,##0\ ;_-[$$-409]* &quot;-&quot;_ ;_-@_ "/>
    <numFmt numFmtId="167" formatCode="[$-409]d\-mmm\-yyyy;@"/>
    <numFmt numFmtId="168" formatCode="[$-409]d\-mmm\-yy;@"/>
    <numFmt numFmtId="169" formatCode="0.000"/>
    <numFmt numFmtId="170" formatCode="_-* #,##0\ _B_F_-;\-* #,##0\ _B_F_-;_-* &quot;-&quot;\ _B_F_-;_-@_-"/>
    <numFmt numFmtId="171" formatCode="[$-409]dd\-mmm\-yy;@"/>
  </numFmts>
  <fonts count="6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Verdana"/>
      <family val="2"/>
    </font>
    <font>
      <b/>
      <sz val="14"/>
      <name val="Verdana"/>
      <family val="2"/>
    </font>
    <font>
      <sz val="14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b/>
      <sz val="22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3"/>
      <name val="Verdana"/>
      <family val="2"/>
    </font>
    <font>
      <sz val="14"/>
      <color theme="5"/>
      <name val="Verdana"/>
      <family val="2"/>
    </font>
    <font>
      <b/>
      <sz val="14"/>
      <color rgb="FF00B050"/>
      <name val="Verdana"/>
      <family val="2"/>
    </font>
    <font>
      <sz val="11"/>
      <color theme="5"/>
      <name val="Verdana"/>
      <family val="2"/>
    </font>
    <font>
      <b/>
      <sz val="12"/>
      <color theme="4"/>
      <name val="Verdana"/>
      <family val="2"/>
    </font>
    <font>
      <b/>
      <sz val="12"/>
      <color theme="1"/>
      <name val="Verdana"/>
      <family val="2"/>
    </font>
    <font>
      <b/>
      <sz val="12"/>
      <color theme="3"/>
      <name val="Verdana"/>
      <family val="2"/>
    </font>
    <font>
      <sz val="12"/>
      <color theme="1"/>
      <name val="Verdana"/>
      <family val="2"/>
    </font>
    <font>
      <sz val="12"/>
      <color theme="8" tint="-0.249977111117893"/>
      <name val="Verdana"/>
      <family val="2"/>
    </font>
    <font>
      <b/>
      <sz val="12"/>
      <color theme="8" tint="-0.249977111117893"/>
      <name val="Verdana"/>
      <family val="2"/>
    </font>
    <font>
      <b/>
      <sz val="12"/>
      <color rgb="FF00B050"/>
      <name val="Verdana"/>
      <family val="2"/>
    </font>
    <font>
      <b/>
      <sz val="12"/>
      <color theme="5"/>
      <name val="Verdana"/>
      <family val="2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Verdana"/>
      <family val="2"/>
    </font>
    <font>
      <sz val="16"/>
      <color theme="1"/>
      <name val="Verdana"/>
      <family val="2"/>
    </font>
    <font>
      <sz val="12"/>
      <color theme="5"/>
      <name val="Verdana"/>
      <family val="2"/>
    </font>
    <font>
      <b/>
      <sz val="14"/>
      <color theme="4"/>
      <name val="Verdana"/>
      <family val="2"/>
    </font>
    <font>
      <sz val="11"/>
      <color theme="4"/>
      <name val="Verdana"/>
      <family val="2"/>
    </font>
    <font>
      <sz val="11"/>
      <color rgb="FF00B050"/>
      <name val="Verdana"/>
      <family val="2"/>
    </font>
    <font>
      <sz val="11"/>
      <name val="Calibri"/>
      <family val="2"/>
      <scheme val="minor"/>
    </font>
    <font>
      <b/>
      <sz val="10"/>
      <color theme="0"/>
      <name val="Verdana"/>
      <family val="2"/>
    </font>
    <font>
      <sz val="10"/>
      <color theme="0"/>
      <name val="Verdana"/>
      <family val="2"/>
    </font>
    <font>
      <b/>
      <sz val="20"/>
      <name val="Verdana"/>
      <family val="2"/>
    </font>
    <font>
      <sz val="20"/>
      <color theme="1"/>
      <name val="Verdana"/>
      <family val="2"/>
    </font>
    <font>
      <sz val="20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name val="Arial"/>
      <family val="2"/>
    </font>
    <font>
      <b/>
      <sz val="20"/>
      <name val="Arial"/>
      <family val="2"/>
    </font>
    <font>
      <b/>
      <sz val="13"/>
      <name val="Arial"/>
      <family val="2"/>
    </font>
    <font>
      <sz val="13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indexed="10"/>
      <name val="Arial"/>
      <family val="2"/>
    </font>
    <font>
      <b/>
      <sz val="11"/>
      <color rgb="FFFF0000"/>
      <name val="Arial"/>
      <family val="2"/>
    </font>
    <font>
      <i/>
      <sz val="11"/>
      <color theme="1"/>
      <name val="Calibri"/>
      <family val="2"/>
      <scheme val="minor"/>
    </font>
    <font>
      <b/>
      <u/>
      <sz val="1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i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color theme="0"/>
      <name val="Arial"/>
      <family val="2"/>
    </font>
    <font>
      <b/>
      <u/>
      <sz val="9"/>
      <name val="Arial"/>
      <family val="2"/>
    </font>
    <font>
      <b/>
      <sz val="10"/>
      <name val="Arial"/>
      <family val="2"/>
    </font>
    <font>
      <b/>
      <sz val="12"/>
      <color theme="3" tint="0.39997558519241921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9"/>
        <bgColor indexed="64"/>
      </patternFill>
    </fill>
  </fills>
  <borders count="7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</borders>
  <cellStyleXfs count="13">
    <xf numFmtId="0" fontId="0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1" fillId="0" borderId="0"/>
    <xf numFmtId="0" fontId="1" fillId="0" borderId="0"/>
    <xf numFmtId="164" fontId="12" fillId="0" borderId="0"/>
    <xf numFmtId="0" fontId="68" fillId="0" borderId="0" applyNumberFormat="0" applyFill="0" applyBorder="0" applyAlignment="0" applyProtection="0"/>
  </cellStyleXfs>
  <cellXfs count="771">
    <xf numFmtId="0" fontId="0" fillId="0" borderId="0" xfId="0"/>
    <xf numFmtId="0" fontId="2" fillId="0" borderId="0" xfId="1" applyFont="1"/>
    <xf numFmtId="0" fontId="5" fillId="0" borderId="0" xfId="1" applyFont="1"/>
    <xf numFmtId="0" fontId="6" fillId="0" borderId="0" xfId="1" applyFont="1" applyAlignment="1">
      <alignment horizontal="distributed" vertical="distributed"/>
    </xf>
    <xf numFmtId="0" fontId="8" fillId="0" borderId="0" xfId="1" applyFont="1"/>
    <xf numFmtId="0" fontId="13" fillId="0" borderId="0" xfId="0" applyFont="1"/>
    <xf numFmtId="0" fontId="6" fillId="0" borderId="0" xfId="1" applyFont="1"/>
    <xf numFmtId="0" fontId="14" fillId="2" borderId="3" xfId="1" applyFont="1" applyFill="1" applyBorder="1" applyAlignment="1">
      <alignment horizontal="center" vertical="distributed"/>
    </xf>
    <xf numFmtId="0" fontId="14" fillId="2" borderId="4" xfId="1" applyFont="1" applyFill="1" applyBorder="1" applyAlignment="1">
      <alignment horizontal="center" vertical="distributed"/>
    </xf>
    <xf numFmtId="0" fontId="14" fillId="2" borderId="5" xfId="1" applyFont="1" applyFill="1" applyBorder="1" applyAlignment="1">
      <alignment horizontal="center" vertical="distributed"/>
    </xf>
    <xf numFmtId="0" fontId="4" fillId="2" borderId="3" xfId="1" applyFont="1" applyFill="1" applyBorder="1" applyAlignment="1">
      <alignment horizontal="left" vertical="top" wrapText="1"/>
    </xf>
    <xf numFmtId="0" fontId="5" fillId="2" borderId="0" xfId="1" applyFont="1" applyFill="1"/>
    <xf numFmtId="0" fontId="7" fillId="2" borderId="6" xfId="1" applyFont="1" applyFill="1" applyBorder="1"/>
    <xf numFmtId="49" fontId="8" fillId="2" borderId="6" xfId="1" applyNumberFormat="1" applyFont="1" applyFill="1" applyBorder="1" applyAlignment="1"/>
    <xf numFmtId="165" fontId="8" fillId="2" borderId="6" xfId="1" applyNumberFormat="1" applyFont="1" applyFill="1" applyBorder="1" applyAlignment="1"/>
    <xf numFmtId="166" fontId="4" fillId="2" borderId="4" xfId="1" applyNumberFormat="1" applyFont="1" applyFill="1" applyBorder="1" applyAlignment="1">
      <alignment horizontal="left" vertical="center" wrapText="1"/>
    </xf>
    <xf numFmtId="166" fontId="15" fillId="2" borderId="4" xfId="1" applyNumberFormat="1" applyFont="1" applyFill="1" applyBorder="1" applyAlignment="1">
      <alignment vertical="top" wrapText="1"/>
    </xf>
    <xf numFmtId="166" fontId="15" fillId="2" borderId="5" xfId="1" applyNumberFormat="1" applyFont="1" applyFill="1" applyBorder="1" applyAlignment="1">
      <alignment vertical="top" wrapText="1"/>
    </xf>
    <xf numFmtId="0" fontId="16" fillId="2" borderId="3" xfId="1" applyFont="1" applyFill="1" applyBorder="1" applyAlignment="1">
      <alignment horizontal="center" vertical="distributed"/>
    </xf>
    <xf numFmtId="0" fontId="17" fillId="2" borderId="5" xfId="0" applyFont="1" applyFill="1" applyBorder="1" applyAlignment="1">
      <alignment horizontal="center" vertical="distributed"/>
    </xf>
    <xf numFmtId="0" fontId="10" fillId="0" borderId="6" xfId="0" applyFont="1" applyBorder="1" applyAlignment="1">
      <alignment horizontal="center" vertical="distributed"/>
    </xf>
    <xf numFmtId="0" fontId="7" fillId="0" borderId="6" xfId="1" applyFont="1" applyBorder="1" applyAlignment="1">
      <alignment horizontal="center" vertical="center" wrapText="1"/>
    </xf>
    <xf numFmtId="1" fontId="18" fillId="0" borderId="6" xfId="1" applyNumberFormat="1" applyFont="1" applyBorder="1" applyAlignment="1">
      <alignment horizontal="center" vertical="center" wrapText="1"/>
    </xf>
    <xf numFmtId="49" fontId="7" fillId="0" borderId="6" xfId="1" applyNumberFormat="1" applyFont="1" applyBorder="1" applyAlignment="1">
      <alignment horizontal="center" vertical="center" wrapText="1"/>
    </xf>
    <xf numFmtId="0" fontId="7" fillId="3" borderId="6" xfId="1" applyFont="1" applyFill="1" applyBorder="1" applyAlignment="1">
      <alignment horizontal="center" vertical="distributed"/>
    </xf>
    <xf numFmtId="0" fontId="7" fillId="3" borderId="6" xfId="1" applyFont="1" applyFill="1" applyBorder="1" applyAlignment="1">
      <alignment horizontal="center" vertical="center"/>
    </xf>
    <xf numFmtId="0" fontId="7" fillId="3" borderId="6" xfId="1" applyFont="1" applyFill="1" applyBorder="1" applyAlignment="1">
      <alignment vertical="center"/>
    </xf>
    <xf numFmtId="1" fontId="20" fillId="0" borderId="6" xfId="1" applyNumberFormat="1" applyFont="1" applyBorder="1" applyAlignment="1">
      <alignment horizontal="center" vertical="center" wrapText="1"/>
    </xf>
    <xf numFmtId="49" fontId="7" fillId="4" borderId="6" xfId="1" applyNumberFormat="1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wrapText="1"/>
    </xf>
    <xf numFmtId="0" fontId="7" fillId="0" borderId="7" xfId="1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6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18" fillId="0" borderId="6" xfId="1" applyNumberFormat="1" applyFont="1" applyBorder="1" applyAlignment="1">
      <alignment horizontal="center" vertical="center" wrapText="1"/>
    </xf>
    <xf numFmtId="49" fontId="0" fillId="0" borderId="0" xfId="0" applyNumberForma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18" fillId="0" borderId="6" xfId="1" applyNumberFormat="1" applyFont="1" applyBorder="1" applyAlignment="1">
      <alignment horizontal="center" vertical="center" wrapText="1"/>
    </xf>
    <xf numFmtId="2" fontId="22" fillId="4" borderId="6" xfId="0" applyNumberFormat="1" applyFont="1" applyFill="1" applyBorder="1" applyAlignment="1">
      <alignment horizontal="center" vertical="center" wrapText="1"/>
    </xf>
    <xf numFmtId="2" fontId="23" fillId="4" borderId="6" xfId="1" applyNumberFormat="1" applyFont="1" applyFill="1" applyBorder="1" applyAlignment="1">
      <alignment horizontal="center" vertical="center" wrapText="1"/>
    </xf>
    <xf numFmtId="49" fontId="11" fillId="0" borderId="6" xfId="0" applyNumberFormat="1" applyFont="1" applyBorder="1" applyAlignment="1"/>
    <xf numFmtId="0" fontId="36" fillId="4" borderId="1" xfId="1" applyFont="1" applyFill="1" applyBorder="1" applyAlignment="1">
      <alignment horizontal="center" vertical="distributed"/>
    </xf>
    <xf numFmtId="0" fontId="36" fillId="4" borderId="1" xfId="1" applyFont="1" applyFill="1" applyBorder="1" applyAlignment="1">
      <alignment horizontal="distributed" vertical="distributed"/>
    </xf>
    <xf numFmtId="0" fontId="37" fillId="4" borderId="1" xfId="1" applyFont="1" applyFill="1" applyBorder="1" applyAlignment="1">
      <alignment horizontal="distributed" vertical="distributed"/>
    </xf>
    <xf numFmtId="0" fontId="37" fillId="4" borderId="2" xfId="1" applyFont="1" applyFill="1" applyBorder="1" applyAlignment="1">
      <alignment wrapText="1"/>
    </xf>
    <xf numFmtId="0" fontId="36" fillId="4" borderId="0" xfId="1" applyFont="1" applyFill="1" applyAlignment="1">
      <alignment horizontal="distributed" vertical="distributed"/>
    </xf>
    <xf numFmtId="0" fontId="7" fillId="4" borderId="0" xfId="1" applyFont="1" applyFill="1" applyAlignment="1">
      <alignment horizontal="left" vertical="distributed"/>
    </xf>
    <xf numFmtId="0" fontId="36" fillId="4" borderId="0" xfId="1" applyFont="1" applyFill="1" applyBorder="1" applyAlignment="1">
      <alignment horizontal="center" vertical="distributed"/>
    </xf>
    <xf numFmtId="0" fontId="36" fillId="4" borderId="0" xfId="1" applyFont="1" applyFill="1" applyBorder="1" applyAlignment="1">
      <alignment horizontal="distributed" vertical="distributed"/>
    </xf>
    <xf numFmtId="49" fontId="36" fillId="4" borderId="0" xfId="1" applyNumberFormat="1" applyFont="1" applyFill="1" applyBorder="1" applyAlignment="1">
      <alignment horizontal="distributed" vertical="distributed"/>
    </xf>
    <xf numFmtId="0" fontId="37" fillId="4" borderId="0" xfId="1" applyFont="1" applyFill="1" applyBorder="1" applyAlignment="1">
      <alignment horizontal="distributed" vertical="distributed"/>
    </xf>
    <xf numFmtId="0" fontId="37" fillId="4" borderId="20" xfId="1" applyFont="1" applyFill="1" applyBorder="1" applyAlignment="1">
      <alignment wrapText="1"/>
    </xf>
    <xf numFmtId="49" fontId="18" fillId="0" borderId="6" xfId="1" applyNumberFormat="1" applyFont="1" applyBorder="1" applyAlignment="1">
      <alignment horizontal="center" vertical="center" wrapText="1"/>
    </xf>
    <xf numFmtId="14" fontId="7" fillId="0" borderId="7" xfId="1" applyNumberFormat="1" applyFont="1" applyBorder="1" applyAlignment="1">
      <alignment horizontal="center" vertical="center" wrapText="1"/>
    </xf>
    <xf numFmtId="166" fontId="7" fillId="0" borderId="6" xfId="1" applyNumberFormat="1" applyFont="1" applyBorder="1" applyAlignment="1">
      <alignment horizontal="center" vertical="center" wrapText="1"/>
    </xf>
    <xf numFmtId="0" fontId="7" fillId="0" borderId="21" xfId="1" applyFont="1" applyBorder="1" applyAlignment="1">
      <alignment horizontal="center" vertical="center" wrapText="1"/>
    </xf>
    <xf numFmtId="1" fontId="22" fillId="4" borderId="6" xfId="0" applyNumberFormat="1" applyFont="1" applyFill="1" applyBorder="1" applyAlignment="1">
      <alignment horizontal="center" vertical="center" wrapText="1"/>
    </xf>
    <xf numFmtId="49" fontId="36" fillId="4" borderId="0" xfId="1" applyNumberFormat="1" applyFont="1" applyFill="1" applyBorder="1" applyAlignment="1">
      <alignment horizontal="center" vertical="distributed"/>
    </xf>
    <xf numFmtId="0" fontId="41" fillId="6" borderId="0" xfId="0" applyNumberFormat="1" applyFont="1" applyFill="1"/>
    <xf numFmtId="0" fontId="41" fillId="6" borderId="0" xfId="0" applyNumberFormat="1" applyFont="1" applyFill="1" applyAlignment="1">
      <alignment horizontal="center" vertical="center"/>
    </xf>
    <xf numFmtId="0" fontId="41" fillId="6" borderId="0" xfId="0" applyNumberFormat="1" applyFont="1" applyFill="1" applyBorder="1"/>
    <xf numFmtId="0" fontId="42" fillId="6" borderId="0" xfId="0" applyNumberFormat="1" applyFont="1" applyFill="1" applyBorder="1" applyAlignment="1">
      <alignment vertical="center"/>
    </xf>
    <xf numFmtId="0" fontId="41" fillId="6" borderId="0" xfId="0" applyNumberFormat="1" applyFont="1" applyFill="1" applyBorder="1" applyAlignment="1">
      <alignment vertical="center"/>
    </xf>
    <xf numFmtId="0" fontId="42" fillId="6" borderId="0" xfId="0" applyNumberFormat="1" applyFont="1" applyFill="1" applyBorder="1" applyAlignment="1">
      <alignment vertical="center" wrapText="1"/>
    </xf>
    <xf numFmtId="0" fontId="41" fillId="6" borderId="0" xfId="0" applyNumberFormat="1" applyFont="1" applyFill="1" applyAlignment="1"/>
    <xf numFmtId="0" fontId="42" fillId="6" borderId="0" xfId="3" applyFont="1" applyFill="1" applyAlignment="1">
      <alignment horizontal="center"/>
    </xf>
    <xf numFmtId="0" fontId="41" fillId="6" borderId="0" xfId="3" applyFont="1" applyFill="1" applyBorder="1" applyAlignment="1">
      <alignment horizontal="center" vertical="center"/>
    </xf>
    <xf numFmtId="0" fontId="41" fillId="6" borderId="0" xfId="0" applyNumberFormat="1" applyFont="1" applyFill="1" applyBorder="1" applyAlignment="1">
      <alignment horizontal="center" vertical="center"/>
    </xf>
    <xf numFmtId="0" fontId="41" fillId="4" borderId="0" xfId="0" applyNumberFormat="1" applyFont="1" applyFill="1" applyBorder="1"/>
    <xf numFmtId="0" fontId="41" fillId="4" borderId="0" xfId="0" applyNumberFormat="1" applyFont="1" applyFill="1" applyAlignment="1">
      <alignment horizontal="center" vertical="center"/>
    </xf>
    <xf numFmtId="0" fontId="41" fillId="4" borderId="0" xfId="0" applyNumberFormat="1" applyFont="1" applyFill="1" applyBorder="1" applyAlignment="1">
      <alignment horizontal="center" vertical="center"/>
    </xf>
    <xf numFmtId="0" fontId="41" fillId="6" borderId="0" xfId="3" applyFont="1" applyFill="1" applyBorder="1" applyAlignment="1">
      <alignment vertical="center"/>
    </xf>
    <xf numFmtId="0" fontId="42" fillId="6" borderId="0" xfId="0" applyNumberFormat="1" applyFont="1" applyFill="1" applyBorder="1" applyAlignment="1">
      <alignment horizontal="center" vertical="center"/>
    </xf>
    <xf numFmtId="49" fontId="41" fillId="6" borderId="6" xfId="0" applyNumberFormat="1" applyFont="1" applyFill="1" applyBorder="1" applyAlignment="1">
      <alignment horizontal="center" vertical="center"/>
    </xf>
    <xf numFmtId="0" fontId="42" fillId="6" borderId="6" xfId="0" applyNumberFormat="1" applyFont="1" applyFill="1" applyBorder="1" applyAlignment="1">
      <alignment horizontal="center" vertical="center"/>
    </xf>
    <xf numFmtId="0" fontId="41" fillId="6" borderId="0" xfId="0" applyNumberFormat="1" applyFont="1" applyFill="1" applyBorder="1" applyAlignment="1">
      <alignment wrapText="1"/>
    </xf>
    <xf numFmtId="49" fontId="41" fillId="6" borderId="0" xfId="0" applyNumberFormat="1" applyFont="1" applyFill="1"/>
    <xf numFmtId="0" fontId="42" fillId="6" borderId="0" xfId="0" applyNumberFormat="1" applyFont="1" applyFill="1" applyAlignment="1">
      <alignment horizontal="center" vertical="center"/>
    </xf>
    <xf numFmtId="0" fontId="42" fillId="6" borderId="0" xfId="0" applyNumberFormat="1" applyFont="1" applyFill="1" applyBorder="1" applyAlignment="1">
      <alignment horizontal="center" vertical="center" wrapText="1"/>
    </xf>
    <xf numFmtId="0" fontId="41" fillId="6" borderId="0" xfId="0" applyNumberFormat="1" applyFont="1" applyFill="1" applyBorder="1" applyAlignment="1"/>
    <xf numFmtId="0" fontId="42" fillId="6" borderId="0" xfId="0" applyNumberFormat="1" applyFont="1" applyFill="1"/>
    <xf numFmtId="1" fontId="41" fillId="6" borderId="0" xfId="0" applyNumberFormat="1" applyFont="1" applyFill="1" applyBorder="1" applyAlignment="1"/>
    <xf numFmtId="14" fontId="0" fillId="0" borderId="0" xfId="0" applyNumberFormat="1"/>
    <xf numFmtId="0" fontId="41" fillId="0" borderId="0" xfId="0" applyFont="1"/>
    <xf numFmtId="0" fontId="41" fillId="0" borderId="26" xfId="0" applyFont="1" applyBorder="1"/>
    <xf numFmtId="0" fontId="41" fillId="0" borderId="27" xfId="0" applyFont="1" applyBorder="1"/>
    <xf numFmtId="0" fontId="41" fillId="0" borderId="28" xfId="0" applyFont="1" applyBorder="1"/>
    <xf numFmtId="164" fontId="41" fillId="0" borderId="36" xfId="7" applyFont="1" applyBorder="1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41" fillId="0" borderId="56" xfId="0" applyFont="1" applyBorder="1"/>
    <xf numFmtId="0" fontId="41" fillId="0" borderId="36" xfId="0" applyFont="1" applyBorder="1"/>
    <xf numFmtId="0" fontId="41" fillId="0" borderId="55" xfId="0" applyFont="1" applyBorder="1"/>
    <xf numFmtId="49" fontId="41" fillId="0" borderId="0" xfId="0" applyNumberFormat="1" applyFont="1"/>
    <xf numFmtId="0" fontId="41" fillId="0" borderId="57" xfId="0" applyFont="1" applyBorder="1" applyAlignment="1"/>
    <xf numFmtId="0" fontId="41" fillId="0" borderId="57" xfId="0" applyFont="1" applyBorder="1" applyAlignment="1">
      <alignment horizontal="center" vertical="center" wrapText="1"/>
    </xf>
    <xf numFmtId="0" fontId="41" fillId="0" borderId="57" xfId="0" applyFont="1" applyBorder="1" applyAlignment="1">
      <alignment horizontal="center" vertical="center"/>
    </xf>
    <xf numFmtId="0" fontId="41" fillId="0" borderId="32" xfId="0" applyFont="1" applyBorder="1"/>
    <xf numFmtId="0" fontId="41" fillId="0" borderId="0" xfId="0" applyFont="1" applyBorder="1"/>
    <xf numFmtId="49" fontId="61" fillId="0" borderId="0" xfId="0" applyNumberFormat="1" applyFont="1" applyBorder="1"/>
    <xf numFmtId="49" fontId="41" fillId="0" borderId="0" xfId="0" applyNumberFormat="1" applyFont="1" applyBorder="1"/>
    <xf numFmtId="0" fontId="41" fillId="0" borderId="0" xfId="0" applyFont="1" applyFill="1" applyBorder="1"/>
    <xf numFmtId="0" fontId="62" fillId="0" borderId="0" xfId="0" applyFont="1" applyFill="1" applyBorder="1" applyAlignment="1"/>
    <xf numFmtId="0" fontId="42" fillId="0" borderId="0" xfId="0" applyFont="1" applyFill="1" applyBorder="1"/>
    <xf numFmtId="170" fontId="0" fillId="0" borderId="0" xfId="0" quotePrefix="1" applyNumberFormat="1" applyFill="1" applyBorder="1" applyAlignment="1">
      <alignment vertical="center" wrapText="1"/>
    </xf>
    <xf numFmtId="170" fontId="0" fillId="0" borderId="0" xfId="0" applyNumberFormat="1" applyFill="1" applyBorder="1" applyAlignment="1">
      <alignment vertical="center" wrapText="1"/>
    </xf>
    <xf numFmtId="0" fontId="1" fillId="6" borderId="0" xfId="8" applyNumberFormat="1" applyFill="1"/>
    <xf numFmtId="0" fontId="63" fillId="6" borderId="36" xfId="8" applyNumberFormat="1" applyFont="1" applyFill="1" applyBorder="1" applyAlignment="1">
      <alignment horizontal="center" vertical="center" wrapText="1"/>
    </xf>
    <xf numFmtId="171" fontId="1" fillId="6" borderId="41" xfId="8" applyNumberFormat="1" applyFont="1" applyFill="1" applyBorder="1" applyAlignment="1">
      <alignment horizontal="center" vertical="center"/>
    </xf>
    <xf numFmtId="0" fontId="63" fillId="6" borderId="0" xfId="8" applyNumberFormat="1" applyFont="1" applyFill="1" applyBorder="1" applyAlignment="1">
      <alignment horizontal="left" vertical="center"/>
    </xf>
    <xf numFmtId="0" fontId="63" fillId="6" borderId="39" xfId="8" applyNumberFormat="1" applyFont="1" applyFill="1" applyBorder="1" applyAlignment="1">
      <alignment horizontal="center" vertical="center"/>
    </xf>
    <xf numFmtId="0" fontId="59" fillId="6" borderId="0" xfId="8" applyNumberFormat="1" applyFont="1" applyFill="1" applyAlignment="1">
      <alignment horizontal="center" vertical="center"/>
    </xf>
    <xf numFmtId="0" fontId="63" fillId="6" borderId="3" xfId="8" applyNumberFormat="1" applyFont="1" applyFill="1" applyBorder="1" applyAlignment="1">
      <alignment horizontal="center" vertical="center" wrapText="1"/>
    </xf>
    <xf numFmtId="49" fontId="0" fillId="6" borderId="42" xfId="8" applyNumberFormat="1" applyFont="1" applyFill="1" applyBorder="1" applyAlignment="1">
      <alignment horizontal="center" vertical="center"/>
    </xf>
    <xf numFmtId="168" fontId="63" fillId="6" borderId="0" xfId="8" applyNumberFormat="1" applyFont="1" applyFill="1" applyBorder="1" applyAlignment="1">
      <alignment horizontal="left" vertical="center"/>
    </xf>
    <xf numFmtId="0" fontId="63" fillId="6" borderId="8" xfId="8" applyNumberFormat="1" applyFont="1" applyFill="1" applyBorder="1" applyAlignment="1">
      <alignment horizontal="center" vertical="center"/>
    </xf>
    <xf numFmtId="0" fontId="3" fillId="6" borderId="0" xfId="3" applyFont="1" applyFill="1" applyAlignment="1"/>
    <xf numFmtId="0" fontId="3" fillId="6" borderId="0" xfId="3" applyFont="1" applyFill="1" applyAlignment="1">
      <alignment wrapText="1"/>
    </xf>
    <xf numFmtId="0" fontId="63" fillId="6" borderId="3" xfId="8" applyNumberFormat="1" applyFont="1" applyFill="1" applyBorder="1" applyAlignment="1">
      <alignment horizontal="center" vertical="center"/>
    </xf>
    <xf numFmtId="49" fontId="1" fillId="6" borderId="42" xfId="8" applyNumberFormat="1" applyFont="1" applyFill="1" applyBorder="1" applyAlignment="1">
      <alignment horizontal="center" vertical="center"/>
    </xf>
    <xf numFmtId="0" fontId="63" fillId="6" borderId="0" xfId="8" applyNumberFormat="1" applyFont="1" applyFill="1" applyBorder="1" applyAlignment="1">
      <alignment horizontal="left" vertical="center" wrapText="1"/>
    </xf>
    <xf numFmtId="0" fontId="59" fillId="6" borderId="0" xfId="3" applyFont="1" applyFill="1" applyBorder="1" applyAlignment="1">
      <alignment horizontal="center" vertical="center"/>
    </xf>
    <xf numFmtId="0" fontId="59" fillId="6" borderId="0" xfId="8" applyNumberFormat="1" applyFont="1" applyFill="1" applyBorder="1" applyAlignment="1">
      <alignment horizontal="center" vertical="center" wrapText="1"/>
    </xf>
    <xf numFmtId="0" fontId="59" fillId="6" borderId="0" xfId="8" applyNumberFormat="1" applyFont="1" applyFill="1" applyBorder="1" applyAlignment="1">
      <alignment horizontal="center" vertical="center"/>
    </xf>
    <xf numFmtId="0" fontId="1" fillId="6" borderId="0" xfId="8" applyNumberFormat="1" applyFill="1" applyBorder="1"/>
    <xf numFmtId="0" fontId="63" fillId="6" borderId="0" xfId="8" applyNumberFormat="1" applyFont="1" applyFill="1" applyBorder="1" applyAlignment="1">
      <alignment vertical="center"/>
    </xf>
    <xf numFmtId="0" fontId="63" fillId="6" borderId="61" xfId="8" applyNumberFormat="1" applyFont="1" applyFill="1" applyBorder="1" applyAlignment="1">
      <alignment horizontal="center" vertical="center" wrapText="1"/>
    </xf>
    <xf numFmtId="49" fontId="1" fillId="6" borderId="51" xfId="8" applyNumberFormat="1" applyFont="1" applyFill="1" applyBorder="1" applyAlignment="1">
      <alignment horizontal="center" vertical="center" wrapText="1"/>
    </xf>
    <xf numFmtId="0" fontId="63" fillId="6" borderId="61" xfId="8" applyNumberFormat="1" applyFont="1" applyFill="1" applyBorder="1" applyAlignment="1">
      <alignment horizontal="center" vertical="center"/>
    </xf>
    <xf numFmtId="0" fontId="1" fillId="6" borderId="0" xfId="8" applyNumberFormat="1" applyFont="1" applyFill="1"/>
    <xf numFmtId="0" fontId="1" fillId="6" borderId="0" xfId="8" applyNumberFormat="1" applyFill="1" applyBorder="1" applyAlignment="1"/>
    <xf numFmtId="170" fontId="63" fillId="6" borderId="39" xfId="8" applyFont="1" applyFill="1" applyBorder="1" applyAlignment="1">
      <alignment horizontal="center" vertical="center" wrapText="1"/>
    </xf>
    <xf numFmtId="170" fontId="63" fillId="6" borderId="40" xfId="8" applyFont="1" applyFill="1" applyBorder="1" applyAlignment="1">
      <alignment horizontal="center" vertical="center"/>
    </xf>
    <xf numFmtId="170" fontId="1" fillId="0" borderId="0" xfId="8" applyFill="1"/>
    <xf numFmtId="170" fontId="1" fillId="0" borderId="0" xfId="8" applyFill="1" applyBorder="1"/>
    <xf numFmtId="170" fontId="1" fillId="6" borderId="0" xfId="8" applyFill="1"/>
    <xf numFmtId="49" fontId="1" fillId="0" borderId="8" xfId="8" quotePrefix="1" applyNumberFormat="1" applyFont="1" applyBorder="1" applyAlignment="1">
      <alignment horizontal="center" vertical="center"/>
    </xf>
    <xf numFmtId="49" fontId="1" fillId="4" borderId="6" xfId="8" applyNumberFormat="1" applyFont="1" applyFill="1" applyBorder="1" applyAlignment="1">
      <alignment horizontal="center" vertical="center" wrapText="1"/>
    </xf>
    <xf numFmtId="170" fontId="1" fillId="0" borderId="0" xfId="8" applyFill="1" applyAlignment="1">
      <alignment vertical="center"/>
    </xf>
    <xf numFmtId="170" fontId="1" fillId="0" borderId="0" xfId="8" applyFill="1" applyBorder="1" applyAlignment="1">
      <alignment vertical="center"/>
    </xf>
    <xf numFmtId="170" fontId="1" fillId="6" borderId="0" xfId="8" applyFill="1" applyAlignment="1">
      <alignment vertical="center"/>
    </xf>
    <xf numFmtId="0" fontId="63" fillId="0" borderId="8" xfId="8" applyNumberFormat="1" applyFont="1" applyBorder="1" applyAlignment="1">
      <alignment horizontal="center"/>
    </xf>
    <xf numFmtId="0" fontId="63" fillId="0" borderId="6" xfId="8" applyNumberFormat="1" applyFont="1" applyBorder="1" applyAlignment="1">
      <alignment horizontal="center"/>
    </xf>
    <xf numFmtId="0" fontId="1" fillId="0" borderId="0" xfId="8" applyNumberFormat="1"/>
    <xf numFmtId="0" fontId="63" fillId="0" borderId="0" xfId="8" applyNumberFormat="1" applyFont="1"/>
    <xf numFmtId="0" fontId="63" fillId="0" borderId="8" xfId="8" applyNumberFormat="1" applyFont="1" applyBorder="1" applyAlignment="1">
      <alignment horizontal="right" vertical="center"/>
    </xf>
    <xf numFmtId="0" fontId="63" fillId="0" borderId="6" xfId="8" applyNumberFormat="1" applyFont="1" applyBorder="1" applyAlignment="1">
      <alignment horizontal="right" vertical="center"/>
    </xf>
    <xf numFmtId="0" fontId="1" fillId="0" borderId="6" xfId="8" applyNumberFormat="1" applyBorder="1" applyAlignment="1">
      <alignment horizontal="center"/>
    </xf>
    <xf numFmtId="0" fontId="63" fillId="0" borderId="42" xfId="8" applyNumberFormat="1" applyFont="1" applyBorder="1" applyAlignment="1">
      <alignment horizontal="center"/>
    </xf>
    <xf numFmtId="0" fontId="63" fillId="0" borderId="6" xfId="8" applyNumberFormat="1" applyFont="1" applyBorder="1" applyAlignment="1">
      <alignment horizontal="right"/>
    </xf>
    <xf numFmtId="49" fontId="1" fillId="6" borderId="6" xfId="9" applyNumberFormat="1" applyFont="1" applyFill="1" applyBorder="1" applyAlignment="1">
      <alignment horizontal="center" vertical="center"/>
    </xf>
    <xf numFmtId="49" fontId="1" fillId="6" borderId="42" xfId="9" applyNumberFormat="1" applyFont="1" applyFill="1" applyBorder="1" applyAlignment="1">
      <alignment horizontal="center" vertical="center"/>
    </xf>
    <xf numFmtId="0" fontId="1" fillId="0" borderId="6" xfId="8" applyNumberFormat="1" applyFont="1" applyBorder="1" applyAlignment="1">
      <alignment horizontal="center"/>
    </xf>
    <xf numFmtId="0" fontId="1" fillId="0" borderId="42" xfId="8" applyNumberFormat="1" applyFont="1" applyBorder="1" applyAlignment="1">
      <alignment horizontal="center"/>
    </xf>
    <xf numFmtId="0" fontId="63" fillId="0" borderId="8" xfId="8" applyNumberFormat="1" applyFont="1" applyBorder="1" applyAlignment="1">
      <alignment horizontal="right"/>
    </xf>
    <xf numFmtId="0" fontId="1" fillId="0" borderId="7" xfId="8" applyNumberFormat="1" applyFont="1" applyBorder="1" applyAlignment="1">
      <alignment horizontal="center"/>
    </xf>
    <xf numFmtId="0" fontId="1" fillId="0" borderId="4" xfId="8" applyNumberFormat="1" applyFont="1" applyBorder="1" applyAlignment="1">
      <alignment horizontal="center"/>
    </xf>
    <xf numFmtId="0" fontId="1" fillId="0" borderId="5" xfId="8" applyNumberFormat="1" applyFont="1" applyBorder="1" applyAlignment="1">
      <alignment horizontal="center"/>
    </xf>
    <xf numFmtId="49" fontId="50" fillId="6" borderId="6" xfId="9" applyNumberFormat="1" applyFont="1" applyFill="1" applyBorder="1" applyAlignment="1">
      <alignment horizontal="center" vertical="center"/>
    </xf>
    <xf numFmtId="0" fontId="1" fillId="0" borderId="0" xfId="8" applyNumberFormat="1" applyBorder="1"/>
    <xf numFmtId="0" fontId="1" fillId="0" borderId="7" xfId="8" applyNumberFormat="1" applyFont="1" applyBorder="1" applyAlignment="1">
      <alignment horizontal="left"/>
    </xf>
    <xf numFmtId="0" fontId="63" fillId="0" borderId="8" xfId="8" applyNumberFormat="1" applyFont="1" applyBorder="1" applyAlignment="1">
      <alignment horizontal="center" vertical="top"/>
    </xf>
    <xf numFmtId="0" fontId="63" fillId="0" borderId="6" xfId="8" applyNumberFormat="1" applyFont="1" applyBorder="1" applyAlignment="1">
      <alignment horizontal="center" vertical="top"/>
    </xf>
    <xf numFmtId="0" fontId="63" fillId="0" borderId="53" xfId="8" applyNumberFormat="1" applyFont="1" applyBorder="1" applyAlignment="1">
      <alignment horizontal="right" vertical="top"/>
    </xf>
    <xf numFmtId="49" fontId="20" fillId="0" borderId="6" xfId="1" applyNumberFormat="1" applyFont="1" applyBorder="1" applyAlignment="1">
      <alignment horizontal="center" vertical="center" wrapText="1"/>
    </xf>
    <xf numFmtId="0" fontId="64" fillId="0" borderId="6" xfId="0" applyFont="1" applyBorder="1" applyAlignment="1">
      <alignment horizontal="center" vertical="center" wrapText="1"/>
    </xf>
    <xf numFmtId="1" fontId="18" fillId="0" borderId="6" xfId="1" applyNumberFormat="1" applyFont="1" applyFill="1" applyBorder="1" applyAlignment="1">
      <alignment horizontal="center" vertical="center" wrapText="1"/>
    </xf>
    <xf numFmtId="0" fontId="45" fillId="4" borderId="26" xfId="4" applyNumberFormat="1" applyFont="1" applyFill="1" applyBorder="1"/>
    <xf numFmtId="0" fontId="1" fillId="4" borderId="27" xfId="4" applyNumberFormat="1" applyFont="1" applyFill="1" applyBorder="1"/>
    <xf numFmtId="0" fontId="46" fillId="4" borderId="27" xfId="4" applyNumberFormat="1" applyFont="1" applyFill="1" applyBorder="1"/>
    <xf numFmtId="0" fontId="46" fillId="4" borderId="28" xfId="4" applyNumberFormat="1" applyFont="1" applyFill="1" applyBorder="1"/>
    <xf numFmtId="0" fontId="46" fillId="4" borderId="26" xfId="4" applyNumberFormat="1" applyFont="1" applyFill="1" applyBorder="1" applyAlignment="1">
      <alignment vertical="center"/>
    </xf>
    <xf numFmtId="0" fontId="47" fillId="4" borderId="29" xfId="4" applyNumberFormat="1" applyFont="1" applyFill="1" applyBorder="1" applyAlignment="1">
      <alignment vertical="center"/>
    </xf>
    <xf numFmtId="0" fontId="45" fillId="4" borderId="30" xfId="4" applyNumberFormat="1" applyFont="1" applyFill="1" applyBorder="1"/>
    <xf numFmtId="0" fontId="48" fillId="4" borderId="31" xfId="4" applyNumberFormat="1" applyFont="1" applyFill="1" applyBorder="1" applyAlignment="1">
      <alignment vertical="center"/>
    </xf>
    <xf numFmtId="0" fontId="12" fillId="4" borderId="0" xfId="5" applyNumberFormat="1" applyFont="1" applyFill="1" applyBorder="1"/>
    <xf numFmtId="0" fontId="66" fillId="4" borderId="0" xfId="5" applyNumberFormat="1" applyFont="1" applyFill="1" applyBorder="1"/>
    <xf numFmtId="0" fontId="44" fillId="4" borderId="0" xfId="5" applyNumberFormat="1" applyFont="1" applyFill="1" applyBorder="1"/>
    <xf numFmtId="0" fontId="46" fillId="4" borderId="27" xfId="4" applyNumberFormat="1" applyFont="1" applyFill="1" applyBorder="1" applyAlignment="1">
      <alignment vertical="center"/>
    </xf>
    <xf numFmtId="0" fontId="46" fillId="4" borderId="26" xfId="4" applyNumberFormat="1" applyFont="1" applyFill="1" applyBorder="1"/>
    <xf numFmtId="0" fontId="47" fillId="4" borderId="27" xfId="4" applyNumberFormat="1" applyFont="1" applyFill="1" applyBorder="1" applyAlignment="1">
      <alignment vertical="center"/>
    </xf>
    <xf numFmtId="0" fontId="45" fillId="4" borderId="27" xfId="4" applyNumberFormat="1" applyFont="1" applyFill="1" applyBorder="1"/>
    <xf numFmtId="0" fontId="48" fillId="4" borderId="27" xfId="4" applyNumberFormat="1" applyFont="1" applyFill="1" applyBorder="1" applyAlignment="1">
      <alignment vertical="center"/>
    </xf>
    <xf numFmtId="0" fontId="48" fillId="4" borderId="27" xfId="4" applyNumberFormat="1" applyFont="1" applyFill="1" applyBorder="1" applyAlignment="1">
      <alignment horizontal="left" vertical="center"/>
    </xf>
    <xf numFmtId="0" fontId="48" fillId="4" borderId="28" xfId="4" applyNumberFormat="1" applyFont="1" applyFill="1" applyBorder="1" applyAlignment="1">
      <alignment horizontal="left" vertical="center"/>
    </xf>
    <xf numFmtId="0" fontId="45" fillId="4" borderId="32" xfId="4" applyNumberFormat="1" applyFont="1" applyFill="1" applyBorder="1"/>
    <xf numFmtId="0" fontId="1" fillId="4" borderId="0" xfId="4" applyNumberFormat="1" applyFont="1" applyFill="1" applyBorder="1"/>
    <xf numFmtId="0" fontId="46" fillId="4" borderId="0" xfId="4" applyNumberFormat="1" applyFont="1" applyFill="1" applyBorder="1"/>
    <xf numFmtId="0" fontId="46" fillId="4" borderId="0" xfId="4" applyNumberFormat="1" applyFont="1" applyFill="1" applyBorder="1" applyAlignment="1">
      <alignment vertical="center"/>
    </xf>
    <xf numFmtId="0" fontId="46" fillId="4" borderId="20" xfId="4" applyNumberFormat="1" applyFont="1" applyFill="1" applyBorder="1"/>
    <xf numFmtId="0" fontId="46" fillId="4" borderId="32" xfId="4" applyNumberFormat="1" applyFont="1" applyFill="1" applyBorder="1"/>
    <xf numFmtId="0" fontId="47" fillId="4" borderId="0" xfId="4" applyNumberFormat="1" applyFont="1" applyFill="1" applyBorder="1" applyAlignment="1">
      <alignment vertical="center"/>
    </xf>
    <xf numFmtId="0" fontId="45" fillId="4" borderId="0" xfId="4" applyNumberFormat="1" applyFont="1" applyFill="1" applyBorder="1"/>
    <xf numFmtId="0" fontId="48" fillId="4" borderId="0" xfId="4" applyNumberFormat="1" applyFont="1" applyFill="1" applyBorder="1" applyAlignment="1">
      <alignment vertical="center"/>
    </xf>
    <xf numFmtId="0" fontId="48" fillId="4" borderId="0" xfId="4" applyNumberFormat="1" applyFont="1" applyFill="1" applyBorder="1" applyAlignment="1">
      <alignment horizontal="left" vertical="center"/>
    </xf>
    <xf numFmtId="0" fontId="48" fillId="4" borderId="20" xfId="4" applyNumberFormat="1" applyFont="1" applyFill="1" applyBorder="1" applyAlignment="1">
      <alignment horizontal="left" vertical="center"/>
    </xf>
    <xf numFmtId="0" fontId="45" fillId="4" borderId="33" xfId="4" applyNumberFormat="1" applyFont="1" applyFill="1" applyBorder="1"/>
    <xf numFmtId="0" fontId="1" fillId="4" borderId="34" xfId="4" applyNumberFormat="1" applyFont="1" applyFill="1" applyBorder="1"/>
    <xf numFmtId="0" fontId="46" fillId="4" borderId="34" xfId="4" applyNumberFormat="1" applyFont="1" applyFill="1" applyBorder="1"/>
    <xf numFmtId="0" fontId="46" fillId="4" borderId="34" xfId="4" applyNumberFormat="1" applyFont="1" applyFill="1" applyBorder="1" applyAlignment="1">
      <alignment vertical="center"/>
    </xf>
    <xf numFmtId="0" fontId="46" fillId="4" borderId="35" xfId="4" applyNumberFormat="1" applyFont="1" applyFill="1" applyBorder="1"/>
    <xf numFmtId="0" fontId="46" fillId="4" borderId="33" xfId="4" applyNumberFormat="1" applyFont="1" applyFill="1" applyBorder="1"/>
    <xf numFmtId="0" fontId="47" fillId="4" borderId="34" xfId="4" applyNumberFormat="1" applyFont="1" applyFill="1" applyBorder="1" applyAlignment="1">
      <alignment vertical="center"/>
    </xf>
    <xf numFmtId="0" fontId="45" fillId="4" borderId="34" xfId="4" applyNumberFormat="1" applyFont="1" applyFill="1" applyBorder="1"/>
    <xf numFmtId="0" fontId="48" fillId="4" borderId="34" xfId="4" applyNumberFormat="1" applyFont="1" applyFill="1" applyBorder="1" applyAlignment="1">
      <alignment vertical="center"/>
    </xf>
    <xf numFmtId="0" fontId="48" fillId="4" borderId="34" xfId="4" applyNumberFormat="1" applyFont="1" applyFill="1" applyBorder="1" applyAlignment="1">
      <alignment horizontal="left" vertical="center"/>
    </xf>
    <xf numFmtId="0" fontId="48" fillId="4" borderId="35" xfId="4" applyNumberFormat="1" applyFont="1" applyFill="1" applyBorder="1" applyAlignment="1">
      <alignment horizontal="left" vertical="center"/>
    </xf>
    <xf numFmtId="0" fontId="65" fillId="4" borderId="0" xfId="5" applyNumberFormat="1" applyFont="1" applyFill="1" applyBorder="1"/>
    <xf numFmtId="0" fontId="49" fillId="4" borderId="26" xfId="4" applyNumberFormat="1" applyFont="1" applyFill="1" applyBorder="1" applyAlignment="1">
      <alignment vertical="top"/>
    </xf>
    <xf numFmtId="0" fontId="51" fillId="4" borderId="27" xfId="4" applyNumberFormat="1" applyFont="1" applyFill="1" applyBorder="1" applyAlignment="1">
      <alignment vertical="top"/>
    </xf>
    <xf numFmtId="0" fontId="51" fillId="4" borderId="0" xfId="4" applyNumberFormat="1" applyFont="1" applyFill="1" applyBorder="1" applyAlignment="1">
      <alignment vertical="top"/>
    </xf>
    <xf numFmtId="0" fontId="51" fillId="4" borderId="20" xfId="4" applyNumberFormat="1" applyFont="1" applyFill="1" applyBorder="1" applyAlignment="1">
      <alignment vertical="top"/>
    </xf>
    <xf numFmtId="0" fontId="52" fillId="4" borderId="32" xfId="4" applyNumberFormat="1" applyFont="1" applyFill="1" applyBorder="1" applyAlignment="1">
      <alignment vertical="top"/>
    </xf>
    <xf numFmtId="0" fontId="51" fillId="4" borderId="32" xfId="4" applyNumberFormat="1" applyFont="1" applyFill="1" applyBorder="1" applyAlignment="1">
      <alignment vertical="top"/>
    </xf>
    <xf numFmtId="0" fontId="67" fillId="4" borderId="0" xfId="5" applyNumberFormat="1" applyFont="1" applyFill="1" applyBorder="1"/>
    <xf numFmtId="0" fontId="43" fillId="4" borderId="0" xfId="5" applyNumberFormat="1" applyFont="1" applyFill="1" applyBorder="1"/>
    <xf numFmtId="0" fontId="0" fillId="4" borderId="0" xfId="5" applyNumberFormat="1" applyFont="1" applyFill="1" applyBorder="1"/>
    <xf numFmtId="0" fontId="43" fillId="4" borderId="6" xfId="0" applyNumberFormat="1" applyFont="1" applyFill="1" applyBorder="1" applyAlignment="1">
      <alignment horizontal="center" vertical="center"/>
    </xf>
    <xf numFmtId="0" fontId="0" fillId="4" borderId="5" xfId="0" applyNumberFormat="1" applyFont="1" applyFill="1" applyBorder="1"/>
    <xf numFmtId="0" fontId="43" fillId="0" borderId="69" xfId="0" applyNumberFormat="1" applyFont="1" applyFill="1" applyBorder="1" applyAlignment="1">
      <alignment horizontal="center" vertical="center"/>
    </xf>
    <xf numFmtId="0" fontId="0" fillId="4" borderId="2" xfId="0" applyNumberFormat="1" applyFont="1" applyFill="1" applyBorder="1"/>
    <xf numFmtId="0" fontId="0" fillId="4" borderId="27" xfId="0" applyNumberFormat="1" applyFont="1" applyFill="1" applyBorder="1" applyAlignment="1">
      <alignment horizontal="left" vertical="center"/>
    </xf>
    <xf numFmtId="0" fontId="0" fillId="4" borderId="28" xfId="0" applyNumberFormat="1" applyFont="1" applyFill="1" applyBorder="1" applyAlignment="1">
      <alignment horizontal="left" vertical="center"/>
    </xf>
    <xf numFmtId="0" fontId="0" fillId="4" borderId="16" xfId="0" applyNumberFormat="1" applyFont="1" applyFill="1" applyBorder="1" applyAlignment="1">
      <alignment horizontal="left" vertical="center"/>
    </xf>
    <xf numFmtId="0" fontId="0" fillId="4" borderId="0" xfId="0" applyNumberFormat="1" applyFont="1" applyFill="1" applyBorder="1" applyAlignment="1">
      <alignment horizontal="left" vertical="center"/>
    </xf>
    <xf numFmtId="0" fontId="50" fillId="4" borderId="0" xfId="4" applyNumberFormat="1" applyFont="1" applyFill="1" applyBorder="1" applyAlignment="1">
      <alignment horizontal="left"/>
    </xf>
    <xf numFmtId="0" fontId="49" fillId="4" borderId="6" xfId="4" applyNumberFormat="1" applyFont="1" applyFill="1" applyBorder="1" applyAlignment="1">
      <alignment horizontal="center" vertical="center"/>
    </xf>
    <xf numFmtId="0" fontId="0" fillId="4" borderId="6" xfId="0" applyNumberFormat="1" applyFont="1" applyFill="1" applyBorder="1"/>
    <xf numFmtId="0" fontId="0" fillId="4" borderId="7" xfId="0" applyNumberFormat="1" applyFont="1" applyFill="1" applyBorder="1"/>
    <xf numFmtId="0" fontId="0" fillId="4" borderId="9" xfId="0" applyNumberFormat="1" applyFont="1" applyFill="1" applyBorder="1"/>
    <xf numFmtId="0" fontId="49" fillId="4" borderId="8" xfId="4" applyNumberFormat="1" applyFont="1" applyFill="1" applyBorder="1" applyAlignment="1">
      <alignment horizontal="left"/>
    </xf>
    <xf numFmtId="0" fontId="49" fillId="4" borderId="6" xfId="4" applyNumberFormat="1" applyFont="1" applyFill="1" applyBorder="1" applyAlignment="1">
      <alignment horizontal="left"/>
    </xf>
    <xf numFmtId="0" fontId="49" fillId="4" borderId="7" xfId="4" applyNumberFormat="1" applyFont="1" applyFill="1" applyBorder="1" applyAlignment="1">
      <alignment horizontal="left"/>
    </xf>
    <xf numFmtId="0" fontId="49" fillId="4" borderId="9" xfId="4" applyNumberFormat="1" applyFont="1" applyFill="1" applyBorder="1" applyAlignment="1">
      <alignment horizontal="left"/>
    </xf>
    <xf numFmtId="0" fontId="50" fillId="4" borderId="6" xfId="4" applyNumberFormat="1" applyFont="1" applyFill="1" applyBorder="1" applyAlignment="1">
      <alignment horizontal="left" vertical="center"/>
    </xf>
    <xf numFmtId="0" fontId="49" fillId="4" borderId="3" xfId="4" applyNumberFormat="1" applyFont="1" applyFill="1" applyBorder="1"/>
    <xf numFmtId="0" fontId="49" fillId="4" borderId="4" xfId="4" applyNumberFormat="1" applyFont="1" applyFill="1" applyBorder="1"/>
    <xf numFmtId="0" fontId="12" fillId="4" borderId="32" xfId="5" applyNumberFormat="1" applyFont="1" applyFill="1" applyBorder="1"/>
    <xf numFmtId="0" fontId="50" fillId="4" borderId="32" xfId="4" applyNumberFormat="1" applyFont="1" applyFill="1" applyBorder="1"/>
    <xf numFmtId="0" fontId="50" fillId="4" borderId="0" xfId="4" applyNumberFormat="1" applyFont="1" applyFill="1" applyBorder="1"/>
    <xf numFmtId="0" fontId="50" fillId="4" borderId="20" xfId="4" applyNumberFormat="1" applyFont="1" applyFill="1" applyBorder="1"/>
    <xf numFmtId="0" fontId="54" fillId="4" borderId="32" xfId="4" applyNumberFormat="1" applyFont="1" applyFill="1" applyBorder="1" applyAlignment="1">
      <alignment horizontal="left" wrapText="1"/>
    </xf>
    <xf numFmtId="0" fontId="50" fillId="4" borderId="0" xfId="4" applyNumberFormat="1" applyFont="1" applyFill="1" applyBorder="1" applyAlignment="1">
      <alignment vertical="center" wrapText="1"/>
    </xf>
    <xf numFmtId="0" fontId="50" fillId="4" borderId="20" xfId="4" applyNumberFormat="1" applyFont="1" applyFill="1" applyBorder="1" applyAlignment="1">
      <alignment horizontal="center" vertical="center" wrapText="1"/>
    </xf>
    <xf numFmtId="0" fontId="50" fillId="4" borderId="32" xfId="4" applyNumberFormat="1" applyFont="1" applyFill="1" applyBorder="1" applyAlignment="1">
      <alignment horizontal="right"/>
    </xf>
    <xf numFmtId="0" fontId="49" fillId="4" borderId="6" xfId="4" applyNumberFormat="1" applyFont="1" applyFill="1" applyBorder="1" applyAlignment="1">
      <alignment horizontal="center" vertical="center" wrapText="1"/>
    </xf>
    <xf numFmtId="0" fontId="50" fillId="4" borderId="0" xfId="4" applyNumberFormat="1" applyFont="1" applyFill="1" applyBorder="1" applyAlignment="1">
      <alignment horizontal="center" vertical="center" wrapText="1"/>
    </xf>
    <xf numFmtId="0" fontId="49" fillId="4" borderId="8" xfId="4" applyNumberFormat="1" applyFont="1" applyFill="1" applyBorder="1" applyAlignment="1">
      <alignment horizontal="center" vertical="center"/>
    </xf>
    <xf numFmtId="0" fontId="50" fillId="4" borderId="6" xfId="4" applyNumberFormat="1" applyFont="1" applyFill="1" applyBorder="1" applyAlignment="1">
      <alignment horizontal="center" vertical="center"/>
    </xf>
    <xf numFmtId="0" fontId="50" fillId="4" borderId="1" xfId="4" applyNumberFormat="1" applyFont="1" applyFill="1" applyBorder="1" applyAlignment="1">
      <alignment horizontal="left"/>
    </xf>
    <xf numFmtId="0" fontId="49" fillId="4" borderId="6" xfId="4" applyNumberFormat="1" applyFont="1" applyFill="1" applyBorder="1" applyAlignment="1">
      <alignment horizontal="center"/>
    </xf>
    <xf numFmtId="0" fontId="49" fillId="4" borderId="53" xfId="4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1" fillId="4" borderId="27" xfId="10" applyNumberFormat="1" applyFont="1" applyFill="1" applyBorder="1"/>
    <xf numFmtId="0" fontId="1" fillId="4" borderId="0" xfId="10" applyNumberFormat="1" applyFont="1" applyFill="1" applyBorder="1"/>
    <xf numFmtId="0" fontId="1" fillId="4" borderId="34" xfId="10" applyNumberFormat="1" applyFont="1" applyFill="1" applyBorder="1"/>
    <xf numFmtId="0" fontId="50" fillId="4" borderId="5" xfId="10" applyNumberFormat="1" applyFont="1" applyFill="1" applyBorder="1" applyAlignment="1">
      <alignment horizontal="center"/>
    </xf>
    <xf numFmtId="0" fontId="50" fillId="4" borderId="51" xfId="10" applyNumberFormat="1" applyFont="1" applyFill="1" applyBorder="1" applyAlignment="1">
      <alignment horizontal="center"/>
    </xf>
    <xf numFmtId="0" fontId="49" fillId="4" borderId="8" xfId="10" applyNumberFormat="1" applyFont="1" applyFill="1" applyBorder="1" applyAlignment="1">
      <alignment horizontal="left"/>
    </xf>
    <xf numFmtId="0" fontId="49" fillId="4" borderId="6" xfId="10" applyNumberFormat="1" applyFont="1" applyFill="1" applyBorder="1" applyAlignment="1">
      <alignment horizontal="left"/>
    </xf>
    <xf numFmtId="0" fontId="49" fillId="4" borderId="7" xfId="10" applyNumberFormat="1" applyFont="1" applyFill="1" applyBorder="1" applyAlignment="1">
      <alignment horizontal="left"/>
    </xf>
    <xf numFmtId="0" fontId="49" fillId="4" borderId="9" xfId="10" applyNumberFormat="1" applyFont="1" applyFill="1" applyBorder="1" applyAlignment="1">
      <alignment horizontal="left"/>
    </xf>
    <xf numFmtId="0" fontId="49" fillId="4" borderId="10" xfId="10" applyNumberFormat="1" applyFont="1" applyFill="1" applyBorder="1" applyAlignment="1">
      <alignment horizontal="left"/>
    </xf>
    <xf numFmtId="0" fontId="49" fillId="4" borderId="1" xfId="10" applyNumberFormat="1" applyFont="1" applyFill="1" applyBorder="1" applyAlignment="1">
      <alignment horizontal="left"/>
    </xf>
    <xf numFmtId="0" fontId="49" fillId="4" borderId="66" xfId="10" applyNumberFormat="1" applyFont="1" applyFill="1" applyBorder="1" applyAlignment="1">
      <alignment horizontal="left"/>
    </xf>
    <xf numFmtId="0" fontId="49" fillId="4" borderId="32" xfId="10" applyNumberFormat="1" applyFont="1" applyFill="1" applyBorder="1" applyAlignment="1">
      <alignment horizontal="left"/>
    </xf>
    <xf numFmtId="0" fontId="49" fillId="4" borderId="0" xfId="10" applyNumberFormat="1" applyFont="1" applyFill="1" applyBorder="1" applyAlignment="1">
      <alignment horizontal="left"/>
    </xf>
    <xf numFmtId="0" fontId="50" fillId="4" borderId="6" xfId="11" applyNumberFormat="1" applyFont="1" applyFill="1" applyBorder="1" applyAlignment="1">
      <alignment horizontal="center" vertical="center"/>
    </xf>
    <xf numFmtId="0" fontId="49" fillId="4" borderId="32" xfId="10" applyNumberFormat="1" applyFont="1" applyFill="1" applyBorder="1"/>
    <xf numFmtId="49" fontId="8" fillId="0" borderId="8" xfId="1" applyNumberFormat="1" applyFont="1" applyFill="1" applyBorder="1" applyAlignment="1">
      <alignment horizontal="center" vertical="center" wrapText="1"/>
    </xf>
    <xf numFmtId="49" fontId="26" fillId="0" borderId="6" xfId="0" applyNumberFormat="1" applyFont="1" applyFill="1" applyBorder="1" applyAlignment="1">
      <alignment horizontal="center" vertical="center" wrapText="1"/>
    </xf>
    <xf numFmtId="0" fontId="20" fillId="0" borderId="7" xfId="1" applyFont="1" applyFill="1" applyBorder="1" applyAlignment="1">
      <alignment horizontal="center" vertical="center" wrapText="1"/>
    </xf>
    <xf numFmtId="49" fontId="7" fillId="0" borderId="21" xfId="1" applyNumberFormat="1" applyFont="1" applyFill="1" applyBorder="1" applyAlignment="1">
      <alignment horizontal="center" vertical="center" wrapText="1"/>
    </xf>
    <xf numFmtId="0" fontId="4" fillId="0" borderId="4" xfId="1" applyFont="1" applyFill="1" applyBorder="1" applyAlignment="1">
      <alignment horizontal="left" vertical="center" wrapText="1"/>
    </xf>
    <xf numFmtId="0" fontId="68" fillId="0" borderId="0" xfId="12" applyNumberFormat="1" applyFill="1" applyBorder="1"/>
    <xf numFmtId="49" fontId="24" fillId="0" borderId="6" xfId="1" applyNumberFormat="1" applyFont="1" applyFill="1" applyBorder="1" applyAlignment="1">
      <alignment horizontal="center" vertical="center" wrapText="1"/>
    </xf>
    <xf numFmtId="0" fontId="18" fillId="0" borderId="6" xfId="1" applyNumberFormat="1" applyFont="1" applyBorder="1" applyAlignment="1">
      <alignment horizontal="center" vertical="center" wrapText="1"/>
    </xf>
    <xf numFmtId="0" fontId="18" fillId="0" borderId="6" xfId="1" applyNumberFormat="1" applyFont="1" applyFill="1" applyBorder="1" applyAlignment="1">
      <alignment horizontal="center" vertical="center" wrapText="1"/>
    </xf>
    <xf numFmtId="14" fontId="18" fillId="0" borderId="6" xfId="1" applyNumberFormat="1" applyFont="1" applyBorder="1" applyAlignment="1">
      <alignment horizontal="center" vertical="center" wrapText="1"/>
    </xf>
    <xf numFmtId="0" fontId="24" fillId="0" borderId="6" xfId="1" applyNumberFormat="1" applyFont="1" applyBorder="1" applyAlignment="1">
      <alignment horizontal="center" vertical="center" wrapText="1"/>
    </xf>
    <xf numFmtId="0" fontId="24" fillId="0" borderId="6" xfId="1" applyNumberFormat="1" applyFont="1" applyFill="1" applyBorder="1" applyAlignment="1">
      <alignment horizontal="center" vertical="center" wrapText="1"/>
    </xf>
    <xf numFmtId="0" fontId="25" fillId="0" borderId="6" xfId="1" applyNumberFormat="1" applyFont="1" applyFill="1" applyBorder="1" applyAlignment="1">
      <alignment horizontal="center" vertical="center" wrapText="1"/>
    </xf>
    <xf numFmtId="0" fontId="9" fillId="0" borderId="7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 wrapText="1"/>
    </xf>
    <xf numFmtId="0" fontId="21" fillId="2" borderId="4" xfId="0" applyFont="1" applyFill="1" applyBorder="1" applyAlignment="1">
      <alignment horizontal="center" vertical="center" wrapText="1"/>
    </xf>
    <xf numFmtId="0" fontId="21" fillId="2" borderId="5" xfId="0" applyFont="1" applyFill="1" applyBorder="1" applyAlignment="1">
      <alignment horizontal="center" vertical="center" wrapText="1"/>
    </xf>
    <xf numFmtId="0" fontId="7" fillId="3" borderId="6" xfId="1" applyFont="1" applyFill="1" applyBorder="1" applyAlignment="1">
      <alignment horizontal="center" vertical="distributed"/>
    </xf>
    <xf numFmtId="0" fontId="2" fillId="0" borderId="7" xfId="1" applyFont="1" applyBorder="1" applyAlignment="1">
      <alignment horizontal="center" vertical="center"/>
    </xf>
    <xf numFmtId="0" fontId="28" fillId="0" borderId="4" xfId="0" applyFont="1" applyBorder="1" applyAlignment="1">
      <alignment vertical="center"/>
    </xf>
    <xf numFmtId="0" fontId="28" fillId="0" borderId="9" xfId="0" applyFont="1" applyBorder="1" applyAlignment="1">
      <alignment vertical="center"/>
    </xf>
    <xf numFmtId="49" fontId="20" fillId="0" borderId="6" xfId="1" applyNumberFormat="1" applyFont="1" applyBorder="1" applyAlignment="1">
      <alignment horizontal="center" vertical="center" wrapText="1"/>
    </xf>
    <xf numFmtId="1" fontId="20" fillId="0" borderId="11" xfId="1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49" fontId="7" fillId="3" borderId="7" xfId="1" applyNumberFormat="1" applyFont="1" applyFill="1" applyBorder="1" applyAlignment="1">
      <alignment horizontal="center" vertical="distributed"/>
    </xf>
    <xf numFmtId="0" fontId="26" fillId="0" borderId="9" xfId="0" applyFont="1" applyBorder="1" applyAlignment="1">
      <alignment horizontal="center" vertical="distributed"/>
    </xf>
    <xf numFmtId="49" fontId="23" fillId="4" borderId="7" xfId="1" applyNumberFormat="1" applyFont="1" applyFill="1" applyBorder="1" applyAlignment="1">
      <alignment horizontal="right" vertical="center" wrapText="1"/>
    </xf>
    <xf numFmtId="0" fontId="26" fillId="0" borderId="9" xfId="0" applyFont="1" applyBorder="1" applyAlignment="1">
      <alignment horizontal="right" vertical="center" wrapText="1"/>
    </xf>
    <xf numFmtId="0" fontId="18" fillId="0" borderId="7" xfId="1" applyNumberFormat="1" applyFont="1" applyBorder="1" applyAlignment="1">
      <alignment horizontal="left" vertical="center" wrapText="1"/>
    </xf>
    <xf numFmtId="0" fontId="18" fillId="0" borderId="9" xfId="1" applyNumberFormat="1" applyFont="1" applyBorder="1" applyAlignment="1">
      <alignment horizontal="left" vertical="center" wrapText="1"/>
    </xf>
    <xf numFmtId="0" fontId="26" fillId="0" borderId="9" xfId="0" applyNumberFormat="1" applyFont="1" applyBorder="1" applyAlignment="1">
      <alignment horizontal="left" vertical="center" wrapText="1"/>
    </xf>
    <xf numFmtId="0" fontId="2" fillId="5" borderId="7" xfId="1" applyFont="1" applyFill="1" applyBorder="1" applyAlignment="1">
      <alignment horizontal="center" vertical="center" wrapText="1"/>
    </xf>
    <xf numFmtId="0" fontId="2" fillId="5" borderId="4" xfId="1" applyFont="1" applyFill="1" applyBorder="1" applyAlignment="1">
      <alignment horizontal="center" vertical="center" wrapText="1"/>
    </xf>
    <xf numFmtId="0" fontId="30" fillId="5" borderId="4" xfId="0" applyFont="1" applyFill="1" applyBorder="1" applyAlignment="1">
      <alignment wrapText="1"/>
    </xf>
    <xf numFmtId="0" fontId="30" fillId="5" borderId="5" xfId="0" applyFont="1" applyFill="1" applyBorder="1" applyAlignment="1">
      <alignment wrapText="1"/>
    </xf>
    <xf numFmtId="49" fontId="32" fillId="0" borderId="6" xfId="1" applyNumberFormat="1" applyFont="1" applyFill="1" applyBorder="1" applyAlignment="1">
      <alignment horizontal="center" vertical="distributed"/>
    </xf>
    <xf numFmtId="49" fontId="33" fillId="0" borderId="6" xfId="0" applyNumberFormat="1" applyFont="1" applyBorder="1" applyAlignment="1">
      <alignment horizontal="center" vertical="distributed"/>
    </xf>
    <xf numFmtId="0" fontId="3" fillId="3" borderId="4" xfId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" fillId="4" borderId="3" xfId="1" applyFont="1" applyFill="1" applyBorder="1" applyAlignment="1">
      <alignment horizontal="center" vertical="center" wrapText="1"/>
    </xf>
    <xf numFmtId="0" fontId="30" fillId="4" borderId="4" xfId="0" applyFont="1" applyFill="1" applyBorder="1" applyAlignment="1"/>
    <xf numFmtId="0" fontId="30" fillId="4" borderId="5" xfId="0" applyFont="1" applyFill="1" applyBorder="1" applyAlignment="1"/>
    <xf numFmtId="0" fontId="3" fillId="3" borderId="6" xfId="1" applyFont="1" applyFill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49" fontId="11" fillId="0" borderId="7" xfId="0" applyNumberFormat="1" applyFont="1" applyBorder="1" applyAlignment="1"/>
    <xf numFmtId="49" fontId="35" fillId="0" borderId="9" xfId="0" applyNumberFormat="1" applyFont="1" applyBorder="1" applyAlignment="1"/>
    <xf numFmtId="49" fontId="11" fillId="0" borderId="9" xfId="0" applyNumberFormat="1" applyFont="1" applyBorder="1" applyAlignment="1"/>
    <xf numFmtId="49" fontId="36" fillId="4" borderId="1" xfId="1" applyNumberFormat="1" applyFont="1" applyFill="1" applyBorder="1" applyAlignment="1">
      <alignment horizontal="distributed" vertical="distributed"/>
    </xf>
    <xf numFmtId="0" fontId="37" fillId="4" borderId="1" xfId="1" applyFont="1" applyFill="1" applyBorder="1" applyAlignment="1">
      <alignment horizontal="distributed" vertical="distributed"/>
    </xf>
    <xf numFmtId="0" fontId="3" fillId="3" borderId="7" xfId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0" borderId="7" xfId="0" applyFont="1" applyBorder="1" applyAlignment="1">
      <alignment horizontal="center" vertical="distributed"/>
    </xf>
    <xf numFmtId="0" fontId="27" fillId="0" borderId="9" xfId="0" applyFont="1" applyBorder="1" applyAlignment="1">
      <alignment horizontal="center" vertical="distributed"/>
    </xf>
    <xf numFmtId="0" fontId="25" fillId="0" borderId="6" xfId="1" applyNumberFormat="1" applyFont="1" applyFill="1" applyBorder="1" applyAlignment="1">
      <alignment horizontal="center" vertical="center" wrapText="1"/>
    </xf>
    <xf numFmtId="0" fontId="31" fillId="0" borderId="6" xfId="0" applyNumberFormat="1" applyFont="1" applyFill="1" applyBorder="1" applyAlignment="1">
      <alignment horizontal="center" vertical="center" wrapText="1"/>
    </xf>
    <xf numFmtId="0" fontId="17" fillId="0" borderId="7" xfId="1" applyNumberFormat="1" applyFont="1" applyFill="1" applyBorder="1" applyAlignment="1">
      <alignment horizontal="center" vertical="distributed"/>
    </xf>
    <xf numFmtId="0" fontId="12" fillId="0" borderId="4" xfId="0" applyNumberFormat="1" applyFont="1" applyBorder="1" applyAlignment="1">
      <alignment horizontal="center" vertical="distributed"/>
    </xf>
    <xf numFmtId="0" fontId="18" fillId="0" borderId="11" xfId="1" applyNumberFormat="1" applyFont="1" applyBorder="1" applyAlignment="1">
      <alignment horizontal="left" vertical="top" wrapText="1"/>
    </xf>
    <xf numFmtId="0" fontId="18" fillId="0" borderId="1" xfId="1" applyNumberFormat="1" applyFont="1" applyBorder="1" applyAlignment="1">
      <alignment horizontal="left" vertical="top" wrapText="1"/>
    </xf>
    <xf numFmtId="0" fontId="18" fillId="0" borderId="13" xfId="1" applyNumberFormat="1" applyFont="1" applyBorder="1" applyAlignment="1">
      <alignment horizontal="left" vertical="top" wrapText="1"/>
    </xf>
    <xf numFmtId="0" fontId="18" fillId="0" borderId="0" xfId="1" applyNumberFormat="1" applyFont="1" applyBorder="1" applyAlignment="1">
      <alignment horizontal="left" vertical="top" wrapText="1"/>
    </xf>
    <xf numFmtId="0" fontId="18" fillId="0" borderId="15" xfId="1" applyNumberFormat="1" applyFont="1" applyBorder="1" applyAlignment="1">
      <alignment horizontal="left" vertical="top" wrapText="1"/>
    </xf>
    <xf numFmtId="0" fontId="18" fillId="0" borderId="16" xfId="1" applyNumberFormat="1" applyFont="1" applyBorder="1" applyAlignment="1">
      <alignment horizontal="left" vertical="top" wrapText="1"/>
    </xf>
    <xf numFmtId="0" fontId="38" fillId="0" borderId="7" xfId="1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40" fillId="0" borderId="9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distributed"/>
    </xf>
    <xf numFmtId="0" fontId="0" fillId="0" borderId="19" xfId="0" applyBorder="1" applyAlignment="1">
      <alignment horizontal="center" vertical="distributed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49" fontId="26" fillId="0" borderId="1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49" fontId="7" fillId="0" borderId="22" xfId="1" applyNumberFormat="1" applyFont="1" applyBorder="1" applyAlignment="1">
      <alignment horizontal="center" vertical="center" wrapText="1"/>
    </xf>
    <xf numFmtId="49" fontId="7" fillId="0" borderId="1" xfId="1" applyNumberFormat="1" applyFont="1" applyBorder="1" applyAlignment="1">
      <alignment horizontal="center" vertical="center" wrapText="1"/>
    </xf>
    <xf numFmtId="49" fontId="7" fillId="0" borderId="12" xfId="1" applyNumberFormat="1" applyFont="1" applyBorder="1" applyAlignment="1">
      <alignment horizontal="center" vertical="center" wrapText="1"/>
    </xf>
    <xf numFmtId="0" fontId="7" fillId="0" borderId="22" xfId="1" applyNumberFormat="1" applyFont="1" applyFill="1" applyBorder="1" applyAlignment="1">
      <alignment horizontal="center" vertical="center" wrapText="1"/>
    </xf>
    <xf numFmtId="0" fontId="7" fillId="0" borderId="1" xfId="1" applyNumberFormat="1" applyFont="1" applyFill="1" applyBorder="1" applyAlignment="1">
      <alignment horizontal="center" vertical="center" wrapText="1"/>
    </xf>
    <xf numFmtId="0" fontId="7" fillId="0" borderId="12" xfId="1" applyNumberFormat="1" applyFont="1" applyFill="1" applyBorder="1" applyAlignment="1">
      <alignment horizontal="center" vertical="center" wrapText="1"/>
    </xf>
    <xf numFmtId="49" fontId="7" fillId="0" borderId="22" xfId="1" applyNumberFormat="1" applyFont="1" applyFill="1" applyBorder="1" applyAlignment="1">
      <alignment horizontal="center" vertical="center" wrapText="1"/>
    </xf>
    <xf numFmtId="49" fontId="7" fillId="0" borderId="1" xfId="1" applyNumberFormat="1" applyFont="1" applyFill="1" applyBorder="1" applyAlignment="1">
      <alignment horizontal="center" vertical="center" wrapText="1"/>
    </xf>
    <xf numFmtId="49" fontId="7" fillId="0" borderId="12" xfId="1" applyNumberFormat="1" applyFont="1" applyFill="1" applyBorder="1" applyAlignment="1">
      <alignment horizontal="center" vertical="center" wrapText="1"/>
    </xf>
    <xf numFmtId="14" fontId="7" fillId="0" borderId="23" xfId="1" applyNumberFormat="1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7" fillId="0" borderId="4" xfId="0" applyNumberFormat="1" applyFont="1" applyBorder="1" applyAlignment="1">
      <alignment horizontal="center" vertical="distributed"/>
    </xf>
    <xf numFmtId="0" fontId="0" fillId="0" borderId="4" xfId="0" applyNumberFormat="1" applyBorder="1" applyAlignment="1">
      <alignment horizontal="center" vertical="distributed"/>
    </xf>
    <xf numFmtId="0" fontId="0" fillId="0" borderId="5" xfId="0" applyNumberFormat="1" applyBorder="1" applyAlignment="1">
      <alignment horizontal="center" vertical="distributed"/>
    </xf>
    <xf numFmtId="0" fontId="34" fillId="0" borderId="4" xfId="0" applyNumberFormat="1" applyFont="1" applyBorder="1" applyAlignment="1">
      <alignment horizontal="center" vertical="distributed"/>
    </xf>
    <xf numFmtId="0" fontId="0" fillId="0" borderId="9" xfId="0" applyNumberFormat="1" applyBorder="1" applyAlignment="1">
      <alignment horizontal="center" vertical="distributed"/>
    </xf>
    <xf numFmtId="0" fontId="36" fillId="4" borderId="10" xfId="1" applyFont="1" applyFill="1" applyBorder="1" applyAlignment="1">
      <alignment horizontal="center" vertical="distributed"/>
    </xf>
    <xf numFmtId="0" fontId="36" fillId="4" borderId="1" xfId="1" applyFont="1" applyFill="1" applyBorder="1" applyAlignment="1">
      <alignment horizontal="center" vertical="distributed"/>
    </xf>
    <xf numFmtId="0" fontId="41" fillId="6" borderId="0" xfId="0" applyNumberFormat="1" applyFont="1" applyFill="1" applyAlignment="1">
      <alignment horizontal="center"/>
    </xf>
    <xf numFmtId="49" fontId="41" fillId="6" borderId="11" xfId="0" applyNumberFormat="1" applyFont="1" applyFill="1" applyBorder="1" applyAlignment="1">
      <alignment horizontal="center" vertical="center"/>
    </xf>
    <xf numFmtId="49" fontId="41" fillId="6" borderId="1" xfId="0" applyNumberFormat="1" applyFont="1" applyFill="1" applyBorder="1" applyAlignment="1">
      <alignment horizontal="center" vertical="center"/>
    </xf>
    <xf numFmtId="49" fontId="41" fillId="6" borderId="12" xfId="0" applyNumberFormat="1" applyFont="1" applyFill="1" applyBorder="1" applyAlignment="1">
      <alignment horizontal="center" vertical="center"/>
    </xf>
    <xf numFmtId="49" fontId="41" fillId="6" borderId="13" xfId="0" applyNumberFormat="1" applyFont="1" applyFill="1" applyBorder="1" applyAlignment="1">
      <alignment horizontal="center" vertical="center"/>
    </xf>
    <xf numFmtId="49" fontId="41" fillId="6" borderId="0" xfId="0" applyNumberFormat="1" applyFont="1" applyFill="1" applyBorder="1" applyAlignment="1">
      <alignment horizontal="center" vertical="center"/>
    </xf>
    <xf numFmtId="49" fontId="41" fillId="6" borderId="14" xfId="0" applyNumberFormat="1" applyFont="1" applyFill="1" applyBorder="1" applyAlignment="1">
      <alignment horizontal="center" vertical="center"/>
    </xf>
    <xf numFmtId="49" fontId="41" fillId="6" borderId="15" xfId="0" applyNumberFormat="1" applyFont="1" applyFill="1" applyBorder="1" applyAlignment="1">
      <alignment horizontal="center" vertical="center"/>
    </xf>
    <xf numFmtId="49" fontId="41" fillId="6" borderId="16" xfId="0" applyNumberFormat="1" applyFont="1" applyFill="1" applyBorder="1" applyAlignment="1">
      <alignment horizontal="center" vertical="center"/>
    </xf>
    <xf numFmtId="49" fontId="41" fillId="6" borderId="17" xfId="0" applyNumberFormat="1" applyFont="1" applyFill="1" applyBorder="1" applyAlignment="1">
      <alignment horizontal="center" vertical="center"/>
    </xf>
    <xf numFmtId="49" fontId="41" fillId="6" borderId="11" xfId="0" applyNumberFormat="1" applyFont="1" applyFill="1" applyBorder="1" applyAlignment="1">
      <alignment horizontal="center" vertical="center" wrapText="1"/>
    </xf>
    <xf numFmtId="49" fontId="41" fillId="6" borderId="1" xfId="0" applyNumberFormat="1" applyFont="1" applyFill="1" applyBorder="1" applyAlignment="1">
      <alignment horizontal="center" vertical="center" wrapText="1"/>
    </xf>
    <xf numFmtId="49" fontId="41" fillId="6" borderId="12" xfId="0" applyNumberFormat="1" applyFont="1" applyFill="1" applyBorder="1" applyAlignment="1">
      <alignment horizontal="center" vertical="center" wrapText="1"/>
    </xf>
    <xf numFmtId="49" fontId="41" fillId="6" borderId="13" xfId="0" applyNumberFormat="1" applyFont="1" applyFill="1" applyBorder="1" applyAlignment="1">
      <alignment horizontal="center" vertical="center" wrapText="1"/>
    </xf>
    <xf numFmtId="49" fontId="41" fillId="6" borderId="0" xfId="0" applyNumberFormat="1" applyFont="1" applyFill="1" applyBorder="1" applyAlignment="1">
      <alignment horizontal="center" vertical="center" wrapText="1"/>
    </xf>
    <xf numFmtId="49" fontId="41" fillId="6" borderId="14" xfId="0" applyNumberFormat="1" applyFont="1" applyFill="1" applyBorder="1" applyAlignment="1">
      <alignment horizontal="center" vertical="center" wrapText="1"/>
    </xf>
    <xf numFmtId="49" fontId="41" fillId="6" borderId="15" xfId="0" applyNumberFormat="1" applyFont="1" applyFill="1" applyBorder="1" applyAlignment="1">
      <alignment horizontal="center" vertical="center" wrapText="1"/>
    </xf>
    <xf numFmtId="49" fontId="41" fillId="6" borderId="16" xfId="0" applyNumberFormat="1" applyFont="1" applyFill="1" applyBorder="1" applyAlignment="1">
      <alignment horizontal="center" vertical="center" wrapText="1"/>
    </xf>
    <xf numFmtId="49" fontId="41" fillId="6" borderId="17" xfId="0" applyNumberFormat="1" applyFont="1" applyFill="1" applyBorder="1" applyAlignment="1">
      <alignment horizontal="center" vertical="center" wrapText="1"/>
    </xf>
    <xf numFmtId="0" fontId="42" fillId="6" borderId="6" xfId="0" applyNumberFormat="1" applyFont="1" applyFill="1" applyBorder="1" applyAlignment="1">
      <alignment horizontal="center" vertical="center" wrapText="1"/>
    </xf>
    <xf numFmtId="0" fontId="42" fillId="6" borderId="6" xfId="0" applyNumberFormat="1" applyFont="1" applyFill="1" applyBorder="1" applyAlignment="1">
      <alignment horizontal="center" vertical="center"/>
    </xf>
    <xf numFmtId="167" fontId="41" fillId="6" borderId="6" xfId="0" applyNumberFormat="1" applyFont="1" applyFill="1" applyBorder="1" applyAlignment="1">
      <alignment horizontal="center" vertical="center"/>
    </xf>
    <xf numFmtId="49" fontId="42" fillId="6" borderId="0" xfId="3" applyNumberFormat="1" applyFont="1" applyFill="1" applyAlignment="1">
      <alignment horizontal="center"/>
    </xf>
    <xf numFmtId="0" fontId="42" fillId="6" borderId="6" xfId="3" applyFont="1" applyFill="1" applyBorder="1" applyAlignment="1">
      <alignment horizontal="center" vertical="center" wrapText="1"/>
    </xf>
    <xf numFmtId="0" fontId="42" fillId="6" borderId="6" xfId="3" applyFont="1" applyFill="1" applyBorder="1" applyAlignment="1">
      <alignment horizontal="center" vertical="center"/>
    </xf>
    <xf numFmtId="49" fontId="41" fillId="6" borderId="6" xfId="3" applyNumberFormat="1" applyFont="1" applyFill="1" applyBorder="1" applyAlignment="1">
      <alignment horizontal="center" vertical="center"/>
    </xf>
    <xf numFmtId="49" fontId="41" fillId="6" borderId="11" xfId="0" applyNumberFormat="1" applyFont="1" applyFill="1" applyBorder="1" applyAlignment="1">
      <alignment horizontal="center" vertical="distributed" wrapText="1"/>
    </xf>
    <xf numFmtId="49" fontId="41" fillId="0" borderId="1" xfId="0" applyNumberFormat="1" applyFont="1" applyBorder="1"/>
    <xf numFmtId="49" fontId="41" fillId="0" borderId="12" xfId="0" applyNumberFormat="1" applyFont="1" applyBorder="1"/>
    <xf numFmtId="49" fontId="41" fillId="0" borderId="15" xfId="0" applyNumberFormat="1" applyFont="1" applyBorder="1"/>
    <xf numFmtId="49" fontId="41" fillId="0" borderId="16" xfId="0" applyNumberFormat="1" applyFont="1" applyBorder="1"/>
    <xf numFmtId="49" fontId="41" fillId="0" borderId="17" xfId="0" applyNumberFormat="1" applyFont="1" applyBorder="1"/>
    <xf numFmtId="0" fontId="42" fillId="6" borderId="7" xfId="0" applyNumberFormat="1" applyFont="1" applyFill="1" applyBorder="1" applyAlignment="1">
      <alignment horizontal="center" vertical="center"/>
    </xf>
    <xf numFmtId="0" fontId="42" fillId="6" borderId="4" xfId="0" applyNumberFormat="1" applyFont="1" applyFill="1" applyBorder="1" applyAlignment="1">
      <alignment horizontal="center" vertical="center"/>
    </xf>
    <xf numFmtId="0" fontId="42" fillId="6" borderId="9" xfId="0" applyNumberFormat="1" applyFont="1" applyFill="1" applyBorder="1" applyAlignment="1">
      <alignment horizontal="center" vertical="center"/>
    </xf>
    <xf numFmtId="0" fontId="42" fillId="6" borderId="7" xfId="3" applyFont="1" applyFill="1" applyBorder="1" applyAlignment="1">
      <alignment horizontal="center" vertical="center"/>
    </xf>
    <xf numFmtId="0" fontId="42" fillId="6" borderId="0" xfId="0" applyNumberFormat="1" applyFont="1" applyFill="1" applyBorder="1" applyAlignment="1">
      <alignment horizontal="center" vertical="center"/>
    </xf>
    <xf numFmtId="0" fontId="41" fillId="6" borderId="0" xfId="0" applyNumberFormat="1" applyFont="1" applyFill="1" applyBorder="1" applyAlignment="1">
      <alignment horizontal="center" vertical="center"/>
    </xf>
    <xf numFmtId="49" fontId="41" fillId="6" borderId="7" xfId="0" applyNumberFormat="1" applyFont="1" applyFill="1" applyBorder="1" applyAlignment="1">
      <alignment horizontal="center" vertical="center"/>
    </xf>
    <xf numFmtId="49" fontId="41" fillId="6" borderId="9" xfId="0" applyNumberFormat="1" applyFont="1" applyFill="1" applyBorder="1" applyAlignment="1">
      <alignment horizontal="center" vertical="center"/>
    </xf>
    <xf numFmtId="0" fontId="42" fillId="6" borderId="6" xfId="0" applyNumberFormat="1" applyFont="1" applyFill="1" applyBorder="1" applyAlignment="1">
      <alignment horizontal="center" vertical="center" textRotation="90"/>
    </xf>
    <xf numFmtId="49" fontId="41" fillId="6" borderId="11" xfId="0" applyNumberFormat="1" applyFont="1" applyFill="1" applyBorder="1" applyAlignment="1">
      <alignment horizontal="center" wrapText="1"/>
    </xf>
    <xf numFmtId="49" fontId="41" fillId="6" borderId="1" xfId="0" applyNumberFormat="1" applyFont="1" applyFill="1" applyBorder="1" applyAlignment="1">
      <alignment horizontal="center" wrapText="1"/>
    </xf>
    <xf numFmtId="49" fontId="41" fillId="6" borderId="12" xfId="0" applyNumberFormat="1" applyFont="1" applyFill="1" applyBorder="1" applyAlignment="1">
      <alignment horizontal="center" wrapText="1"/>
    </xf>
    <xf numFmtId="49" fontId="41" fillId="6" borderId="13" xfId="0" applyNumberFormat="1" applyFont="1" applyFill="1" applyBorder="1" applyAlignment="1">
      <alignment horizontal="center" wrapText="1"/>
    </xf>
    <xf numFmtId="49" fontId="41" fillId="6" borderId="0" xfId="0" applyNumberFormat="1" applyFont="1" applyFill="1" applyBorder="1" applyAlignment="1">
      <alignment horizontal="center" wrapText="1"/>
    </xf>
    <xf numFmtId="49" fontId="41" fillId="6" borderId="14" xfId="0" applyNumberFormat="1" applyFont="1" applyFill="1" applyBorder="1" applyAlignment="1">
      <alignment horizontal="center" wrapText="1"/>
    </xf>
    <xf numFmtId="49" fontId="41" fillId="6" borderId="15" xfId="0" applyNumberFormat="1" applyFont="1" applyFill="1" applyBorder="1" applyAlignment="1">
      <alignment horizontal="center" wrapText="1"/>
    </xf>
    <xf numFmtId="49" fontId="41" fillId="6" borderId="16" xfId="0" applyNumberFormat="1" applyFont="1" applyFill="1" applyBorder="1" applyAlignment="1">
      <alignment horizontal="center" wrapText="1"/>
    </xf>
    <xf numFmtId="49" fontId="41" fillId="6" borderId="17" xfId="0" applyNumberFormat="1" applyFont="1" applyFill="1" applyBorder="1" applyAlignment="1">
      <alignment horizontal="center" wrapText="1"/>
    </xf>
    <xf numFmtId="4" fontId="41" fillId="6" borderId="7" xfId="0" applyNumberFormat="1" applyFont="1" applyFill="1" applyBorder="1" applyAlignment="1">
      <alignment horizontal="center" vertical="center" wrapText="1"/>
    </xf>
    <xf numFmtId="4" fontId="41" fillId="6" borderId="9" xfId="0" applyNumberFormat="1" applyFont="1" applyFill="1" applyBorder="1" applyAlignment="1">
      <alignment horizontal="center" vertical="center" wrapText="1"/>
    </xf>
    <xf numFmtId="0" fontId="42" fillId="6" borderId="7" xfId="0" applyNumberFormat="1" applyFont="1" applyFill="1" applyBorder="1" applyAlignment="1">
      <alignment horizontal="center" vertical="center" wrapText="1"/>
    </xf>
    <xf numFmtId="0" fontId="42" fillId="6" borderId="4" xfId="0" applyNumberFormat="1" applyFont="1" applyFill="1" applyBorder="1" applyAlignment="1">
      <alignment horizontal="center" vertical="center" wrapText="1"/>
    </xf>
    <xf numFmtId="0" fontId="42" fillId="6" borderId="9" xfId="0" applyNumberFormat="1" applyFont="1" applyFill="1" applyBorder="1" applyAlignment="1">
      <alignment horizontal="center" vertical="center" wrapText="1"/>
    </xf>
    <xf numFmtId="0" fontId="0" fillId="0" borderId="4" xfId="0" applyNumberFormat="1" applyBorder="1"/>
    <xf numFmtId="0" fontId="0" fillId="0" borderId="9" xfId="0" applyNumberFormat="1" applyBorder="1"/>
    <xf numFmtId="49" fontId="41" fillId="6" borderId="7" xfId="0" applyNumberFormat="1" applyFont="1" applyFill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49" fontId="41" fillId="6" borderId="4" xfId="0" applyNumberFormat="1" applyFont="1" applyFill="1" applyBorder="1" applyAlignment="1">
      <alignment horizontal="center" vertical="center" wrapText="1"/>
    </xf>
    <xf numFmtId="49" fontId="41" fillId="6" borderId="9" xfId="0" applyNumberFormat="1" applyFont="1" applyFill="1" applyBorder="1" applyAlignment="1">
      <alignment horizontal="center" vertical="center" wrapText="1"/>
    </xf>
    <xf numFmtId="49" fontId="41" fillId="6" borderId="7" xfId="0" applyNumberFormat="1" applyFont="1" applyFill="1" applyBorder="1" applyAlignment="1">
      <alignment horizontal="left" vertical="center" wrapText="1"/>
    </xf>
    <xf numFmtId="49" fontId="41" fillId="6" borderId="4" xfId="0" applyNumberFormat="1" applyFont="1" applyFill="1" applyBorder="1" applyAlignment="1">
      <alignment horizontal="left" vertical="center" wrapText="1"/>
    </xf>
    <xf numFmtId="49" fontId="41" fillId="6" borderId="9" xfId="0" applyNumberFormat="1" applyFont="1" applyFill="1" applyBorder="1" applyAlignment="1">
      <alignment horizontal="left" vertical="center" wrapText="1"/>
    </xf>
    <xf numFmtId="3" fontId="41" fillId="6" borderId="7" xfId="0" applyNumberFormat="1" applyFont="1" applyFill="1" applyBorder="1" applyAlignment="1">
      <alignment horizontal="center" vertical="center" wrapText="1"/>
    </xf>
    <xf numFmtId="3" fontId="41" fillId="6" borderId="4" xfId="0" applyNumberFormat="1" applyFont="1" applyFill="1" applyBorder="1" applyAlignment="1">
      <alignment horizontal="center" vertical="center" wrapText="1"/>
    </xf>
    <xf numFmtId="3" fontId="41" fillId="6" borderId="9" xfId="0" applyNumberFormat="1" applyFont="1" applyFill="1" applyBorder="1" applyAlignment="1">
      <alignment horizontal="center" vertical="center" wrapText="1"/>
    </xf>
    <xf numFmtId="4" fontId="42" fillId="6" borderId="19" xfId="0" applyNumberFormat="1" applyFont="1" applyFill="1" applyBorder="1" applyAlignment="1">
      <alignment horizontal="center" vertical="center" wrapText="1"/>
    </xf>
    <xf numFmtId="0" fontId="42" fillId="6" borderId="19" xfId="0" applyNumberFormat="1" applyFont="1" applyFill="1" applyBorder="1" applyAlignment="1">
      <alignment horizontal="left" wrapText="1"/>
    </xf>
    <xf numFmtId="0" fontId="42" fillId="6" borderId="7" xfId="0" applyNumberFormat="1" applyFont="1" applyFill="1" applyBorder="1" applyAlignment="1">
      <alignment horizontal="center" wrapText="1"/>
    </xf>
    <xf numFmtId="0" fontId="42" fillId="6" borderId="4" xfId="0" applyNumberFormat="1" applyFont="1" applyFill="1" applyBorder="1" applyAlignment="1">
      <alignment horizontal="center" wrapText="1"/>
    </xf>
    <xf numFmtId="0" fontId="42" fillId="6" borderId="9" xfId="0" applyNumberFormat="1" applyFont="1" applyFill="1" applyBorder="1" applyAlignment="1">
      <alignment horizontal="center" wrapText="1"/>
    </xf>
    <xf numFmtId="3" fontId="42" fillId="6" borderId="7" xfId="0" applyNumberFormat="1" applyFont="1" applyFill="1" applyBorder="1" applyAlignment="1">
      <alignment horizontal="center" vertical="center" wrapText="1"/>
    </xf>
    <xf numFmtId="3" fontId="42" fillId="6" borderId="4" xfId="0" applyNumberFormat="1" applyFont="1" applyFill="1" applyBorder="1" applyAlignment="1">
      <alignment horizontal="center" vertical="center" wrapText="1"/>
    </xf>
    <xf numFmtId="3" fontId="42" fillId="6" borderId="9" xfId="0" applyNumberFormat="1" applyFont="1" applyFill="1" applyBorder="1" applyAlignment="1">
      <alignment horizontal="center" vertical="center" wrapText="1"/>
    </xf>
    <xf numFmtId="0" fontId="41" fillId="6" borderId="0" xfId="0" applyNumberFormat="1" applyFont="1" applyFill="1" applyBorder="1" applyAlignment="1">
      <alignment horizontal="left"/>
    </xf>
    <xf numFmtId="0" fontId="41" fillId="6" borderId="0" xfId="0" applyNumberFormat="1" applyFont="1" applyFill="1" applyBorder="1" applyAlignment="1"/>
    <xf numFmtId="0" fontId="50" fillId="4" borderId="7" xfId="10" applyNumberFormat="1" applyFont="1" applyFill="1" applyBorder="1" applyAlignment="1">
      <alignment horizontal="left"/>
    </xf>
    <xf numFmtId="0" fontId="0" fillId="4" borderId="4" xfId="0" applyNumberFormat="1" applyFont="1" applyFill="1" applyBorder="1"/>
    <xf numFmtId="0" fontId="0" fillId="4" borderId="5" xfId="0" applyNumberFormat="1" applyFont="1" applyFill="1" applyBorder="1"/>
    <xf numFmtId="0" fontId="12" fillId="4" borderId="10" xfId="5" applyNumberFormat="1" applyFont="1" applyFill="1" applyBorder="1"/>
    <xf numFmtId="0" fontId="0" fillId="4" borderId="1" xfId="0" applyNumberFormat="1" applyFont="1" applyFill="1" applyBorder="1"/>
    <xf numFmtId="0" fontId="0" fillId="4" borderId="12" xfId="0" applyNumberFormat="1" applyFont="1" applyFill="1" applyBorder="1"/>
    <xf numFmtId="0" fontId="0" fillId="4" borderId="32" xfId="0" applyNumberFormat="1" applyFont="1" applyFill="1" applyBorder="1"/>
    <xf numFmtId="0" fontId="0" fillId="4" borderId="0" xfId="0" applyNumberFormat="1" applyFont="1" applyFill="1" applyBorder="1"/>
    <xf numFmtId="0" fontId="0" fillId="4" borderId="14" xfId="0" applyNumberFormat="1" applyFont="1" applyFill="1" applyBorder="1"/>
    <xf numFmtId="0" fontId="49" fillId="4" borderId="7" xfId="10" applyNumberFormat="1" applyFont="1" applyFill="1" applyBorder="1" applyAlignment="1">
      <alignment horizontal="left"/>
    </xf>
    <xf numFmtId="0" fontId="0" fillId="4" borderId="9" xfId="0" applyNumberFormat="1" applyFont="1" applyFill="1" applyBorder="1"/>
    <xf numFmtId="0" fontId="49" fillId="4" borderId="3" xfId="10" applyNumberFormat="1" applyFont="1" applyFill="1" applyBorder="1" applyAlignment="1">
      <alignment horizontal="left"/>
    </xf>
    <xf numFmtId="0" fontId="0" fillId="0" borderId="9" xfId="0" applyNumberFormat="1" applyFont="1" applyFill="1" applyBorder="1" applyAlignment="1">
      <alignment horizontal="left"/>
    </xf>
    <xf numFmtId="0" fontId="49" fillId="4" borderId="3" xfId="4" applyNumberFormat="1" applyFont="1" applyFill="1" applyBorder="1" applyAlignment="1">
      <alignment horizontal="left"/>
    </xf>
    <xf numFmtId="0" fontId="49" fillId="4" borderId="11" xfId="4" applyNumberFormat="1" applyFont="1" applyFill="1" applyBorder="1"/>
    <xf numFmtId="0" fontId="0" fillId="0" borderId="1" xfId="0" applyNumberFormat="1" applyFont="1" applyFill="1" applyBorder="1"/>
    <xf numFmtId="0" fontId="0" fillId="0" borderId="2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NumberFormat="1" applyFont="1" applyFill="1" applyBorder="1"/>
    <xf numFmtId="0" fontId="0" fillId="0" borderId="20" xfId="0" applyNumberFormat="1" applyFont="1" applyFill="1" applyBorder="1"/>
    <xf numFmtId="0" fontId="0" fillId="0" borderId="15" xfId="0" applyNumberFormat="1" applyFont="1" applyFill="1" applyBorder="1"/>
    <xf numFmtId="0" fontId="0" fillId="0" borderId="16" xfId="0" applyNumberFormat="1" applyFont="1" applyFill="1" applyBorder="1"/>
    <xf numFmtId="0" fontId="0" fillId="0" borderId="47" xfId="0" applyNumberFormat="1" applyFont="1" applyFill="1" applyBorder="1"/>
    <xf numFmtId="0" fontId="50" fillId="4" borderId="11" xfId="4" applyNumberFormat="1" applyFont="1" applyFill="1" applyBorder="1" applyAlignment="1">
      <alignment horizontal="center" vertical="center"/>
    </xf>
    <xf numFmtId="0" fontId="0" fillId="0" borderId="12" xfId="0" applyNumberFormat="1" applyFont="1" applyFill="1" applyBorder="1"/>
    <xf numFmtId="0" fontId="0" fillId="0" borderId="45" xfId="0" applyNumberFormat="1" applyFont="1" applyFill="1" applyBorder="1"/>
    <xf numFmtId="0" fontId="0" fillId="0" borderId="34" xfId="0" applyNumberFormat="1" applyFont="1" applyFill="1" applyBorder="1"/>
    <xf numFmtId="0" fontId="0" fillId="0" borderId="48" xfId="0" applyNumberFormat="1" applyFont="1" applyFill="1" applyBorder="1"/>
    <xf numFmtId="0" fontId="50" fillId="4" borderId="10" xfId="4" applyNumberFormat="1" applyFont="1" applyFill="1" applyBorder="1" applyAlignment="1">
      <alignment vertical="top" wrapText="1"/>
    </xf>
    <xf numFmtId="0" fontId="50" fillId="4" borderId="1" xfId="4" applyNumberFormat="1" applyFont="1" applyFill="1" applyBorder="1" applyAlignment="1">
      <alignment vertical="top" wrapText="1"/>
    </xf>
    <xf numFmtId="0" fontId="50" fillId="4" borderId="12" xfId="4" applyNumberFormat="1" applyFont="1" applyFill="1" applyBorder="1" applyAlignment="1">
      <alignment vertical="top" wrapText="1"/>
    </xf>
    <xf numFmtId="0" fontId="0" fillId="0" borderId="32" xfId="0" applyNumberFormat="1" applyFont="1" applyFill="1" applyBorder="1" applyAlignment="1">
      <alignment vertical="top" wrapText="1"/>
    </xf>
    <xf numFmtId="0" fontId="0" fillId="0" borderId="0" xfId="0" applyNumberFormat="1" applyFont="1" applyFill="1" applyBorder="1" applyAlignment="1">
      <alignment vertical="top" wrapText="1"/>
    </xf>
    <xf numFmtId="0" fontId="0" fillId="0" borderId="14" xfId="0" applyNumberFormat="1" applyFont="1" applyFill="1" applyBorder="1" applyAlignment="1">
      <alignment vertical="top" wrapText="1"/>
    </xf>
    <xf numFmtId="0" fontId="0" fillId="0" borderId="33" xfId="0" applyNumberFormat="1" applyFont="1" applyFill="1" applyBorder="1" applyAlignment="1">
      <alignment vertical="top" wrapText="1"/>
    </xf>
    <xf numFmtId="0" fontId="0" fillId="0" borderId="34" xfId="0" applyNumberFormat="1" applyFont="1" applyFill="1" applyBorder="1" applyAlignment="1">
      <alignment vertical="top" wrapText="1"/>
    </xf>
    <xf numFmtId="0" fontId="0" fillId="0" borderId="48" xfId="0" applyNumberFormat="1" applyFont="1" applyFill="1" applyBorder="1" applyAlignment="1">
      <alignment vertical="top" wrapText="1"/>
    </xf>
    <xf numFmtId="165" fontId="50" fillId="4" borderId="6" xfId="4" applyNumberFormat="1" applyFont="1" applyFill="1" applyBorder="1" applyAlignment="1">
      <alignment horizontal="center"/>
    </xf>
    <xf numFmtId="0" fontId="49" fillId="4" borderId="7" xfId="4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5" xfId="0" applyNumberFormat="1" applyFont="1" applyFill="1" applyBorder="1" applyAlignment="1">
      <alignment horizontal="center"/>
    </xf>
    <xf numFmtId="0" fontId="49" fillId="4" borderId="49" xfId="4" applyNumberFormat="1" applyFont="1" applyFill="1" applyBorder="1" applyAlignment="1">
      <alignment horizontal="center"/>
    </xf>
    <xf numFmtId="0" fontId="0" fillId="0" borderId="50" xfId="0" applyNumberFormat="1" applyFont="1" applyFill="1" applyBorder="1" applyAlignment="1">
      <alignment horizontal="center"/>
    </xf>
    <xf numFmtId="0" fontId="0" fillId="0" borderId="51" xfId="0" applyNumberFormat="1" applyFont="1" applyFill="1" applyBorder="1" applyAlignment="1">
      <alignment horizontal="center"/>
    </xf>
    <xf numFmtId="0" fontId="50" fillId="4" borderId="18" xfId="4" applyNumberFormat="1" applyFont="1" applyFill="1" applyBorder="1" applyAlignment="1">
      <alignment horizontal="left"/>
    </xf>
    <xf numFmtId="0" fontId="50" fillId="4" borderId="52" xfId="4" applyNumberFormat="1" applyFont="1" applyFill="1" applyBorder="1" applyAlignment="1">
      <alignment horizontal="left"/>
    </xf>
    <xf numFmtId="0" fontId="49" fillId="4" borderId="53" xfId="4" applyNumberFormat="1" applyFont="1" applyFill="1" applyBorder="1" applyAlignment="1">
      <alignment horizontal="center"/>
    </xf>
    <xf numFmtId="168" fontId="50" fillId="4" borderId="53" xfId="4" applyNumberFormat="1" applyFont="1" applyFill="1" applyBorder="1" applyAlignment="1">
      <alignment horizontal="center"/>
    </xf>
    <xf numFmtId="0" fontId="49" fillId="4" borderId="6" xfId="4" applyNumberFormat="1" applyFont="1" applyFill="1" applyBorder="1" applyAlignment="1">
      <alignment horizontal="center" vertical="center"/>
    </xf>
    <xf numFmtId="0" fontId="49" fillId="4" borderId="6" xfId="4" applyNumberFormat="1" applyFont="1" applyFill="1" applyBorder="1" applyAlignment="1">
      <alignment horizontal="left" vertical="center"/>
    </xf>
    <xf numFmtId="0" fontId="49" fillId="4" borderId="42" xfId="4" applyNumberFormat="1" applyFont="1" applyFill="1" applyBorder="1" applyAlignment="1">
      <alignment horizontal="left" vertical="center"/>
    </xf>
    <xf numFmtId="0" fontId="49" fillId="4" borderId="11" xfId="4" applyNumberFormat="1" applyFont="1" applyFill="1" applyBorder="1" applyAlignment="1">
      <alignment horizontal="left" vertical="center"/>
    </xf>
    <xf numFmtId="0" fontId="49" fillId="4" borderId="1" xfId="4" applyNumberFormat="1" applyFont="1" applyFill="1" applyBorder="1" applyAlignment="1">
      <alignment horizontal="left" vertical="center"/>
    </xf>
    <xf numFmtId="0" fontId="49" fillId="4" borderId="12" xfId="4" applyNumberFormat="1" applyFont="1" applyFill="1" applyBorder="1" applyAlignment="1">
      <alignment horizontal="left" vertical="center"/>
    </xf>
    <xf numFmtId="0" fontId="49" fillId="4" borderId="15" xfId="4" applyNumberFormat="1" applyFont="1" applyFill="1" applyBorder="1" applyAlignment="1">
      <alignment horizontal="left" vertical="center"/>
    </xf>
    <xf numFmtId="0" fontId="49" fillId="4" borderId="16" xfId="4" applyNumberFormat="1" applyFont="1" applyFill="1" applyBorder="1" applyAlignment="1">
      <alignment horizontal="left" vertical="center"/>
    </xf>
    <xf numFmtId="0" fontId="49" fillId="4" borderId="17" xfId="4" applyNumberFormat="1" applyFont="1" applyFill="1" applyBorder="1" applyAlignment="1">
      <alignment horizontal="left" vertical="center"/>
    </xf>
    <xf numFmtId="0" fontId="50" fillId="4" borderId="6" xfId="4" applyNumberFormat="1" applyFont="1" applyFill="1" applyBorder="1" applyAlignment="1">
      <alignment horizontal="left" vertical="center"/>
    </xf>
    <xf numFmtId="0" fontId="50" fillId="4" borderId="42" xfId="4" applyNumberFormat="1" applyFont="1" applyFill="1" applyBorder="1" applyAlignment="1">
      <alignment horizontal="left" vertical="center"/>
    </xf>
    <xf numFmtId="0" fontId="49" fillId="4" borderId="18" xfId="4" applyNumberFormat="1" applyFont="1" applyFill="1" applyBorder="1" applyAlignment="1">
      <alignment horizontal="center"/>
    </xf>
    <xf numFmtId="0" fontId="49" fillId="4" borderId="6" xfId="4" applyNumberFormat="1" applyFont="1" applyFill="1" applyBorder="1" applyAlignment="1">
      <alignment horizontal="center"/>
    </xf>
    <xf numFmtId="0" fontId="49" fillId="4" borderId="10" xfId="4" applyNumberFormat="1" applyFont="1" applyFill="1" applyBorder="1"/>
    <xf numFmtId="0" fontId="0" fillId="0" borderId="32" xfId="0" applyNumberFormat="1" applyFont="1" applyFill="1" applyBorder="1"/>
    <xf numFmtId="0" fontId="0" fillId="0" borderId="14" xfId="0" applyNumberFormat="1" applyFont="1" applyFill="1" applyBorder="1"/>
    <xf numFmtId="0" fontId="0" fillId="0" borderId="46" xfId="0" applyNumberFormat="1" applyFont="1" applyFill="1" applyBorder="1"/>
    <xf numFmtId="0" fontId="0" fillId="0" borderId="17" xfId="0" applyNumberFormat="1" applyFont="1" applyFill="1" applyBorder="1"/>
    <xf numFmtId="0" fontId="50" fillId="4" borderId="10" xfId="4" applyNumberFormat="1" applyFont="1" applyFill="1" applyBorder="1" applyAlignment="1">
      <alignment horizontal="right"/>
    </xf>
    <xf numFmtId="0" fontId="0" fillId="0" borderId="33" xfId="0" applyNumberFormat="1" applyFont="1" applyFill="1" applyBorder="1"/>
    <xf numFmtId="0" fontId="49" fillId="4" borderId="36" xfId="4" applyNumberFormat="1" applyFont="1" applyFill="1" applyBorder="1" applyAlignment="1">
      <alignment horizontal="left"/>
    </xf>
    <xf numFmtId="0" fontId="49" fillId="4" borderId="37" xfId="4" applyNumberFormat="1" applyFont="1" applyFill="1" applyBorder="1" applyAlignment="1">
      <alignment horizontal="left"/>
    </xf>
    <xf numFmtId="0" fontId="50" fillId="4" borderId="19" xfId="4" applyNumberFormat="1" applyFont="1" applyFill="1" applyBorder="1" applyAlignment="1">
      <alignment horizontal="left"/>
    </xf>
    <xf numFmtId="0" fontId="50" fillId="4" borderId="38" xfId="4" applyNumberFormat="1" applyFont="1" applyFill="1" applyBorder="1" applyAlignment="1">
      <alignment horizontal="left"/>
    </xf>
    <xf numFmtId="0" fontId="49" fillId="4" borderId="39" xfId="4" applyNumberFormat="1" applyFont="1" applyFill="1" applyBorder="1" applyAlignment="1">
      <alignment horizontal="left"/>
    </xf>
    <xf numFmtId="0" fontId="49" fillId="4" borderId="40" xfId="4" applyNumberFormat="1" applyFont="1" applyFill="1" applyBorder="1" applyAlignment="1">
      <alignment horizontal="left"/>
    </xf>
    <xf numFmtId="168" fontId="50" fillId="4" borderId="40" xfId="4" applyNumberFormat="1" applyFont="1" applyFill="1" applyBorder="1" applyAlignment="1">
      <alignment horizontal="left"/>
    </xf>
    <xf numFmtId="168" fontId="50" fillId="4" borderId="41" xfId="4" applyNumberFormat="1" applyFont="1" applyFill="1" applyBorder="1" applyAlignment="1">
      <alignment horizontal="left"/>
    </xf>
    <xf numFmtId="0" fontId="45" fillId="4" borderId="39" xfId="10" applyNumberFormat="1" applyFont="1" applyFill="1" applyBorder="1" applyAlignment="1">
      <alignment vertical="center"/>
    </xf>
    <xf numFmtId="0" fontId="0" fillId="0" borderId="40" xfId="0" applyNumberFormat="1" applyFont="1" applyFill="1" applyBorder="1"/>
    <xf numFmtId="0" fontId="45" fillId="4" borderId="40" xfId="4" applyNumberFormat="1" applyFont="1" applyFill="1" applyBorder="1" applyAlignment="1">
      <alignment vertical="center"/>
    </xf>
    <xf numFmtId="0" fontId="0" fillId="0" borderId="41" xfId="0" applyNumberFormat="1" applyFont="1" applyFill="1" applyBorder="1"/>
    <xf numFmtId="0" fontId="49" fillId="4" borderId="6" xfId="4" applyNumberFormat="1" applyFont="1" applyFill="1" applyBorder="1" applyAlignment="1">
      <alignment horizontal="center" vertical="center" wrapText="1"/>
    </xf>
    <xf numFmtId="0" fontId="50" fillId="4" borderId="7" xfId="4" applyNumberFormat="1" applyFont="1" applyFill="1" applyBorder="1" applyAlignment="1">
      <alignment horizontal="left"/>
    </xf>
    <xf numFmtId="0" fontId="50" fillId="4" borderId="4" xfId="4" applyNumberFormat="1" applyFont="1" applyFill="1" applyBorder="1" applyAlignment="1">
      <alignment horizontal="left"/>
    </xf>
    <xf numFmtId="0" fontId="50" fillId="4" borderId="9" xfId="4" applyNumberFormat="1" applyFont="1" applyFill="1" applyBorder="1" applyAlignment="1">
      <alignment horizontal="left"/>
    </xf>
    <xf numFmtId="0" fontId="45" fillId="4" borderId="40" xfId="10" applyNumberFormat="1" applyFont="1" applyFill="1" applyBorder="1" applyAlignment="1">
      <alignment horizontal="left" vertical="center"/>
    </xf>
    <xf numFmtId="0" fontId="0" fillId="4" borderId="40" xfId="0" applyNumberFormat="1" applyFont="1" applyFill="1" applyBorder="1" applyAlignment="1">
      <alignment horizontal="left" vertical="center"/>
    </xf>
    <xf numFmtId="0" fontId="0" fillId="4" borderId="41" xfId="0" applyNumberFormat="1" applyFont="1" applyFill="1" applyBorder="1" applyAlignment="1">
      <alignment horizontal="left" vertical="center"/>
    </xf>
    <xf numFmtId="0" fontId="0" fillId="4" borderId="6" xfId="0" applyNumberFormat="1" applyFont="1" applyFill="1" applyBorder="1" applyAlignment="1">
      <alignment horizontal="left" vertical="center"/>
    </xf>
    <xf numFmtId="0" fontId="0" fillId="4" borderId="42" xfId="0" applyNumberFormat="1" applyFont="1" applyFill="1" applyBorder="1" applyAlignment="1">
      <alignment horizontal="left" vertical="center"/>
    </xf>
    <xf numFmtId="0" fontId="45" fillId="4" borderId="39" xfId="10" applyNumberFormat="1" applyFont="1" applyFill="1" applyBorder="1" applyAlignment="1">
      <alignment horizontal="left" vertical="center"/>
    </xf>
    <xf numFmtId="0" fontId="0" fillId="4" borderId="8" xfId="0" applyNumberFormat="1" applyFont="1" applyFill="1" applyBorder="1" applyAlignment="1">
      <alignment horizontal="left" vertical="center"/>
    </xf>
    <xf numFmtId="0" fontId="50" fillId="4" borderId="12" xfId="4" applyNumberFormat="1" applyFont="1" applyFill="1" applyBorder="1" applyAlignment="1">
      <alignment horizontal="center" vertical="center"/>
    </xf>
    <xf numFmtId="0" fontId="50" fillId="4" borderId="15" xfId="4" applyNumberFormat="1" applyFont="1" applyFill="1" applyBorder="1" applyAlignment="1">
      <alignment horizontal="center" vertical="center"/>
    </xf>
    <xf numFmtId="0" fontId="50" fillId="4" borderId="17" xfId="4" applyNumberFormat="1" applyFont="1" applyFill="1" applyBorder="1" applyAlignment="1">
      <alignment horizontal="center" vertical="center"/>
    </xf>
    <xf numFmtId="0" fontId="50" fillId="4" borderId="11" xfId="4" applyNumberFormat="1" applyFont="1" applyFill="1" applyBorder="1" applyAlignment="1">
      <alignment horizontal="center" vertical="center" wrapText="1"/>
    </xf>
    <xf numFmtId="0" fontId="50" fillId="4" borderId="12" xfId="4" applyNumberFormat="1" applyFont="1" applyFill="1" applyBorder="1" applyAlignment="1">
      <alignment horizontal="center" vertical="center" wrapText="1"/>
    </xf>
    <xf numFmtId="0" fontId="50" fillId="4" borderId="15" xfId="4" applyNumberFormat="1" applyFont="1" applyFill="1" applyBorder="1" applyAlignment="1">
      <alignment horizontal="center" vertical="center" wrapText="1"/>
    </xf>
    <xf numFmtId="0" fontId="50" fillId="4" borderId="17" xfId="4" applyNumberFormat="1" applyFont="1" applyFill="1" applyBorder="1" applyAlignment="1">
      <alignment horizontal="center" vertical="center" wrapText="1"/>
    </xf>
    <xf numFmtId="0" fontId="50" fillId="4" borderId="11" xfId="10" applyNumberFormat="1" applyFont="1" applyFill="1" applyBorder="1" applyAlignment="1">
      <alignment horizontal="left"/>
    </xf>
    <xf numFmtId="0" fontId="0" fillId="4" borderId="2" xfId="0" applyNumberFormat="1" applyFont="1" applyFill="1" applyBorder="1"/>
    <xf numFmtId="0" fontId="49" fillId="4" borderId="11" xfId="10" applyNumberFormat="1" applyFont="1" applyFill="1" applyBorder="1" applyAlignment="1">
      <alignment horizontal="left"/>
    </xf>
    <xf numFmtId="0" fontId="1" fillId="4" borderId="7" xfId="4" applyNumberFormat="1" applyFont="1" applyFill="1" applyBorder="1" applyAlignment="1">
      <alignment horizontal="center" vertical="center"/>
    </xf>
    <xf numFmtId="0" fontId="0" fillId="0" borderId="9" xfId="0" applyNumberFormat="1" applyFont="1" applyFill="1" applyBorder="1" applyAlignment="1">
      <alignment horizontal="center" vertical="center"/>
    </xf>
    <xf numFmtId="0" fontId="50" fillId="4" borderId="7" xfId="4" applyNumberFormat="1" applyFont="1" applyFill="1" applyBorder="1" applyAlignment="1">
      <alignment horizontal="left" vertical="center"/>
    </xf>
    <xf numFmtId="0" fontId="0" fillId="0" borderId="9" xfId="0" applyNumberFormat="1" applyFont="1" applyFill="1" applyBorder="1" applyAlignment="1">
      <alignment vertical="center"/>
    </xf>
    <xf numFmtId="0" fontId="50" fillId="4" borderId="4" xfId="4" applyNumberFormat="1" applyFont="1" applyFill="1" applyBorder="1" applyAlignment="1">
      <alignment horizontal="left" vertical="center"/>
    </xf>
    <xf numFmtId="0" fontId="0" fillId="4" borderId="7" xfId="0" applyNumberFormat="1" applyFont="1" applyFill="1" applyBorder="1" applyAlignment="1">
      <alignment horizontal="left" vertical="center"/>
    </xf>
    <xf numFmtId="0" fontId="0" fillId="0" borderId="5" xfId="0" applyNumberFormat="1" applyFont="1" applyFill="1" applyBorder="1" applyAlignment="1">
      <alignment horizontal="left" vertical="center"/>
    </xf>
    <xf numFmtId="0" fontId="0" fillId="0" borderId="9" xfId="0" applyNumberFormat="1" applyFont="1" applyFill="1" applyBorder="1" applyAlignment="1">
      <alignment horizontal="left" vertical="center"/>
    </xf>
    <xf numFmtId="0" fontId="0" fillId="4" borderId="9" xfId="0" applyNumberFormat="1" applyFont="1" applyFill="1" applyBorder="1" applyAlignment="1">
      <alignment horizontal="left" vertical="center"/>
    </xf>
    <xf numFmtId="0" fontId="48" fillId="4" borderId="31" xfId="4" applyNumberFormat="1" applyFont="1" applyFill="1" applyBorder="1" applyAlignment="1">
      <alignment horizontal="left" vertical="center"/>
    </xf>
    <xf numFmtId="0" fontId="48" fillId="4" borderId="29" xfId="4" applyNumberFormat="1" applyFont="1" applyFill="1" applyBorder="1" applyAlignment="1">
      <alignment horizontal="left" vertical="center"/>
    </xf>
    <xf numFmtId="0" fontId="49" fillId="4" borderId="8" xfId="4" applyNumberFormat="1" applyFont="1" applyFill="1" applyBorder="1" applyAlignment="1">
      <alignment horizontal="left"/>
    </xf>
    <xf numFmtId="0" fontId="49" fillId="4" borderId="6" xfId="4" applyNumberFormat="1" applyFont="1" applyFill="1" applyBorder="1" applyAlignment="1">
      <alignment horizontal="left"/>
    </xf>
    <xf numFmtId="0" fontId="50" fillId="4" borderId="6" xfId="4" applyNumberFormat="1" applyFont="1" applyFill="1" applyBorder="1" applyAlignment="1">
      <alignment horizontal="left"/>
    </xf>
    <xf numFmtId="0" fontId="50" fillId="4" borderId="9" xfId="4" applyNumberFormat="1" applyFont="1" applyFill="1" applyBorder="1" applyAlignment="1">
      <alignment horizontal="left" vertical="center"/>
    </xf>
    <xf numFmtId="0" fontId="49" fillId="4" borderId="7" xfId="4" applyNumberFormat="1" applyFont="1" applyFill="1" applyBorder="1" applyAlignment="1">
      <alignment horizontal="center" vertical="center"/>
    </xf>
    <xf numFmtId="0" fontId="49" fillId="4" borderId="9" xfId="4" applyNumberFormat="1" applyFont="1" applyFill="1" applyBorder="1" applyAlignment="1">
      <alignment horizontal="center" vertical="center"/>
    </xf>
    <xf numFmtId="0" fontId="49" fillId="4" borderId="4" xfId="4" applyNumberFormat="1" applyFont="1" applyFill="1" applyBorder="1" applyAlignment="1">
      <alignment horizontal="center" vertical="center"/>
    </xf>
    <xf numFmtId="0" fontId="50" fillId="4" borderId="42" xfId="4" applyNumberFormat="1" applyFont="1" applyFill="1" applyBorder="1" applyAlignment="1">
      <alignment horizontal="left"/>
    </xf>
    <xf numFmtId="0" fontId="50" fillId="4" borderId="2" xfId="4" applyNumberFormat="1" applyFont="1" applyFill="1" applyBorder="1" applyAlignment="1">
      <alignment vertical="top" wrapText="1"/>
    </xf>
    <xf numFmtId="0" fontId="50" fillId="4" borderId="0" xfId="4" applyNumberFormat="1" applyFont="1" applyFill="1" applyBorder="1" applyAlignment="1">
      <alignment vertical="top" wrapText="1"/>
    </xf>
    <xf numFmtId="0" fontId="50" fillId="4" borderId="45" xfId="4" applyNumberFormat="1" applyFont="1" applyFill="1" applyBorder="1" applyAlignment="1">
      <alignment vertical="top" wrapText="1"/>
    </xf>
    <xf numFmtId="0" fontId="50" fillId="4" borderId="34" xfId="4" applyNumberFormat="1" applyFont="1" applyFill="1" applyBorder="1" applyAlignment="1">
      <alignment vertical="top" wrapText="1"/>
    </xf>
    <xf numFmtId="0" fontId="49" fillId="4" borderId="65" xfId="4" applyNumberFormat="1" applyFont="1" applyFill="1" applyBorder="1" applyAlignment="1">
      <alignment horizontal="left" vertical="top"/>
    </xf>
    <xf numFmtId="0" fontId="49" fillId="4" borderId="50" xfId="4" applyNumberFormat="1" applyFont="1" applyFill="1" applyBorder="1" applyAlignment="1">
      <alignment horizontal="left" vertical="top"/>
    </xf>
    <xf numFmtId="0" fontId="49" fillId="4" borderId="66" xfId="4" applyNumberFormat="1" applyFont="1" applyFill="1" applyBorder="1" applyAlignment="1">
      <alignment horizontal="left" vertical="top"/>
    </xf>
    <xf numFmtId="168" fontId="49" fillId="4" borderId="49" xfId="4" applyNumberFormat="1" applyFont="1" applyFill="1" applyBorder="1" applyAlignment="1">
      <alignment horizontal="left" vertical="top"/>
    </xf>
    <xf numFmtId="168" fontId="49" fillId="4" borderId="50" xfId="4" applyNumberFormat="1" applyFont="1" applyFill="1" applyBorder="1" applyAlignment="1">
      <alignment horizontal="left" vertical="top"/>
    </xf>
    <xf numFmtId="168" fontId="49" fillId="4" borderId="51" xfId="4" applyNumberFormat="1" applyFont="1" applyFill="1" applyBorder="1" applyAlignment="1">
      <alignment horizontal="left" vertical="top"/>
    </xf>
    <xf numFmtId="0" fontId="49" fillId="4" borderId="4" xfId="4" applyNumberFormat="1" applyFont="1" applyFill="1" applyBorder="1" applyAlignment="1">
      <alignment horizontal="left"/>
    </xf>
    <xf numFmtId="0" fontId="49" fillId="4" borderId="9" xfId="4" applyNumberFormat="1" applyFont="1" applyFill="1" applyBorder="1" applyAlignment="1">
      <alignment horizontal="left"/>
    </xf>
    <xf numFmtId="0" fontId="50" fillId="4" borderId="5" xfId="4" applyNumberFormat="1" applyFont="1" applyFill="1" applyBorder="1" applyAlignment="1">
      <alignment horizontal="left"/>
    </xf>
    <xf numFmtId="0" fontId="49" fillId="4" borderId="33" xfId="4" applyNumberFormat="1" applyFont="1" applyFill="1" applyBorder="1" applyAlignment="1">
      <alignment horizontal="left" vertical="center" wrapText="1"/>
    </xf>
    <xf numFmtId="0" fontId="49" fillId="4" borderId="35" xfId="4" applyNumberFormat="1" applyFont="1" applyFill="1" applyBorder="1" applyAlignment="1">
      <alignment horizontal="left" vertical="center" wrapText="1"/>
    </xf>
    <xf numFmtId="168" fontId="49" fillId="4" borderId="67" xfId="4" applyNumberFormat="1" applyFont="1" applyFill="1" applyBorder="1" applyAlignment="1">
      <alignment horizontal="left" vertical="center" wrapText="1"/>
    </xf>
    <xf numFmtId="168" fontId="49" fillId="4" borderId="68" xfId="4" applyNumberFormat="1" applyFont="1" applyFill="1" applyBorder="1" applyAlignment="1">
      <alignment horizontal="left" vertical="center" wrapText="1"/>
    </xf>
    <xf numFmtId="0" fontId="49" fillId="4" borderId="33" xfId="4" applyNumberFormat="1" applyFont="1" applyFill="1" applyBorder="1" applyAlignment="1">
      <alignment horizontal="center" vertical="center" wrapText="1"/>
    </xf>
    <xf numFmtId="0" fontId="49" fillId="4" borderId="35" xfId="4" applyNumberFormat="1" applyFont="1" applyFill="1" applyBorder="1" applyAlignment="1">
      <alignment horizontal="center" vertical="center" wrapText="1"/>
    </xf>
    <xf numFmtId="49" fontId="50" fillId="4" borderId="33" xfId="4" applyNumberFormat="1" applyFont="1" applyFill="1" applyBorder="1" applyAlignment="1">
      <alignment horizontal="center" vertical="center" wrapText="1"/>
    </xf>
    <xf numFmtId="49" fontId="50" fillId="4" borderId="34" xfId="4" applyNumberFormat="1" applyFont="1" applyFill="1" applyBorder="1" applyAlignment="1">
      <alignment horizontal="center" vertical="center" wrapText="1"/>
    </xf>
    <xf numFmtId="49" fontId="50" fillId="4" borderId="35" xfId="4" applyNumberFormat="1" applyFont="1" applyFill="1" applyBorder="1" applyAlignment="1">
      <alignment horizontal="center" vertical="center" wrapText="1"/>
    </xf>
    <xf numFmtId="0" fontId="51" fillId="4" borderId="32" xfId="4" applyNumberFormat="1" applyFont="1" applyFill="1" applyBorder="1" applyAlignment="1">
      <alignment horizontal="center" vertical="top"/>
    </xf>
    <xf numFmtId="0" fontId="51" fillId="4" borderId="0" xfId="4" applyNumberFormat="1" applyFont="1" applyFill="1" applyBorder="1" applyAlignment="1">
      <alignment horizontal="center" vertical="top"/>
    </xf>
    <xf numFmtId="0" fontId="51" fillId="4" borderId="20" xfId="4" applyNumberFormat="1" applyFont="1" applyFill="1" applyBorder="1" applyAlignment="1">
      <alignment horizontal="center" vertical="top"/>
    </xf>
    <xf numFmtId="0" fontId="51" fillId="4" borderId="33" xfId="4" applyNumberFormat="1" applyFont="1" applyFill="1" applyBorder="1" applyAlignment="1">
      <alignment horizontal="center" vertical="top"/>
    </xf>
    <xf numFmtId="0" fontId="51" fillId="4" borderId="34" xfId="4" applyNumberFormat="1" applyFont="1" applyFill="1" applyBorder="1" applyAlignment="1">
      <alignment horizontal="center" vertical="top"/>
    </xf>
    <xf numFmtId="0" fontId="51" fillId="4" borderId="35" xfId="4" applyNumberFormat="1" applyFont="1" applyFill="1" applyBorder="1" applyAlignment="1">
      <alignment horizontal="center" vertical="top"/>
    </xf>
    <xf numFmtId="0" fontId="0" fillId="0" borderId="49" xfId="0" applyNumberFormat="1" applyFont="1" applyFill="1" applyBorder="1"/>
    <xf numFmtId="0" fontId="0" fillId="0" borderId="50" xfId="0" applyNumberFormat="1" applyFont="1" applyFill="1" applyBorder="1"/>
    <xf numFmtId="0" fontId="49" fillId="4" borderId="6" xfId="10" applyNumberFormat="1" applyFont="1" applyFill="1" applyBorder="1" applyAlignment="1">
      <alignment horizontal="left"/>
    </xf>
    <xf numFmtId="0" fontId="0" fillId="4" borderId="6" xfId="0" applyNumberFormat="1" applyFont="1" applyFill="1" applyBorder="1"/>
    <xf numFmtId="0" fontId="49" fillId="4" borderId="10" xfId="4" applyNumberFormat="1" applyFont="1" applyFill="1" applyBorder="1" applyAlignment="1">
      <alignment horizontal="left"/>
    </xf>
    <xf numFmtId="0" fontId="49" fillId="4" borderId="12" xfId="4" applyNumberFormat="1" applyFont="1" applyFill="1" applyBorder="1" applyAlignment="1">
      <alignment horizontal="left"/>
    </xf>
    <xf numFmtId="0" fontId="50" fillId="4" borderId="32" xfId="10" applyNumberFormat="1" applyFont="1" applyFill="1" applyBorder="1" applyAlignment="1">
      <alignment horizontal="center"/>
    </xf>
    <xf numFmtId="0" fontId="50" fillId="4" borderId="0" xfId="10" applyNumberFormat="1" applyFont="1" applyFill="1" applyBorder="1" applyAlignment="1">
      <alignment horizontal="center"/>
    </xf>
    <xf numFmtId="0" fontId="50" fillId="4" borderId="20" xfId="10" applyNumberFormat="1" applyFont="1" applyFill="1" applyBorder="1" applyAlignment="1">
      <alignment horizontal="center"/>
    </xf>
    <xf numFmtId="0" fontId="50" fillId="4" borderId="46" xfId="10" applyNumberFormat="1" applyFont="1" applyFill="1" applyBorder="1" applyAlignment="1">
      <alignment horizontal="center"/>
    </xf>
    <xf numFmtId="0" fontId="50" fillId="4" borderId="16" xfId="10" applyNumberFormat="1" applyFont="1" applyFill="1" applyBorder="1" applyAlignment="1">
      <alignment horizontal="center"/>
    </xf>
    <xf numFmtId="0" fontId="50" fillId="4" borderId="47" xfId="10" applyNumberFormat="1" applyFont="1" applyFill="1" applyBorder="1" applyAlignment="1">
      <alignment horizontal="center"/>
    </xf>
    <xf numFmtId="0" fontId="45" fillId="4" borderId="26" xfId="10" applyNumberFormat="1" applyFont="1" applyFill="1" applyBorder="1" applyAlignment="1">
      <alignment horizontal="left" vertical="center"/>
    </xf>
    <xf numFmtId="0" fontId="0" fillId="0" borderId="27" xfId="0" applyNumberFormat="1" applyFont="1" applyFill="1" applyBorder="1" applyAlignment="1">
      <alignment horizontal="left" vertical="center"/>
    </xf>
    <xf numFmtId="0" fontId="53" fillId="4" borderId="46" xfId="0" applyNumberFormat="1" applyFont="1" applyFill="1" applyBorder="1" applyAlignment="1">
      <alignment horizontal="left" vertical="center"/>
    </xf>
    <xf numFmtId="0" fontId="0" fillId="0" borderId="16" xfId="0" applyNumberFormat="1" applyFont="1" applyFill="1" applyBorder="1" applyAlignment="1">
      <alignment horizontal="left" vertical="center"/>
    </xf>
    <xf numFmtId="0" fontId="43" fillId="4" borderId="7" xfId="0" applyNumberFormat="1" applyFont="1" applyFill="1" applyBorder="1" applyAlignment="1">
      <alignment horizontal="center" vertical="center"/>
    </xf>
    <xf numFmtId="0" fontId="43" fillId="0" borderId="5" xfId="0" applyNumberFormat="1" applyFont="1" applyFill="1" applyBorder="1" applyAlignment="1">
      <alignment horizontal="center" vertical="center"/>
    </xf>
    <xf numFmtId="0" fontId="43" fillId="0" borderId="9" xfId="0" applyNumberFormat="1" applyFont="1" applyFill="1" applyBorder="1" applyAlignment="1">
      <alignment horizontal="center" vertical="center"/>
    </xf>
    <xf numFmtId="0" fontId="43" fillId="4" borderId="9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4" xfId="0" applyNumberFormat="1" applyFont="1" applyFill="1" applyBorder="1"/>
    <xf numFmtId="0" fontId="49" fillId="4" borderId="10" xfId="4" applyNumberFormat="1" applyFont="1" applyFill="1" applyBorder="1" applyAlignment="1">
      <alignment horizontal="left" vertical="top"/>
    </xf>
    <xf numFmtId="0" fontId="49" fillId="4" borderId="12" xfId="4" applyNumberFormat="1" applyFont="1" applyFill="1" applyBorder="1" applyAlignment="1">
      <alignment horizontal="left" vertical="top"/>
    </xf>
    <xf numFmtId="0" fontId="0" fillId="0" borderId="32" xfId="0" applyNumberFormat="1" applyFont="1" applyFill="1" applyBorder="1" applyAlignment="1">
      <alignment horizontal="left" vertical="top"/>
    </xf>
    <xf numFmtId="0" fontId="0" fillId="0" borderId="14" xfId="0" applyNumberFormat="1" applyFont="1" applyFill="1" applyBorder="1" applyAlignment="1">
      <alignment horizontal="left" vertical="top"/>
    </xf>
    <xf numFmtId="0" fontId="0" fillId="0" borderId="33" xfId="0" applyNumberFormat="1" applyFont="1" applyFill="1" applyBorder="1" applyAlignment="1">
      <alignment horizontal="left" vertical="top"/>
    </xf>
    <xf numFmtId="0" fontId="0" fillId="0" borderId="48" xfId="0" applyNumberFormat="1" applyFont="1" applyFill="1" applyBorder="1" applyAlignment="1">
      <alignment horizontal="left" vertical="top"/>
    </xf>
    <xf numFmtId="0" fontId="49" fillId="4" borderId="18" xfId="10" applyNumberFormat="1" applyFont="1" applyFill="1" applyBorder="1" applyAlignment="1">
      <alignment horizontal="center" vertical="center"/>
    </xf>
    <xf numFmtId="0" fontId="43" fillId="0" borderId="69" xfId="0" applyNumberFormat="1" applyFont="1" applyFill="1" applyBorder="1" applyAlignment="1">
      <alignment horizontal="center" vertical="center"/>
    </xf>
    <xf numFmtId="0" fontId="0" fillId="4" borderId="7" xfId="0" applyNumberFormat="1" applyFont="1" applyFill="1" applyBorder="1"/>
    <xf numFmtId="0" fontId="0" fillId="0" borderId="9" xfId="0" applyNumberFormat="1" applyFont="1" applyFill="1" applyBorder="1"/>
    <xf numFmtId="0" fontId="0" fillId="4" borderId="49" xfId="0" applyNumberFormat="1" applyFont="1" applyFill="1" applyBorder="1"/>
    <xf numFmtId="0" fontId="0" fillId="0" borderId="66" xfId="0" applyNumberFormat="1" applyFont="1" applyFill="1" applyBorder="1"/>
    <xf numFmtId="0" fontId="0" fillId="0" borderId="4" xfId="0" applyNumberFormat="1" applyFont="1" applyFill="1" applyBorder="1" applyAlignment="1">
      <alignment horizontal="left"/>
    </xf>
    <xf numFmtId="0" fontId="49" fillId="4" borderId="65" xfId="4" applyNumberFormat="1" applyFont="1" applyFill="1" applyBorder="1" applyAlignment="1">
      <alignment horizontal="left"/>
    </xf>
    <xf numFmtId="0" fontId="0" fillId="0" borderId="50" xfId="0" applyNumberFormat="1" applyFont="1" applyFill="1" applyBorder="1" applyAlignment="1">
      <alignment horizontal="left"/>
    </xf>
    <xf numFmtId="0" fontId="0" fillId="0" borderId="66" xfId="0" applyNumberFormat="1" applyFont="1" applyFill="1" applyBorder="1" applyAlignment="1">
      <alignment horizontal="left"/>
    </xf>
    <xf numFmtId="0" fontId="41" fillId="0" borderId="26" xfId="0" applyFont="1" applyBorder="1" applyAlignment="1"/>
    <xf numFmtId="0" fontId="0" fillId="0" borderId="27" xfId="0" applyBorder="1" applyAlignment="1"/>
    <xf numFmtId="0" fontId="0" fillId="0" borderId="28" xfId="0" applyBorder="1" applyAlignment="1"/>
    <xf numFmtId="0" fontId="0" fillId="0" borderId="26" xfId="0" applyBorder="1" applyAlignment="1"/>
    <xf numFmtId="49" fontId="55" fillId="0" borderId="11" xfId="0" applyNumberFormat="1" applyFont="1" applyBorder="1" applyAlignment="1">
      <alignment horizontal="center" vertical="center"/>
    </xf>
    <xf numFmtId="49" fontId="56" fillId="0" borderId="1" xfId="0" applyNumberFormat="1" applyFont="1" applyBorder="1" applyAlignment="1"/>
    <xf numFmtId="49" fontId="0" fillId="0" borderId="12" xfId="0" applyNumberFormat="1" applyBorder="1" applyAlignment="1"/>
    <xf numFmtId="49" fontId="56" fillId="0" borderId="13" xfId="0" applyNumberFormat="1" applyFont="1" applyBorder="1" applyAlignment="1"/>
    <xf numFmtId="49" fontId="56" fillId="0" borderId="0" xfId="0" applyNumberFormat="1" applyFont="1" applyBorder="1" applyAlignment="1"/>
    <xf numFmtId="49" fontId="0" fillId="0" borderId="14" xfId="0" applyNumberFormat="1" applyBorder="1" applyAlignment="1"/>
    <xf numFmtId="49" fontId="57" fillId="0" borderId="10" xfId="0" applyNumberFormat="1" applyFont="1" applyBorder="1" applyAlignment="1">
      <alignment horizontal="left" vertical="top" wrapText="1"/>
    </xf>
    <xf numFmtId="49" fontId="57" fillId="0" borderId="1" xfId="0" applyNumberFormat="1" applyFont="1" applyBorder="1" applyAlignment="1">
      <alignment horizontal="left" vertical="top" wrapText="1"/>
    </xf>
    <xf numFmtId="49" fontId="57" fillId="0" borderId="2" xfId="0" applyNumberFormat="1" applyFont="1" applyBorder="1" applyAlignment="1">
      <alignment horizontal="left" vertical="top" wrapText="1"/>
    </xf>
    <xf numFmtId="49" fontId="57" fillId="0" borderId="32" xfId="0" applyNumberFormat="1" applyFont="1" applyBorder="1" applyAlignment="1">
      <alignment horizontal="left" vertical="top" wrapText="1"/>
    </xf>
    <xf numFmtId="49" fontId="57" fillId="0" borderId="0" xfId="0" applyNumberFormat="1" applyFont="1" applyBorder="1" applyAlignment="1">
      <alignment horizontal="left" vertical="top" wrapText="1"/>
    </xf>
    <xf numFmtId="49" fontId="57" fillId="0" borderId="20" xfId="0" applyNumberFormat="1" applyFont="1" applyBorder="1" applyAlignment="1">
      <alignment horizontal="left" vertical="top" wrapText="1"/>
    </xf>
    <xf numFmtId="49" fontId="58" fillId="0" borderId="33" xfId="0" applyNumberFormat="1" applyFont="1" applyBorder="1" applyAlignment="1">
      <alignment horizontal="left" vertical="top" wrapText="1"/>
    </xf>
    <xf numFmtId="49" fontId="58" fillId="0" borderId="34" xfId="0" applyNumberFormat="1" applyFont="1" applyBorder="1" applyAlignment="1">
      <alignment horizontal="left" vertical="top" wrapText="1"/>
    </xf>
    <xf numFmtId="49" fontId="58" fillId="0" borderId="35" xfId="0" applyNumberFormat="1" applyFont="1" applyBorder="1" applyAlignment="1">
      <alignment horizontal="left" vertical="top" wrapText="1"/>
    </xf>
    <xf numFmtId="49" fontId="58" fillId="0" borderId="10" xfId="0" applyNumberFormat="1" applyFont="1" applyBorder="1" applyAlignment="1">
      <alignment horizontal="left" vertical="top" wrapText="1"/>
    </xf>
    <xf numFmtId="49" fontId="58" fillId="0" borderId="1" xfId="0" applyNumberFormat="1" applyFont="1" applyBorder="1" applyAlignment="1">
      <alignment horizontal="left" vertical="top" wrapText="1"/>
    </xf>
    <xf numFmtId="49" fontId="58" fillId="0" borderId="2" xfId="0" applyNumberFormat="1" applyFont="1" applyBorder="1" applyAlignment="1">
      <alignment horizontal="left" vertical="top" wrapText="1"/>
    </xf>
    <xf numFmtId="49" fontId="58" fillId="0" borderId="32" xfId="0" applyNumberFormat="1" applyFont="1" applyBorder="1" applyAlignment="1">
      <alignment horizontal="left" vertical="top" wrapText="1"/>
    </xf>
    <xf numFmtId="49" fontId="58" fillId="0" borderId="0" xfId="0" applyNumberFormat="1" applyFont="1" applyBorder="1" applyAlignment="1">
      <alignment horizontal="left" vertical="top" wrapText="1"/>
    </xf>
    <xf numFmtId="49" fontId="58" fillId="0" borderId="20" xfId="0" applyNumberFormat="1" applyFont="1" applyBorder="1" applyAlignment="1">
      <alignment horizontal="left" vertical="top" wrapText="1"/>
    </xf>
    <xf numFmtId="49" fontId="59" fillId="0" borderId="10" xfId="0" applyNumberFormat="1" applyFont="1" applyBorder="1" applyAlignment="1">
      <alignment horizontal="left" vertical="top" wrapText="1"/>
    </xf>
    <xf numFmtId="49" fontId="59" fillId="0" borderId="1" xfId="0" applyNumberFormat="1" applyFont="1" applyBorder="1" applyAlignment="1">
      <alignment horizontal="left" vertical="top" wrapText="1"/>
    </xf>
    <xf numFmtId="49" fontId="59" fillId="0" borderId="2" xfId="0" applyNumberFormat="1" applyFont="1" applyBorder="1" applyAlignment="1">
      <alignment horizontal="left" vertical="top" wrapText="1"/>
    </xf>
    <xf numFmtId="49" fontId="59" fillId="0" borderId="32" xfId="0" applyNumberFormat="1" applyFont="1" applyBorder="1" applyAlignment="1">
      <alignment horizontal="left" vertical="top" wrapText="1"/>
    </xf>
    <xf numFmtId="49" fontId="59" fillId="0" borderId="0" xfId="0" applyNumberFormat="1" applyFont="1" applyBorder="1" applyAlignment="1">
      <alignment horizontal="left" vertical="top" wrapText="1"/>
    </xf>
    <xf numFmtId="49" fontId="59" fillId="0" borderId="20" xfId="0" applyNumberFormat="1" applyFont="1" applyBorder="1" applyAlignment="1">
      <alignment horizontal="left" vertical="top" wrapText="1"/>
    </xf>
    <xf numFmtId="49" fontId="59" fillId="0" borderId="33" xfId="0" applyNumberFormat="1" applyFont="1" applyBorder="1" applyAlignment="1">
      <alignment horizontal="left" vertical="top" wrapText="1"/>
    </xf>
    <xf numFmtId="49" fontId="59" fillId="0" borderId="34" xfId="0" applyNumberFormat="1" applyFont="1" applyBorder="1" applyAlignment="1">
      <alignment horizontal="left" vertical="top" wrapText="1"/>
    </xf>
    <xf numFmtId="49" fontId="59" fillId="0" borderId="35" xfId="0" applyNumberFormat="1" applyFont="1" applyBorder="1" applyAlignment="1">
      <alignment horizontal="left" vertical="top" wrapText="1"/>
    </xf>
    <xf numFmtId="49" fontId="42" fillId="0" borderId="26" xfId="0" applyNumberFormat="1" applyFont="1" applyBorder="1" applyAlignment="1">
      <alignment horizontal="center" vertical="center" wrapText="1"/>
    </xf>
    <xf numFmtId="49" fontId="42" fillId="0" borderId="27" xfId="0" applyNumberFormat="1" applyFont="1" applyBorder="1" applyAlignment="1">
      <alignment horizontal="center" vertical="center" wrapText="1"/>
    </xf>
    <xf numFmtId="49" fontId="42" fillId="0" borderId="28" xfId="0" applyNumberFormat="1" applyFont="1" applyBorder="1" applyAlignment="1">
      <alignment horizontal="center" vertical="center" wrapText="1"/>
    </xf>
    <xf numFmtId="49" fontId="42" fillId="0" borderId="32" xfId="0" applyNumberFormat="1" applyFont="1" applyBorder="1" applyAlignment="1">
      <alignment horizontal="center" vertical="center" wrapText="1"/>
    </xf>
    <xf numFmtId="49" fontId="42" fillId="0" borderId="0" xfId="0" applyNumberFormat="1" applyFont="1" applyBorder="1" applyAlignment="1">
      <alignment horizontal="center" vertical="center" wrapText="1"/>
    </xf>
    <xf numFmtId="49" fontId="42" fillId="0" borderId="20" xfId="0" applyNumberFormat="1" applyFont="1" applyBorder="1" applyAlignment="1">
      <alignment horizontal="center" vertical="center" wrapText="1"/>
    </xf>
    <xf numFmtId="49" fontId="60" fillId="0" borderId="32" xfId="0" applyNumberFormat="1" applyFont="1" applyBorder="1" applyAlignment="1">
      <alignment horizontal="center" vertical="top" wrapText="1"/>
    </xf>
    <xf numFmtId="49" fontId="60" fillId="0" borderId="0" xfId="0" applyNumberFormat="1" applyFont="1" applyBorder="1" applyAlignment="1">
      <alignment horizontal="center" vertical="top" wrapText="1"/>
    </xf>
    <xf numFmtId="49" fontId="60" fillId="0" borderId="20" xfId="0" applyNumberFormat="1" applyFont="1" applyBorder="1" applyAlignment="1">
      <alignment horizontal="center" vertical="top" wrapText="1"/>
    </xf>
    <xf numFmtId="49" fontId="60" fillId="0" borderId="33" xfId="0" applyNumberFormat="1" applyFont="1" applyBorder="1" applyAlignment="1">
      <alignment horizontal="center" vertical="top" wrapText="1"/>
    </xf>
    <xf numFmtId="49" fontId="60" fillId="0" borderId="34" xfId="0" applyNumberFormat="1" applyFont="1" applyBorder="1" applyAlignment="1">
      <alignment horizontal="center" vertical="top" wrapText="1"/>
    </xf>
    <xf numFmtId="49" fontId="60" fillId="0" borderId="35" xfId="0" applyNumberFormat="1" applyFont="1" applyBorder="1" applyAlignment="1">
      <alignment horizontal="center" vertical="top" wrapText="1"/>
    </xf>
    <xf numFmtId="0" fontId="41" fillId="0" borderId="26" xfId="0" applyFont="1" applyBorder="1" applyAlignment="1">
      <alignment horizontal="center" vertical="center" wrapText="1"/>
    </xf>
    <xf numFmtId="49" fontId="57" fillId="0" borderId="10" xfId="7" applyNumberFormat="1" applyFont="1" applyBorder="1" applyAlignment="1">
      <alignment horizontal="left" vertical="top" wrapText="1"/>
    </xf>
    <xf numFmtId="0" fontId="59" fillId="0" borderId="58" xfId="0" applyFont="1" applyBorder="1" applyAlignment="1">
      <alignment horizontal="left" vertical="top" wrapText="1"/>
    </xf>
    <xf numFmtId="0" fontId="58" fillId="0" borderId="59" xfId="0" applyFont="1" applyBorder="1" applyAlignment="1">
      <alignment horizontal="left" vertical="top" wrapText="1"/>
    </xf>
    <xf numFmtId="0" fontId="58" fillId="0" borderId="60" xfId="0" applyFont="1" applyBorder="1" applyAlignment="1">
      <alignment horizontal="left" vertical="top" wrapText="1"/>
    </xf>
    <xf numFmtId="49" fontId="59" fillId="0" borderId="10" xfId="7" applyNumberFormat="1" applyFont="1" applyBorder="1" applyAlignment="1">
      <alignment horizontal="left" vertical="top" wrapText="1"/>
    </xf>
    <xf numFmtId="49" fontId="58" fillId="0" borderId="1" xfId="7" applyNumberFormat="1" applyFont="1" applyBorder="1" applyAlignment="1">
      <alignment horizontal="left" vertical="top" wrapText="1"/>
    </xf>
    <xf numFmtId="49" fontId="58" fillId="0" borderId="2" xfId="7" applyNumberFormat="1" applyFont="1" applyBorder="1" applyAlignment="1">
      <alignment horizontal="left" vertical="top" wrapText="1"/>
    </xf>
    <xf numFmtId="49" fontId="58" fillId="0" borderId="32" xfId="7" applyNumberFormat="1" applyFont="1" applyBorder="1" applyAlignment="1">
      <alignment horizontal="left" vertical="top" wrapText="1"/>
    </xf>
    <xf numFmtId="49" fontId="58" fillId="0" borderId="0" xfId="7" applyNumberFormat="1" applyFont="1" applyBorder="1" applyAlignment="1">
      <alignment horizontal="left" vertical="top" wrapText="1"/>
    </xf>
    <xf numFmtId="49" fontId="58" fillId="0" borderId="20" xfId="7" applyNumberFormat="1" applyFont="1" applyBorder="1" applyAlignment="1">
      <alignment horizontal="left" vertical="top" wrapText="1"/>
    </xf>
    <xf numFmtId="49" fontId="58" fillId="0" borderId="33" xfId="7" applyNumberFormat="1" applyFont="1" applyBorder="1" applyAlignment="1">
      <alignment horizontal="left" vertical="top" wrapText="1"/>
    </xf>
    <xf numFmtId="49" fontId="58" fillId="0" borderId="34" xfId="7" applyNumberFormat="1" applyFont="1" applyBorder="1" applyAlignment="1">
      <alignment horizontal="left" vertical="top" wrapText="1"/>
    </xf>
    <xf numFmtId="49" fontId="58" fillId="0" borderId="35" xfId="7" applyNumberFormat="1" applyFont="1" applyBorder="1" applyAlignment="1">
      <alignment horizontal="left" vertical="top" wrapText="1"/>
    </xf>
    <xf numFmtId="4" fontId="59" fillId="0" borderId="58" xfId="0" applyNumberFormat="1" applyFont="1" applyBorder="1" applyAlignment="1">
      <alignment horizontal="left" vertical="top" wrapText="1"/>
    </xf>
    <xf numFmtId="4" fontId="58" fillId="0" borderId="59" xfId="0" applyNumberFormat="1" applyFont="1" applyBorder="1" applyAlignment="1">
      <alignment horizontal="left" vertical="top" wrapText="1"/>
    </xf>
    <xf numFmtId="4" fontId="58" fillId="0" borderId="60" xfId="0" applyNumberFormat="1" applyFont="1" applyBorder="1" applyAlignment="1">
      <alignment horizontal="left" vertical="top" wrapText="1"/>
    </xf>
    <xf numFmtId="169" fontId="59" fillId="0" borderId="58" xfId="0" applyNumberFormat="1" applyFont="1" applyBorder="1" applyAlignment="1">
      <alignment horizontal="left" vertical="top" wrapText="1"/>
    </xf>
    <xf numFmtId="169" fontId="59" fillId="0" borderId="59" xfId="0" applyNumberFormat="1" applyFont="1" applyBorder="1" applyAlignment="1">
      <alignment horizontal="left" vertical="top" wrapText="1"/>
    </xf>
    <xf numFmtId="169" fontId="59" fillId="0" borderId="60" xfId="0" applyNumberFormat="1" applyFont="1" applyBorder="1" applyAlignment="1">
      <alignment horizontal="left" vertical="top" wrapText="1"/>
    </xf>
    <xf numFmtId="171" fontId="1" fillId="0" borderId="53" xfId="8" applyNumberFormat="1" applyFont="1" applyBorder="1" applyAlignment="1">
      <alignment horizontal="left" vertical="center"/>
    </xf>
    <xf numFmtId="171" fontId="1" fillId="0" borderId="54" xfId="8" applyNumberFormat="1" applyFont="1" applyBorder="1" applyAlignment="1">
      <alignment horizontal="left" vertical="center"/>
    </xf>
    <xf numFmtId="0" fontId="63" fillId="0" borderId="6" xfId="8" applyNumberFormat="1" applyFont="1" applyBorder="1" applyAlignment="1">
      <alignment horizontal="center"/>
    </xf>
    <xf numFmtId="0" fontId="1" fillId="0" borderId="6" xfId="8" applyNumberFormat="1" applyFont="1" applyBorder="1" applyAlignment="1">
      <alignment horizontal="center"/>
    </xf>
    <xf numFmtId="0" fontId="1" fillId="0" borderId="53" xfId="8" applyNumberFormat="1" applyFont="1" applyBorder="1" applyAlignment="1">
      <alignment horizontal="center"/>
    </xf>
    <xf numFmtId="0" fontId="63" fillId="0" borderId="18" xfId="8" applyNumberFormat="1" applyFont="1" applyBorder="1" applyAlignment="1">
      <alignment horizontal="right" vertical="top"/>
    </xf>
    <xf numFmtId="0" fontId="63" fillId="0" borderId="44" xfId="8" applyNumberFormat="1" applyFont="1" applyBorder="1" applyAlignment="1">
      <alignment horizontal="right" vertical="top"/>
    </xf>
    <xf numFmtId="0" fontId="63" fillId="0" borderId="19" xfId="8" applyNumberFormat="1" applyFont="1" applyBorder="1" applyAlignment="1">
      <alignment horizontal="right" vertical="top"/>
    </xf>
    <xf numFmtId="49" fontId="1" fillId="0" borderId="6" xfId="8" applyNumberFormat="1" applyFont="1" applyBorder="1" applyAlignment="1">
      <alignment horizontal="center" vertical="center"/>
    </xf>
    <xf numFmtId="49" fontId="1" fillId="0" borderId="42" xfId="8" applyNumberFormat="1" applyFont="1" applyBorder="1" applyAlignment="1">
      <alignment horizontal="center" vertical="center"/>
    </xf>
    <xf numFmtId="49" fontId="1" fillId="0" borderId="8" xfId="8" applyNumberFormat="1" applyFont="1" applyBorder="1" applyAlignment="1">
      <alignment horizontal="center" vertical="center"/>
    </xf>
    <xf numFmtId="0" fontId="63" fillId="0" borderId="6" xfId="8" applyNumberFormat="1" applyFont="1" applyBorder="1" applyAlignment="1">
      <alignment horizontal="center" vertical="top"/>
    </xf>
    <xf numFmtId="0" fontId="63" fillId="0" borderId="53" xfId="8" applyNumberFormat="1" applyFont="1" applyBorder="1" applyAlignment="1">
      <alignment horizontal="center" vertical="top"/>
    </xf>
    <xf numFmtId="49" fontId="1" fillId="0" borderId="61" xfId="8" applyNumberFormat="1" applyFont="1" applyBorder="1" applyAlignment="1">
      <alignment horizontal="center" vertical="center"/>
    </xf>
    <xf numFmtId="14" fontId="1" fillId="0" borderId="6" xfId="8" applyNumberFormat="1" applyFont="1" applyBorder="1" applyAlignment="1">
      <alignment horizontal="center" vertical="center"/>
    </xf>
    <xf numFmtId="14" fontId="1" fillId="0" borderId="53" xfId="8" applyNumberFormat="1" applyFont="1" applyBorder="1" applyAlignment="1">
      <alignment horizontal="center" vertical="center"/>
    </xf>
    <xf numFmtId="0" fontId="1" fillId="0" borderId="6" xfId="8" applyNumberFormat="1" applyFont="1" applyBorder="1" applyAlignment="1">
      <alignment horizontal="left"/>
    </xf>
    <xf numFmtId="49" fontId="1" fillId="4" borderId="6" xfId="8" applyNumberFormat="1" applyFont="1" applyFill="1" applyBorder="1" applyAlignment="1">
      <alignment horizontal="left"/>
    </xf>
    <xf numFmtId="49" fontId="1" fillId="0" borderId="6" xfId="8" applyNumberFormat="1" applyFont="1" applyBorder="1" applyAlignment="1">
      <alignment horizontal="left"/>
    </xf>
    <xf numFmtId="49" fontId="1" fillId="0" borderId="42" xfId="8" applyNumberFormat="1" applyFont="1" applyBorder="1" applyAlignment="1">
      <alignment horizontal="left"/>
    </xf>
    <xf numFmtId="49" fontId="1" fillId="0" borderId="63" xfId="8" applyNumberFormat="1" applyFont="1" applyBorder="1" applyAlignment="1">
      <alignment horizontal="center" vertical="center"/>
    </xf>
    <xf numFmtId="49" fontId="1" fillId="0" borderId="43" xfId="8" applyNumberFormat="1" applyFont="1" applyBorder="1" applyAlignment="1">
      <alignment horizontal="center" vertical="center"/>
    </xf>
    <xf numFmtId="49" fontId="1" fillId="0" borderId="64" xfId="8" applyNumberFormat="1" applyFont="1" applyBorder="1" applyAlignment="1">
      <alignment horizontal="center" vertical="center"/>
    </xf>
    <xf numFmtId="49" fontId="1" fillId="0" borderId="11" xfId="8" applyNumberFormat="1" applyFont="1" applyBorder="1" applyAlignment="1">
      <alignment horizontal="center" vertical="center"/>
    </xf>
    <xf numFmtId="49" fontId="1" fillId="0" borderId="1" xfId="8" applyNumberFormat="1" applyFont="1" applyBorder="1" applyAlignment="1">
      <alignment horizontal="center" vertical="center"/>
    </xf>
    <xf numFmtId="49" fontId="1" fillId="0" borderId="12" xfId="8" applyNumberFormat="1" applyFont="1" applyBorder="1" applyAlignment="1">
      <alignment horizontal="center" vertical="center"/>
    </xf>
    <xf numFmtId="49" fontId="1" fillId="0" borderId="13" xfId="8" applyNumberFormat="1" applyFont="1" applyBorder="1" applyAlignment="1">
      <alignment horizontal="center" vertical="center"/>
    </xf>
    <xf numFmtId="49" fontId="1" fillId="0" borderId="0" xfId="8" applyNumberFormat="1" applyFont="1" applyBorder="1" applyAlignment="1">
      <alignment horizontal="center" vertical="center"/>
    </xf>
    <xf numFmtId="49" fontId="1" fillId="0" borderId="14" xfId="8" applyNumberFormat="1" applyFont="1" applyBorder="1" applyAlignment="1">
      <alignment horizontal="center" vertical="center"/>
    </xf>
    <xf numFmtId="49" fontId="1" fillId="0" borderId="15" xfId="8" applyNumberFormat="1" applyFont="1" applyBorder="1" applyAlignment="1">
      <alignment horizontal="center" vertical="center"/>
    </xf>
    <xf numFmtId="49" fontId="1" fillId="0" borderId="16" xfId="8" applyNumberFormat="1" applyFont="1" applyBorder="1" applyAlignment="1">
      <alignment horizontal="center" vertical="center"/>
    </xf>
    <xf numFmtId="49" fontId="1" fillId="0" borderId="17" xfId="8" applyNumberFormat="1" applyFont="1" applyBorder="1" applyAlignment="1">
      <alignment horizontal="center" vertical="center"/>
    </xf>
    <xf numFmtId="49" fontId="1" fillId="0" borderId="18" xfId="8" applyNumberFormat="1" applyFont="1" applyBorder="1" applyAlignment="1" applyProtection="1">
      <alignment horizontal="center" vertical="center"/>
    </xf>
    <xf numFmtId="49" fontId="1" fillId="0" borderId="44" xfId="8" applyNumberFormat="1" applyFont="1" applyBorder="1" applyAlignment="1" applyProtection="1">
      <alignment horizontal="center" vertical="center"/>
    </xf>
    <xf numFmtId="49" fontId="1" fillId="0" borderId="19" xfId="8" applyNumberFormat="1" applyFont="1" applyBorder="1" applyAlignment="1" applyProtection="1">
      <alignment horizontal="center" vertical="center"/>
    </xf>
    <xf numFmtId="49" fontId="1" fillId="0" borderId="18" xfId="8" applyNumberFormat="1" applyFont="1" applyBorder="1" applyAlignment="1">
      <alignment horizontal="center" vertical="center"/>
    </xf>
    <xf numFmtId="49" fontId="1" fillId="0" borderId="44" xfId="8" applyNumberFormat="1" applyFont="1" applyBorder="1" applyAlignment="1">
      <alignment horizontal="center" vertical="center"/>
    </xf>
    <xf numFmtId="49" fontId="1" fillId="0" borderId="19" xfId="8" applyNumberFormat="1" applyFont="1" applyBorder="1" applyAlignment="1">
      <alignment horizontal="center" vertical="center"/>
    </xf>
    <xf numFmtId="49" fontId="1" fillId="0" borderId="6" xfId="8" applyNumberFormat="1" applyFont="1" applyBorder="1" applyAlignment="1" applyProtection="1">
      <alignment horizontal="center" vertical="center"/>
    </xf>
    <xf numFmtId="49" fontId="1" fillId="0" borderId="7" xfId="8" applyNumberFormat="1" applyFont="1" applyBorder="1" applyAlignment="1">
      <alignment horizontal="center" vertical="center" wrapText="1"/>
    </xf>
    <xf numFmtId="49" fontId="1" fillId="0" borderId="4" xfId="8" applyNumberFormat="1" applyFont="1" applyBorder="1" applyAlignment="1">
      <alignment horizontal="center" vertical="center" wrapText="1"/>
    </xf>
    <xf numFmtId="49" fontId="1" fillId="0" borderId="9" xfId="8" applyNumberFormat="1" applyFont="1" applyBorder="1" applyAlignment="1">
      <alignment horizontal="center" vertical="center" wrapText="1"/>
    </xf>
    <xf numFmtId="3" fontId="1" fillId="0" borderId="7" xfId="8" applyNumberFormat="1" applyFont="1" applyFill="1" applyBorder="1" applyAlignment="1">
      <alignment horizontal="center" vertical="center"/>
    </xf>
    <xf numFmtId="3" fontId="1" fillId="0" borderId="4" xfId="8" applyNumberFormat="1" applyFont="1" applyFill="1" applyBorder="1" applyAlignment="1">
      <alignment horizontal="center" vertical="center"/>
    </xf>
    <xf numFmtId="3" fontId="1" fillId="0" borderId="5" xfId="8" applyNumberFormat="1" applyFont="1" applyFill="1" applyBorder="1" applyAlignment="1">
      <alignment horizontal="center" vertical="center"/>
    </xf>
    <xf numFmtId="0" fontId="63" fillId="0" borderId="7" xfId="8" applyNumberFormat="1" applyFont="1" applyBorder="1" applyAlignment="1">
      <alignment horizontal="center"/>
    </xf>
    <xf numFmtId="0" fontId="63" fillId="0" borderId="4" xfId="8" applyNumberFormat="1" applyFont="1" applyBorder="1" applyAlignment="1">
      <alignment horizontal="center"/>
    </xf>
    <xf numFmtId="0" fontId="63" fillId="0" borderId="9" xfId="8" applyNumberFormat="1" applyFont="1" applyBorder="1" applyAlignment="1">
      <alignment horizontal="center"/>
    </xf>
    <xf numFmtId="0" fontId="63" fillId="0" borderId="42" xfId="8" applyNumberFormat="1" applyFont="1" applyBorder="1" applyAlignment="1">
      <alignment horizontal="center"/>
    </xf>
    <xf numFmtId="49" fontId="1" fillId="6" borderId="40" xfId="8" applyNumberFormat="1" applyFill="1" applyBorder="1" applyAlignment="1"/>
    <xf numFmtId="49" fontId="0" fillId="0" borderId="40" xfId="0" applyNumberFormat="1" applyBorder="1" applyAlignment="1"/>
    <xf numFmtId="49" fontId="0" fillId="0" borderId="41" xfId="0" applyNumberFormat="1" applyBorder="1" applyAlignment="1"/>
    <xf numFmtId="49" fontId="1" fillId="6" borderId="6" xfId="8" applyNumberFormat="1" applyFill="1" applyBorder="1" applyAlignment="1"/>
    <xf numFmtId="49" fontId="0" fillId="0" borderId="6" xfId="0" applyNumberFormat="1" applyBorder="1" applyAlignment="1"/>
    <xf numFmtId="49" fontId="0" fillId="0" borderId="42" xfId="0" applyNumberFormat="1" applyBorder="1" applyAlignment="1"/>
    <xf numFmtId="49" fontId="59" fillId="6" borderId="6" xfId="8" applyNumberFormat="1" applyFont="1" applyFill="1" applyBorder="1" applyAlignment="1">
      <alignment vertical="center"/>
    </xf>
    <xf numFmtId="49" fontId="0" fillId="0" borderId="6" xfId="0" applyNumberFormat="1" applyBorder="1" applyAlignment="1">
      <alignment vertical="center"/>
    </xf>
    <xf numFmtId="49" fontId="0" fillId="0" borderId="42" xfId="0" applyNumberFormat="1" applyBorder="1" applyAlignment="1">
      <alignment vertical="center"/>
    </xf>
    <xf numFmtId="49" fontId="59" fillId="6" borderId="53" xfId="8" applyNumberFormat="1" applyFont="1" applyFill="1" applyBorder="1" applyAlignment="1">
      <alignment vertical="center"/>
    </xf>
    <xf numFmtId="49" fontId="0" fillId="0" borderId="53" xfId="0" applyNumberFormat="1" applyBorder="1" applyAlignment="1">
      <alignment vertical="center"/>
    </xf>
    <xf numFmtId="49" fontId="0" fillId="0" borderId="54" xfId="0" applyNumberFormat="1" applyBorder="1" applyAlignment="1">
      <alignment vertical="center"/>
    </xf>
    <xf numFmtId="170" fontId="63" fillId="6" borderId="62" xfId="8" applyFont="1" applyFill="1" applyBorder="1" applyAlignment="1">
      <alignment horizontal="center" vertical="center"/>
    </xf>
    <xf numFmtId="170" fontId="63" fillId="6" borderId="55" xfId="8" applyFont="1" applyFill="1" applyBorder="1" applyAlignment="1">
      <alignment horizontal="center" vertical="center"/>
    </xf>
    <xf numFmtId="170" fontId="63" fillId="6" borderId="37" xfId="8" applyFont="1" applyFill="1" applyBorder="1" applyAlignment="1">
      <alignment horizontal="center" vertical="center"/>
    </xf>
    <xf numFmtId="170" fontId="63" fillId="0" borderId="62" xfId="8" applyFont="1" applyFill="1" applyBorder="1" applyAlignment="1">
      <alignment horizontal="center" vertical="center"/>
    </xf>
    <xf numFmtId="170" fontId="63" fillId="0" borderId="55" xfId="8" applyFont="1" applyFill="1" applyBorder="1" applyAlignment="1">
      <alignment horizontal="center" vertical="center"/>
    </xf>
    <xf numFmtId="170" fontId="63" fillId="0" borderId="56" xfId="8" applyFont="1" applyFill="1" applyBorder="1" applyAlignment="1">
      <alignment horizontal="center" vertical="center"/>
    </xf>
  </cellXfs>
  <cellStyles count="13">
    <cellStyle name="Comma" xfId="7" builtinId="3"/>
    <cellStyle name="Comma 2 4" xfId="6"/>
    <cellStyle name="Comma 2 4 2" xfId="11"/>
    <cellStyle name="Hyperlink" xfId="12" builtinId="8"/>
    <cellStyle name="Normal" xfId="0" builtinId="0"/>
    <cellStyle name="Normal 2" xfId="8"/>
    <cellStyle name="Normal 2 3" xfId="5"/>
    <cellStyle name="Normal_PI LAYOUT SAMPLE 2009_ 25-08-08 ngoc 2" xfId="10"/>
    <cellStyle name="Normal_PISICO FURNITURE OFFER 2005 - 2006 - 3" xfId="4"/>
    <cellStyle name="Normal_PISICO FURNITURE OFFER 2005 - 2006 - 3 2" xfId="9"/>
    <cellStyle name="Normal_Sheet1" xfId="3"/>
    <cellStyle name="Standaard 2" xfId="1"/>
    <cellStyle name="Standaard 3" xfId="2"/>
  </cellStyles>
  <dxfs count="33"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ReportDataObject.xsd'">
  <Schema ID="Schema3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ClientComplaintManagement_ClientComplaint_DTO">
              <xs:complexType>
                <xs:sequence>
                  <xs:element name="ClientComplaintID" msdata:AutoIncrement="true" msdata:AutoIncrementSeed="-1" msdata:AutoIncrementStep="-1" type="xs:int"/>
                  <xs:element name="Order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mplaintRef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ainer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mplaintDate" type="xs:dateTime" minOccurs="0"/>
                  <xs:element name="AccountManager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ateReiceivedComplaint" type="xs:dateTime" minOccurs="0"/>
                  <xs:element name="EurofarProductCos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EurofarLogisticsCos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EurofarCostDate" type="xs:dateTime" minOccurs="0"/>
                  <xs:element name="Eurofar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urofarSignatureImag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urnindoOtherCos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urnindoTotalCos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urnindoCostDate1" type="xs:dateTime" minOccurs="0"/>
                  <xs:element name="FurnindoName1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urnindoSignatureImage1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urnindoProductCos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urnindoLogisticsCos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urnindoCostDate2" type="xs:dateTime" minOccurs="0"/>
                  <xs:element name="FurnindoName2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urnindoSignatureImage2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OtherCos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actoryTotalCos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actoryDate" type="xs:dateTime" minOccurs="0"/>
                  <xs:element name="Factory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SignatureImag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ClientID" type="xs:int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IsManual" type="xs:boolean" minOccurs="0"/>
                  <xs:element name="Status" type="xs:int" minOccurs="0"/>
                  <xs:element name="ActionNeedByID" type="xs:int" minOccurs="0"/>
                  <xs:element name="WarrantyID" type="xs:int" minOccurs="0"/>
                  <xs:element name="Buy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reator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Updator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reatedDate" type="xs:dateTime" minOccurs="0"/>
                  <xs:element name="UpdatedDate" type="xs:dateTime" minOccurs="0"/>
                  <xs:element name="EurofarSignatureImageBinary" type="xs:base64Binary" minOccurs="0"/>
                  <xs:element name="EurofarSignatureImageHasChange" type="xs:boolean" minOccurs="0"/>
                  <xs:element name="FurnindoSignatureImage1Binary" type="xs:base64Binary" minOccurs="0"/>
                  <xs:element name="FurnindoSignatureImage1HasChange" type="xs:boolean" minOccurs="0"/>
                  <xs:element name="FurnindoSignatureImage2Binary" type="xs:base64Binary" minOccurs="0"/>
                  <xs:element name="FurnindoSignatureImage2HasChange" type="xs:boolean" minOccurs="0"/>
                  <xs:element name="FactorySignatureImageBinary" type="xs:base64Binary" minOccurs="0"/>
                  <xs:element name="FactorySignatureImageHasChange" type="xs:boolean" minOccurs="0"/>
                  <xs:element name="EurofarSignatureImagePath" type="xs:string" minOccurs="0"/>
                  <xs:element name="FurnindoSignatureImage1Path" type="xs:string" minOccurs="0"/>
                  <xs:element name="FurnindoSignatureImage2Path" type="xs:string" minOccurs="0"/>
                  <xs:element name="FactorySignatureImagePath" msdata:Caption="FactorySignatureImageBinary" type="xs:string" minOccurs="0"/>
                  <xs:element name="ComplaintDateText" type="xs:string" minOccurs="0"/>
                  <xs:element name="DateReiceivedComplaintText" type="xs:string" minOccurs="0"/>
                  <xs:element name="EurofarCostDateText" type="xs:string" minOccurs="0"/>
                  <xs:element name="FurnindoCostDate1Text" msdata:Caption="FurnindoCostDate1" type="xs:string" minOccurs="0"/>
                  <xs:element name="FurnindoCostDate2Text" msdata:Caption="FurnindoCostDate2" type="xs:string" minOccurs="0"/>
                  <xs:element name="Buyer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FactoryDateText" msdata:Caption="FactoryDate" type="xs:string" minOccurs="0"/>
                  <xs:element name="CompensationE2FApprovedDateText" type="xs:string" minOccurs="0"/>
                  <xs:element name="CompensationE2FReceivedDateText" type="xs:string" minOccurs="0"/>
                  <xs:element name="CompensationE2FSentDateText" type="xs:string" minOccurs="0"/>
                  <xs:element name="CompensationF2CApprovedDateText" type="xs:string" minOccurs="0"/>
                  <xs:element name="CompensationF2CReceivedDateText" type="xs:string" minOccurs="0"/>
                  <xs:element name="CompensationF2CSentDateText" type="xs:string" minOccurs="0"/>
                  <xs:element name="Compensation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ClientComplaintManagement_ClientComplaintDetail_DTO" minOccurs="0" maxOccurs="unbounded">
              <xs:complexType>
                <xs:sequence>
                  <xs:element name="IsSelected" type="xs:boolean" minOccurs="0"/>
                  <xs:element name="ClientComplaintDetailID" msdata:AutoIncrement="true" msdata:AutoIncrementSeed="-1" msdata:AutoIncrementStep="-1" type="xs:int"/>
                  <xs:element name="ClientComplaintID" type="xs:int" minOccurs="0"/>
                  <xs:element name="ComplaintNumber" type="xs:int" minOccurs="0"/>
                  <xs:element name="Complaint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rice" type="xs:decimal" minOccurs="0"/>
                  <xs:element name="LoadedQnt" type="xs:int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ID" type="xs:int" minOccurs="0"/>
                  <xs:element name="ProductOptionID" type="xs:int" minOccurs="0"/>
                  <xs:element name="Container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LoadingPlan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ontroller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1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actory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ReceivedAtWarehous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LSP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MR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uggestedSolu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Model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RealProduc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ComplaintReceiveFromClient1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ComplaintReceiveFromClient2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ComplaintShotByEuroFar1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ComplaintShotByEuroFar2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ignatureSaleManager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ignatureProduc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ignatureLogistic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ignatureManagemen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ModelBinary" msdata:Caption="PictureModel" type="xs:base64Binary" minOccurs="0"/>
                  <xs:element name="PictureRealProductionBinary" msdata:Caption="PictureRealProduction" type="xs:base64Binary" minOccurs="0"/>
                  <xs:element name="PictureComplaintReceiveFromClient1Binary" msdata:Caption="PictureComplaintReceiveFromClient1" type="xs:base64Binary" minOccurs="0"/>
                  <xs:element name="PictureComplaintReceiveFromClient2Binary" msdata:Caption="PictureComplaintReceiveFromClient2" type="xs:base64Binary" minOccurs="0"/>
                  <xs:element name="PictureComplaintShotByEuroFar1Binary" msdata:Caption="PictureComplaintShotByEuroFar1" type="xs:base64Binary" minOccurs="0"/>
                  <xs:element name="PictureComplaintShotByEuroFar2Binary" msdata:Caption="PictureComplaintShotByEuroFar2" type="xs:base64Binary" minOccurs="0"/>
                  <xs:element name="SignatureSaleManagerBinary" msdata:Caption="SignatureSaleManager" type="xs:base64Binary" minOccurs="0"/>
                  <xs:element name="SignatureProductionBinary" msdata:Caption="SignatureProduction" type="xs:base64Binary" minOccurs="0"/>
                  <xs:element name="SignatureLogisticsBinary" msdata:Caption="SignatureLogistics" type="xs:base64Binary" minOccurs="0"/>
                  <xs:element name="SignatureManagementBinary" msdata:Caption="SignatureManagement" type="xs:base64Binary" minOccurs="0"/>
                  <xs:element name="PictureModelHasChange" msdata:Caption="PictureModel" type="xs:boolean" minOccurs="0"/>
                  <xs:element name="PictureRealProductionHasChange" msdata:Caption="PictureRealProduction" type="xs:boolean" minOccurs="0"/>
                  <xs:element name="PictureComplaintReceiveFromClient1HasChange" msdata:Caption="PictureComplaintReceiveFromClient1" type="xs:boolean" minOccurs="0"/>
                  <xs:element name="PictureComplaintReceiveFromClient2HasChange" msdata:Caption="PictureComplaintReceiveFromClient2" type="xs:boolean" minOccurs="0"/>
                  <xs:element name="PictureComplaintShotByEuroFar1HasChange" msdata:Caption="PictureComplaintShotByEuroFar1" type="xs:boolean" minOccurs="0"/>
                  <xs:element name="PictureComplaintShotByEuroFar2HasChange" msdata:Caption="PictureComplaintShotByEuroFar2" type="xs:boolean" minOccurs="0"/>
                  <xs:element name="SignatureSaleManagerHasChange" msdata:Caption="SignatureSaleManager" type="xs:boolean" minOccurs="0"/>
                  <xs:element name="SignatureProductionHasChange" msdata:Caption="SignatureProduction" type="xs:boolean" minOccurs="0"/>
                  <xs:element name="SignatureLogisticsHasChange" msdata:Caption="SignatureLogistics" type="xs:boolean" minOccurs="0"/>
                  <xs:element name="SignatureManagementHasChange" msdata:Caption="SignatureManagement" type="xs:boolean" minOccurs="0"/>
                  <xs:element name="PictureModelPath" msdata:Caption="PictureModel" type="xs:string" minOccurs="0"/>
                  <xs:element name="PictureRealProductionPath" msdata:Caption="PictureRealProduction" type="xs:string" minOccurs="0"/>
                  <xs:element name="PictureComplaintReceiveFromClient1Path" msdata:Caption="PictureComplaintReceiveFromClient1" type="xs:string" minOccurs="0"/>
                  <xs:element name="PictureComplaintReceiveFromClient2Path" msdata:Caption="PictureComplaintReceiveFromClient2" type="xs:string" minOccurs="0"/>
                  <xs:element name="PictureComplaintShotByEuroFar1Path" msdata:Caption="PictureComplaintShotByEuroFar1" type="xs:string" minOccurs="0"/>
                  <xs:element name="PictureComplaintShotByEuroFar2Path" msdata:Caption="PictureComplaintShotByEuroFar2" type="xs:string" minOccurs="0"/>
                  <xs:element name="SignatureSaleManagerPath" msdata:Caption="SignatureSaleManager" type="xs:string" minOccurs="0"/>
                  <xs:element name="SignatureProductionPath" msdata:Caption="SignatureProduction" type="xs:string" minOccurs="0"/>
                  <xs:element name="SignatureLogisticsPath" msdata:Caption="SignatureLogistics" type="xs:string" minOccurs="0"/>
                  <xs:element name="SignatureManagementPath" msdata:Caption="SignatureManagement" type="xs:string" minOccurs="0"/>
                  <xs:element name="Total" type="xs:decimal" minOccurs="0"/>
                  <xs:element name="Factory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</xs:sequence>
              </xs:complexType>
            </xs:element>
            <xs:element name="ClientComplaintManagement_ClientComplaintExtraImage_DTO" minOccurs="0" maxOccurs="unbounded">
              <xs:complexType>
                <xs:sequence>
                  <xs:element name="ClientComplaintExtraImageID" msdata:AutoIncrement="true" msdata:AutoIncrementSeed="-1" msdata:AutoIncrementStep="-1" type="xs:int"/>
                  <xs:element name="ClientComplaintDetailID" type="xs:int" minOccurs="0"/>
                  <xs:element name="Extra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ExtraImageBinary" type="xs:base64Binary" minOccurs="0"/>
                  <xs:element name="ExtraImageHasChange" type="xs:boolean" minOccurs="0"/>
                  <xs:element name="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IsSelected" type="xs:boolean" minOccurs="0"/>
                  <xs:element name="ExtraImagePath" msdata:Caption="Extra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ClientComplaintManagement_ClientComplaintDetail_DTO_LP">
              <xs:complexType>
                <xs:sequence>
                  <xs:element name="IsSelected" type="xs:boolean" minOccurs="0"/>
                  <xs:element name="ClientComplaintDetailID" msdata:AutoIncrement="true" msdata:AutoIncrementSeed="-1" msdata:AutoIncrementStep="-1" type="xs:int"/>
                  <xs:element name="ClientComplaintID" type="xs:int" minOccurs="0"/>
                  <xs:element name="ComplaintNumber" type="xs:int" minOccurs="0"/>
                  <xs:element name="Complaint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rice" type="xs:decimal" minOccurs="0"/>
                  <xs:element name="LoadedQnt" type="xs:int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ID" type="xs:int" minOccurs="0"/>
                  <xs:element name="ProductOptionID" type="xs:int" minOccurs="0"/>
                  <xs:element name="Container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LoadingPlan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ontroller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1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actory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ReceivedAtWarehous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LSP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MR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uggestedSolu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Model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RealProduc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ComplaintReceiveFromClient1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ComplaintReceiveFromClient2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ComplaintShotByEuroFar1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ComplaintShotByEuroFar2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ignatureSaleManager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ignatureProduc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ignatureLogistic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ignatureManagemen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ictureModelBinary" msdata:Caption="PictureModel" type="xs:base64Binary" minOccurs="0"/>
                  <xs:element name="PictureRealProductionBinary" msdata:Caption="PictureRealProduction" type="xs:base64Binary" minOccurs="0"/>
                  <xs:element name="PictureComplaintReceiveFromClient1Binary" msdata:Caption="PictureComplaintReceiveFromClient1" type="xs:base64Binary" minOccurs="0"/>
                  <xs:element name="PictureComplaintReceiveFromClient2Binary" msdata:Caption="PictureComplaintReceiveFromClient2" type="xs:base64Binary" minOccurs="0"/>
                  <xs:element name="PictureComplaintShotByEuroFar1Binary" msdata:Caption="PictureComplaintShotByEuroFar1" type="xs:base64Binary" minOccurs="0"/>
                  <xs:element name="PictureComplaintShotByEuroFar2Binary" msdata:Caption="PictureComplaintShotByEuroFar2" type="xs:base64Binary" minOccurs="0"/>
                  <xs:element name="SignatureSaleManagerBinary" msdata:Caption="SignatureSaleManager" type="xs:base64Binary" minOccurs="0"/>
                  <xs:element name="SignatureProductionBinary" msdata:Caption="SignatureProduction" type="xs:base64Binary" minOccurs="0"/>
                  <xs:element name="SignatureLogisticsBinary" msdata:Caption="SignatureLogistics" type="xs:base64Binary" minOccurs="0"/>
                  <xs:element name="SignatureManagementBinary" msdata:Caption="SignatureManagement" type="xs:base64Binary" minOccurs="0"/>
                  <xs:element name="PictureModelHasChange" msdata:Caption="PictureModel" type="xs:boolean" minOccurs="0"/>
                  <xs:element name="PictureRealProductionHasChange" msdata:Caption="PictureRealProduction" type="xs:boolean" minOccurs="0"/>
                  <xs:element name="PictureComplaintReceiveFromClient1HasChange" msdata:Caption="PictureComplaintReceiveFromClient1" type="xs:boolean" minOccurs="0"/>
                  <xs:element name="PictureComplaintReceiveFromClient2HasChange" msdata:Caption="PictureComplaintReceiveFromClient2" type="xs:boolean" minOccurs="0"/>
                  <xs:element name="PictureComplaintShotByEuroFar1HasChange" msdata:Caption="PictureComplaintShotByEuroFar1" type="xs:boolean" minOccurs="0"/>
                  <xs:element name="PictureComplaintShotByEuroFar2HasChange" msdata:Caption="PictureComplaintShotByEuroFar2" type="xs:boolean" minOccurs="0"/>
                  <xs:element name="SignatureSaleManagerHasChange" msdata:Caption="SignatureSaleManager" type="xs:boolean" minOccurs="0"/>
                  <xs:element name="SignatureProductionHasChange" msdata:Caption="SignatureProduction" type="xs:boolean" minOccurs="0"/>
                  <xs:element name="SignatureLogisticsHasChange" msdata:Caption="SignatureLogistics" type="xs:boolean" minOccurs="0"/>
                  <xs:element name="SignatureManagementHasChange" msdata:Caption="SignatureManagement" type="xs:boolean" minOccurs="0"/>
                  <xs:element name="PictureModelPath" msdata:Caption="PictureModel" type="xs:string" minOccurs="0"/>
                  <xs:element name="PictureRealProductionPath" msdata:Caption="PictureRealProduction" type="xs:string" minOccurs="0"/>
                  <xs:element name="PictureComplaintReceiveFromClient1Path" msdata:Caption="PictureComplaintReceiveFromClient1" type="xs:string" minOccurs="0"/>
                  <xs:element name="PictureComplaintReceiveFromClient2Path" msdata:Caption="PictureComplaintReceiveFromClient2" type="xs:string" minOccurs="0"/>
                  <xs:element name="PictureComplaintShotByEuroFar1Path" msdata:Caption="PictureComplaintShotByEuroFar1" type="xs:string" minOccurs="0"/>
                  <xs:element name="PictureComplaintShotByEuroFar2Path" msdata:Caption="PictureComplaintShotByEuroFar2" type="xs:string" minOccurs="0"/>
                  <xs:element name="SignatureSaleManagerPath" msdata:Caption="SignatureSaleManager" type="xs:string" minOccurs="0"/>
                  <xs:element name="SignatureProductionPath" msdata:Caption="SignatureProduction" type="xs:string" minOccurs="0"/>
                  <xs:element name="SignatureLogisticsPath" msdata:Caption="SignatureLogistics" type="xs:string" minOccurs="0"/>
                  <xs:element name="SignatureManagementPath" msdata:Caption="SignatureManagement" type="xs:string" minOccurs="0"/>
                  <xs:element name="Total" type="xs:decimal" minOccurs="0"/>
                  <xs:element name="Factory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</xs:sequence>
              </xs:complexType>
            </xs:element>
            <xs:element name="LoadingPlanManagement2_ReportLoadingPlanDetail_View" minOccurs="0" maxOccurs="unbounded">
              <xs:complexType>
                <xs:sequence>
                  <xs:element name="LoadingPlanDetailID" type="xs:int"/>
                  <xs:element name="LoadingPlanID" type="xs:int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Buyer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1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QntIn40HC" type="xs:decimal" minOccurs="0"/>
                </xs:sequence>
              </xs:complexType>
            </xs:element>
            <xs:element name="LoadingPlanManagement2_ReportLoadingPlan_View" minOccurs="0" maxOccurs="unbounded">
              <xs:complexType>
                <xs:sequence>
                  <xs:element name="LoadingPlanID" type="xs:int"/>
                  <xs:element name="Factory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ontainerRef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ainer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ReportDate" minOccurs="0" type="xs:date"/>
                  <xs:element name="LoadingDate" minOccurs="0" type="xs:date"/>
                  <xs:element name="Sea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oller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ignatureImagePath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O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ETD" minOccurs="0" type="xs:date"/>
                  <xs:element name="ETA" minOccurs="0" type="xs:date"/>
                  <xs:element name="Cont20DC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Cont40DC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Cont40HC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roductImage1Path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ductImage2Path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inerImage1Path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inerImage2Path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ductImage1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mage2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ainerImage1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ainerImage2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ignatureImag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  <xs:element name="ProductManagement_ReportPS_View" minOccurs="0">
              <xs:complexType>
                <xs:sequence>
                  <xs:element name="ProductOptionID" type="xs:int"/>
                  <xs:element name="ArticleCode" minOccurs="0">
                    <xs:simpleType>
                      <xs:restriction base="xs:string">
                        <xs:maxLength value="1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UpdatedDate" minOccurs="0" type="xs:date"/>
                  <xs:element name="Creator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reatedDate" minOccurs="0" type="xs:date"/>
                  <xs:element name="FullImagePath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ImagePath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ImagePath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abric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m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m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m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ther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ther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ther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MainMaterial" minOccurs="0">
                    <xs:simpleType>
                      <xs:restriction base="xs:string">
                        <xs:maxLength value="513"/>
                      </xs:restriction>
                    </xs:simpleType>
                  </xs:element>
                  <xs:element name="Material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Stuff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Parts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Typ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ackCushionStuff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Parts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Finish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tem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tem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tem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Gross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temLoadability20DC" type="xs:int" minOccurs="0"/>
                  <xs:element name="ItemLoadability40DC" type="xs:int" minOccurs="0"/>
                  <xs:element name="ItemLoadability40HC" type="xs:int" minOccurs="0"/>
                  <xs:element name="Set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t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t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tLoadability20DC" type="xs:int" minOccurs="0"/>
                  <xs:element name="SetLoadability40DC" type="xs:int" minOccurs="0"/>
                  <xs:element name="SetLoadability40HC" type="xs:int" minOccurs="0"/>
                  <xs:element name="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ignatureImagePath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Updator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ullImag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MaterialColorImag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ColorImag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ignatureImag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sMWConfirmed" type="xs:boolean" minOccurs="0"/>
                  <xs:element name="IsNWConfirmed" type="xs:boolean" minOccurs="0"/>
                  <xs:element name="IsSeatCushionConfirmed" type="xs:boolean" minOccurs="0"/>
                  <xs:element name="IsBackCushionConfirmed" type="xs:boolean" minOccurs="0"/>
                  <xs:element name="IsLoadabilityConfirmed" type="xs:boolean" minOccurs="0"/>
                </xs:sequence>
              </xs:complexType>
            </xs:element>
            <xs:element name="BookingManagement_ReportBooking_View" minOccurs="0">
              <xs:complexType>
                <xs:sequence>
                  <xs:element name="BookingID" type="xs:int"/>
                  <xs:element name="ReportTitl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BookingUD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ShipperInfo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ForwarderInfo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ConsigneeInfo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NotifyParty1Info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NotifyParty2Info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ETD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laceOfReceip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laceOfDelivery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DeliveryTermTex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vementText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hipping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KGs" type="xs:decimal" minOccurs="0"/>
                  <xs:element name="DescriptionOfGoods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KGs" type="xs:decimal" minOccurs="0"/>
                  <xs:element name="CBMs" type="xs:decimal" minOccurs="0"/>
                  <xs:element name="OcceanFreightType" minOccurs="0">
                    <xs:simpleType>
                      <xs:restriction base="xs:string">
                        <xs:maxLength value="7"/>
                      </xs:restriction>
                    </xs:simpleType>
                  </xs:element>
                  <xs:element name="OriginalBL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ontactName" minOccurs="0">
                    <xs:simpleType>
                      <xs:restriction base="xs:string">
                        <xs:maxLength value="309"/>
                      </xs:restriction>
                    </xs:simpleType>
                  </xs:element>
                  <xs:element name="ForwarderContact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  <xs:element name="PLCManagement2_PLCReport_View" minOccurs="0" maxOccurs="unbounded">
              <xs:complexType>
                <xs:sequence>
                  <xs:element name="PLCID" type="xs:int"/>
                  <xs:element name="Factory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urrentUser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uyer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1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TypeLeg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Net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m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m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m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ther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ther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ther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Color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LCRating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RatingComment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ator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RatedDate" minOccurs="0" type="xs:date"/>
                  <xs:element name="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abric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BatchCod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Stuff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Parts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Finish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ackCushionStuff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Parts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Finishing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tCushion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ckCushion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Thickn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GrossWeight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firmer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firmedDate" minOccurs="0" type="xs:date"/>
                  <xs:element name="ClientArticleCod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Article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OrderNumber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EANCod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PLCManagement2_PLCImageReport_View" minOccurs="0" maxOccurs="unbounded">
              <xs:complexType>
                <xs:sequence>
                  <xs:element name="PLCID" type="xs:int" minOccurs="0"/>
                  <xs:element name="ImageType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Fil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ilePath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</xs:sequence>
        </xs:complexType>
        <xs:unique name="Constraint1" msdata:PrimaryKey="true">
          <xs:selector xpath=".//mstns:ClientComplaintManagement_ClientComplaint_DTO"/>
          <xs:field xpath="mstns:ClientComplaintID"/>
        </xs:unique>
        <xs:unique name="ClientComplaintManagement_ClientComplaintDetail_DTO_Constraint1" msdata:ConstraintName="Constraint1" msdata:PrimaryKey="true">
          <xs:selector xpath=".//mstns:ClientComplaintManagement_ClientComplaintDetail_DTO"/>
          <xs:field xpath="mstns:ClientComplaintDetailID"/>
        </xs:unique>
        <xs:unique name="ClientComplaintManagement_ClientComplaintExtraImage_DTO_Constraint1" msdata:ConstraintName="Constraint1" msdata:PrimaryKey="true">
          <xs:selector xpath=".//mstns:ClientComplaintManagement_ClientComplaintExtraImage_DTO"/>
          <xs:field xpath="mstns:ClientComplaintExtraImageID"/>
        </xs:unique>
        <xs:unique name="ClientComplaintManagement_ClientComplaintDetail_DTO_LP_Constraint1" msdata:ConstraintName="Constraint1" msdata:PrimaryKey="true">
          <xs:selector xpath=".//mstns:ClientComplaintManagement_ClientComplaintDetail_DTO_LP"/>
          <xs:field xpath="mstns:ClientComplaintDetailID"/>
        </xs:unique>
      </xs:element>
    </xs:schema>
  </Schema>
  <Map ID="6" Name="ReportDataObject_Map" RootElement="ReportDataObject" SchemaID="Schema3" ShowImportExportValidationErrors="false" AutoFit="false" Append="false" PreserveSortAFLayout="false" PreserveFormat="fals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xmlMaps" Target="xmlMaps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1394877</xdr:colOff>
      <xdr:row>2</xdr:row>
      <xdr:rowOff>69271</xdr:rowOff>
    </xdr:from>
    <xdr:to>
      <xdr:col>8</xdr:col>
      <xdr:colOff>955557</xdr:colOff>
      <xdr:row>3</xdr:row>
      <xdr:rowOff>467589</xdr:rowOff>
    </xdr:to>
    <xdr:pic>
      <xdr:nvPicPr>
        <xdr:cNvPr id="1182" name="Picture 1" descr="eurofar200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691286" y="1194953"/>
          <a:ext cx="2989680" cy="9005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37</xdr:row>
      <xdr:rowOff>0</xdr:rowOff>
    </xdr:from>
    <xdr:to>
      <xdr:col>4</xdr:col>
      <xdr:colOff>504825</xdr:colOff>
      <xdr:row>37</xdr:row>
      <xdr:rowOff>0</xdr:rowOff>
    </xdr:to>
    <xdr:pic>
      <xdr:nvPicPr>
        <xdr:cNvPr id="118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23155275"/>
          <a:ext cx="80010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</xdr:row>
      <xdr:rowOff>38100</xdr:rowOff>
    </xdr:from>
    <xdr:to>
      <xdr:col>6</xdr:col>
      <xdr:colOff>200025</xdr:colOff>
      <xdr:row>5</xdr:row>
      <xdr:rowOff>142875</xdr:rowOff>
    </xdr:to>
    <xdr:pic>
      <xdr:nvPicPr>
        <xdr:cNvPr id="2" name="Picture 1" descr="eurofar200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180975"/>
          <a:ext cx="2009775" cy="581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54551</xdr:colOff>
      <xdr:row>1</xdr:row>
      <xdr:rowOff>30307</xdr:rowOff>
    </xdr:from>
    <xdr:ext cx="5847485" cy="1223530"/>
    <xdr:pic>
      <xdr:nvPicPr>
        <xdr:cNvPr id="2" name="Afbeelding 1" descr="eurofar2007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50551" y="220807"/>
          <a:ext cx="5847485" cy="12235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746125</xdr:colOff>
      <xdr:row>1</xdr:row>
      <xdr:rowOff>206375</xdr:rowOff>
    </xdr:from>
    <xdr:ext cx="5224318" cy="923637"/>
    <xdr:pic>
      <xdr:nvPicPr>
        <xdr:cNvPr id="3" name="Picture 2" descr="123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2775" y="377825"/>
          <a:ext cx="5224318" cy="923637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742950</xdr:colOff>
      <xdr:row>5</xdr:row>
      <xdr:rowOff>85725</xdr:rowOff>
    </xdr:to>
    <xdr:pic>
      <xdr:nvPicPr>
        <xdr:cNvPr id="2" name="Picture 2" descr="eurofar200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71450"/>
          <a:ext cx="5105400" cy="1181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45" name="Table45" displayName="Table45" ref="A2:B4" tableType="xml" headerRowCount="0" totalsRowShown="0" connectionId="2">
  <tableColumns count="2">
    <tableColumn id="1" uniqueName="ns2:ExtraImagePath" name="ns1:AdditionalImagePath">
      <xmlColumnPr mapId="6" xpath="/ns2:ReportDataObject/ns2:ClientComplaintManagement_ClientComplaintExtraImage_DTO/ns2:ExtraImagePath" xmlDataType="string"/>
    </tableColumn>
    <tableColumn id="2" uniqueName="ns2:Remark" name="ns1:Remark" dataDxfId="32">
      <xmlColumnPr mapId="6" xpath="/ns2:ReportDataObject/ns2:ClientComplaintManagement_ClientComplaintExtraImage_DTO/ns2:Remark" xmlDataType="string"/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Table1" displayName="Table1" ref="A1:G2" insertRow="1" totalsRowShown="0">
  <autoFilter ref="A1:G2"/>
  <tableColumns count="7">
    <tableColumn id="1" name="ns1:ArticleCode"/>
    <tableColumn id="2" name="ns1:Description"/>
    <tableColumn id="3" name="ns1:LoadedQnt"/>
    <tableColumn id="4" name="ns1:ComPlaintDescription"/>
    <tableColumn id="5" name="ns1:ComplaintNumber"/>
    <tableColumn id="6" name="ns1:Price"/>
    <tableColumn id="7" name="ns1:TotalValu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1" name="Table21" displayName="Table21" ref="A2:BI3" tableType="xml" totalsRowShown="0" connectionId="2">
  <autoFilter ref="A2:BI3"/>
  <tableColumns count="61">
    <tableColumn id="1" uniqueName="ns2:IsSelected" name="ns2:IsSelected">
      <xmlColumnPr mapId="6" xpath="/ns2:ReportDataObject/ns2:ClientComplaintManagement_ClientComplaintDetail_DTO/ns2:IsSelected" xmlDataType="boolean"/>
    </tableColumn>
    <tableColumn id="2" uniqueName="ns2:ClientComplaintDetailID" name="ns2:ClientComplaintDetailID">
      <xmlColumnPr mapId="6" xpath="/ns2:ReportDataObject/ns2:ClientComplaintManagement_ClientComplaintDetail_DTO/ns2:ClientComplaintDetailID" xmlDataType="int"/>
    </tableColumn>
    <tableColumn id="3" uniqueName="ns2:ClientComplaintID" name="ns2:ClientComplaintID">
      <xmlColumnPr mapId="6" xpath="/ns2:ReportDataObject/ns2:ClientComplaintManagement_ClientComplaintDetail_DTO/ns2:ClientComplaintID" xmlDataType="int"/>
    </tableColumn>
    <tableColumn id="4" uniqueName="ns2:ComplaintNumber" name="ns2:ComplaintNumber">
      <xmlColumnPr mapId="6" xpath="/ns2:ReportDataObject/ns2:ClientComplaintManagement_ClientComplaintDetail_DTO/ns2:ComplaintNumber" xmlDataType="int"/>
    </tableColumn>
    <tableColumn id="5" uniqueName="ns2:ComplaintDescription" name="ns2:ComplaintDescription">
      <xmlColumnPr mapId="6" xpath="/ns2:ReportDataObject/ns2:ClientComplaintManagement_ClientComplaintDetail_DTO/ns2:ComplaintDescription" xmlDataType="string"/>
    </tableColumn>
    <tableColumn id="6" uniqueName="ns2:Price" name="ns2:Price">
      <xmlColumnPr mapId="6" xpath="/ns2:ReportDataObject/ns2:ClientComplaintManagement_ClientComplaintDetail_DTO/ns2:Price" xmlDataType="decimal"/>
    </tableColumn>
    <tableColumn id="7" uniqueName="ns2:LoadedQnt" name="ns2:LoadedQnt">
      <xmlColumnPr mapId="6" xpath="/ns2:ReportDataObject/ns2:ClientComplaintManagement_ClientComplaintDetail_DTO/ns2:LoadedQnt" xmlDataType="int"/>
    </tableColumn>
    <tableColumn id="8" uniqueName="ns2:ProformaInvoiceNo" name="ns2:ProformaInvoiceNo">
      <xmlColumnPr mapId="6" xpath="/ns2:ReportDataObject/ns2:ClientComplaintManagement_ClientComplaintDetail_DTO/ns2:ProformaInvoiceNo" xmlDataType="string"/>
    </tableColumn>
    <tableColumn id="9" uniqueName="ns2:FactoryID" name="ns2:FactoryID">
      <xmlColumnPr mapId="6" xpath="/ns2:ReportDataObject/ns2:ClientComplaintManagement_ClientComplaintDetail_DTO/ns2:FactoryID" xmlDataType="int"/>
    </tableColumn>
    <tableColumn id="10" uniqueName="ns2:ProductOptionID" name="ns2:ProductOptionID">
      <xmlColumnPr mapId="6" xpath="/ns2:ReportDataObject/ns2:ClientComplaintManagement_ClientComplaintDetail_DTO/ns2:ProductOptionID" xmlDataType="int"/>
    </tableColumn>
    <tableColumn id="11" uniqueName="ns2:ContainerNo" name="ns2:ContainerNo">
      <xmlColumnPr mapId="6" xpath="/ns2:ReportDataObject/ns2:ClientComplaintManagement_ClientComplaintDetail_DTO/ns2:ContainerNo" xmlDataType="string"/>
    </tableColumn>
    <tableColumn id="12" uniqueName="ns2:LoadingPlanUD" name="ns2:LoadingPlanUD">
      <xmlColumnPr mapId="6" xpath="/ns2:ReportDataObject/ns2:ClientComplaintManagement_ClientComplaintDetail_DTO/ns2:LoadingPlanUD" xmlDataType="string"/>
    </tableColumn>
    <tableColumn id="13" uniqueName="ns2:ControllerName" name="ns2:ControllerName">
      <xmlColumnPr mapId="6" xpath="/ns2:ReportDataObject/ns2:ClientComplaintManagement_ClientComplaintDetail_DTO/ns2:ControllerName" xmlDataType="string"/>
    </tableColumn>
    <tableColumn id="14" uniqueName="ns2:ArticleCode" name="ns2:ArticleCode">
      <xmlColumnPr mapId="6" xpath="/ns2:ReportDataObject/ns2:ClientComplaintManagement_ClientComplaintDetail_DTO/ns2:ArticleCode" xmlDataType="string"/>
    </tableColumn>
    <tableColumn id="15" uniqueName="ns2:Description" name="ns2:Description">
      <xmlColumnPr mapId="6" xpath="/ns2:ReportDataObject/ns2:ClientComplaintManagement_ClientComplaintDetail_DTO/ns2:Description" xmlDataType="string"/>
    </tableColumn>
    <tableColumn id="16" uniqueName="ns2:FactoryNM" name="ns2:FactoryNM">
      <xmlColumnPr mapId="6" xpath="/ns2:ReportDataObject/ns2:ClientComplaintManagement_ClientComplaintDetail_DTO/ns2:FactoryNM" xmlDataType="string"/>
    </tableColumn>
    <tableColumn id="17" uniqueName="ns2:ReceivedAtWarehouse" name="ns2:ReceivedAtWarehouse">
      <xmlColumnPr mapId="6" xpath="/ns2:ReportDataObject/ns2:ClientComplaintManagement_ClientComplaintDetail_DTO/ns2:ReceivedAtWarehouse" xmlDataType="string"/>
    </tableColumn>
    <tableColumn id="18" uniqueName="ns2:LSP" name="ns2:LSP">
      <xmlColumnPr mapId="6" xpath="/ns2:ReportDataObject/ns2:ClientComplaintManagement_ClientComplaintDetail_DTO/ns2:LSP" xmlDataType="string"/>
    </tableColumn>
    <tableColumn id="19" uniqueName="ns2:CMRNo" name="ns2:CMRNo">
      <xmlColumnPr mapId="6" xpath="/ns2:ReportDataObject/ns2:ClientComplaintManagement_ClientComplaintDetail_DTO/ns2:CMRNo" xmlDataType="string"/>
    </tableColumn>
    <tableColumn id="20" uniqueName="ns2:SuggestedSolution" name="ns2:SuggestedSolution">
      <xmlColumnPr mapId="6" xpath="/ns2:ReportDataObject/ns2:ClientComplaintManagement_ClientComplaintDetail_DTO/ns2:SuggestedSolution" xmlDataType="string"/>
    </tableColumn>
    <tableColumn id="21" uniqueName="ns2:PictureModel" name="ns2:PictureModel">
      <xmlColumnPr mapId="6" xpath="/ns2:ReportDataObject/ns2:ClientComplaintManagement_ClientComplaintDetail_DTO/ns2:PictureModel" xmlDataType="string"/>
    </tableColumn>
    <tableColumn id="22" uniqueName="ns2:PictureRealProduction" name="ns2:PictureRealProduction">
      <xmlColumnPr mapId="6" xpath="/ns2:ReportDataObject/ns2:ClientComplaintManagement_ClientComplaintDetail_DTO/ns2:PictureRealProduction" xmlDataType="string"/>
    </tableColumn>
    <tableColumn id="23" uniqueName="ns2:PictureComplaintReceiveFromClient1" name="ns2:PictureComplaintReceiveFromClient1">
      <xmlColumnPr mapId="6" xpath="/ns2:ReportDataObject/ns2:ClientComplaintManagement_ClientComplaintDetail_DTO/ns2:PictureComplaintReceiveFromClient1" xmlDataType="string"/>
    </tableColumn>
    <tableColumn id="24" uniqueName="ns2:PictureComplaintReceiveFromClient2" name="ns2:PictureComplaintReceiveFromClient2">
      <xmlColumnPr mapId="6" xpath="/ns2:ReportDataObject/ns2:ClientComplaintManagement_ClientComplaintDetail_DTO/ns2:PictureComplaintReceiveFromClient2" xmlDataType="string"/>
    </tableColumn>
    <tableColumn id="25" uniqueName="ns2:PictureComplaintShotByEuroFar1" name="ns2:PictureComplaintShotByEuroFar1">
      <xmlColumnPr mapId="6" xpath="/ns2:ReportDataObject/ns2:ClientComplaintManagement_ClientComplaintDetail_DTO/ns2:PictureComplaintShotByEuroFar1" xmlDataType="string"/>
    </tableColumn>
    <tableColumn id="26" uniqueName="ns2:PictureComplaintShotByEuroFar2" name="ns2:PictureComplaintShotByEuroFar2">
      <xmlColumnPr mapId="6" xpath="/ns2:ReportDataObject/ns2:ClientComplaintManagement_ClientComplaintDetail_DTO/ns2:PictureComplaintShotByEuroFar2" xmlDataType="string"/>
    </tableColumn>
    <tableColumn id="27" uniqueName="ns2:SignatureSaleManager" name="ns2:SignatureSaleManager">
      <xmlColumnPr mapId="6" xpath="/ns2:ReportDataObject/ns2:ClientComplaintManagement_ClientComplaintDetail_DTO/ns2:SignatureSaleManager" xmlDataType="string"/>
    </tableColumn>
    <tableColumn id="28" uniqueName="ns2:SignatureProduction" name="ns2:SignatureProduction">
      <xmlColumnPr mapId="6" xpath="/ns2:ReportDataObject/ns2:ClientComplaintManagement_ClientComplaintDetail_DTO/ns2:SignatureProduction" xmlDataType="string"/>
    </tableColumn>
    <tableColumn id="29" uniqueName="ns2:SignatureLogistics" name="ns2:SignatureLogistics">
      <xmlColumnPr mapId="6" xpath="/ns2:ReportDataObject/ns2:ClientComplaintManagement_ClientComplaintDetail_DTO/ns2:SignatureLogistics" xmlDataType="string"/>
    </tableColumn>
    <tableColumn id="30" uniqueName="ns2:SignatureManagement" name="ns2:SignatureManagement">
      <xmlColumnPr mapId="6" xpath="/ns2:ReportDataObject/ns2:ClientComplaintManagement_ClientComplaintDetail_DTO/ns2:SignatureManagement" xmlDataType="string"/>
    </tableColumn>
    <tableColumn id="31" uniqueName="ns2:PictureModelBinary" name="ns2:PictureModelBinary">
      <xmlColumnPr mapId="6" xpath="/ns2:ReportDataObject/ns2:ClientComplaintManagement_ClientComplaintDetail_DTO/ns2:PictureModelBinary" xmlDataType="base64Binary"/>
    </tableColumn>
    <tableColumn id="32" uniqueName="ns2:PictureRealProductionBinary" name="ns2:PictureRealProductionBinary">
      <xmlColumnPr mapId="6" xpath="/ns2:ReportDataObject/ns2:ClientComplaintManagement_ClientComplaintDetail_DTO/ns2:PictureRealProductionBinary" xmlDataType="base64Binary"/>
    </tableColumn>
    <tableColumn id="33" uniqueName="ns2:PictureComplaintReceiveFromClient1Binary" name="ns2:PictureComplaintReceiveFromClient1Binary">
      <xmlColumnPr mapId="6" xpath="/ns2:ReportDataObject/ns2:ClientComplaintManagement_ClientComplaintDetail_DTO/ns2:PictureComplaintReceiveFromClient1Binary" xmlDataType="base64Binary"/>
    </tableColumn>
    <tableColumn id="34" uniqueName="ns2:PictureComplaintReceiveFromClient2Binary" name="ns2:PictureComplaintReceiveFromClient2Binary">
      <xmlColumnPr mapId="6" xpath="/ns2:ReportDataObject/ns2:ClientComplaintManagement_ClientComplaintDetail_DTO/ns2:PictureComplaintReceiveFromClient2Binary" xmlDataType="base64Binary"/>
    </tableColumn>
    <tableColumn id="35" uniqueName="ns2:PictureComplaintShotByEuroFar1Binary" name="ns2:PictureComplaintShotByEuroFar1Binary">
      <xmlColumnPr mapId="6" xpath="/ns2:ReportDataObject/ns2:ClientComplaintManagement_ClientComplaintDetail_DTO/ns2:PictureComplaintShotByEuroFar1Binary" xmlDataType="base64Binary"/>
    </tableColumn>
    <tableColumn id="36" uniqueName="ns2:PictureComplaintShotByEuroFar2Binary" name="ns2:PictureComplaintShotByEuroFar2Binary">
      <xmlColumnPr mapId="6" xpath="/ns2:ReportDataObject/ns2:ClientComplaintManagement_ClientComplaintDetail_DTO/ns2:PictureComplaintShotByEuroFar2Binary" xmlDataType="base64Binary"/>
    </tableColumn>
    <tableColumn id="37" uniqueName="ns2:SignatureSaleManagerBinary" name="ns2:SignatureSaleManagerBinary">
      <xmlColumnPr mapId="6" xpath="/ns2:ReportDataObject/ns2:ClientComplaintManagement_ClientComplaintDetail_DTO/ns2:SignatureSaleManagerBinary" xmlDataType="base64Binary"/>
    </tableColumn>
    <tableColumn id="38" uniqueName="ns2:SignatureProductionBinary" name="ns2:SignatureProductionBinary">
      <xmlColumnPr mapId="6" xpath="/ns2:ReportDataObject/ns2:ClientComplaintManagement_ClientComplaintDetail_DTO/ns2:SignatureProductionBinary" xmlDataType="base64Binary"/>
    </tableColumn>
    <tableColumn id="39" uniqueName="ns2:SignatureLogisticsBinary" name="ns2:SignatureLogisticsBinary">
      <xmlColumnPr mapId="6" xpath="/ns2:ReportDataObject/ns2:ClientComplaintManagement_ClientComplaintDetail_DTO/ns2:SignatureLogisticsBinary" xmlDataType="base64Binary"/>
    </tableColumn>
    <tableColumn id="40" uniqueName="ns2:SignatureManagementBinary" name="ns2:SignatureManagementBinary">
      <xmlColumnPr mapId="6" xpath="/ns2:ReportDataObject/ns2:ClientComplaintManagement_ClientComplaintDetail_DTO/ns2:SignatureManagementBinary" xmlDataType="base64Binary"/>
    </tableColumn>
    <tableColumn id="41" uniqueName="ns2:PictureModelHasChange" name="ns2:PictureModelHasChange">
      <xmlColumnPr mapId="6" xpath="/ns2:ReportDataObject/ns2:ClientComplaintManagement_ClientComplaintDetail_DTO/ns2:PictureModelHasChange" xmlDataType="boolean"/>
    </tableColumn>
    <tableColumn id="42" uniqueName="ns2:PictureRealProductionHasChange" name="ns2:PictureRealProductionHasChange">
      <xmlColumnPr mapId="6" xpath="/ns2:ReportDataObject/ns2:ClientComplaintManagement_ClientComplaintDetail_DTO/ns2:PictureRealProductionHasChange" xmlDataType="boolean"/>
    </tableColumn>
    <tableColumn id="43" uniqueName="ns2:PictureComplaintReceiveFromClient1HasChange" name="ns2:PictureComplaintReceiveFromClient1HasChange">
      <xmlColumnPr mapId="6" xpath="/ns2:ReportDataObject/ns2:ClientComplaintManagement_ClientComplaintDetail_DTO/ns2:PictureComplaintReceiveFromClient1HasChange" xmlDataType="boolean"/>
    </tableColumn>
    <tableColumn id="44" uniqueName="ns2:PictureComplaintReceiveFromClient2HasChange" name="ns2:PictureComplaintReceiveFromClient2HasChange">
      <xmlColumnPr mapId="6" xpath="/ns2:ReportDataObject/ns2:ClientComplaintManagement_ClientComplaintDetail_DTO/ns2:PictureComplaintReceiveFromClient2HasChange" xmlDataType="boolean"/>
    </tableColumn>
    <tableColumn id="45" uniqueName="ns2:PictureComplaintShotByEuroFar1HasChange" name="ns2:PictureComplaintShotByEuroFar1HasChange">
      <xmlColumnPr mapId="6" xpath="/ns2:ReportDataObject/ns2:ClientComplaintManagement_ClientComplaintDetail_DTO/ns2:PictureComplaintShotByEuroFar1HasChange" xmlDataType="boolean"/>
    </tableColumn>
    <tableColumn id="46" uniqueName="ns2:PictureComplaintShotByEuroFar2HasChange" name="ns2:PictureComplaintShotByEuroFar2HasChange">
      <xmlColumnPr mapId="6" xpath="/ns2:ReportDataObject/ns2:ClientComplaintManagement_ClientComplaintDetail_DTO/ns2:PictureComplaintShotByEuroFar2HasChange" xmlDataType="boolean"/>
    </tableColumn>
    <tableColumn id="47" uniqueName="ns2:SignatureSaleManagerHasChange" name="ns2:SignatureSaleManagerHasChange">
      <xmlColumnPr mapId="6" xpath="/ns2:ReportDataObject/ns2:ClientComplaintManagement_ClientComplaintDetail_DTO/ns2:SignatureSaleManagerHasChange" xmlDataType="boolean"/>
    </tableColumn>
    <tableColumn id="48" uniqueName="ns2:SignatureProductionHasChange" name="ns2:SignatureProductionHasChange">
      <xmlColumnPr mapId="6" xpath="/ns2:ReportDataObject/ns2:ClientComplaintManagement_ClientComplaintDetail_DTO/ns2:SignatureProductionHasChange" xmlDataType="boolean"/>
    </tableColumn>
    <tableColumn id="49" uniqueName="ns2:SignatureLogisticsHasChange" name="ns2:SignatureLogisticsHasChange">
      <xmlColumnPr mapId="6" xpath="/ns2:ReportDataObject/ns2:ClientComplaintManagement_ClientComplaintDetail_DTO/ns2:SignatureLogisticsHasChange" xmlDataType="boolean"/>
    </tableColumn>
    <tableColumn id="50" uniqueName="ns2:SignatureManagementHasChange" name="ns2:SignatureManagementHasChange">
      <xmlColumnPr mapId="6" xpath="/ns2:ReportDataObject/ns2:ClientComplaintManagement_ClientComplaintDetail_DTO/ns2:SignatureManagementHasChange" xmlDataType="boolean"/>
    </tableColumn>
    <tableColumn id="51" uniqueName="ns2:PictureModelPath" name="ns2:PictureModelPath">
      <xmlColumnPr mapId="6" xpath="/ns2:ReportDataObject/ns2:ClientComplaintManagement_ClientComplaintDetail_DTO/ns2:PictureModelPath" xmlDataType="string"/>
    </tableColumn>
    <tableColumn id="52" uniqueName="ns2:PictureRealProductionPath" name="ns2:PictureRealProductionPath">
      <xmlColumnPr mapId="6" xpath="/ns2:ReportDataObject/ns2:ClientComplaintManagement_ClientComplaintDetail_DTO/ns2:PictureRealProductionPath" xmlDataType="string"/>
    </tableColumn>
    <tableColumn id="53" uniqueName="ns2:PictureComplaintReceiveFromClient1Path" name="ns2:PictureComplaintReceiveFromClient1Path">
      <xmlColumnPr mapId="6" xpath="/ns2:ReportDataObject/ns2:ClientComplaintManagement_ClientComplaintDetail_DTO/ns2:PictureComplaintReceiveFromClient1Path" xmlDataType="string"/>
    </tableColumn>
    <tableColumn id="54" uniqueName="ns2:PictureComplaintReceiveFromClient2Path" name="ns2:PictureComplaintReceiveFromClient2Path">
      <xmlColumnPr mapId="6" xpath="/ns2:ReportDataObject/ns2:ClientComplaintManagement_ClientComplaintDetail_DTO/ns2:PictureComplaintReceiveFromClient2Path" xmlDataType="string"/>
    </tableColumn>
    <tableColumn id="55" uniqueName="ns2:PictureComplaintShotByEuroFar1Path" name="ns2:PictureComplaintShotByEuroFar1Path">
      <xmlColumnPr mapId="6" xpath="/ns2:ReportDataObject/ns2:ClientComplaintManagement_ClientComplaintDetail_DTO/ns2:PictureComplaintShotByEuroFar1Path" xmlDataType="string"/>
    </tableColumn>
    <tableColumn id="56" uniqueName="ns2:PictureComplaintShotByEuroFar2Path" name="ns2:PictureComplaintShotByEuroFar2Path">
      <xmlColumnPr mapId="6" xpath="/ns2:ReportDataObject/ns2:ClientComplaintManagement_ClientComplaintDetail_DTO/ns2:PictureComplaintShotByEuroFar2Path" xmlDataType="string"/>
    </tableColumn>
    <tableColumn id="57" uniqueName="ns2:SignatureSaleManagerPath" name="ns2:SignatureSaleManagerPath">
      <xmlColumnPr mapId="6" xpath="/ns2:ReportDataObject/ns2:ClientComplaintManagement_ClientComplaintDetail_DTO/ns2:SignatureSaleManagerPath" xmlDataType="string"/>
    </tableColumn>
    <tableColumn id="58" uniqueName="ns2:SignatureProductionPath" name="ns2:SignatureProductionPath">
      <xmlColumnPr mapId="6" xpath="/ns2:ReportDataObject/ns2:ClientComplaintManagement_ClientComplaintDetail_DTO/ns2:SignatureProductionPath" xmlDataType="string"/>
    </tableColumn>
    <tableColumn id="59" uniqueName="ns2:SignatureLogisticsPath" name="ns2:SignatureLogisticsPath">
      <xmlColumnPr mapId="6" xpath="/ns2:ReportDataObject/ns2:ClientComplaintManagement_ClientComplaintDetail_DTO/ns2:SignatureLogisticsPath" xmlDataType="string"/>
    </tableColumn>
    <tableColumn id="60" uniqueName="ns2:SignatureManagementPath" name="ns2:SignatureManagementPath">
      <xmlColumnPr mapId="6" xpath="/ns2:ReportDataObject/ns2:ClientComplaintManagement_ClientComplaintDetail_DTO/ns2:SignatureManagementPath" xmlDataType="string"/>
    </tableColumn>
    <tableColumn id="61" uniqueName="ns2:Total" name="ns2:Total">
      <xmlColumnPr mapId="6" xpath="/ns2:ReportDataObject/ns2:ClientComplaintManagement_ClientComplaintDetail_DTO/ns2:Total" xmlDataType="decimal"/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3" name="Table23" displayName="Table23" ref="A1:Y2" tableType="xml" insertRow="1" totalsRowShown="0" connectionId="2">
  <autoFilter ref="A1:Y2"/>
  <tableColumns count="25">
    <tableColumn id="1" uniqueName="ns2:LoadingPlanID" name="ns2:LoadingPlanID">
      <xmlColumnPr mapId="6" xpath="/ns2:ReportDataObject/ns2:LoadingPlanManagement2_ReportLoadingPlan_View/ns2:LoadingPlanID" xmlDataType="int"/>
    </tableColumn>
    <tableColumn id="2" uniqueName="ns2:FactoryUD" name="ns2:FactoryUD">
      <xmlColumnPr mapId="6" xpath="/ns2:ReportDataObject/ns2:LoadingPlanManagement2_ReportLoadingPlan_View/ns2:FactoryUD" xmlDataType="string"/>
    </tableColumn>
    <tableColumn id="3" uniqueName="ns2:ContainerRefNo" name="ns2:ContainerRefNo">
      <xmlColumnPr mapId="6" xpath="/ns2:ReportDataObject/ns2:LoadingPlanManagement2_ReportLoadingPlan_View/ns2:ContainerRefNo" xmlDataType="string"/>
    </tableColumn>
    <tableColumn id="4" uniqueName="ns2:ContainerNo" name="ns2:ContainerNo">
      <xmlColumnPr mapId="6" xpath="/ns2:ReportDataObject/ns2:LoadingPlanManagement2_ReportLoadingPlan_View/ns2:ContainerNo" xmlDataType="string"/>
    </tableColumn>
    <tableColumn id="5" uniqueName="ns2:ReportDate" name="ns2:ReportDate">
      <xmlColumnPr mapId="6" xpath="/ns2:ReportDataObject/ns2:LoadingPlanManagement2_ReportLoadingPlan_View/ns2:ReportDate" xmlDataType="date"/>
    </tableColumn>
    <tableColumn id="6" uniqueName="ns2:LoadingDate" name="ns2:LoadingDate">
      <xmlColumnPr mapId="6" xpath="/ns2:ReportDataObject/ns2:LoadingPlanManagement2_ReportLoadingPlan_View/ns2:LoadingDate" xmlDataType="date"/>
    </tableColumn>
    <tableColumn id="7" uniqueName="ns2:SealNo" name="ns2:SealNo">
      <xmlColumnPr mapId="6" xpath="/ns2:ReportDataObject/ns2:LoadingPlanManagement2_ReportLoadingPlan_View/ns2:SealNo" xmlDataType="string"/>
    </tableColumn>
    <tableColumn id="8" uniqueName="ns2:ControllerName" name="ns2:ControllerName">
      <xmlColumnPr mapId="6" xpath="/ns2:ReportDataObject/ns2:LoadingPlanManagement2_ReportLoadingPlan_View/ns2:ControllerName" xmlDataType="string"/>
    </tableColumn>
    <tableColumn id="9" uniqueName="ns2:SignatureImagePath" name="ns2:SignatureImagePath">
      <xmlColumnPr mapId="6" xpath="/ns2:ReportDataObject/ns2:LoadingPlanManagement2_ReportLoadingPlan_View/ns2:SignatureImagePath" xmlDataType="string"/>
    </tableColumn>
    <tableColumn id="10" uniqueName="ns2:POLNM" name="ns2:POLNM">
      <xmlColumnPr mapId="6" xpath="/ns2:ReportDataObject/ns2:LoadingPlanManagement2_ReportLoadingPlan_View/ns2:POLNM" xmlDataType="string"/>
    </tableColumn>
    <tableColumn id="11" uniqueName="ns2:PODNM" name="ns2:PODNM">
      <xmlColumnPr mapId="6" xpath="/ns2:ReportDataObject/ns2:LoadingPlanManagement2_ReportLoadingPlan_View/ns2:PODNM" xmlDataType="string"/>
    </tableColumn>
    <tableColumn id="12" uniqueName="ns2:ETD" name="ns2:ETD">
      <xmlColumnPr mapId="6" xpath="/ns2:ReportDataObject/ns2:LoadingPlanManagement2_ReportLoadingPlan_View/ns2:ETD" xmlDataType="date"/>
    </tableColumn>
    <tableColumn id="13" uniqueName="ns2:ETA" name="ns2:ETA">
      <xmlColumnPr mapId="6" xpath="/ns2:ReportDataObject/ns2:LoadingPlanManagement2_ReportLoadingPlan_View/ns2:ETA" xmlDataType="date"/>
    </tableColumn>
    <tableColumn id="14" uniqueName="ns2:Cont20DC" name="ns2:Cont20DC">
      <xmlColumnPr mapId="6" xpath="/ns2:ReportDataObject/ns2:LoadingPlanManagement2_ReportLoadingPlan_View/ns2:Cont20DC" xmlDataType="string"/>
    </tableColumn>
    <tableColumn id="15" uniqueName="ns2:Cont40DC" name="ns2:Cont40DC">
      <xmlColumnPr mapId="6" xpath="/ns2:ReportDataObject/ns2:LoadingPlanManagement2_ReportLoadingPlan_View/ns2:Cont40DC" xmlDataType="string"/>
    </tableColumn>
    <tableColumn id="16" uniqueName="ns2:Cont40HC" name="ns2:Cont40HC">
      <xmlColumnPr mapId="6" xpath="/ns2:ReportDataObject/ns2:LoadingPlanManagement2_ReportLoadingPlan_View/ns2:Cont40HC" xmlDataType="string"/>
    </tableColumn>
    <tableColumn id="17" uniqueName="ns2:ProductImage1Path" name="ns2:ProductImage1Path">
      <xmlColumnPr mapId="6" xpath="/ns2:ReportDataObject/ns2:LoadingPlanManagement2_ReportLoadingPlan_View/ns2:ProductImage1Path" xmlDataType="string"/>
    </tableColumn>
    <tableColumn id="18" uniqueName="ns2:ProductImage2Path" name="ns2:ProductImage2Path">
      <xmlColumnPr mapId="6" xpath="/ns2:ReportDataObject/ns2:LoadingPlanManagement2_ReportLoadingPlan_View/ns2:ProductImage2Path" xmlDataType="string"/>
    </tableColumn>
    <tableColumn id="19" uniqueName="ns2:ContainerImage1Path" name="ns2:ContainerImage1Path">
      <xmlColumnPr mapId="6" xpath="/ns2:ReportDataObject/ns2:LoadingPlanManagement2_ReportLoadingPlan_View/ns2:ContainerImage1Path" xmlDataType="string"/>
    </tableColumn>
    <tableColumn id="20" uniqueName="ns2:ContainerImage2Path" name="ns2:ContainerImage2Path">
      <xmlColumnPr mapId="6" xpath="/ns2:ReportDataObject/ns2:LoadingPlanManagement2_ReportLoadingPlan_View/ns2:ContainerImage2Path" xmlDataType="string"/>
    </tableColumn>
    <tableColumn id="21" uniqueName="ns2:ProductImage1" name="ns2:ProductImage1">
      <xmlColumnPr mapId="6" xpath="/ns2:ReportDataObject/ns2:LoadingPlanManagement2_ReportLoadingPlan_View/ns2:ProductImage1" xmlDataType="string"/>
    </tableColumn>
    <tableColumn id="22" uniqueName="ns2:ProductImage2" name="ns2:ProductImage2">
      <xmlColumnPr mapId="6" xpath="/ns2:ReportDataObject/ns2:LoadingPlanManagement2_ReportLoadingPlan_View/ns2:ProductImage2" xmlDataType="string"/>
    </tableColumn>
    <tableColumn id="23" uniqueName="ns2:ContainerImage1" name="ns2:ContainerImage1">
      <xmlColumnPr mapId="6" xpath="/ns2:ReportDataObject/ns2:LoadingPlanManagement2_ReportLoadingPlan_View/ns2:ContainerImage1" xmlDataType="string"/>
    </tableColumn>
    <tableColumn id="24" uniqueName="ns2:ContainerImage2" name="ns2:ContainerImage2">
      <xmlColumnPr mapId="6" xpath="/ns2:ReportDataObject/ns2:LoadingPlanManagement2_ReportLoadingPlan_View/ns2:ContainerImage2" xmlDataType="string"/>
    </tableColumn>
    <tableColumn id="25" uniqueName="ns2:SignatureImage" name="ns2:SignatureImage">
      <xmlColumnPr mapId="6" xpath="/ns2:ReportDataObject/ns2:LoadingPlanManagement2_ReportLoadingPlan_View/ns2:SignatureImage" xmlDataType="string"/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H2" tableType="xml" insertRow="1" totalsRowShown="0" connectionId="2">
  <autoFilter ref="A1:H2"/>
  <tableColumns count="8">
    <tableColumn id="1" uniqueName="ns2:LoadingPlanDetailID" name="ns2:LoadingPlanDetailID">
      <xmlColumnPr mapId="6" xpath="/ns2:ReportDataObject/ns2:LoadingPlanManagement2_ReportLoadingPlanDetail_View/ns2:LoadingPlanDetailID" xmlDataType="int"/>
    </tableColumn>
    <tableColumn id="2" uniqueName="ns2:LoadingPlanID" name="ns2:LoadingPlanID">
      <xmlColumnPr mapId="6" xpath="/ns2:ReportDataObject/ns2:LoadingPlanManagement2_ReportLoadingPlanDetail_View/ns2:LoadingPlanID" xmlDataType="int"/>
    </tableColumn>
    <tableColumn id="3" uniqueName="ns2:ProformaInvoiceNo" name="ns2:ProformaInvoiceNo">
      <xmlColumnPr mapId="6" xpath="/ns2:ReportDataObject/ns2:LoadingPlanManagement2_ReportLoadingPlanDetail_View/ns2:ProformaInvoiceNo" xmlDataType="string"/>
    </tableColumn>
    <tableColumn id="4" uniqueName="ns2:BuyerUD" name="ns2:BuyerUD">
      <xmlColumnPr mapId="6" xpath="/ns2:ReportDataObject/ns2:LoadingPlanManagement2_ReportLoadingPlanDetail_View/ns2:BuyerUD" xmlDataType="string"/>
    </tableColumn>
    <tableColumn id="5" uniqueName="ns2:ArticleCode" name="ns2:ArticleCode">
      <xmlColumnPr mapId="6" xpath="/ns2:ReportDataObject/ns2:LoadingPlanManagement2_ReportLoadingPlanDetail_View/ns2:ArticleCode" xmlDataType="string"/>
    </tableColumn>
    <tableColumn id="6" uniqueName="ns2:Description" name="ns2:Description">
      <xmlColumnPr mapId="6" xpath="/ns2:ReportDataObject/ns2:LoadingPlanManagement2_ReportLoadingPlanDetail_View/ns2:Description" xmlDataType="string"/>
    </tableColumn>
    <tableColumn id="7" uniqueName="ns2:Quantity" name="ns2:Quantity">
      <xmlColumnPr mapId="6" xpath="/ns2:ReportDataObject/ns2:LoadingPlanManagement2_ReportLoadingPlanDetail_View/ns2:Quantity" xmlDataType="int"/>
    </tableColumn>
    <tableColumn id="8" uniqueName="ns2:QntIn40HC" name="ns2:QntIn40HC">
      <xmlColumnPr mapId="6" xpath="/ns2:ReportDataObject/ns2:LoadingPlanManagement2_ReportLoadingPlanDetail_View/ns2:QntIn40HC" xmlDataType="decimal"/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4" name="Table24" displayName="Table24" ref="A1:BJ2" tableType="xml" insertRow="1" totalsRowShown="0" connectionId="2">
  <autoFilter ref="A1:BJ2"/>
  <tableColumns count="62">
    <tableColumn id="1" uniqueName="ns2:PLCID" name="ns2:PLCID">
      <xmlColumnPr mapId="6" xpath="/ns2:ReportDataObject/ns2:PLCManagement2_PLCReport_View/ns2:PLCID" xmlDataType="int"/>
    </tableColumn>
    <tableColumn id="2" uniqueName="ns2:FactoryUD" name="ns2:FactoryUD">
      <xmlColumnPr mapId="6" xpath="/ns2:ReportDataObject/ns2:PLCManagement2_PLCReport_View/ns2:FactoryUD" xmlDataType="string"/>
    </tableColumn>
    <tableColumn id="3" uniqueName="ns2:CurrentUserName" name="ns2:CurrentUserName">
      <xmlColumnPr mapId="6" xpath="/ns2:ReportDataObject/ns2:PLCManagement2_PLCReport_View/ns2:CurrentUserName" xmlDataType="string"/>
    </tableColumn>
    <tableColumn id="4" uniqueName="ns2:ProformaInvoiceNo" name="ns2:ProformaInvoiceNo">
      <xmlColumnPr mapId="6" xpath="/ns2:ReportDataObject/ns2:PLCManagement2_PLCReport_View/ns2:ProformaInvoiceNo" xmlDataType="string"/>
    </tableColumn>
    <tableColumn id="5" uniqueName="ns2:BuyerUD" name="ns2:BuyerUD">
      <xmlColumnPr mapId="6" xpath="/ns2:ReportDataObject/ns2:PLCManagement2_PLCReport_View/ns2:BuyerUD" xmlDataType="string"/>
    </tableColumn>
    <tableColumn id="6" uniqueName="ns2:ArticleCode" name="ns2:ArticleCode">
      <xmlColumnPr mapId="6" xpath="/ns2:ReportDataObject/ns2:PLCManagement2_PLCReport_View/ns2:ArticleCode" xmlDataType="string"/>
    </tableColumn>
    <tableColumn id="7" uniqueName="ns2:Description" name="ns2:Description">
      <xmlColumnPr mapId="6" xpath="/ns2:ReportDataObject/ns2:PLCManagement2_PLCReport_View/ns2:Description" xmlDataType="string"/>
    </tableColumn>
    <tableColumn id="8" uniqueName="ns2:Quantity" name="ns2:Quantity">
      <xmlColumnPr mapId="6" xpath="/ns2:ReportDataObject/ns2:PLCManagement2_PLCReport_View/ns2:Quantity" xmlDataType="int"/>
    </tableColumn>
    <tableColumn id="9" uniqueName="ns2:MaterialNM" name="ns2:MaterialNM">
      <xmlColumnPr mapId="6" xpath="/ns2:ReportDataObject/ns2:PLCManagement2_PLCReport_View/ns2:MaterialNM" xmlDataType="string"/>
    </tableColumn>
    <tableColumn id="10" uniqueName="ns2:MaterialWeight" name="ns2:MaterialWeight">
      <xmlColumnPr mapId="6" xpath="/ns2:ReportDataObject/ns2:PLCManagement2_PLCReport_View/ns2:MaterialWeight" xmlDataType="string"/>
    </tableColumn>
    <tableColumn id="11" uniqueName="ns2:MaterialColorNM" name="ns2:MaterialColorNM">
      <xmlColumnPr mapId="6" xpath="/ns2:ReportDataObject/ns2:PLCManagement2_PLCReport_View/ns2:MaterialColorNM" xmlDataType="string"/>
    </tableColumn>
    <tableColumn id="12" uniqueName="ns2:TypeLeg" name="ns2:TypeLeg">
      <xmlColumnPr mapId="6" xpath="/ns2:ReportDataObject/ns2:PLCManagement2_PLCReport_View/ns2:TypeLeg" xmlDataType="string"/>
    </tableColumn>
    <tableColumn id="13" uniqueName="ns2:NetWeight" name="ns2:NetWeight">
      <xmlColumnPr mapId="6" xpath="/ns2:ReportDataObject/ns2:PLCManagement2_PLCReport_View/ns2:NetWeight" xmlDataType="string"/>
    </tableColumn>
    <tableColumn id="14" uniqueName="ns2:OverallDimL" name="ns2:OverallDimL">
      <xmlColumnPr mapId="6" xpath="/ns2:ReportDataObject/ns2:PLCManagement2_PLCReport_View/ns2:OverallDimL" xmlDataType="string"/>
    </tableColumn>
    <tableColumn id="15" uniqueName="ns2:OverallDimW" name="ns2:OverallDimW">
      <xmlColumnPr mapId="6" xpath="/ns2:ReportDataObject/ns2:PLCManagement2_PLCReport_View/ns2:OverallDimW" xmlDataType="string"/>
    </tableColumn>
    <tableColumn id="16" uniqueName="ns2:OverallDimH" name="ns2:OverallDimH">
      <xmlColumnPr mapId="6" xpath="/ns2:ReportDataObject/ns2:PLCManagement2_PLCReport_View/ns2:OverallDimH" xmlDataType="string"/>
    </tableColumn>
    <tableColumn id="17" uniqueName="ns2:SeatDimL" name="ns2:SeatDimL">
      <xmlColumnPr mapId="6" xpath="/ns2:ReportDataObject/ns2:PLCManagement2_PLCReport_View/ns2:SeatDimL" xmlDataType="string"/>
    </tableColumn>
    <tableColumn id="18" uniqueName="ns2:SeatDimW" name="ns2:SeatDimW">
      <xmlColumnPr mapId="6" xpath="/ns2:ReportDataObject/ns2:PLCManagement2_PLCReport_View/ns2:SeatDimW" xmlDataType="string"/>
    </tableColumn>
    <tableColumn id="19" uniqueName="ns2:SeatDimH" name="ns2:SeatDimH">
      <xmlColumnPr mapId="6" xpath="/ns2:ReportDataObject/ns2:PLCManagement2_PLCReport_View/ns2:SeatDimH" xmlDataType="string"/>
    </tableColumn>
    <tableColumn id="20" uniqueName="ns2:ArmDimL" name="ns2:ArmDimL">
      <xmlColumnPr mapId="6" xpath="/ns2:ReportDataObject/ns2:PLCManagement2_PLCReport_View/ns2:ArmDimL" xmlDataType="string"/>
    </tableColumn>
    <tableColumn id="21" uniqueName="ns2:ArmDimW" name="ns2:ArmDimW">
      <xmlColumnPr mapId="6" xpath="/ns2:ReportDataObject/ns2:PLCManagement2_PLCReport_View/ns2:ArmDimW" xmlDataType="string"/>
    </tableColumn>
    <tableColumn id="22" uniqueName="ns2:ArmDimH" name="ns2:ArmDimH">
      <xmlColumnPr mapId="6" xpath="/ns2:ReportDataObject/ns2:PLCManagement2_PLCReport_View/ns2:ArmDimH" xmlDataType="string"/>
    </tableColumn>
    <tableColumn id="23" uniqueName="ns2:OtherDimL" name="ns2:OtherDimL">
      <xmlColumnPr mapId="6" xpath="/ns2:ReportDataObject/ns2:PLCManagement2_PLCReport_View/ns2:OtherDimL" xmlDataType="string"/>
    </tableColumn>
    <tableColumn id="24" uniqueName="ns2:OtherDimW" name="ns2:OtherDimW">
      <xmlColumnPr mapId="6" xpath="/ns2:ReportDataObject/ns2:PLCManagement2_PLCReport_View/ns2:OtherDimW" xmlDataType="string"/>
    </tableColumn>
    <tableColumn id="25" uniqueName="ns2:OtherDimH" name="ns2:OtherDimH">
      <xmlColumnPr mapId="6" xpath="/ns2:ReportDataObject/ns2:PLCManagement2_PLCReport_View/ns2:OtherDimH" xmlDataType="string"/>
    </tableColumn>
    <tableColumn id="26" uniqueName="ns2:FrameMaterialNM" name="ns2:FrameMaterialNM">
      <xmlColumnPr mapId="6" xpath="/ns2:ReportDataObject/ns2:PLCManagement2_PLCReport_View/ns2:FrameMaterialNM" xmlDataType="string"/>
    </tableColumn>
    <tableColumn id="27" uniqueName="ns2:FrameMaterialColor" name="ns2:FrameMaterialColor">
      <xmlColumnPr mapId="6" xpath="/ns2:ReportDataObject/ns2:PLCManagement2_PLCReport_View/ns2:FrameMaterialColor" xmlDataType="string"/>
    </tableColumn>
    <tableColumn id="28" uniqueName="ns2:PLCRating" name="ns2:PLCRating">
      <xmlColumnPr mapId="6" xpath="/ns2:ReportDataObject/ns2:PLCManagement2_PLCReport_View/ns2:PLCRating" xmlDataType="string"/>
    </tableColumn>
    <tableColumn id="29" uniqueName="ns2:RatingComment" name="ns2:RatingComment">
      <xmlColumnPr mapId="6" xpath="/ns2:ReportDataObject/ns2:PLCManagement2_PLCReport_View/ns2:RatingComment" xmlDataType="string"/>
    </tableColumn>
    <tableColumn id="30" uniqueName="ns2:RatorName" name="ns2:RatorName">
      <xmlColumnPr mapId="6" xpath="/ns2:ReportDataObject/ns2:PLCManagement2_PLCReport_View/ns2:RatorName" xmlDataType="string"/>
    </tableColumn>
    <tableColumn id="31" uniqueName="ns2:RatedDate" name="ns2:RatedDate">
      <xmlColumnPr mapId="6" xpath="/ns2:ReportDataObject/ns2:PLCManagement2_PLCReport_View/ns2:RatedDate" xmlDataType="date"/>
    </tableColumn>
    <tableColumn id="32" uniqueName="ns2:Remark" name="ns2:Remark">
      <xmlColumnPr mapId="6" xpath="/ns2:ReportDataObject/ns2:PLCManagement2_PLCReport_View/ns2:Remark" xmlDataType="string"/>
    </tableColumn>
    <tableColumn id="33" uniqueName="ns2:CushionColorNM" name="ns2:CushionColorNM">
      <xmlColumnPr mapId="6" xpath="/ns2:ReportDataObject/ns2:PLCManagement2_PLCReport_View/ns2:CushionColorNM" xmlDataType="string"/>
    </tableColumn>
    <tableColumn id="34" uniqueName="ns2:FabricWeight" name="ns2:FabricWeight">
      <xmlColumnPr mapId="6" xpath="/ns2:ReportDataObject/ns2:PLCManagement2_PLCReport_View/ns2:FabricWeight" xmlDataType="string"/>
    </tableColumn>
    <tableColumn id="35" uniqueName="ns2:CushionBatchCode" name="ns2:CushionBatchCode">
      <xmlColumnPr mapId="6" xpath="/ns2:ReportDataObject/ns2:PLCManagement2_PLCReport_View/ns2:CushionBatchCode" xmlDataType="string"/>
    </tableColumn>
    <tableColumn id="36" uniqueName="ns2:SeatCushionStuffing" name="ns2:SeatCushionStuffing">
      <xmlColumnPr mapId="6" xpath="/ns2:ReportDataObject/ns2:PLCManagement2_PLCReport_View/ns2:SeatCushionStuffing" xmlDataType="string"/>
    </tableColumn>
    <tableColumn id="37" uniqueName="ns2:SeatCushionWeight" name="ns2:SeatCushionWeight">
      <xmlColumnPr mapId="6" xpath="/ns2:ReportDataObject/ns2:PLCManagement2_PLCReport_View/ns2:SeatCushionWeight" xmlDataType="string"/>
    </tableColumn>
    <tableColumn id="38" uniqueName="ns2:SeatCushionParts" name="ns2:SeatCushionParts">
      <xmlColumnPr mapId="6" xpath="/ns2:ReportDataObject/ns2:PLCManagement2_PLCReport_View/ns2:SeatCushionParts" xmlDataType="string"/>
    </tableColumn>
    <tableColumn id="39" uniqueName="ns2:SeatCushionFinishing" name="ns2:SeatCushionFinishing">
      <xmlColumnPr mapId="6" xpath="/ns2:ReportDataObject/ns2:PLCManagement2_PLCReport_View/ns2:SeatCushionFinishing" xmlDataType="string"/>
    </tableColumn>
    <tableColumn id="40" uniqueName="ns2:CushionTypeNM" name="ns2:CushionTypeNM">
      <xmlColumnPr mapId="6" xpath="/ns2:ReportDataObject/ns2:PLCManagement2_PLCReport_View/ns2:CushionTypeNM" xmlDataType="string"/>
    </tableColumn>
    <tableColumn id="41" uniqueName="ns2:BackCushionStuffing" name="ns2:BackCushionStuffing">
      <xmlColumnPr mapId="6" xpath="/ns2:ReportDataObject/ns2:PLCManagement2_PLCReport_View/ns2:BackCushionStuffing" xmlDataType="string"/>
    </tableColumn>
    <tableColumn id="42" uniqueName="ns2:BackCushionWeight" name="ns2:BackCushionWeight">
      <xmlColumnPr mapId="6" xpath="/ns2:ReportDataObject/ns2:PLCManagement2_PLCReport_View/ns2:BackCushionWeight" xmlDataType="string"/>
    </tableColumn>
    <tableColumn id="43" uniqueName="ns2:BackCushionParts" name="ns2:BackCushionParts">
      <xmlColumnPr mapId="6" xpath="/ns2:ReportDataObject/ns2:PLCManagement2_PLCReport_View/ns2:BackCushionParts" xmlDataType="string"/>
    </tableColumn>
    <tableColumn id="44" uniqueName="ns2:BackCushionFinishing" name="ns2:BackCushionFinishing">
      <xmlColumnPr mapId="6" xpath="/ns2:ReportDataObject/ns2:PLCManagement2_PLCReport_View/ns2:BackCushionFinishing" xmlDataType="string"/>
    </tableColumn>
    <tableColumn id="45" uniqueName="ns2:SeatCushionDimL" name="ns2:SeatCushionDimL">
      <xmlColumnPr mapId="6" xpath="/ns2:ReportDataObject/ns2:PLCManagement2_PLCReport_View/ns2:SeatCushionDimL" xmlDataType="string"/>
    </tableColumn>
    <tableColumn id="46" uniqueName="ns2:SeatCushionDimW" name="ns2:SeatCushionDimW">
      <xmlColumnPr mapId="6" xpath="/ns2:ReportDataObject/ns2:PLCManagement2_PLCReport_View/ns2:SeatCushionDimW" xmlDataType="string"/>
    </tableColumn>
    <tableColumn id="47" uniqueName="ns2:SeatCushionDimH" name="ns2:SeatCushionDimH">
      <xmlColumnPr mapId="6" xpath="/ns2:ReportDataObject/ns2:PLCManagement2_PLCReport_View/ns2:SeatCushionDimH" xmlDataType="string"/>
    </tableColumn>
    <tableColumn id="48" uniqueName="ns2:BackCushionDimL" name="ns2:BackCushionDimL">
      <xmlColumnPr mapId="6" xpath="/ns2:ReportDataObject/ns2:PLCManagement2_PLCReport_View/ns2:BackCushionDimL" xmlDataType="string"/>
    </tableColumn>
    <tableColumn id="49" uniqueName="ns2:BackCushionDimW" name="ns2:BackCushionDimW">
      <xmlColumnPr mapId="6" xpath="/ns2:ReportDataObject/ns2:PLCManagement2_PLCReport_View/ns2:BackCushionDimW" xmlDataType="string"/>
    </tableColumn>
    <tableColumn id="50" uniqueName="ns2:BackCushionDimH" name="ns2:BackCushionDimH">
      <xmlColumnPr mapId="6" xpath="/ns2:ReportDataObject/ns2:PLCManagement2_PLCReport_View/ns2:BackCushionDimH" xmlDataType="string"/>
    </tableColumn>
    <tableColumn id="51" uniqueName="ns2:CartonBoxDimL" name="ns2:CartonBoxDimL">
      <xmlColumnPr mapId="6" xpath="/ns2:ReportDataObject/ns2:PLCManagement2_PLCReport_View/ns2:CartonBoxDimL" xmlDataType="string"/>
    </tableColumn>
    <tableColumn id="52" uniqueName="ns2:CartonBoxDimW" name="ns2:CartonBoxDimW">
      <xmlColumnPr mapId="6" xpath="/ns2:ReportDataObject/ns2:PLCManagement2_PLCReport_View/ns2:CartonBoxDimW" xmlDataType="string"/>
    </tableColumn>
    <tableColumn id="53" uniqueName="ns2:CartonBoxDimH" name="ns2:CartonBoxDimH">
      <xmlColumnPr mapId="6" xpath="/ns2:ReportDataObject/ns2:PLCManagement2_PLCReport_View/ns2:CartonBoxDimH" xmlDataType="string"/>
    </tableColumn>
    <tableColumn id="54" uniqueName="ns2:QntInBox" name="ns2:QntInBox">
      <xmlColumnPr mapId="6" xpath="/ns2:ReportDataObject/ns2:PLCManagement2_PLCReport_View/ns2:QntInBox" xmlDataType="string"/>
    </tableColumn>
    <tableColumn id="55" uniqueName="ns2:CartonThickness" name="ns2:CartonThickness">
      <xmlColumnPr mapId="6" xpath="/ns2:ReportDataObject/ns2:PLCManagement2_PLCReport_View/ns2:CartonThickness" xmlDataType="string"/>
    </tableColumn>
    <tableColumn id="56" uniqueName="ns2:GrossWeight" name="ns2:GrossWeight">
      <xmlColumnPr mapId="6" xpath="/ns2:ReportDataObject/ns2:PLCManagement2_PLCReport_View/ns2:GrossWeight" xmlDataType="string"/>
    </tableColumn>
    <tableColumn id="57" uniqueName="ns2:ConfirmerName" name="ns2:ConfirmerName">
      <xmlColumnPr mapId="6" xpath="/ns2:ReportDataObject/ns2:PLCManagement2_PLCReport_View/ns2:ConfirmerName" xmlDataType="string"/>
    </tableColumn>
    <tableColumn id="58" uniqueName="ns2:ConfirmedDate" name="ns2:ConfirmedDate">
      <xmlColumnPr mapId="6" xpath="/ns2:ReportDataObject/ns2:PLCManagement2_PLCReport_View/ns2:ConfirmedDate" xmlDataType="date"/>
    </tableColumn>
    <tableColumn id="59" uniqueName="ns2:ClientArticleCode" name="ns2:ClientArticleCode">
      <xmlColumnPr mapId="6" xpath="/ns2:ReportDataObject/ns2:PLCManagement2_PLCReport_View/ns2:ClientArticleCode" xmlDataType="string"/>
    </tableColumn>
    <tableColumn id="60" uniqueName="ns2:ClientArticleName" name="ns2:ClientArticleName">
      <xmlColumnPr mapId="6" xpath="/ns2:ReportDataObject/ns2:PLCManagement2_PLCReport_View/ns2:ClientArticleName" xmlDataType="string"/>
    </tableColumn>
    <tableColumn id="61" uniqueName="ns2:ClientOrderNumber" name="ns2:ClientOrderNumber">
      <xmlColumnPr mapId="6" xpath="/ns2:ReportDataObject/ns2:PLCManagement2_PLCReport_View/ns2:ClientOrderNumber" xmlDataType="string"/>
    </tableColumn>
    <tableColumn id="62" uniqueName="ns2:ClientEANCode" name="ns2:ClientEANCode">
      <xmlColumnPr mapId="6" xpath="/ns2:ReportDataObject/ns2:PLCManagement2_PLCReport_View/ns2:ClientEANCode" xmlDataType="string"/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25" name="Table25" displayName="Table25" ref="A1:D2" tableType="xml" insertRow="1" totalsRowShown="0" connectionId="2">
  <autoFilter ref="A1:D2"/>
  <tableColumns count="4">
    <tableColumn id="1" uniqueName="ns2:PLCID" name="ns2:PLCID">
      <xmlColumnPr mapId="6" xpath="/ns2:ReportDataObject/ns2:PLCManagement2_PLCImageReport_View/ns2:PLCID" xmlDataType="int"/>
    </tableColumn>
    <tableColumn id="2" uniqueName="ns2:ImageType" name="ns2:ImageType">
      <xmlColumnPr mapId="6" xpath="/ns2:ReportDataObject/ns2:PLCManagement2_PLCImageReport_View/ns2:ImageType" xmlDataType="string"/>
    </tableColumn>
    <tableColumn id="3" uniqueName="ns2:FileName" name="ns2:FileName">
      <xmlColumnPr mapId="6" xpath="/ns2:ReportDataObject/ns2:PLCManagement2_PLCImageReport_View/ns2:FileName" xmlDataType="string"/>
    </tableColumn>
    <tableColumn id="4" uniqueName="ns2:FilePath" name="ns2:FilePath">
      <xmlColumnPr mapId="6" xpath="/ns2:ReportDataObject/ns2:PLCManagement2_PLCImageReport_View/ns2:FilePath" xmlDataType="string"/>
    </tableColumn>
  </tableColumns>
  <tableStyleInfo name="TableStyleMedium9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B3" connectionId="2">
    <xmlCellPr id="1" uniqueName="ns2:Season">
      <xmlPr mapId="6" xpath="/ns2:ReportDataObject/ns2:ClientComplaintManagement_ClientComplaint_DTO/ns2:Season" xmlDataType="string"/>
    </xmlCellPr>
  </singleXmlCell>
  <singleXmlCell id="4" r="B4" connectionId="2">
    <xmlCellPr id="1" uniqueName="ns2:BuyerUD">
      <xmlPr mapId="6" xpath="/ns2:ReportDataObject/ns2:ClientComplaintManagement_ClientComplaint_DTO/ns2:BuyerUD" xmlDataType="string"/>
    </xmlCellPr>
  </singleXmlCell>
  <singleXmlCell id="5" r="D3" connectionId="2">
    <xmlCellPr id="1" uniqueName="ns2:ComplaintRef">
      <xmlPr mapId="6" xpath="/ns2:ReportDataObject/ns2:ClientComplaintManagement_ClientComplaint_DTO/ns2:ComplaintRef" xmlDataType="string"/>
    </xmlCellPr>
  </singleXmlCell>
  <singleXmlCell id="6" r="D4" connectionId="2">
    <xmlCellPr id="1" uniqueName="ns2:OrderNo">
      <xmlPr mapId="6" xpath="/ns2:ReportDataObject/ns2:ClientComplaintManagement_ClientComplaint_DTO/ns2:OrderNo" xmlDataType="string"/>
    </xmlCellPr>
  </singleXmlCell>
  <singleXmlCell id="7" r="F3" connectionId="2">
    <xmlCellPr id="1" uniqueName="ns2:ComplaintDateText">
      <xmlPr mapId="6" xpath="/ns2:ReportDataObject/ns2:ClientComplaintManagement_ClientComplaint_DTO/ns2:ComplaintDateText" xmlDataType="string"/>
    </xmlCellPr>
  </singleXmlCell>
  <singleXmlCell id="8" r="F4" connectionId="2">
    <xmlCellPr id="1" uniqueName="ns2:AccountManager">
      <xmlPr mapId="6" xpath="/ns2:ReportDataObject/ns2:ClientComplaintManagement_ClientComplaint_DTO/ns2:AccountManager" xmlDataType="string"/>
    </xmlCellPr>
  </singleXmlCell>
  <singleXmlCell id="10" r="B13" connectionId="2">
    <xmlCellPr id="1" uniqueName="ns2:LSP">
      <xmlPr mapId="6" xpath="/ns2:ReportDataObject/ns2:ClientComplaintManagement_ClientComplaintDetail_DTO_LP/ns2:LSP" xmlDataType="string"/>
    </xmlCellPr>
  </singleXmlCell>
  <singleXmlCell id="11" r="D12" connectionId="2">
    <xmlCellPr id="1" uniqueName="ns2:ControllerName">
      <xmlPr mapId="6" xpath="/ns2:ReportDataObject/ns2:ClientComplaintManagement_ClientComplaintDetail_DTO_LP/ns2:ControllerName" xmlDataType="string"/>
    </xmlCellPr>
  </singleXmlCell>
  <singleXmlCell id="12" r="D13" connectionId="2">
    <xmlCellPr id="1" uniqueName="ns2:SuggestedSolution">
      <xmlPr mapId="6" xpath="/ns2:ReportDataObject/ns2:ClientComplaintManagement_ClientComplaintDetail_DTO_LP/ns2:SuggestedSolution" xmlDataType="string"/>
    </xmlCellPr>
  </singleXmlCell>
  <singleXmlCell id="13" r="F12" connectionId="2">
    <xmlCellPr id="1" uniqueName="ns2:LoadingPlanUD">
      <xmlPr mapId="6" xpath="/ns2:ReportDataObject/ns2:ClientComplaintManagement_ClientComplaintDetail_DTO_LP/ns2:LoadingPlanUD" xmlDataType="string"/>
    </xmlCellPr>
  </singleXmlCell>
  <singleXmlCell id="14" r="F13" connectionId="2">
    <xmlCellPr id="1" uniqueName="ns2:ContainerNo">
      <xmlPr mapId="6" xpath="/ns2:ReportDataObject/ns2:ClientComplaintManagement_ClientComplaintDetail_DTO_LP/ns2:ContainerNo" xmlDataType="string"/>
    </xmlCellPr>
  </singleXmlCell>
  <singleXmlCell id="18" r="A23" connectionId="2">
    <xmlCellPr id="1" uniqueName="ns2:PictureComplaintReceiveFromClient1Path">
      <xmlPr mapId="6" xpath="/ns2:ReportDataObject/ns2:ClientComplaintManagement_ClientComplaintDetail_DTO_LP/ns2:PictureComplaintReceiveFromClient1Path" xmlDataType="string"/>
    </xmlCellPr>
  </singleXmlCell>
  <singleXmlCell id="19" r="C23" connectionId="2">
    <xmlCellPr id="1" uniqueName="ns2:PictureComplaintReceiveFromClient2Path">
      <xmlPr mapId="6" xpath="/ns2:ReportDataObject/ns2:ClientComplaintManagement_ClientComplaintDetail_DTO_LP/ns2:PictureComplaintReceiveFromClient2Path" xmlDataType="string"/>
    </xmlCellPr>
  </singleXmlCell>
  <singleXmlCell id="20" r="E23" connectionId="2">
    <xmlCellPr id="1" uniqueName="ns2:PictureComplaintShotByEuroFar1Path">
      <xmlPr mapId="6" xpath="/ns2:ReportDataObject/ns2:ClientComplaintManagement_ClientComplaintDetail_DTO_LP/ns2:PictureComplaintShotByEuroFar1Path" xmlDataType="string"/>
    </xmlCellPr>
  </singleXmlCell>
  <singleXmlCell id="22" r="G23" connectionId="2">
    <xmlCellPr id="1" uniqueName="ns2:PictureComplaintShotByEuroFar2Path">
      <xmlPr mapId="6" xpath="/ns2:ReportDataObject/ns2:ClientComplaintManagement_ClientComplaintDetail_DTO_LP/ns2:PictureComplaintShotByEuroFar2Path" xmlDataType="string"/>
    </xmlCellPr>
  </singleXmlCell>
  <singleXmlCell id="9" r="B12" connectionId="2">
    <xmlCellPr id="1" uniqueName="ns2:FactoryUD">
      <xmlPr mapId="6" xpath="/ns2:ReportDataObject/ns2:ClientComplaintManagement_ClientComplaintDetail_DTO_LP/ns2:FactoryUD" xmlDataType="string"/>
    </xmlCellPr>
  </singleXmlCell>
  <singleXmlCell id="15" r="C29" connectionId="2">
    <xmlCellPr id="1" uniqueName="ns2:EurofarProductCost">
      <xmlPr mapId="6" xpath="/ns2:ReportDataObject/ns2:ClientComplaintManagement_ClientComplaint_DTO/ns2:EurofarProductCost" xmlDataType="string"/>
    </xmlCellPr>
  </singleXmlCell>
  <singleXmlCell id="16" r="C30" connectionId="2">
    <xmlCellPr id="1" uniqueName="ns2:EurofarLogisticsCost">
      <xmlPr mapId="6" xpath="/ns2:ReportDataObject/ns2:ClientComplaintManagement_ClientComplaint_DTO/ns2:EurofarLogisticsCost" xmlDataType="string"/>
    </xmlCellPr>
  </singleXmlCell>
  <singleXmlCell id="17" r="C31" connectionId="2">
    <xmlCellPr id="1" uniqueName="ns2:FurnindoOtherCost">
      <xmlPr mapId="6" xpath="/ns2:ReportDataObject/ns2:ClientComplaintManagement_ClientComplaint_DTO/ns2:FurnindoOtherCost" xmlDataType="string"/>
    </xmlCellPr>
  </singleXmlCell>
  <singleXmlCell id="110" r="C32" connectionId="2">
    <xmlCellPr id="1" uniqueName="ns2:FurnindoTotalCost">
      <xmlPr mapId="6" xpath="/ns2:ReportDataObject/ns2:ClientComplaintManagement_ClientComplaint_DTO/ns2:FurnindoTotalCost" xmlDataType="string"/>
    </xmlCellPr>
  </singleXmlCell>
  <singleXmlCell id="26" r="A36" connectionId="2">
    <xmlCellPr id="1" uniqueName="ns2:CompensationE2FSentDateText">
      <xmlPr mapId="6" xpath="/ns2:ReportDataObject/ns2:ClientComplaintManagement_ClientComplaint_DTO/ns2:CompensationE2FSentDateText" xmlDataType="string"/>
    </xmlCellPr>
  </singleXmlCell>
  <singleXmlCell id="27" r="B36" connectionId="2">
    <xmlCellPr id="1" uniqueName="ns2:CompensationE2FApprovedDateText">
      <xmlPr mapId="6" xpath="/ns2:ReportDataObject/ns2:ClientComplaintManagement_ClientComplaint_DTO/ns2:CompensationE2FApprovedDateText" xmlDataType="string"/>
    </xmlCellPr>
  </singleXmlCell>
  <singleXmlCell id="28" r="C36" connectionId="2">
    <xmlCellPr id="1" uniqueName="ns2:CompensationE2FReceivedDateText">
      <xmlPr mapId="6" xpath="/ns2:ReportDataObject/ns2:ClientComplaintManagement_ClientComplaint_DTO/ns2:CompensationE2FReceivedDateText" xmlDataType="string"/>
    </xmlCellPr>
  </singleXmlCell>
  <singleXmlCell id="29" r="D36" connectionId="2">
    <xmlCellPr id="1" uniqueName="ns2:CompensationF2CSentDateText">
      <xmlPr mapId="6" xpath="/ns2:ReportDataObject/ns2:ClientComplaintManagement_ClientComplaint_DTO/ns2:CompensationF2CSentDateText" xmlDataType="string"/>
    </xmlCellPr>
  </singleXmlCell>
  <singleXmlCell id="30" r="E36" connectionId="2">
    <xmlCellPr id="1" uniqueName="ns2:CompensationF2CApprovedDateText">
      <xmlPr mapId="6" xpath="/ns2:ReportDataObject/ns2:ClientComplaintManagement_ClientComplaint_DTO/ns2:CompensationF2CApprovedDateText" xmlDataType="string"/>
    </xmlCellPr>
  </singleXmlCell>
  <singleXmlCell id="112" r="F36" connectionId="2">
    <xmlCellPr id="1" uniqueName="ns2:CompensationF2CReceivedDateText">
      <xmlPr mapId="6" xpath="/ns2:ReportDataObject/ns2:ClientComplaintManagement_ClientComplaint_DTO/ns2:CompensationF2CReceivedDateText" xmlDataType="string"/>
    </xmlCellPr>
  </singleXmlCell>
  <singleXmlCell id="113" r="G36" connectionId="2">
    <xmlCellPr id="1" uniqueName="ns2:CompensationRemark">
      <xmlPr mapId="6" xpath="/ns2:ReportDataObject/ns2:ClientComplaintManagement_ClientComplaint_DTO/ns2:CompensationRemark" xmlDataType="string"/>
    </xmlCellPr>
  </singleXmlCell>
  <singleXmlCell id="111" r="A15" connectionId="2">
    <xmlCellPr id="1" uniqueName="ns2:Remark">
      <xmlPr mapId="6" xpath="/ns2:ReportDataObject/ns2:ClientComplaintManagement_ClientComplaint_DTO/ns2:Remark" xmlDataType="string"/>
    </xmlCellPr>
  </singleXmlCell>
</singleXmlCells>
</file>

<file path=xl/tables/tableSingleCells2.xml><?xml version="1.0" encoding="utf-8"?>
<singleXmlCells xmlns="http://schemas.openxmlformats.org/spreadsheetml/2006/main">
  <singleXmlCell id="48" r="A4" connectionId="2">
    <xmlCellPr id="1" uniqueName="ns2:ShipperInfo">
      <xmlPr mapId="6" xpath="/ns2:ReportDataObject/ns2:BookingManagement_ReportBooking_View/ns2:ShipperInfo" xmlDataType="string"/>
    </xmlCellPr>
  </singleXmlCell>
  <singleXmlCell id="60" r="F4" connectionId="2">
    <xmlCellPr id="1" uniqueName="ns2:ForwarderInfo">
      <xmlPr mapId="6" xpath="/ns2:ReportDataObject/ns2:BookingManagement_ReportBooking_View/ns2:ForwarderInfo" xmlDataType="string"/>
    </xmlCellPr>
  </singleXmlCell>
  <singleXmlCell id="61" r="A11" connectionId="2">
    <xmlCellPr id="1" uniqueName="ns2:ConsigneeInfo">
      <xmlPr mapId="6" xpath="/ns2:ReportDataObject/ns2:BookingManagement_ReportBooking_View/ns2:ConsigneeInfo" xmlDataType="string"/>
    </xmlCellPr>
  </singleXmlCell>
  <singleXmlCell id="93" r="A17" connectionId="2">
    <xmlCellPr id="1" uniqueName="ns2:NotifyParty1Info">
      <xmlPr mapId="6" xpath="/ns2:ReportDataObject/ns2:BookingManagement_ReportBooking_View/ns2:NotifyParty1Info" xmlDataType="string"/>
    </xmlCellPr>
  </singleXmlCell>
  <singleXmlCell id="94" r="F17" connectionId="2">
    <xmlCellPr id="1" uniqueName="ns2:NotifyParty2Info">
      <xmlPr mapId="6" xpath="/ns2:ReportDataObject/ns2:BookingManagement_ReportBooking_View/ns2:NotifyParty2Info" xmlDataType="string"/>
    </xmlCellPr>
  </singleXmlCell>
  <singleXmlCell id="95" r="A24" connectionId="2">
    <xmlCellPr id="1" uniqueName="ns2:ETD">
      <xmlPr mapId="6" xpath="/ns2:ReportDataObject/ns2:BookingManagement_ReportBooking_View/ns2:ETD" xmlDataType="string"/>
    </xmlCellPr>
  </singleXmlCell>
  <singleXmlCell id="96" r="D24" connectionId="2">
    <xmlCellPr id="1" uniqueName="ns2:POLNM">
      <xmlPr mapId="6" xpath="/ns2:ReportDataObject/ns2:BookingManagement_ReportBooking_View/ns2:POLNM" xmlDataType="string"/>
    </xmlCellPr>
  </singleXmlCell>
  <singleXmlCell id="97" r="H24" connectionId="2">
    <xmlCellPr id="1" uniqueName="ns2:PlaceOfReceipt">
      <xmlPr mapId="6" xpath="/ns2:ReportDataObject/ns2:BookingManagement_ReportBooking_View/ns2:PlaceOfReceipt" xmlDataType="string"/>
    </xmlCellPr>
  </singleXmlCell>
  <singleXmlCell id="98" r="A27" connectionId="2">
    <xmlCellPr id="1" uniqueName="ns2:PODNM">
      <xmlPr mapId="6" xpath="/ns2:ReportDataObject/ns2:BookingManagement_ReportBooking_View/ns2:PODNM" xmlDataType="string"/>
    </xmlCellPr>
  </singleXmlCell>
  <singleXmlCell id="99" r="D27" connectionId="2">
    <xmlCellPr id="1" uniqueName="ns2:PlaceOfDelivery">
      <xmlPr mapId="6" xpath="/ns2:ReportDataObject/ns2:BookingManagement_ReportBooking_View/ns2:PlaceOfDelivery" xmlDataType="string"/>
    </xmlCellPr>
  </singleXmlCell>
  <singleXmlCell id="100" r="G27" connectionId="2">
    <xmlCellPr id="1" uniqueName="ns2:DeliveryTermText">
      <xmlPr mapId="6" xpath="/ns2:ReportDataObject/ns2:BookingManagement_ReportBooking_View/ns2:DeliveryTermText" xmlDataType="string"/>
    </xmlCellPr>
  </singleXmlCell>
  <singleXmlCell id="101" r="I27" connectionId="2">
    <xmlCellPr id="1" uniqueName="ns2:MovementText">
      <xmlPr mapId="6" xpath="/ns2:ReportDataObject/ns2:BookingManagement_ReportBooking_View/ns2:MovementText" xmlDataType="string"/>
    </xmlCellPr>
  </singleXmlCell>
  <singleXmlCell id="102" r="A30" connectionId="2">
    <xmlCellPr id="1" uniqueName="ns2:ShippingMark">
      <xmlPr mapId="6" xpath="/ns2:ReportDataObject/ns2:BookingManagement_ReportBooking_View/ns2:ShippingMark" xmlDataType="string"/>
    </xmlCellPr>
  </singleXmlCell>
  <singleXmlCell id="103" r="D30" connectionId="2">
    <xmlCellPr id="1" uniqueName="ns2:PKGs">
      <xmlPr mapId="6" xpath="/ns2:ReportDataObject/ns2:BookingManagement_ReportBooking_View/ns2:PKGs" xmlDataType="decimal"/>
    </xmlCellPr>
  </singleXmlCell>
  <singleXmlCell id="104" r="E30" connectionId="2">
    <xmlCellPr id="1" uniqueName="ns2:DescriptionOfGoods">
      <xmlPr mapId="6" xpath="/ns2:ReportDataObject/ns2:BookingManagement_ReportBooking_View/ns2:DescriptionOfGoods" xmlDataType="string"/>
    </xmlCellPr>
  </singleXmlCell>
  <singleXmlCell id="105" r="I30" connectionId="2">
    <xmlCellPr id="1" uniqueName="ns2:KGs">
      <xmlPr mapId="6" xpath="/ns2:ReportDataObject/ns2:BookingManagement_ReportBooking_View/ns2:KGs" xmlDataType="decimal"/>
    </xmlCellPr>
  </singleXmlCell>
  <singleXmlCell id="106" r="J30" connectionId="2">
    <xmlCellPr id="1" uniqueName="ns2:CBMs">
      <xmlPr mapId="6" xpath="/ns2:ReportDataObject/ns2:BookingManagement_ReportBooking_View/ns2:CBMs" xmlDataType="decimal"/>
    </xmlCellPr>
  </singleXmlCell>
  <singleXmlCell id="107" r="A43" connectionId="2">
    <xmlCellPr id="1" uniqueName="ns2:OcceanFreightType">
      <xmlPr mapId="6" xpath="/ns2:ReportDataObject/ns2:BookingManagement_ReportBooking_View/ns2:OcceanFreightType" xmlDataType="string"/>
    </xmlCellPr>
  </singleXmlCell>
  <singleXmlCell id="108" r="A47" connectionId="2">
    <xmlCellPr id="1" uniqueName="ns2:OriginalBL">
      <xmlPr mapId="6" xpath="/ns2:ReportDataObject/ns2:BookingManagement_ReportBooking_View/ns2:OriginalBL" xmlDataType="string"/>
    </xmlCellPr>
  </singleXmlCell>
  <singleXmlCell id="109" r="F48" connectionId="2">
    <xmlCellPr id="1" uniqueName="ns2:ContactName">
      <xmlPr mapId="6" xpath="/ns2:ReportDataObject/ns2:BookingManagement_ReportBooking_View/ns2:ContactName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2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>
    <pageSetUpPr fitToPage="1"/>
  </sheetPr>
  <dimension ref="A1:M37"/>
  <sheetViews>
    <sheetView tabSelected="1" view="pageBreakPreview" topLeftCell="A7" zoomScale="50" zoomScaleNormal="25" zoomScaleSheetLayoutView="50" workbookViewId="0">
      <selection activeCell="B8" sqref="B8:C8"/>
    </sheetView>
  </sheetViews>
  <sheetFormatPr defaultColWidth="9.140625" defaultRowHeight="12.75" x14ac:dyDescent="0.2"/>
  <cols>
    <col min="1" max="4" width="40.7109375" style="2" customWidth="1"/>
    <col min="5" max="5" width="30.7109375" style="2" customWidth="1"/>
    <col min="6" max="6" width="50.7109375" style="2" customWidth="1"/>
    <col min="7" max="8" width="25.7109375" style="2" customWidth="1"/>
    <col min="9" max="9" width="30.7109375" style="2" customWidth="1"/>
    <col min="10" max="16384" width="9.140625" style="2"/>
  </cols>
  <sheetData>
    <row r="1" spans="1:13" s="1" customFormat="1" ht="50.1" customHeight="1" x14ac:dyDescent="0.25">
      <c r="A1" s="285" t="s">
        <v>16</v>
      </c>
      <c r="B1" s="286"/>
      <c r="C1" s="286"/>
      <c r="D1" s="286"/>
      <c r="E1" s="286"/>
      <c r="F1" s="286"/>
      <c r="G1" s="286"/>
      <c r="H1" s="286"/>
      <c r="I1" s="287"/>
    </row>
    <row r="2" spans="1:13" s="1" customFormat="1" ht="39.950000000000003" customHeight="1" x14ac:dyDescent="0.25">
      <c r="A2" s="292" t="s">
        <v>15</v>
      </c>
      <c r="B2" s="293"/>
      <c r="C2" s="293"/>
      <c r="D2" s="293"/>
      <c r="E2" s="293"/>
      <c r="F2" s="293"/>
      <c r="G2" s="293"/>
      <c r="H2" s="293"/>
      <c r="I2" s="294"/>
    </row>
    <row r="3" spans="1:13" ht="39.950000000000003" customHeight="1" x14ac:dyDescent="0.2">
      <c r="A3" s="21" t="s">
        <v>18</v>
      </c>
      <c r="B3" s="279">
        <f>SRFData!C2</f>
        <v>0</v>
      </c>
      <c r="C3" s="23" t="s">
        <v>22</v>
      </c>
      <c r="D3" s="279">
        <f>SRFData!E2</f>
        <v>0</v>
      </c>
      <c r="E3" s="21" t="s">
        <v>48</v>
      </c>
      <c r="F3" s="281">
        <f>SRFData!F2</f>
        <v>0</v>
      </c>
      <c r="G3" s="296"/>
      <c r="H3" s="297"/>
      <c r="I3" s="298"/>
      <c r="J3" s="4"/>
      <c r="K3" s="4"/>
      <c r="L3" s="4"/>
    </row>
    <row r="4" spans="1:13" ht="39.950000000000003" customHeight="1" x14ac:dyDescent="0.2">
      <c r="A4" s="21" t="s">
        <v>17</v>
      </c>
      <c r="B4" s="279">
        <f>SRFData!D2</f>
        <v>0</v>
      </c>
      <c r="C4" s="21" t="s">
        <v>19</v>
      </c>
      <c r="D4" s="280">
        <f>SRFData!H2</f>
        <v>0</v>
      </c>
      <c r="E4" s="21" t="s">
        <v>21</v>
      </c>
      <c r="F4" s="279">
        <f>SRFData!G2</f>
        <v>0</v>
      </c>
      <c r="G4" s="299"/>
      <c r="H4" s="300"/>
      <c r="I4" s="301"/>
      <c r="J4" s="4"/>
      <c r="K4" s="4"/>
      <c r="L4" s="4"/>
    </row>
    <row r="5" spans="1:13" ht="36.75" hidden="1" customHeight="1" x14ac:dyDescent="0.2">
      <c r="A5" s="21" t="s">
        <v>19</v>
      </c>
      <c r="B5" s="56"/>
      <c r="C5" s="21" t="s">
        <v>39</v>
      </c>
      <c r="D5" s="56"/>
      <c r="E5" s="21" t="s">
        <v>36</v>
      </c>
      <c r="F5" s="37"/>
      <c r="G5" s="33"/>
      <c r="H5" s="34"/>
      <c r="I5" s="35"/>
      <c r="J5" s="4"/>
      <c r="K5" s="4"/>
      <c r="L5" s="4"/>
      <c r="M5" s="6"/>
    </row>
    <row r="6" spans="1:13" ht="8.1" customHeight="1" x14ac:dyDescent="0.2">
      <c r="A6" s="12"/>
      <c r="B6" s="13"/>
      <c r="C6" s="13"/>
      <c r="D6" s="13"/>
      <c r="E6" s="12"/>
      <c r="F6" s="14"/>
      <c r="G6" s="14"/>
      <c r="H6" s="14"/>
      <c r="I6" s="14"/>
      <c r="J6" s="4"/>
      <c r="K6" s="4"/>
      <c r="L6" s="4"/>
      <c r="M6" s="6"/>
    </row>
    <row r="7" spans="1:13" ht="48" customHeight="1" x14ac:dyDescent="0.2">
      <c r="A7" s="24" t="s">
        <v>0</v>
      </c>
      <c r="B7" s="291" t="s">
        <v>1</v>
      </c>
      <c r="C7" s="291"/>
      <c r="D7" s="25" t="s">
        <v>20</v>
      </c>
      <c r="E7" s="302" t="s">
        <v>3</v>
      </c>
      <c r="F7" s="303"/>
      <c r="G7" s="26" t="s">
        <v>2</v>
      </c>
      <c r="H7" s="29" t="s">
        <v>111</v>
      </c>
      <c r="I7" s="25" t="s">
        <v>33</v>
      </c>
      <c r="J7" s="4"/>
      <c r="K7" s="4"/>
      <c r="L7" s="4"/>
      <c r="M7" s="6"/>
    </row>
    <row r="8" spans="1:13" ht="84.75" customHeight="1" x14ac:dyDescent="0.2">
      <c r="A8" s="168">
        <f>SRFData!I2</f>
        <v>0</v>
      </c>
      <c r="B8" s="306">
        <f>SRFData!J2</f>
        <v>0</v>
      </c>
      <c r="C8" s="307"/>
      <c r="D8" s="169">
        <f>SRFData!K2</f>
        <v>0</v>
      </c>
      <c r="E8" s="306">
        <f>SRFData!L2</f>
        <v>0</v>
      </c>
      <c r="F8" s="308"/>
      <c r="G8" s="22">
        <f>SRFData!M2</f>
        <v>0</v>
      </c>
      <c r="H8" s="41">
        <f>SRFData!N2</f>
        <v>0</v>
      </c>
      <c r="I8" s="41">
        <f t="shared" ref="I8" si="0">G8*H8</f>
        <v>0</v>
      </c>
      <c r="J8" s="4"/>
      <c r="K8" s="4"/>
      <c r="L8" s="4"/>
    </row>
    <row r="9" spans="1:13" s="3" customFormat="1" ht="39.950000000000003" customHeight="1" x14ac:dyDescent="0.25">
      <c r="A9" s="167"/>
      <c r="B9" s="295"/>
      <c r="C9" s="295"/>
      <c r="D9" s="27"/>
      <c r="E9" s="304" t="s">
        <v>23</v>
      </c>
      <c r="F9" s="305"/>
      <c r="G9" s="60"/>
      <c r="H9" s="42"/>
      <c r="I9" s="43">
        <f>SUM(I8:I8)</f>
        <v>0</v>
      </c>
    </row>
    <row r="10" spans="1:13" s="3" customFormat="1" ht="7.5" customHeight="1" x14ac:dyDescent="0.25">
      <c r="A10" s="288"/>
      <c r="B10" s="289"/>
      <c r="C10" s="289"/>
      <c r="D10" s="289"/>
      <c r="E10" s="289"/>
      <c r="F10" s="289"/>
      <c r="G10" s="289"/>
      <c r="H10" s="289"/>
      <c r="I10" s="290"/>
    </row>
    <row r="11" spans="1:13" s="3" customFormat="1" ht="39.950000000000003" customHeight="1" x14ac:dyDescent="0.25">
      <c r="A11" s="343" t="s">
        <v>112</v>
      </c>
      <c r="B11" s="344"/>
      <c r="C11" s="344"/>
      <c r="D11" s="344"/>
      <c r="E11" s="345"/>
      <c r="F11" s="345"/>
      <c r="G11" s="345"/>
      <c r="H11" s="345"/>
      <c r="I11" s="346"/>
    </row>
    <row r="12" spans="1:13" s="3" customFormat="1" ht="39.950000000000003" customHeight="1" x14ac:dyDescent="0.25">
      <c r="A12" s="21" t="s">
        <v>32</v>
      </c>
      <c r="B12" s="282">
        <f>SRFData!O2</f>
        <v>0</v>
      </c>
      <c r="C12" s="21" t="s">
        <v>30</v>
      </c>
      <c r="D12" s="283">
        <f>SRFData!Q2</f>
        <v>0</v>
      </c>
      <c r="E12" s="28" t="s">
        <v>29</v>
      </c>
      <c r="F12" s="284">
        <f>SRFData!R2</f>
        <v>0</v>
      </c>
      <c r="G12" s="29" t="s">
        <v>113</v>
      </c>
      <c r="H12" s="333">
        <f>SRFData!T2</f>
        <v>0</v>
      </c>
      <c r="I12" s="334"/>
    </row>
    <row r="13" spans="1:13" s="3" customFormat="1" ht="39.950000000000003" customHeight="1" x14ac:dyDescent="0.25">
      <c r="A13" s="21" t="s">
        <v>38</v>
      </c>
      <c r="B13" s="283">
        <f>SRFData!P2</f>
        <v>0</v>
      </c>
      <c r="C13" s="21" t="s">
        <v>37</v>
      </c>
      <c r="D13" s="278"/>
      <c r="E13" s="30" t="s">
        <v>39</v>
      </c>
      <c r="F13" s="284">
        <f>SRFData!S2</f>
        <v>0</v>
      </c>
      <c r="G13" s="29" t="s">
        <v>29</v>
      </c>
      <c r="H13" s="333">
        <f>SRFData!R2</f>
        <v>0</v>
      </c>
      <c r="I13" s="334"/>
    </row>
    <row r="14" spans="1:13" s="49" customFormat="1" ht="8.1" customHeight="1" x14ac:dyDescent="0.2">
      <c r="A14" s="372"/>
      <c r="B14" s="373"/>
      <c r="C14" s="45"/>
      <c r="D14" s="46"/>
      <c r="E14" s="46"/>
      <c r="F14" s="326"/>
      <c r="G14" s="327"/>
      <c r="H14" s="47"/>
      <c r="I14" s="48"/>
    </row>
    <row r="15" spans="1:13" s="49" customFormat="1" ht="50.1" customHeight="1" x14ac:dyDescent="0.25">
      <c r="A15" s="337"/>
      <c r="B15" s="338"/>
      <c r="C15" s="338"/>
      <c r="D15" s="338"/>
      <c r="E15" s="338"/>
      <c r="F15" s="338"/>
      <c r="G15" s="338"/>
      <c r="H15" s="338"/>
      <c r="I15" s="338"/>
    </row>
    <row r="16" spans="1:13" s="49" customFormat="1" ht="50.1" customHeight="1" x14ac:dyDescent="0.25">
      <c r="A16" s="339"/>
      <c r="B16" s="340"/>
      <c r="C16" s="340"/>
      <c r="D16" s="340"/>
      <c r="E16" s="340"/>
      <c r="F16" s="340"/>
      <c r="G16" s="340"/>
      <c r="H16" s="340"/>
      <c r="I16" s="340"/>
      <c r="K16" s="50"/>
    </row>
    <row r="17" spans="1:9" s="49" customFormat="1" ht="50.1" customHeight="1" x14ac:dyDescent="0.25">
      <c r="A17" s="339"/>
      <c r="B17" s="340"/>
      <c r="C17" s="340"/>
      <c r="D17" s="340"/>
      <c r="E17" s="340"/>
      <c r="F17" s="340"/>
      <c r="G17" s="340"/>
      <c r="H17" s="340"/>
      <c r="I17" s="340"/>
    </row>
    <row r="18" spans="1:9" s="49" customFormat="1" ht="50.1" customHeight="1" x14ac:dyDescent="0.25">
      <c r="A18" s="341"/>
      <c r="B18" s="342"/>
      <c r="C18" s="342"/>
      <c r="D18" s="342"/>
      <c r="E18" s="342"/>
      <c r="F18" s="342"/>
      <c r="G18" s="342"/>
      <c r="H18" s="342"/>
      <c r="I18" s="342"/>
    </row>
    <row r="19" spans="1:9" s="49" customFormat="1" ht="8.1" customHeight="1" x14ac:dyDescent="0.2">
      <c r="A19" s="61"/>
      <c r="B19" s="51"/>
      <c r="C19" s="51"/>
      <c r="D19" s="52"/>
      <c r="E19" s="52"/>
      <c r="F19" s="53"/>
      <c r="G19" s="54"/>
      <c r="H19" s="54"/>
      <c r="I19" s="55"/>
    </row>
    <row r="20" spans="1:9" s="3" customFormat="1" ht="42.75" hidden="1" customHeight="1" x14ac:dyDescent="0.25">
      <c r="A20" s="328" t="s">
        <v>35</v>
      </c>
      <c r="B20" s="329"/>
      <c r="C20" s="329"/>
      <c r="D20" s="330"/>
      <c r="E20" s="315" t="s">
        <v>34</v>
      </c>
      <c r="F20" s="316"/>
      <c r="G20" s="316"/>
      <c r="H20" s="316"/>
      <c r="I20" s="317"/>
    </row>
    <row r="21" spans="1:9" s="3" customFormat="1" ht="324.95" hidden="1" customHeight="1" x14ac:dyDescent="0.25">
      <c r="A21" s="313"/>
      <c r="B21" s="314"/>
      <c r="C21" s="314"/>
      <c r="D21" s="314"/>
      <c r="E21" s="313"/>
      <c r="F21" s="314"/>
      <c r="G21" s="314"/>
      <c r="H21" s="314"/>
      <c r="I21" s="314"/>
    </row>
    <row r="22" spans="1:9" ht="42.75" customHeight="1" x14ac:dyDescent="0.2">
      <c r="A22" s="321" t="s">
        <v>114</v>
      </c>
      <c r="B22" s="322"/>
      <c r="C22" s="322"/>
      <c r="D22" s="322"/>
      <c r="E22" s="315" t="s">
        <v>115</v>
      </c>
      <c r="F22" s="316"/>
      <c r="G22" s="316"/>
      <c r="H22" s="316"/>
      <c r="I22" s="317"/>
    </row>
    <row r="23" spans="1:9" ht="341.25" customHeight="1" x14ac:dyDescent="0.2">
      <c r="A23" s="370">
        <f>SRFDataImages!D2</f>
        <v>0</v>
      </c>
      <c r="B23" s="371"/>
      <c r="C23" s="370">
        <f>SRFDataImages!D3</f>
        <v>0</v>
      </c>
      <c r="D23" s="371"/>
      <c r="E23" s="335">
        <f>SRFDataImages!D4</f>
        <v>0</v>
      </c>
      <c r="F23" s="336"/>
      <c r="G23" s="367">
        <f>SRFDataImages!D5</f>
        <v>0</v>
      </c>
      <c r="H23" s="368"/>
      <c r="I23" s="369"/>
    </row>
    <row r="24" spans="1:9" ht="23.25" hidden="1" customHeight="1" x14ac:dyDescent="0.2">
      <c r="A24" s="18"/>
      <c r="B24" s="347" t="s">
        <v>26</v>
      </c>
      <c r="C24" s="20" t="s">
        <v>27</v>
      </c>
      <c r="D24" s="331" t="s">
        <v>25</v>
      </c>
      <c r="E24" s="332"/>
      <c r="F24" s="20" t="s">
        <v>24</v>
      </c>
      <c r="G24" s="331" t="s">
        <v>28</v>
      </c>
      <c r="H24" s="332"/>
      <c r="I24" s="19"/>
    </row>
    <row r="25" spans="1:9" ht="63" hidden="1" customHeight="1" x14ac:dyDescent="0.25">
      <c r="A25" s="18"/>
      <c r="B25" s="348"/>
      <c r="C25" s="44" t="s">
        <v>147</v>
      </c>
      <c r="D25" s="323" t="s">
        <v>147</v>
      </c>
      <c r="E25" s="324"/>
      <c r="F25" s="44" t="s">
        <v>147</v>
      </c>
      <c r="G25" s="323" t="s">
        <v>147</v>
      </c>
      <c r="H25" s="325"/>
      <c r="I25" s="19"/>
    </row>
    <row r="26" spans="1:9" ht="7.5" customHeight="1" x14ac:dyDescent="0.2">
      <c r="A26" s="7"/>
      <c r="B26" s="8"/>
      <c r="C26" s="8"/>
      <c r="D26" s="8"/>
      <c r="E26" s="8"/>
      <c r="F26" s="8"/>
      <c r="G26" s="8"/>
      <c r="H26" s="8"/>
      <c r="I26" s="9"/>
    </row>
    <row r="27" spans="1:9" ht="52.5" customHeight="1" x14ac:dyDescent="0.25">
      <c r="A27" s="318" t="s">
        <v>31</v>
      </c>
      <c r="B27" s="319"/>
      <c r="C27" s="319"/>
      <c r="D27" s="319"/>
      <c r="E27" s="319"/>
      <c r="F27" s="319"/>
      <c r="G27" s="319"/>
      <c r="H27" s="319"/>
      <c r="I27" s="320"/>
    </row>
    <row r="28" spans="1:9" ht="39.950000000000003" customHeight="1" x14ac:dyDescent="0.2">
      <c r="A28" s="31" t="s">
        <v>123</v>
      </c>
      <c r="B28" s="32" t="s">
        <v>124</v>
      </c>
      <c r="C28" s="59" t="s">
        <v>125</v>
      </c>
      <c r="D28" s="364"/>
      <c r="E28" s="355" t="s">
        <v>126</v>
      </c>
      <c r="F28" s="356"/>
      <c r="G28" s="356"/>
      <c r="H28" s="356"/>
      <c r="I28" s="357"/>
    </row>
    <row r="29" spans="1:9" ht="35.1" customHeight="1" x14ac:dyDescent="0.2">
      <c r="A29" s="31" t="s">
        <v>127</v>
      </c>
      <c r="B29" s="274"/>
      <c r="C29" s="275"/>
      <c r="D29" s="365"/>
      <c r="E29" s="358"/>
      <c r="F29" s="359"/>
      <c r="G29" s="359"/>
      <c r="H29" s="359"/>
      <c r="I29" s="360"/>
    </row>
    <row r="30" spans="1:9" ht="35.1" customHeight="1" x14ac:dyDescent="0.2">
      <c r="A30" s="31" t="s">
        <v>128</v>
      </c>
      <c r="B30" s="274"/>
      <c r="C30" s="275"/>
      <c r="D30" s="365"/>
      <c r="E30" s="361"/>
      <c r="F30" s="362"/>
      <c r="G30" s="362"/>
      <c r="H30" s="362"/>
      <c r="I30" s="363"/>
    </row>
    <row r="31" spans="1:9" ht="35.1" customHeight="1" x14ac:dyDescent="0.2">
      <c r="A31" s="31" t="s">
        <v>129</v>
      </c>
      <c r="B31" s="274"/>
      <c r="C31" s="275"/>
      <c r="D31" s="365"/>
      <c r="E31" s="355" t="s">
        <v>131</v>
      </c>
      <c r="F31" s="356"/>
      <c r="G31" s="356"/>
      <c r="H31" s="356"/>
      <c r="I31" s="357"/>
    </row>
    <row r="32" spans="1:9" ht="35.1" customHeight="1" x14ac:dyDescent="0.2">
      <c r="A32" s="31" t="s">
        <v>130</v>
      </c>
      <c r="B32" s="274"/>
      <c r="C32" s="275"/>
      <c r="D32" s="366"/>
      <c r="E32" s="358">
        <f>C32*E29*0.01</f>
        <v>0</v>
      </c>
      <c r="F32" s="359"/>
      <c r="G32" s="359"/>
      <c r="H32" s="359"/>
      <c r="I32" s="360"/>
    </row>
    <row r="33" spans="1:9" ht="7.5" customHeight="1" x14ac:dyDescent="0.2">
      <c r="A33" s="10"/>
      <c r="B33" s="276"/>
      <c r="C33" s="276"/>
      <c r="D33" s="15"/>
      <c r="E33" s="16"/>
      <c r="F33" s="16"/>
      <c r="G33" s="16"/>
      <c r="H33" s="16"/>
      <c r="I33" s="17"/>
    </row>
    <row r="34" spans="1:9" ht="50.1" customHeight="1" x14ac:dyDescent="0.25">
      <c r="A34" s="309" t="s">
        <v>116</v>
      </c>
      <c r="B34" s="310"/>
      <c r="C34" s="310"/>
      <c r="D34" s="310"/>
      <c r="E34" s="310"/>
      <c r="F34" s="311"/>
      <c r="G34" s="311"/>
      <c r="H34" s="311"/>
      <c r="I34" s="312"/>
    </row>
    <row r="35" spans="1:9" ht="50.1" customHeight="1" x14ac:dyDescent="0.2">
      <c r="A35" s="31" t="s">
        <v>117</v>
      </c>
      <c r="B35" s="32" t="s">
        <v>118</v>
      </c>
      <c r="C35" s="57" t="s">
        <v>119</v>
      </c>
      <c r="D35" s="57" t="s">
        <v>120</v>
      </c>
      <c r="E35" s="21" t="s">
        <v>121</v>
      </c>
      <c r="F35" s="58" t="s">
        <v>119</v>
      </c>
      <c r="G35" s="349" t="s">
        <v>122</v>
      </c>
      <c r="H35" s="350"/>
      <c r="I35" s="351"/>
    </row>
    <row r="36" spans="1:9" ht="50.1" customHeight="1" x14ac:dyDescent="0.2">
      <c r="A36" s="272"/>
      <c r="B36" s="273"/>
      <c r="C36" s="273"/>
      <c r="D36" s="273"/>
      <c r="E36" s="273"/>
      <c r="F36" s="273"/>
      <c r="G36" s="352"/>
      <c r="H36" s="353"/>
      <c r="I36" s="354"/>
    </row>
    <row r="37" spans="1:9" ht="8.1" customHeight="1" x14ac:dyDescent="0.2">
      <c r="A37" s="11"/>
      <c r="B37" s="11"/>
      <c r="C37" s="11"/>
      <c r="D37" s="11"/>
      <c r="E37" s="11"/>
      <c r="F37" s="11"/>
      <c r="G37" s="11"/>
      <c r="H37" s="11"/>
      <c r="I37" s="11"/>
    </row>
  </sheetData>
  <mergeCells count="41">
    <mergeCell ref="A11:I11"/>
    <mergeCell ref="H13:I13"/>
    <mergeCell ref="B24:B25"/>
    <mergeCell ref="G35:I35"/>
    <mergeCell ref="G36:I36"/>
    <mergeCell ref="E28:I28"/>
    <mergeCell ref="E29:I29"/>
    <mergeCell ref="E30:I30"/>
    <mergeCell ref="E31:I31"/>
    <mergeCell ref="E32:I32"/>
    <mergeCell ref="D28:D32"/>
    <mergeCell ref="G23:I23"/>
    <mergeCell ref="D24:E24"/>
    <mergeCell ref="A23:B23"/>
    <mergeCell ref="C23:D23"/>
    <mergeCell ref="A14:B14"/>
    <mergeCell ref="F14:G14"/>
    <mergeCell ref="A20:D20"/>
    <mergeCell ref="G24:H24"/>
    <mergeCell ref="H12:I12"/>
    <mergeCell ref="E23:F23"/>
    <mergeCell ref="A15:I18"/>
    <mergeCell ref="A34:I34"/>
    <mergeCell ref="E21:I21"/>
    <mergeCell ref="A21:D21"/>
    <mergeCell ref="E20:I20"/>
    <mergeCell ref="E22:I22"/>
    <mergeCell ref="A27:I27"/>
    <mergeCell ref="A22:D22"/>
    <mergeCell ref="D25:E25"/>
    <mergeCell ref="G25:H25"/>
    <mergeCell ref="A1:I1"/>
    <mergeCell ref="A10:I10"/>
    <mergeCell ref="B7:C7"/>
    <mergeCell ref="A2:I2"/>
    <mergeCell ref="B9:C9"/>
    <mergeCell ref="G3:I4"/>
    <mergeCell ref="E7:F7"/>
    <mergeCell ref="E9:F9"/>
    <mergeCell ref="B8:C8"/>
    <mergeCell ref="E8:F8"/>
  </mergeCells>
  <pageMargins left="0" right="0.19685039370078741" top="0.19685039370078741" bottom="0.31496062992125984" header="0.19685039370078741" footer="0.19685039370078741"/>
  <pageSetup paperSize="9" scale="38" pageOrder="overThenDown" orientation="landscape" r:id="rId1"/>
  <headerFooter>
    <oddFooter>&amp;L&amp;12&amp;D   &amp;T&amp;R&amp;12&amp;Z&amp;F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B9"/>
  <sheetViews>
    <sheetView workbookViewId="0">
      <selection activeCell="B2" sqref="B2:B7"/>
    </sheetView>
  </sheetViews>
  <sheetFormatPr defaultRowHeight="15" x14ac:dyDescent="0.25"/>
  <cols>
    <col min="2" max="2" width="11.42578125" customWidth="1"/>
  </cols>
  <sheetData>
    <row r="2" spans="1:2" x14ac:dyDescent="0.25">
      <c r="A2" s="5" t="s">
        <v>4</v>
      </c>
      <c r="B2" t="s">
        <v>12</v>
      </c>
    </row>
    <row r="3" spans="1:2" x14ac:dyDescent="0.25">
      <c r="A3" s="5" t="s">
        <v>5</v>
      </c>
      <c r="B3" t="s">
        <v>14</v>
      </c>
    </row>
    <row r="4" spans="1:2" x14ac:dyDescent="0.25">
      <c r="A4" s="5" t="s">
        <v>6</v>
      </c>
      <c r="B4" t="s">
        <v>11</v>
      </c>
    </row>
    <row r="5" spans="1:2" x14ac:dyDescent="0.25">
      <c r="A5" s="5" t="s">
        <v>7</v>
      </c>
      <c r="B5" t="s">
        <v>13</v>
      </c>
    </row>
    <row r="6" spans="1:2" x14ac:dyDescent="0.25">
      <c r="A6" s="5" t="s">
        <v>8</v>
      </c>
      <c r="B6" t="s">
        <v>9</v>
      </c>
    </row>
    <row r="7" spans="1:2" x14ac:dyDescent="0.25">
      <c r="A7" s="5"/>
      <c r="B7" t="s">
        <v>10</v>
      </c>
    </row>
    <row r="8" spans="1:2" x14ac:dyDescent="0.25">
      <c r="A8" s="5"/>
    </row>
    <row r="9" spans="1:2" x14ac:dyDescent="0.25">
      <c r="A9" s="5"/>
    </row>
  </sheetData>
  <autoFilter ref="B1:B9">
    <sortState ref="B2:B9">
      <sortCondition ref="B1:B9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>
      <selection activeCell="C3" sqref="C3"/>
    </sheetView>
  </sheetViews>
  <sheetFormatPr defaultColWidth="36.85546875" defaultRowHeight="150" customHeight="1" x14ac:dyDescent="0.25"/>
  <cols>
    <col min="1" max="1" width="34" customWidth="1"/>
    <col min="2" max="2" width="36.85546875" style="39"/>
  </cols>
  <sheetData>
    <row r="1" spans="1:2" ht="15" customHeight="1" x14ac:dyDescent="0.25">
      <c r="A1" s="36" t="s">
        <v>40</v>
      </c>
      <c r="B1" s="39" t="s">
        <v>41</v>
      </c>
    </row>
    <row r="2" spans="1:2" ht="150" customHeight="1" x14ac:dyDescent="0.25">
      <c r="A2" s="38" t="s">
        <v>147</v>
      </c>
      <c r="B2" s="40"/>
    </row>
    <row r="3" spans="1:2" ht="150" customHeight="1" x14ac:dyDescent="0.25">
      <c r="A3" s="38" t="s">
        <v>147</v>
      </c>
      <c r="B3" s="40"/>
    </row>
    <row r="4" spans="1:2" ht="150" customHeight="1" x14ac:dyDescent="0.25">
      <c r="A4" s="38" t="s">
        <v>147</v>
      </c>
      <c r="B4" s="4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"/>
  <sheetViews>
    <sheetView workbookViewId="0">
      <selection activeCell="E13" sqref="E13"/>
    </sheetView>
  </sheetViews>
  <sheetFormatPr defaultRowHeight="15" x14ac:dyDescent="0.25"/>
  <cols>
    <col min="1" max="1" width="17.42578125" bestFit="1" customWidth="1"/>
    <col min="2" max="2" width="17.140625" bestFit="1" customWidth="1"/>
    <col min="3" max="3" width="16.7109375" bestFit="1" customWidth="1"/>
    <col min="4" max="4" width="26.5703125" bestFit="1" customWidth="1"/>
    <col min="5" max="5" width="23.7109375" bestFit="1" customWidth="1"/>
    <col min="6" max="6" width="11.28515625" bestFit="1" customWidth="1"/>
    <col min="7" max="7" width="16.5703125" bestFit="1" customWidth="1"/>
  </cols>
  <sheetData>
    <row r="1" spans="1:7" x14ac:dyDescent="0.25">
      <c r="A1" t="s">
        <v>42</v>
      </c>
      <c r="B1" t="s">
        <v>43</v>
      </c>
      <c r="C1" t="s">
        <v>49</v>
      </c>
      <c r="D1" t="s">
        <v>44</v>
      </c>
      <c r="E1" t="s">
        <v>45</v>
      </c>
      <c r="F1" t="s">
        <v>46</v>
      </c>
      <c r="G1" t="s">
        <v>47</v>
      </c>
    </row>
    <row r="2" spans="1:7" x14ac:dyDescent="0.25">
      <c r="A2" s="38"/>
      <c r="B2" s="38"/>
      <c r="D2" s="3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I3"/>
  <sheetViews>
    <sheetView topLeftCell="BD1" workbookViewId="0">
      <selection activeCell="F3" sqref="F3"/>
    </sheetView>
  </sheetViews>
  <sheetFormatPr defaultRowHeight="15" x14ac:dyDescent="0.25"/>
  <cols>
    <col min="1" max="1" width="16.140625" bestFit="1" customWidth="1"/>
    <col min="2" max="2" width="29" bestFit="1" customWidth="1"/>
    <col min="3" max="3" width="23.42578125" bestFit="1" customWidth="1"/>
    <col min="4" max="4" width="23.7109375" bestFit="1" customWidth="1"/>
    <col min="5" max="5" width="26.5703125" bestFit="1" customWidth="1"/>
    <col min="6" max="6" width="17.28515625" customWidth="1"/>
    <col min="7" max="7" width="16.7109375" bestFit="1" customWidth="1"/>
    <col min="8" max="8" width="24.5703125" bestFit="1" customWidth="1"/>
    <col min="9" max="9" width="15.140625" bestFit="1" customWidth="1"/>
    <col min="10" max="10" width="22" bestFit="1" customWidth="1"/>
    <col min="11" max="11" width="18.28515625" bestFit="1" customWidth="1"/>
    <col min="12" max="12" width="20.5703125" bestFit="1" customWidth="1"/>
    <col min="13" max="13" width="21.42578125" bestFit="1" customWidth="1"/>
    <col min="14" max="14" width="25" customWidth="1"/>
    <col min="15" max="15" width="17.140625" bestFit="1" customWidth="1"/>
    <col min="16" max="16" width="16.7109375" bestFit="1" customWidth="1"/>
    <col min="17" max="17" width="27.85546875" bestFit="1" customWidth="1"/>
    <col min="18" max="18" width="9.85546875" bestFit="1" customWidth="1"/>
    <col min="19" max="19" width="13.5703125" bestFit="1" customWidth="1"/>
    <col min="20" max="20" width="23.85546875" bestFit="1" customWidth="1"/>
    <col min="21" max="21" width="19.140625" bestFit="1" customWidth="1"/>
    <col min="22" max="58" width="12" customWidth="1"/>
    <col min="59" max="59" width="27.140625" bestFit="1" customWidth="1"/>
    <col min="60" max="60" width="31.7109375" bestFit="1" customWidth="1"/>
    <col min="61" max="61" width="15.42578125" customWidth="1"/>
  </cols>
  <sheetData>
    <row r="2" spans="1:61" x14ac:dyDescent="0.25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H2" t="s">
        <v>57</v>
      </c>
      <c r="I2" t="s">
        <v>58</v>
      </c>
      <c r="J2" t="s">
        <v>59</v>
      </c>
      <c r="K2" t="s">
        <v>60</v>
      </c>
      <c r="L2" t="s">
        <v>61</v>
      </c>
      <c r="M2" t="s">
        <v>62</v>
      </c>
      <c r="N2" t="s">
        <v>63</v>
      </c>
      <c r="O2" t="s">
        <v>64</v>
      </c>
      <c r="P2" t="s">
        <v>65</v>
      </c>
      <c r="Q2" t="s">
        <v>66</v>
      </c>
      <c r="R2" t="s">
        <v>67</v>
      </c>
      <c r="S2" t="s">
        <v>68</v>
      </c>
      <c r="T2" t="s">
        <v>69</v>
      </c>
      <c r="U2" t="s">
        <v>70</v>
      </c>
      <c r="V2" t="s">
        <v>71</v>
      </c>
      <c r="W2" t="s">
        <v>72</v>
      </c>
      <c r="X2" t="s">
        <v>73</v>
      </c>
      <c r="Y2" t="s">
        <v>74</v>
      </c>
      <c r="Z2" t="s">
        <v>75</v>
      </c>
      <c r="AA2" t="s">
        <v>76</v>
      </c>
      <c r="AB2" t="s">
        <v>77</v>
      </c>
      <c r="AC2" t="s">
        <v>78</v>
      </c>
      <c r="AD2" t="s">
        <v>79</v>
      </c>
      <c r="AE2" t="s">
        <v>80</v>
      </c>
      <c r="AF2" t="s">
        <v>81</v>
      </c>
      <c r="AG2" t="s">
        <v>82</v>
      </c>
      <c r="AH2" t="s">
        <v>83</v>
      </c>
      <c r="AI2" t="s">
        <v>84</v>
      </c>
      <c r="AJ2" t="s">
        <v>85</v>
      </c>
      <c r="AK2" t="s">
        <v>86</v>
      </c>
      <c r="AL2" t="s">
        <v>87</v>
      </c>
      <c r="AM2" t="s">
        <v>88</v>
      </c>
      <c r="AN2" t="s">
        <v>89</v>
      </c>
      <c r="AO2" t="s">
        <v>90</v>
      </c>
      <c r="AP2" t="s">
        <v>91</v>
      </c>
      <c r="AQ2" t="s">
        <v>92</v>
      </c>
      <c r="AR2" t="s">
        <v>93</v>
      </c>
      <c r="AS2" t="s">
        <v>94</v>
      </c>
      <c r="AT2" t="s">
        <v>95</v>
      </c>
      <c r="AU2" t="s">
        <v>96</v>
      </c>
      <c r="AV2" t="s">
        <v>97</v>
      </c>
      <c r="AW2" t="s">
        <v>98</v>
      </c>
      <c r="AX2" t="s">
        <v>99</v>
      </c>
      <c r="AY2" t="s">
        <v>100</v>
      </c>
      <c r="AZ2" t="s">
        <v>101</v>
      </c>
      <c r="BA2" t="s">
        <v>102</v>
      </c>
      <c r="BB2" t="s">
        <v>103</v>
      </c>
      <c r="BC2" t="s">
        <v>104</v>
      </c>
      <c r="BD2" t="s">
        <v>105</v>
      </c>
      <c r="BE2" t="s">
        <v>106</v>
      </c>
      <c r="BF2" t="s">
        <v>107</v>
      </c>
      <c r="BG2" t="s">
        <v>108</v>
      </c>
      <c r="BH2" t="s">
        <v>109</v>
      </c>
      <c r="BI2" t="s">
        <v>110</v>
      </c>
    </row>
    <row r="3" spans="1:61" x14ac:dyDescent="0.25">
      <c r="A3" t="b">
        <v>0</v>
      </c>
      <c r="B3">
        <v>460540</v>
      </c>
      <c r="C3">
        <v>464376</v>
      </c>
      <c r="D3">
        <v>10</v>
      </c>
      <c r="E3" s="38" t="s">
        <v>358</v>
      </c>
      <c r="F3">
        <v>4440</v>
      </c>
      <c r="H3" s="38" t="s">
        <v>359</v>
      </c>
      <c r="K3" s="38"/>
      <c r="L3" s="38"/>
      <c r="M3" s="38"/>
      <c r="N3" s="38" t="s">
        <v>360</v>
      </c>
      <c r="O3" s="38" t="s">
        <v>361</v>
      </c>
      <c r="P3" s="38"/>
      <c r="Q3" s="38"/>
      <c r="R3" s="38"/>
      <c r="S3" s="38"/>
      <c r="T3" s="38"/>
      <c r="U3" s="38"/>
      <c r="V3" s="38"/>
      <c r="W3" s="38" t="s">
        <v>362</v>
      </c>
      <c r="X3" s="38"/>
      <c r="Y3" s="38"/>
      <c r="Z3" s="38"/>
      <c r="AA3" s="38"/>
      <c r="AB3" s="38"/>
      <c r="AC3" s="38"/>
      <c r="AD3" s="38"/>
      <c r="AE3" s="38"/>
      <c r="AF3" s="38"/>
      <c r="AG3" s="38" t="s">
        <v>363</v>
      </c>
      <c r="AH3" s="38"/>
      <c r="AI3" s="38"/>
      <c r="AJ3" s="38"/>
      <c r="AK3" s="38"/>
      <c r="AL3" s="38"/>
      <c r="AM3" s="38"/>
      <c r="AN3" s="38"/>
      <c r="AO3" t="b">
        <v>0</v>
      </c>
      <c r="AP3" t="b">
        <v>0</v>
      </c>
      <c r="AQ3" t="b">
        <v>0</v>
      </c>
      <c r="AR3" t="b">
        <v>0</v>
      </c>
      <c r="AS3" t="b">
        <v>0</v>
      </c>
      <c r="AT3" t="b">
        <v>0</v>
      </c>
      <c r="AU3" t="b">
        <v>0</v>
      </c>
      <c r="AV3" t="b">
        <v>0</v>
      </c>
      <c r="AW3" t="b">
        <v>0</v>
      </c>
      <c r="AX3" t="b">
        <v>0</v>
      </c>
      <c r="AY3" s="38" t="s">
        <v>357</v>
      </c>
      <c r="AZ3" s="38" t="s">
        <v>357</v>
      </c>
      <c r="BA3" s="38" t="s">
        <v>356</v>
      </c>
      <c r="BB3" s="38" t="s">
        <v>357</v>
      </c>
      <c r="BC3" s="38" t="s">
        <v>357</v>
      </c>
      <c r="BD3" s="38" t="s">
        <v>357</v>
      </c>
      <c r="BE3" s="38" t="s">
        <v>357</v>
      </c>
      <c r="BF3" s="38" t="s">
        <v>357</v>
      </c>
      <c r="BG3" s="38" t="s">
        <v>357</v>
      </c>
      <c r="BH3" s="38" t="s">
        <v>357</v>
      </c>
      <c r="BI3">
        <v>44400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BF41"/>
  <sheetViews>
    <sheetView view="pageBreakPreview" zoomScale="85" zoomScaleNormal="100" zoomScaleSheetLayoutView="85" workbookViewId="0">
      <selection activeCell="AI43" sqref="AI43"/>
    </sheetView>
  </sheetViews>
  <sheetFormatPr defaultColWidth="4.7109375" defaultRowHeight="12" x14ac:dyDescent="0.2"/>
  <cols>
    <col min="1" max="19" width="4.7109375" style="62" customWidth="1"/>
    <col min="20" max="20" width="2.85546875" style="62" customWidth="1"/>
    <col min="21" max="25" width="4.7109375" style="62" customWidth="1"/>
    <col min="26" max="26" width="9" style="62" customWidth="1"/>
    <col min="27" max="27" width="2.7109375" style="62" customWidth="1"/>
    <col min="28" max="29" width="4.7109375" style="62" customWidth="1"/>
    <col min="30" max="31" width="4.85546875" style="62" customWidth="1"/>
    <col min="32" max="32" width="14.140625" style="62" customWidth="1"/>
    <col min="33" max="34" width="4.7109375" style="62"/>
    <col min="35" max="35" width="4.7109375" style="62" customWidth="1"/>
    <col min="36" max="38" width="4.7109375" style="62"/>
    <col min="39" max="39" width="12" style="62" customWidth="1"/>
    <col min="40" max="40" width="8.140625" style="62" customWidth="1"/>
    <col min="41" max="41" width="14.28515625" style="62" customWidth="1"/>
    <col min="42" max="42" width="61.5703125" style="62" customWidth="1"/>
    <col min="43" max="43" width="9.42578125" style="62" customWidth="1"/>
    <col min="44" max="44" width="20.85546875" style="62" customWidth="1"/>
    <col min="45" max="16384" width="4.7109375" style="62"/>
  </cols>
  <sheetData>
    <row r="1" spans="1:58" ht="6" customHeight="1" x14ac:dyDescent="0.2"/>
    <row r="2" spans="1:58" ht="5.25" customHeight="1" x14ac:dyDescent="0.2"/>
    <row r="3" spans="1:58" ht="22.5" customHeight="1" x14ac:dyDescent="0.2">
      <c r="A3" s="374"/>
      <c r="B3" s="374"/>
      <c r="C3" s="374"/>
      <c r="D3" s="374"/>
      <c r="E3" s="374"/>
      <c r="F3" s="374"/>
      <c r="G3" s="374"/>
      <c r="H3" s="375"/>
      <c r="I3" s="376"/>
      <c r="J3" s="376"/>
      <c r="K3" s="377"/>
      <c r="L3" s="384"/>
      <c r="M3" s="385"/>
      <c r="N3" s="385"/>
      <c r="O3" s="386"/>
      <c r="P3" s="63"/>
      <c r="Q3" s="393" t="s">
        <v>132</v>
      </c>
      <c r="R3" s="393"/>
      <c r="S3" s="394"/>
      <c r="T3" s="394"/>
      <c r="U3" s="395"/>
      <c r="V3" s="395"/>
      <c r="W3" s="395"/>
      <c r="X3" s="395"/>
      <c r="Y3" s="63"/>
      <c r="Z3" s="393" t="s">
        <v>133</v>
      </c>
      <c r="AA3" s="393"/>
      <c r="AB3" s="394"/>
      <c r="AC3" s="406"/>
      <c r="AD3" s="375"/>
      <c r="AE3" s="376"/>
      <c r="AF3" s="377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</row>
    <row r="4" spans="1:58" ht="2.25" customHeight="1" x14ac:dyDescent="0.2">
      <c r="A4" s="374"/>
      <c r="B4" s="374"/>
      <c r="C4" s="374"/>
      <c r="D4" s="374"/>
      <c r="E4" s="374"/>
      <c r="F4" s="374"/>
      <c r="G4" s="374"/>
      <c r="H4" s="378"/>
      <c r="I4" s="379"/>
      <c r="J4" s="379"/>
      <c r="K4" s="380"/>
      <c r="L4" s="387"/>
      <c r="M4" s="388"/>
      <c r="N4" s="388"/>
      <c r="O4" s="389"/>
      <c r="P4" s="63"/>
      <c r="Q4" s="394"/>
      <c r="R4" s="394"/>
      <c r="S4" s="394"/>
      <c r="T4" s="394"/>
      <c r="U4" s="395"/>
      <c r="V4" s="395"/>
      <c r="W4" s="395"/>
      <c r="X4" s="395"/>
      <c r="Y4" s="63"/>
      <c r="Z4" s="394"/>
      <c r="AA4" s="394"/>
      <c r="AB4" s="394"/>
      <c r="AC4" s="406"/>
      <c r="AD4" s="381"/>
      <c r="AE4" s="382"/>
      <c r="AF4" s="383"/>
      <c r="AI4" s="64"/>
      <c r="AJ4" s="65"/>
      <c r="AK4" s="65"/>
      <c r="AL4" s="65"/>
      <c r="AM4" s="65"/>
      <c r="AN4" s="65"/>
      <c r="AO4" s="66"/>
      <c r="AP4" s="66"/>
      <c r="AQ4" s="66"/>
      <c r="AR4" s="66"/>
      <c r="AS4" s="64"/>
      <c r="AT4" s="65"/>
      <c r="AU4" s="65"/>
      <c r="AV4" s="65"/>
      <c r="AW4" s="65"/>
      <c r="AX4" s="66"/>
      <c r="AY4" s="66"/>
      <c r="AZ4" s="66"/>
      <c r="BA4" s="66"/>
      <c r="BB4" s="64"/>
      <c r="BC4" s="64"/>
      <c r="BD4" s="64"/>
      <c r="BE4" s="64"/>
      <c r="BF4" s="64"/>
    </row>
    <row r="5" spans="1:58" ht="12.75" customHeight="1" x14ac:dyDescent="0.2">
      <c r="A5" s="374"/>
      <c r="B5" s="374"/>
      <c r="C5" s="374"/>
      <c r="D5" s="374"/>
      <c r="E5" s="374"/>
      <c r="F5" s="374"/>
      <c r="G5" s="374"/>
      <c r="H5" s="378"/>
      <c r="I5" s="379"/>
      <c r="J5" s="379"/>
      <c r="K5" s="380"/>
      <c r="L5" s="387"/>
      <c r="M5" s="388"/>
      <c r="N5" s="388"/>
      <c r="O5" s="389"/>
      <c r="P5" s="63"/>
      <c r="Q5" s="393" t="s">
        <v>134</v>
      </c>
      <c r="R5" s="393"/>
      <c r="S5" s="394"/>
      <c r="T5" s="394"/>
      <c r="U5" s="395"/>
      <c r="V5" s="395"/>
      <c r="W5" s="395"/>
      <c r="X5" s="395"/>
      <c r="Y5" s="63"/>
      <c r="Z5" s="63"/>
      <c r="AA5" s="63"/>
      <c r="AB5" s="63"/>
      <c r="AC5" s="63"/>
      <c r="AD5" s="63"/>
      <c r="AE5" s="63"/>
      <c r="AF5" s="63"/>
      <c r="AI5" s="64"/>
      <c r="AJ5" s="65"/>
      <c r="AK5" s="65"/>
      <c r="AL5" s="65"/>
      <c r="AM5" s="65"/>
      <c r="AN5" s="65"/>
      <c r="AO5" s="66"/>
      <c r="AP5" s="66"/>
      <c r="AQ5" s="66"/>
      <c r="AR5" s="66"/>
      <c r="AS5" s="64"/>
      <c r="AT5" s="65"/>
      <c r="AU5" s="65"/>
      <c r="AV5" s="65"/>
      <c r="AW5" s="65"/>
      <c r="AX5" s="66"/>
      <c r="AY5" s="66"/>
      <c r="AZ5" s="66"/>
      <c r="BA5" s="66"/>
      <c r="BB5" s="64"/>
      <c r="BC5" s="64"/>
      <c r="BD5" s="64"/>
      <c r="BE5" s="64"/>
      <c r="BF5" s="64"/>
    </row>
    <row r="6" spans="1:58" ht="12.75" customHeight="1" x14ac:dyDescent="0.2">
      <c r="A6" s="374"/>
      <c r="B6" s="374"/>
      <c r="C6" s="374"/>
      <c r="D6" s="374"/>
      <c r="E6" s="374"/>
      <c r="F6" s="374"/>
      <c r="G6" s="374"/>
      <c r="H6" s="381"/>
      <c r="I6" s="382"/>
      <c r="J6" s="382"/>
      <c r="K6" s="383"/>
      <c r="L6" s="390"/>
      <c r="M6" s="391"/>
      <c r="N6" s="391"/>
      <c r="O6" s="392"/>
      <c r="P6" s="63"/>
      <c r="Q6" s="394"/>
      <c r="R6" s="394"/>
      <c r="S6" s="394"/>
      <c r="T6" s="394"/>
      <c r="U6" s="395"/>
      <c r="V6" s="395"/>
      <c r="W6" s="395"/>
      <c r="X6" s="395"/>
      <c r="Y6" s="63"/>
      <c r="Z6" s="406" t="s">
        <v>135</v>
      </c>
      <c r="AA6" s="407"/>
      <c r="AB6" s="407"/>
      <c r="AC6" s="407"/>
      <c r="AD6" s="407"/>
      <c r="AE6" s="407"/>
      <c r="AF6" s="408"/>
      <c r="AQ6" s="66"/>
      <c r="AR6" s="66"/>
      <c r="AS6" s="64"/>
      <c r="AT6" s="67"/>
      <c r="AU6" s="67"/>
      <c r="AV6" s="67"/>
      <c r="AW6" s="67"/>
      <c r="AX6" s="66"/>
      <c r="AY6" s="66"/>
      <c r="AZ6" s="66"/>
      <c r="BA6" s="66"/>
      <c r="BB6" s="64"/>
      <c r="BC6" s="64"/>
      <c r="BD6" s="64"/>
      <c r="BE6" s="64"/>
      <c r="BF6" s="64"/>
    </row>
    <row r="7" spans="1:58" ht="7.5" customHeight="1" x14ac:dyDescent="0.2">
      <c r="A7" s="68"/>
      <c r="B7" s="68"/>
      <c r="C7" s="68"/>
      <c r="D7" s="68"/>
      <c r="E7" s="68"/>
      <c r="F7" s="68"/>
      <c r="G7" s="68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375"/>
      <c r="AA7" s="376"/>
      <c r="AB7" s="376"/>
      <c r="AC7" s="376"/>
      <c r="AD7" s="376"/>
      <c r="AE7" s="376"/>
      <c r="AF7" s="377"/>
      <c r="AQ7" s="66"/>
      <c r="AR7" s="66"/>
      <c r="AS7" s="64"/>
      <c r="AT7" s="67"/>
      <c r="AU7" s="67"/>
      <c r="AV7" s="67"/>
      <c r="AW7" s="67"/>
      <c r="AX7" s="66"/>
      <c r="AY7" s="66"/>
      <c r="AZ7" s="66"/>
      <c r="BA7" s="66"/>
      <c r="BB7" s="64"/>
      <c r="BC7" s="64"/>
      <c r="BD7" s="64"/>
      <c r="BE7" s="64"/>
      <c r="BF7" s="64"/>
    </row>
    <row r="8" spans="1:58" ht="19.5" customHeight="1" x14ac:dyDescent="0.2">
      <c r="A8" s="396" t="str">
        <f>IF(L8&lt;&gt;"",IF(U8&lt;&gt;"","LOADING REPORT","LOADING PLAN"),"LOADING PLAN")</f>
        <v>LOADING PLAN</v>
      </c>
      <c r="B8" s="396"/>
      <c r="C8" s="396"/>
      <c r="D8" s="396"/>
      <c r="E8" s="396"/>
      <c r="F8" s="396"/>
      <c r="G8" s="396"/>
      <c r="H8" s="397" t="s">
        <v>136</v>
      </c>
      <c r="I8" s="398"/>
      <c r="J8" s="398"/>
      <c r="K8" s="398"/>
      <c r="L8" s="399"/>
      <c r="M8" s="399"/>
      <c r="N8" s="399"/>
      <c r="O8" s="399"/>
      <c r="P8" s="63"/>
      <c r="Q8" s="393" t="s">
        <v>137</v>
      </c>
      <c r="R8" s="393"/>
      <c r="S8" s="394"/>
      <c r="T8" s="394"/>
      <c r="U8" s="400"/>
      <c r="V8" s="401"/>
      <c r="W8" s="401"/>
      <c r="X8" s="402"/>
      <c r="Y8" s="63"/>
      <c r="Z8" s="378"/>
      <c r="AA8" s="379"/>
      <c r="AB8" s="379"/>
      <c r="AC8" s="379"/>
      <c r="AD8" s="379"/>
      <c r="AE8" s="379"/>
      <c r="AF8" s="380"/>
      <c r="AQ8" s="65"/>
      <c r="AR8" s="65"/>
      <c r="AS8" s="65"/>
      <c r="AT8" s="65"/>
      <c r="AU8" s="65"/>
      <c r="AV8" s="65"/>
      <c r="AW8" s="65"/>
      <c r="AX8" s="64"/>
      <c r="AY8" s="64"/>
      <c r="AZ8" s="64"/>
      <c r="BA8" s="64"/>
      <c r="BB8" s="64"/>
      <c r="BC8" s="64"/>
      <c r="BD8" s="64"/>
      <c r="BE8" s="64"/>
      <c r="BF8" s="64"/>
    </row>
    <row r="9" spans="1:58" ht="12" customHeight="1" x14ac:dyDescent="0.2">
      <c r="A9" s="69"/>
      <c r="B9" s="69"/>
      <c r="C9" s="69"/>
      <c r="D9" s="69"/>
      <c r="E9" s="69"/>
      <c r="F9" s="69"/>
      <c r="G9" s="69"/>
      <c r="H9" s="398"/>
      <c r="I9" s="398"/>
      <c r="J9" s="398"/>
      <c r="K9" s="398"/>
      <c r="L9" s="399"/>
      <c r="M9" s="399"/>
      <c r="N9" s="399"/>
      <c r="O9" s="399"/>
      <c r="P9" s="63"/>
      <c r="Q9" s="394"/>
      <c r="R9" s="394"/>
      <c r="S9" s="394"/>
      <c r="T9" s="394"/>
      <c r="U9" s="403"/>
      <c r="V9" s="404"/>
      <c r="W9" s="404"/>
      <c r="X9" s="405"/>
      <c r="Y9" s="63"/>
      <c r="Z9" s="381"/>
      <c r="AA9" s="382"/>
      <c r="AB9" s="382"/>
      <c r="AC9" s="382"/>
      <c r="AD9" s="382"/>
      <c r="AE9" s="382"/>
      <c r="AF9" s="383"/>
      <c r="AQ9" s="65"/>
      <c r="AR9" s="65"/>
      <c r="AS9" s="65"/>
      <c r="AT9" s="65"/>
      <c r="AU9" s="65"/>
      <c r="AV9" s="65"/>
      <c r="AW9" s="65"/>
      <c r="AX9" s="64"/>
      <c r="AY9" s="64"/>
      <c r="AZ9" s="64"/>
      <c r="BA9" s="64"/>
      <c r="BB9" s="64"/>
      <c r="BC9" s="64"/>
      <c r="BD9" s="64"/>
      <c r="BE9" s="64"/>
      <c r="BF9" s="64"/>
    </row>
    <row r="10" spans="1:58" ht="12" customHeight="1" x14ac:dyDescent="0.2">
      <c r="A10" s="69"/>
      <c r="B10" s="69"/>
      <c r="C10" s="69"/>
      <c r="D10" s="69"/>
      <c r="E10" s="69"/>
      <c r="F10" s="69"/>
      <c r="G10" s="69"/>
      <c r="H10" s="70"/>
      <c r="I10" s="70"/>
      <c r="J10" s="70"/>
      <c r="K10" s="70"/>
      <c r="L10" s="70"/>
      <c r="M10" s="70"/>
      <c r="N10" s="70"/>
      <c r="O10" s="70"/>
      <c r="P10" s="63"/>
      <c r="Q10" s="71"/>
      <c r="R10" s="71"/>
      <c r="S10" s="71"/>
      <c r="T10" s="71"/>
      <c r="U10" s="72"/>
      <c r="V10" s="72"/>
      <c r="W10" s="72"/>
      <c r="X10" s="72"/>
      <c r="Y10" s="73"/>
      <c r="Z10" s="74"/>
      <c r="AA10" s="74"/>
      <c r="AB10" s="74"/>
      <c r="AC10" s="74"/>
      <c r="AD10" s="71"/>
      <c r="AE10" s="71"/>
      <c r="AF10" s="71"/>
      <c r="AQ10" s="65"/>
      <c r="AR10" s="65"/>
      <c r="AS10" s="65"/>
      <c r="AT10" s="65"/>
      <c r="AU10" s="65"/>
      <c r="AV10" s="65"/>
      <c r="AW10" s="65"/>
      <c r="AX10" s="64"/>
      <c r="AY10" s="64"/>
      <c r="AZ10" s="64"/>
      <c r="BA10" s="64"/>
      <c r="BB10" s="64"/>
      <c r="BC10" s="64"/>
      <c r="BD10" s="64"/>
      <c r="BE10" s="64"/>
      <c r="BF10" s="64"/>
    </row>
    <row r="11" spans="1:58" ht="16.5" customHeight="1" x14ac:dyDescent="0.2">
      <c r="A11" s="398" t="s">
        <v>138</v>
      </c>
      <c r="B11" s="398"/>
      <c r="C11" s="398"/>
      <c r="D11" s="398"/>
      <c r="E11" s="398"/>
      <c r="F11" s="399"/>
      <c r="G11" s="399"/>
      <c r="H11" s="399"/>
      <c r="I11" s="399"/>
      <c r="J11" s="399"/>
      <c r="K11" s="399"/>
      <c r="L11" s="70"/>
      <c r="M11" s="398" t="s">
        <v>139</v>
      </c>
      <c r="N11" s="409"/>
      <c r="O11" s="399"/>
      <c r="P11" s="399"/>
      <c r="Q11" s="399"/>
      <c r="R11" s="399"/>
      <c r="S11" s="75"/>
      <c r="T11" s="76"/>
      <c r="U11" s="71"/>
      <c r="V11" s="66"/>
      <c r="W11" s="76"/>
      <c r="X11" s="71"/>
      <c r="Y11" s="66"/>
      <c r="Z11" s="410"/>
      <c r="AA11" s="410"/>
      <c r="AB11" s="411"/>
      <c r="AC11" s="411"/>
      <c r="AD11" s="71"/>
      <c r="AE11" s="76"/>
      <c r="AF11" s="71"/>
      <c r="AQ11" s="65"/>
      <c r="AR11" s="65"/>
      <c r="AS11" s="65"/>
      <c r="AT11" s="65"/>
      <c r="AU11" s="65"/>
      <c r="AV11" s="65"/>
      <c r="AW11" s="65"/>
      <c r="AX11" s="64"/>
      <c r="AY11" s="64"/>
      <c r="AZ11" s="64"/>
      <c r="BA11" s="64"/>
      <c r="BB11" s="64"/>
      <c r="BC11" s="64"/>
      <c r="BD11" s="64"/>
      <c r="BE11" s="64"/>
      <c r="BF11" s="64"/>
    </row>
    <row r="12" spans="1:58" ht="10.5" customHeight="1" x14ac:dyDescent="0.2">
      <c r="A12" s="69"/>
      <c r="B12" s="69"/>
      <c r="C12" s="69"/>
      <c r="D12" s="69"/>
      <c r="E12" s="69"/>
      <c r="F12" s="69"/>
      <c r="G12" s="69"/>
      <c r="H12" s="70"/>
      <c r="I12" s="70"/>
      <c r="J12" s="70"/>
      <c r="K12" s="70"/>
      <c r="L12" s="70"/>
      <c r="M12" s="70"/>
      <c r="N12" s="70"/>
      <c r="O12" s="70"/>
      <c r="P12" s="63"/>
      <c r="Q12" s="71"/>
      <c r="R12" s="71"/>
      <c r="S12" s="71"/>
      <c r="T12" s="71"/>
      <c r="U12" s="71"/>
      <c r="V12" s="71"/>
      <c r="W12" s="71"/>
      <c r="X12" s="71"/>
      <c r="Y12" s="63"/>
      <c r="Z12" s="71"/>
      <c r="AA12" s="71"/>
      <c r="AB12" s="71"/>
      <c r="AC12" s="71"/>
      <c r="AD12" s="71"/>
      <c r="AE12" s="71"/>
      <c r="AF12" s="71"/>
      <c r="AQ12" s="65"/>
      <c r="AR12" s="65"/>
      <c r="AS12" s="65"/>
      <c r="AT12" s="65"/>
      <c r="AU12" s="65"/>
      <c r="AV12" s="65"/>
      <c r="AW12" s="65"/>
      <c r="AX12" s="64"/>
      <c r="AY12" s="64"/>
      <c r="AZ12" s="64"/>
      <c r="BA12" s="64"/>
      <c r="BB12" s="64"/>
      <c r="BC12" s="64"/>
      <c r="BD12" s="64"/>
      <c r="BE12" s="64"/>
      <c r="BF12" s="64"/>
    </row>
    <row r="13" spans="1:58" ht="16.5" customHeight="1" x14ac:dyDescent="0.2">
      <c r="A13" s="398" t="s">
        <v>140</v>
      </c>
      <c r="B13" s="398"/>
      <c r="C13" s="398"/>
      <c r="D13" s="398"/>
      <c r="E13" s="398"/>
      <c r="F13" s="399"/>
      <c r="G13" s="399"/>
      <c r="H13" s="399"/>
      <c r="I13" s="399"/>
      <c r="J13" s="399"/>
      <c r="K13" s="399"/>
      <c r="L13" s="70"/>
      <c r="M13" s="398" t="s">
        <v>141</v>
      </c>
      <c r="N13" s="409"/>
      <c r="O13" s="399"/>
      <c r="P13" s="399"/>
      <c r="Q13" s="399"/>
      <c r="R13" s="399"/>
      <c r="S13" s="75"/>
      <c r="T13" s="77"/>
      <c r="U13" s="78" t="s">
        <v>142</v>
      </c>
      <c r="V13" s="66"/>
      <c r="W13" s="77"/>
      <c r="X13" s="78" t="s">
        <v>143</v>
      </c>
      <c r="Y13" s="66"/>
      <c r="Z13" s="412"/>
      <c r="AA13" s="413"/>
      <c r="AB13" s="408" t="s">
        <v>144</v>
      </c>
      <c r="AC13" s="394"/>
      <c r="AD13" s="71"/>
      <c r="AE13" s="77"/>
      <c r="AF13" s="78" t="s">
        <v>145</v>
      </c>
      <c r="AQ13" s="65"/>
      <c r="AR13" s="65"/>
      <c r="AS13" s="65"/>
      <c r="AT13" s="65"/>
      <c r="AU13" s="65"/>
      <c r="AV13" s="65"/>
      <c r="AW13" s="65"/>
      <c r="AX13" s="64"/>
      <c r="AY13" s="64"/>
      <c r="AZ13" s="64"/>
      <c r="BA13" s="64"/>
      <c r="BB13" s="64"/>
      <c r="BC13" s="64"/>
      <c r="BD13" s="64"/>
      <c r="BE13" s="64"/>
      <c r="BF13" s="64"/>
    </row>
    <row r="14" spans="1:58" ht="9" customHeight="1" x14ac:dyDescent="0.2">
      <c r="AQ14" s="65"/>
      <c r="AR14" s="65"/>
      <c r="AS14" s="65"/>
      <c r="AT14" s="65"/>
      <c r="AU14" s="65"/>
      <c r="AV14" s="65"/>
      <c r="AW14" s="65"/>
      <c r="AX14" s="64"/>
      <c r="AY14" s="64"/>
      <c r="AZ14" s="64"/>
      <c r="BA14" s="64"/>
      <c r="BB14" s="64"/>
      <c r="BC14" s="64"/>
      <c r="BD14" s="64"/>
      <c r="BE14" s="64"/>
      <c r="BF14" s="64"/>
    </row>
    <row r="15" spans="1:58" ht="12.75" customHeight="1" x14ac:dyDescent="0.2">
      <c r="A15" s="414" t="s">
        <v>146</v>
      </c>
      <c r="C15" s="384" t="s">
        <v>147</v>
      </c>
      <c r="D15" s="385"/>
      <c r="E15" s="385"/>
      <c r="F15" s="385"/>
      <c r="G15" s="385"/>
      <c r="H15" s="385"/>
      <c r="I15" s="385"/>
      <c r="J15" s="385"/>
      <c r="K15" s="385"/>
      <c r="L15" s="385"/>
      <c r="M15" s="385"/>
      <c r="N15" s="385"/>
      <c r="O15" s="385"/>
      <c r="P15" s="385"/>
      <c r="Q15" s="385"/>
      <c r="R15" s="385"/>
      <c r="S15" s="386"/>
      <c r="T15" s="67"/>
      <c r="U15" s="415" t="s">
        <v>147</v>
      </c>
      <c r="V15" s="416"/>
      <c r="W15" s="416"/>
      <c r="X15" s="416"/>
      <c r="Y15" s="416"/>
      <c r="Z15" s="417"/>
      <c r="AA15" s="79"/>
      <c r="AB15" s="415" t="s">
        <v>147</v>
      </c>
      <c r="AC15" s="416"/>
      <c r="AD15" s="416"/>
      <c r="AE15" s="416"/>
      <c r="AF15" s="417"/>
      <c r="AQ15" s="65"/>
      <c r="AR15" s="65"/>
      <c r="AS15" s="65"/>
      <c r="AT15" s="65"/>
      <c r="AU15" s="65"/>
      <c r="AV15" s="65"/>
      <c r="AW15" s="65"/>
      <c r="AX15" s="64"/>
      <c r="AY15" s="64"/>
      <c r="AZ15" s="64"/>
      <c r="BA15" s="64"/>
      <c r="BB15" s="64"/>
    </row>
    <row r="16" spans="1:58" x14ac:dyDescent="0.2">
      <c r="A16" s="414"/>
      <c r="C16" s="387"/>
      <c r="D16" s="388"/>
      <c r="E16" s="388"/>
      <c r="F16" s="388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9"/>
      <c r="T16" s="67"/>
      <c r="U16" s="418"/>
      <c r="V16" s="419"/>
      <c r="W16" s="419"/>
      <c r="X16" s="419"/>
      <c r="Y16" s="419"/>
      <c r="Z16" s="420"/>
      <c r="AA16" s="79"/>
      <c r="AB16" s="418"/>
      <c r="AC16" s="419"/>
      <c r="AD16" s="419"/>
      <c r="AE16" s="419"/>
      <c r="AF16" s="420"/>
      <c r="AQ16" s="65"/>
      <c r="AR16" s="65"/>
      <c r="AS16" s="65"/>
      <c r="AT16" s="65"/>
      <c r="AU16" s="65"/>
      <c r="AV16" s="65"/>
      <c r="AW16" s="65"/>
      <c r="AX16" s="64"/>
      <c r="AY16" s="64"/>
      <c r="AZ16" s="64"/>
      <c r="BA16" s="64"/>
      <c r="BB16" s="64"/>
    </row>
    <row r="17" spans="1:54" x14ac:dyDescent="0.2">
      <c r="A17" s="414"/>
      <c r="C17" s="387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9"/>
      <c r="T17" s="67"/>
      <c r="U17" s="418"/>
      <c r="V17" s="419"/>
      <c r="W17" s="419"/>
      <c r="X17" s="419"/>
      <c r="Y17" s="419"/>
      <c r="Z17" s="420"/>
      <c r="AA17" s="79"/>
      <c r="AB17" s="418"/>
      <c r="AC17" s="419"/>
      <c r="AD17" s="419"/>
      <c r="AE17" s="419"/>
      <c r="AF17" s="420"/>
      <c r="AO17" s="64"/>
      <c r="AP17" s="65"/>
      <c r="AQ17" s="65"/>
      <c r="AR17" s="65"/>
      <c r="AS17" s="65"/>
      <c r="AT17" s="65"/>
      <c r="AU17" s="65"/>
      <c r="AV17" s="65"/>
      <c r="AW17" s="65"/>
      <c r="AX17" s="64"/>
      <c r="AY17" s="64"/>
      <c r="AZ17" s="64"/>
      <c r="BA17" s="64"/>
      <c r="BB17" s="64"/>
    </row>
    <row r="18" spans="1:54" x14ac:dyDescent="0.2">
      <c r="A18" s="414"/>
      <c r="C18" s="387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9"/>
      <c r="T18" s="67"/>
      <c r="U18" s="418"/>
      <c r="V18" s="419"/>
      <c r="W18" s="419"/>
      <c r="X18" s="419"/>
      <c r="Y18" s="419"/>
      <c r="Z18" s="420"/>
      <c r="AA18" s="79"/>
      <c r="AB18" s="418"/>
      <c r="AC18" s="419"/>
      <c r="AD18" s="419"/>
      <c r="AE18" s="419"/>
      <c r="AF18" s="420"/>
      <c r="AO18" s="64"/>
      <c r="AP18" s="65"/>
      <c r="AQ18" s="65"/>
      <c r="AR18" s="65"/>
      <c r="AS18" s="65"/>
      <c r="AT18" s="65"/>
      <c r="AU18" s="65"/>
      <c r="AV18" s="65"/>
      <c r="AW18" s="65"/>
      <c r="AX18" s="64"/>
      <c r="AY18" s="64"/>
      <c r="AZ18" s="64"/>
      <c r="BA18" s="64"/>
      <c r="BB18" s="64"/>
    </row>
    <row r="19" spans="1:54" x14ac:dyDescent="0.2">
      <c r="A19" s="414"/>
      <c r="C19" s="387"/>
      <c r="D19" s="388"/>
      <c r="E19" s="388"/>
      <c r="F19" s="388"/>
      <c r="G19" s="388"/>
      <c r="H19" s="388"/>
      <c r="I19" s="388"/>
      <c r="J19" s="388"/>
      <c r="K19" s="388"/>
      <c r="L19" s="388"/>
      <c r="M19" s="388"/>
      <c r="N19" s="388"/>
      <c r="O19" s="388"/>
      <c r="P19" s="388"/>
      <c r="Q19" s="388"/>
      <c r="R19" s="388"/>
      <c r="S19" s="389"/>
      <c r="T19" s="67"/>
      <c r="U19" s="418"/>
      <c r="V19" s="419"/>
      <c r="W19" s="419"/>
      <c r="X19" s="419"/>
      <c r="Y19" s="419"/>
      <c r="Z19" s="420"/>
      <c r="AA19" s="79"/>
      <c r="AB19" s="418"/>
      <c r="AC19" s="419"/>
      <c r="AD19" s="419"/>
      <c r="AE19" s="419"/>
      <c r="AF19" s="420"/>
      <c r="AO19" s="64"/>
      <c r="AP19" s="65"/>
      <c r="AQ19" s="65"/>
      <c r="AR19" s="65"/>
      <c r="AS19" s="65"/>
      <c r="AT19" s="65"/>
      <c r="AU19" s="65"/>
      <c r="AV19" s="65"/>
      <c r="AW19" s="65"/>
      <c r="AX19" s="64"/>
      <c r="AY19" s="64"/>
      <c r="AZ19" s="64"/>
      <c r="BA19" s="64"/>
      <c r="BB19" s="64"/>
    </row>
    <row r="20" spans="1:54" x14ac:dyDescent="0.2">
      <c r="A20" s="414"/>
      <c r="C20" s="387"/>
      <c r="D20" s="388"/>
      <c r="E20" s="388"/>
      <c r="F20" s="388"/>
      <c r="G20" s="388"/>
      <c r="H20" s="388"/>
      <c r="I20" s="388"/>
      <c r="J20" s="388"/>
      <c r="K20" s="388"/>
      <c r="L20" s="388"/>
      <c r="M20" s="388"/>
      <c r="N20" s="388"/>
      <c r="O20" s="388"/>
      <c r="P20" s="388"/>
      <c r="Q20" s="388"/>
      <c r="R20" s="388"/>
      <c r="S20" s="389"/>
      <c r="T20" s="67"/>
      <c r="U20" s="418"/>
      <c r="V20" s="419"/>
      <c r="W20" s="419"/>
      <c r="X20" s="419"/>
      <c r="Y20" s="419"/>
      <c r="Z20" s="420"/>
      <c r="AA20" s="79"/>
      <c r="AB20" s="418"/>
      <c r="AC20" s="419"/>
      <c r="AD20" s="419"/>
      <c r="AE20" s="419"/>
      <c r="AF20" s="420"/>
      <c r="AO20" s="64"/>
      <c r="AP20" s="65"/>
      <c r="AQ20" s="65"/>
      <c r="AR20" s="65"/>
      <c r="AS20" s="65"/>
      <c r="AT20" s="65"/>
      <c r="AU20" s="65"/>
      <c r="AV20" s="65"/>
      <c r="AW20" s="65"/>
      <c r="AX20" s="64"/>
      <c r="AY20" s="64"/>
      <c r="AZ20" s="64"/>
      <c r="BA20" s="64"/>
      <c r="BB20" s="64"/>
    </row>
    <row r="21" spans="1:54" x14ac:dyDescent="0.2">
      <c r="A21" s="414"/>
      <c r="C21" s="387"/>
      <c r="D21" s="388"/>
      <c r="E21" s="388"/>
      <c r="F21" s="388"/>
      <c r="G21" s="388"/>
      <c r="H21" s="388"/>
      <c r="I21" s="388"/>
      <c r="J21" s="388"/>
      <c r="K21" s="388"/>
      <c r="L21" s="388"/>
      <c r="M21" s="388"/>
      <c r="N21" s="388"/>
      <c r="O21" s="388"/>
      <c r="P21" s="388"/>
      <c r="Q21" s="388"/>
      <c r="R21" s="388"/>
      <c r="S21" s="389"/>
      <c r="T21" s="67"/>
      <c r="U21" s="418"/>
      <c r="V21" s="419"/>
      <c r="W21" s="419"/>
      <c r="X21" s="419"/>
      <c r="Y21" s="419"/>
      <c r="Z21" s="420"/>
      <c r="AA21" s="79"/>
      <c r="AB21" s="418"/>
      <c r="AC21" s="419"/>
      <c r="AD21" s="419"/>
      <c r="AE21" s="419"/>
      <c r="AF21" s="420"/>
      <c r="AM21" s="80"/>
      <c r="AN21" s="80"/>
      <c r="AO21" s="80"/>
      <c r="AP21" s="80"/>
      <c r="AR21" s="65"/>
      <c r="AS21" s="65"/>
      <c r="AT21" s="65"/>
      <c r="AU21" s="65"/>
      <c r="AV21" s="65"/>
      <c r="AW21" s="65"/>
      <c r="AX21" s="64"/>
      <c r="AY21" s="64"/>
      <c r="AZ21" s="64"/>
      <c r="BA21" s="64"/>
      <c r="BB21" s="64"/>
    </row>
    <row r="22" spans="1:54" x14ac:dyDescent="0.2">
      <c r="A22" s="414"/>
      <c r="C22" s="387"/>
      <c r="D22" s="388"/>
      <c r="E22" s="388"/>
      <c r="F22" s="388"/>
      <c r="G22" s="388"/>
      <c r="H22" s="388"/>
      <c r="I22" s="388"/>
      <c r="J22" s="388"/>
      <c r="K22" s="388"/>
      <c r="L22" s="388"/>
      <c r="M22" s="388"/>
      <c r="N22" s="388"/>
      <c r="O22" s="388"/>
      <c r="P22" s="388"/>
      <c r="Q22" s="388"/>
      <c r="R22" s="388"/>
      <c r="S22" s="389"/>
      <c r="T22" s="67"/>
      <c r="U22" s="418"/>
      <c r="V22" s="419"/>
      <c r="W22" s="419"/>
      <c r="X22" s="419"/>
      <c r="Y22" s="419"/>
      <c r="Z22" s="420"/>
      <c r="AA22" s="79"/>
      <c r="AB22" s="418"/>
      <c r="AC22" s="419"/>
      <c r="AD22" s="419"/>
      <c r="AE22" s="419"/>
      <c r="AF22" s="420"/>
      <c r="AM22" s="80"/>
      <c r="AN22" s="80"/>
      <c r="AO22" s="80"/>
      <c r="AP22" s="80"/>
      <c r="AR22" s="65"/>
      <c r="AS22" s="64"/>
      <c r="AT22" s="64"/>
      <c r="AU22" s="64"/>
      <c r="AV22" s="64"/>
      <c r="AW22" s="64"/>
      <c r="AX22" s="64"/>
      <c r="AY22" s="64"/>
      <c r="AZ22" s="64"/>
      <c r="BA22" s="64"/>
      <c r="BB22" s="64"/>
    </row>
    <row r="23" spans="1:54" x14ac:dyDescent="0.2">
      <c r="A23" s="414"/>
      <c r="C23" s="390"/>
      <c r="D23" s="391"/>
      <c r="E23" s="391"/>
      <c r="F23" s="391"/>
      <c r="G23" s="391"/>
      <c r="H23" s="391"/>
      <c r="I23" s="391"/>
      <c r="J23" s="391"/>
      <c r="K23" s="391"/>
      <c r="L23" s="391"/>
      <c r="M23" s="391"/>
      <c r="N23" s="391"/>
      <c r="O23" s="391"/>
      <c r="P23" s="391"/>
      <c r="Q23" s="391"/>
      <c r="R23" s="391"/>
      <c r="S23" s="392"/>
      <c r="T23" s="67"/>
      <c r="U23" s="418"/>
      <c r="V23" s="419"/>
      <c r="W23" s="419"/>
      <c r="X23" s="419"/>
      <c r="Y23" s="419"/>
      <c r="Z23" s="420"/>
      <c r="AA23" s="79"/>
      <c r="AB23" s="418"/>
      <c r="AC23" s="419"/>
      <c r="AD23" s="419"/>
      <c r="AE23" s="419"/>
      <c r="AF23" s="420"/>
      <c r="AM23" s="80"/>
      <c r="AN23" s="80"/>
      <c r="AO23" s="80"/>
      <c r="AP23" s="80"/>
      <c r="AR23" s="65"/>
      <c r="AS23" s="64"/>
      <c r="AT23" s="64"/>
      <c r="AU23" s="64"/>
      <c r="AV23" s="64"/>
      <c r="AW23" s="64"/>
      <c r="AX23" s="64"/>
      <c r="AY23" s="64"/>
      <c r="AZ23" s="64"/>
      <c r="BA23" s="64"/>
      <c r="BB23" s="64"/>
    </row>
    <row r="24" spans="1:54" x14ac:dyDescent="0.2"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76"/>
      <c r="P24" s="76"/>
      <c r="Q24" s="76"/>
      <c r="R24" s="76"/>
      <c r="S24" s="76"/>
      <c r="T24" s="76"/>
      <c r="U24" s="418"/>
      <c r="V24" s="419"/>
      <c r="W24" s="419"/>
      <c r="X24" s="419"/>
      <c r="Y24" s="419"/>
      <c r="Z24" s="420"/>
      <c r="AA24" s="82"/>
      <c r="AB24" s="418"/>
      <c r="AC24" s="419"/>
      <c r="AD24" s="419"/>
      <c r="AE24" s="419"/>
      <c r="AF24" s="420"/>
      <c r="AM24" s="80"/>
      <c r="AN24" s="80"/>
      <c r="AO24" s="80"/>
      <c r="AP24" s="80"/>
      <c r="AR24" s="65"/>
      <c r="AS24" s="64"/>
      <c r="AT24" s="64"/>
      <c r="AU24" s="64"/>
      <c r="AV24" s="64"/>
      <c r="AW24" s="64"/>
      <c r="AX24" s="64"/>
      <c r="AY24" s="64"/>
      <c r="AZ24" s="64"/>
      <c r="BA24" s="64"/>
      <c r="BB24" s="64"/>
    </row>
    <row r="25" spans="1:54" x14ac:dyDescent="0.2">
      <c r="A25" s="414" t="s">
        <v>146</v>
      </c>
      <c r="C25" s="384" t="s">
        <v>147</v>
      </c>
      <c r="D25" s="385"/>
      <c r="E25" s="385"/>
      <c r="F25" s="385"/>
      <c r="G25" s="385"/>
      <c r="H25" s="385"/>
      <c r="I25" s="385"/>
      <c r="J25" s="385"/>
      <c r="K25" s="385"/>
      <c r="L25" s="385"/>
      <c r="M25" s="385"/>
      <c r="N25" s="385"/>
      <c r="O25" s="385"/>
      <c r="P25" s="385"/>
      <c r="Q25" s="385"/>
      <c r="R25" s="385"/>
      <c r="S25" s="386"/>
      <c r="T25" s="83"/>
      <c r="U25" s="418"/>
      <c r="V25" s="419"/>
      <c r="W25" s="419"/>
      <c r="X25" s="419"/>
      <c r="Y25" s="419"/>
      <c r="Z25" s="420"/>
      <c r="AA25" s="82"/>
      <c r="AB25" s="418"/>
      <c r="AC25" s="419"/>
      <c r="AD25" s="419"/>
      <c r="AE25" s="419"/>
      <c r="AF25" s="420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</row>
    <row r="26" spans="1:54" x14ac:dyDescent="0.2">
      <c r="A26" s="414"/>
      <c r="C26" s="387"/>
      <c r="D26" s="388"/>
      <c r="E26" s="388"/>
      <c r="F26" s="388"/>
      <c r="G26" s="388"/>
      <c r="H26" s="388"/>
      <c r="I26" s="388"/>
      <c r="J26" s="388"/>
      <c r="K26" s="388"/>
      <c r="L26" s="388"/>
      <c r="M26" s="388"/>
      <c r="N26" s="388"/>
      <c r="O26" s="388"/>
      <c r="P26" s="388"/>
      <c r="Q26" s="388"/>
      <c r="R26" s="388"/>
      <c r="S26" s="389"/>
      <c r="T26" s="83"/>
      <c r="U26" s="418"/>
      <c r="V26" s="419"/>
      <c r="W26" s="419"/>
      <c r="X26" s="419"/>
      <c r="Y26" s="419"/>
      <c r="Z26" s="420"/>
      <c r="AA26" s="82"/>
      <c r="AB26" s="418"/>
      <c r="AC26" s="419"/>
      <c r="AD26" s="419"/>
      <c r="AE26" s="419"/>
      <c r="AF26" s="420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</row>
    <row r="27" spans="1:54" x14ac:dyDescent="0.2">
      <c r="A27" s="414"/>
      <c r="C27" s="387"/>
      <c r="D27" s="388"/>
      <c r="E27" s="388"/>
      <c r="F27" s="388"/>
      <c r="G27" s="388"/>
      <c r="H27" s="388"/>
      <c r="I27" s="388"/>
      <c r="J27" s="388"/>
      <c r="K27" s="388"/>
      <c r="L27" s="388"/>
      <c r="M27" s="388"/>
      <c r="N27" s="388"/>
      <c r="O27" s="388"/>
      <c r="P27" s="388"/>
      <c r="Q27" s="388"/>
      <c r="R27" s="388"/>
      <c r="S27" s="389"/>
      <c r="T27" s="83"/>
      <c r="U27" s="418"/>
      <c r="V27" s="419"/>
      <c r="W27" s="419"/>
      <c r="X27" s="419"/>
      <c r="Y27" s="419"/>
      <c r="Z27" s="420"/>
      <c r="AA27" s="82"/>
      <c r="AB27" s="418"/>
      <c r="AC27" s="419"/>
      <c r="AD27" s="419"/>
      <c r="AE27" s="419"/>
      <c r="AF27" s="420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</row>
    <row r="28" spans="1:54" x14ac:dyDescent="0.2">
      <c r="A28" s="414"/>
      <c r="C28" s="387"/>
      <c r="D28" s="388"/>
      <c r="E28" s="388"/>
      <c r="F28" s="388"/>
      <c r="G28" s="388"/>
      <c r="H28" s="388"/>
      <c r="I28" s="388"/>
      <c r="J28" s="388"/>
      <c r="K28" s="388"/>
      <c r="L28" s="388"/>
      <c r="M28" s="388"/>
      <c r="N28" s="388"/>
      <c r="O28" s="388"/>
      <c r="P28" s="388"/>
      <c r="Q28" s="388"/>
      <c r="R28" s="388"/>
      <c r="S28" s="389"/>
      <c r="T28" s="83"/>
      <c r="U28" s="418"/>
      <c r="V28" s="419"/>
      <c r="W28" s="419"/>
      <c r="X28" s="419"/>
      <c r="Y28" s="419"/>
      <c r="Z28" s="420"/>
      <c r="AA28" s="82"/>
      <c r="AB28" s="418"/>
      <c r="AC28" s="419"/>
      <c r="AD28" s="419"/>
      <c r="AE28" s="419"/>
      <c r="AF28" s="420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</row>
    <row r="29" spans="1:54" x14ac:dyDescent="0.2">
      <c r="A29" s="414"/>
      <c r="C29" s="387"/>
      <c r="D29" s="388"/>
      <c r="E29" s="388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388"/>
      <c r="Q29" s="388"/>
      <c r="R29" s="388"/>
      <c r="S29" s="389"/>
      <c r="T29" s="83"/>
      <c r="U29" s="418"/>
      <c r="V29" s="419"/>
      <c r="W29" s="419"/>
      <c r="X29" s="419"/>
      <c r="Y29" s="419"/>
      <c r="Z29" s="420"/>
      <c r="AA29" s="82"/>
      <c r="AB29" s="418"/>
      <c r="AC29" s="419"/>
      <c r="AD29" s="419"/>
      <c r="AE29" s="419"/>
      <c r="AF29" s="420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83"/>
      <c r="AS29" s="83"/>
      <c r="AT29" s="83"/>
      <c r="AU29" s="83"/>
      <c r="AV29" s="83"/>
      <c r="AW29" s="83"/>
      <c r="AX29" s="83"/>
      <c r="AY29" s="64"/>
      <c r="AZ29" s="64"/>
      <c r="BA29" s="64"/>
      <c r="BB29" s="64"/>
    </row>
    <row r="30" spans="1:54" x14ac:dyDescent="0.2">
      <c r="A30" s="414"/>
      <c r="C30" s="387"/>
      <c r="D30" s="388"/>
      <c r="E30" s="388"/>
      <c r="F30" s="388"/>
      <c r="G30" s="388"/>
      <c r="H30" s="388"/>
      <c r="I30" s="388"/>
      <c r="J30" s="388"/>
      <c r="K30" s="388"/>
      <c r="L30" s="388"/>
      <c r="M30" s="388"/>
      <c r="N30" s="388"/>
      <c r="O30" s="388"/>
      <c r="P30" s="388"/>
      <c r="Q30" s="388"/>
      <c r="R30" s="388"/>
      <c r="S30" s="389"/>
      <c r="T30" s="83"/>
      <c r="U30" s="418"/>
      <c r="V30" s="419"/>
      <c r="W30" s="419"/>
      <c r="X30" s="419"/>
      <c r="Y30" s="419"/>
      <c r="Z30" s="420"/>
      <c r="AA30" s="82"/>
      <c r="AB30" s="418"/>
      <c r="AC30" s="419"/>
      <c r="AD30" s="419"/>
      <c r="AE30" s="419"/>
      <c r="AF30" s="420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83"/>
      <c r="AS30" s="83"/>
      <c r="AT30" s="83"/>
      <c r="AU30" s="83"/>
      <c r="AV30" s="83"/>
      <c r="AW30" s="83"/>
      <c r="AX30" s="83"/>
      <c r="AY30" s="64"/>
      <c r="AZ30" s="64"/>
      <c r="BA30" s="64"/>
      <c r="BB30" s="64"/>
    </row>
    <row r="31" spans="1:54" x14ac:dyDescent="0.2">
      <c r="A31" s="414"/>
      <c r="C31" s="387"/>
      <c r="D31" s="388"/>
      <c r="E31" s="388"/>
      <c r="F31" s="388"/>
      <c r="G31" s="388"/>
      <c r="H31" s="388"/>
      <c r="I31" s="388"/>
      <c r="J31" s="388"/>
      <c r="K31" s="388"/>
      <c r="L31" s="388"/>
      <c r="M31" s="388"/>
      <c r="N31" s="388"/>
      <c r="O31" s="388"/>
      <c r="P31" s="388"/>
      <c r="Q31" s="388"/>
      <c r="R31" s="388"/>
      <c r="S31" s="389"/>
      <c r="T31" s="83"/>
      <c r="U31" s="418"/>
      <c r="V31" s="419"/>
      <c r="W31" s="419"/>
      <c r="X31" s="419"/>
      <c r="Y31" s="419"/>
      <c r="Z31" s="420"/>
      <c r="AA31" s="82"/>
      <c r="AB31" s="418"/>
      <c r="AC31" s="419"/>
      <c r="AD31" s="419"/>
      <c r="AE31" s="419"/>
      <c r="AF31" s="420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83"/>
      <c r="AS31" s="83"/>
      <c r="AT31" s="83"/>
      <c r="AU31" s="83"/>
      <c r="AV31" s="83"/>
      <c r="AW31" s="83"/>
      <c r="AX31" s="83"/>
      <c r="AY31" s="64"/>
      <c r="AZ31" s="64"/>
      <c r="BA31" s="64"/>
      <c r="BB31" s="64"/>
    </row>
    <row r="32" spans="1:54" x14ac:dyDescent="0.2">
      <c r="A32" s="414"/>
      <c r="C32" s="387"/>
      <c r="D32" s="388"/>
      <c r="E32" s="388"/>
      <c r="F32" s="388"/>
      <c r="G32" s="388"/>
      <c r="H32" s="388"/>
      <c r="I32" s="388"/>
      <c r="J32" s="388"/>
      <c r="K32" s="388"/>
      <c r="L32" s="388"/>
      <c r="M32" s="388"/>
      <c r="N32" s="388"/>
      <c r="O32" s="388"/>
      <c r="P32" s="388"/>
      <c r="Q32" s="388"/>
      <c r="R32" s="388"/>
      <c r="S32" s="389"/>
      <c r="T32" s="83"/>
      <c r="U32" s="418"/>
      <c r="V32" s="419"/>
      <c r="W32" s="419"/>
      <c r="X32" s="419"/>
      <c r="Y32" s="419"/>
      <c r="Z32" s="420"/>
      <c r="AA32" s="82"/>
      <c r="AB32" s="418"/>
      <c r="AC32" s="419"/>
      <c r="AD32" s="419"/>
      <c r="AE32" s="419"/>
      <c r="AF32" s="420"/>
      <c r="AO32" s="64"/>
      <c r="AP32" s="64"/>
      <c r="AQ32" s="83"/>
      <c r="AR32" s="83"/>
      <c r="AS32" s="83"/>
      <c r="AT32" s="83"/>
      <c r="AU32" s="83"/>
      <c r="AV32" s="83"/>
      <c r="AW32" s="83"/>
      <c r="AX32" s="83"/>
      <c r="AY32" s="64"/>
      <c r="AZ32" s="64"/>
      <c r="BA32" s="64"/>
      <c r="BB32" s="64"/>
    </row>
    <row r="33" spans="1:54" x14ac:dyDescent="0.2">
      <c r="A33" s="414"/>
      <c r="C33" s="390"/>
      <c r="D33" s="391"/>
      <c r="E33" s="391"/>
      <c r="F33" s="391"/>
      <c r="G33" s="391"/>
      <c r="H33" s="391"/>
      <c r="I33" s="391"/>
      <c r="J33" s="391"/>
      <c r="K33" s="391"/>
      <c r="L33" s="391"/>
      <c r="M33" s="391"/>
      <c r="N33" s="391"/>
      <c r="O33" s="391"/>
      <c r="P33" s="391"/>
      <c r="Q33" s="391"/>
      <c r="R33" s="391"/>
      <c r="S33" s="392"/>
      <c r="T33" s="83"/>
      <c r="U33" s="421"/>
      <c r="V33" s="422"/>
      <c r="W33" s="422"/>
      <c r="X33" s="422"/>
      <c r="Y33" s="422"/>
      <c r="Z33" s="423"/>
      <c r="AA33" s="82"/>
      <c r="AB33" s="421"/>
      <c r="AC33" s="422"/>
      <c r="AD33" s="422"/>
      <c r="AE33" s="422"/>
      <c r="AF33" s="423"/>
      <c r="AO33" s="64"/>
      <c r="AP33" s="64"/>
      <c r="AQ33" s="83"/>
      <c r="AR33" s="83"/>
      <c r="AS33" s="83"/>
      <c r="AT33" s="83"/>
      <c r="AU33" s="83"/>
      <c r="AV33" s="83"/>
      <c r="AW33" s="83"/>
      <c r="AX33" s="83"/>
      <c r="AY33" s="64"/>
      <c r="AZ33" s="64"/>
      <c r="BA33" s="64"/>
      <c r="BB33" s="64"/>
    </row>
    <row r="34" spans="1:54" x14ac:dyDescent="0.2">
      <c r="AO34" s="64"/>
      <c r="AP34" s="64"/>
      <c r="AQ34" s="83"/>
      <c r="AR34" s="83"/>
      <c r="AS34" s="83"/>
      <c r="AT34" s="83"/>
      <c r="AU34" s="83"/>
      <c r="AV34" s="83"/>
      <c r="AW34" s="83"/>
      <c r="AX34" s="83"/>
      <c r="AY34" s="64"/>
      <c r="AZ34" s="64"/>
      <c r="BA34" s="64"/>
      <c r="BB34" s="64"/>
    </row>
    <row r="35" spans="1:54" ht="15" x14ac:dyDescent="0.25">
      <c r="A35" s="393" t="s">
        <v>148</v>
      </c>
      <c r="B35" s="393"/>
      <c r="C35" s="393"/>
      <c r="D35" s="426" t="s">
        <v>149</v>
      </c>
      <c r="E35" s="427"/>
      <c r="F35" s="427"/>
      <c r="G35" s="428"/>
      <c r="H35" s="426" t="s">
        <v>150</v>
      </c>
      <c r="I35" s="427"/>
      <c r="J35" s="428"/>
      <c r="K35" s="426" t="s">
        <v>151</v>
      </c>
      <c r="L35" s="427"/>
      <c r="M35" s="427"/>
      <c r="N35" s="427"/>
      <c r="O35" s="427"/>
      <c r="P35" s="427"/>
      <c r="Q35" s="427"/>
      <c r="R35" s="427"/>
      <c r="S35" s="427"/>
      <c r="T35" s="427"/>
      <c r="U35" s="427"/>
      <c r="V35" s="427"/>
      <c r="W35" s="427"/>
      <c r="X35" s="427"/>
      <c r="Y35" s="427"/>
      <c r="Z35" s="427"/>
      <c r="AA35" s="428"/>
      <c r="AB35" s="426" t="s">
        <v>152</v>
      </c>
      <c r="AC35" s="429"/>
      <c r="AD35" s="430"/>
      <c r="AE35" s="426" t="s">
        <v>153</v>
      </c>
      <c r="AF35" s="430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</row>
    <row r="36" spans="1:54" ht="15" x14ac:dyDescent="0.25">
      <c r="A36" s="431"/>
      <c r="B36" s="432"/>
      <c r="C36" s="433"/>
      <c r="D36" s="431"/>
      <c r="E36" s="432"/>
      <c r="F36" s="432"/>
      <c r="G36" s="433"/>
      <c r="H36" s="431"/>
      <c r="I36" s="434"/>
      <c r="J36" s="435"/>
      <c r="K36" s="436"/>
      <c r="L36" s="437"/>
      <c r="M36" s="437"/>
      <c r="N36" s="437"/>
      <c r="O36" s="437"/>
      <c r="P36" s="437"/>
      <c r="Q36" s="437"/>
      <c r="R36" s="437"/>
      <c r="S36" s="437"/>
      <c r="T36" s="437"/>
      <c r="U36" s="437"/>
      <c r="V36" s="437"/>
      <c r="W36" s="437"/>
      <c r="X36" s="437"/>
      <c r="Y36" s="437"/>
      <c r="Z36" s="437"/>
      <c r="AA36" s="438"/>
      <c r="AB36" s="439"/>
      <c r="AC36" s="440"/>
      <c r="AD36" s="441"/>
      <c r="AE36" s="424"/>
      <c r="AF36" s="425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</row>
    <row r="37" spans="1:54" ht="15" x14ac:dyDescent="0.25">
      <c r="A37" s="431"/>
      <c r="B37" s="432"/>
      <c r="C37" s="433"/>
      <c r="D37" s="431"/>
      <c r="E37" s="432"/>
      <c r="F37" s="432"/>
      <c r="G37" s="433"/>
      <c r="H37" s="431"/>
      <c r="I37" s="434"/>
      <c r="J37" s="435"/>
      <c r="K37" s="436"/>
      <c r="L37" s="437"/>
      <c r="M37" s="437"/>
      <c r="N37" s="437"/>
      <c r="O37" s="437"/>
      <c r="P37" s="437"/>
      <c r="Q37" s="437"/>
      <c r="R37" s="437"/>
      <c r="S37" s="437"/>
      <c r="T37" s="437"/>
      <c r="U37" s="437"/>
      <c r="V37" s="437"/>
      <c r="W37" s="437"/>
      <c r="X37" s="437"/>
      <c r="Y37" s="437"/>
      <c r="Z37" s="437"/>
      <c r="AA37" s="438"/>
      <c r="AB37" s="439"/>
      <c r="AC37" s="440"/>
      <c r="AD37" s="441"/>
      <c r="AE37" s="424"/>
      <c r="AF37" s="425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</row>
    <row r="38" spans="1:54" s="84" customFormat="1" x14ac:dyDescent="0.2">
      <c r="A38" s="443"/>
      <c r="B38" s="443"/>
      <c r="C38" s="443"/>
      <c r="D38" s="444"/>
      <c r="E38" s="445"/>
      <c r="F38" s="445"/>
      <c r="G38" s="446"/>
      <c r="H38" s="444"/>
      <c r="I38" s="445"/>
      <c r="J38" s="446"/>
      <c r="K38" s="426" t="s">
        <v>154</v>
      </c>
      <c r="L38" s="427"/>
      <c r="M38" s="427"/>
      <c r="N38" s="427"/>
      <c r="O38" s="427"/>
      <c r="P38" s="427"/>
      <c r="Q38" s="427"/>
      <c r="R38" s="427"/>
      <c r="S38" s="427"/>
      <c r="T38" s="427"/>
      <c r="U38" s="427"/>
      <c r="V38" s="427"/>
      <c r="W38" s="427"/>
      <c r="X38" s="427"/>
      <c r="Y38" s="427"/>
      <c r="Z38" s="427"/>
      <c r="AA38" s="428"/>
      <c r="AB38" s="447">
        <f>SUM(AB36:AD37)</f>
        <v>0</v>
      </c>
      <c r="AC38" s="448"/>
      <c r="AD38" s="449"/>
      <c r="AE38" s="442">
        <f>SUM(AE36:AF37)</f>
        <v>0</v>
      </c>
      <c r="AF38" s="442"/>
    </row>
    <row r="39" spans="1:54" s="64" customFormat="1" x14ac:dyDescent="0.2">
      <c r="A39" s="450"/>
      <c r="B39" s="450"/>
      <c r="C39" s="450"/>
      <c r="D39" s="450"/>
      <c r="E39" s="450"/>
      <c r="F39" s="450"/>
      <c r="G39" s="450"/>
      <c r="H39" s="450"/>
      <c r="I39" s="450"/>
      <c r="J39" s="450"/>
      <c r="K39" s="450"/>
      <c r="L39" s="450"/>
      <c r="M39" s="450"/>
      <c r="N39" s="451"/>
      <c r="O39" s="451"/>
      <c r="P39" s="451"/>
      <c r="Q39" s="451"/>
      <c r="R39" s="451"/>
      <c r="S39" s="451"/>
      <c r="T39" s="451"/>
      <c r="U39" s="451"/>
      <c r="V39" s="451"/>
      <c r="W39" s="451"/>
      <c r="X39" s="451"/>
      <c r="Y39" s="451"/>
      <c r="Z39" s="451"/>
      <c r="AA39" s="451"/>
      <c r="AB39" s="451"/>
      <c r="AC39" s="451"/>
      <c r="AD39" s="85"/>
      <c r="AE39" s="85"/>
      <c r="AF39" s="85"/>
    </row>
    <row r="40" spans="1:54" s="64" customFormat="1" x14ac:dyDescent="0.2">
      <c r="A40" s="450"/>
      <c r="B40" s="450"/>
      <c r="C40" s="450"/>
      <c r="D40" s="450"/>
      <c r="E40" s="450"/>
      <c r="F40" s="450"/>
      <c r="G40" s="450"/>
      <c r="H40" s="450"/>
      <c r="I40" s="450"/>
      <c r="J40" s="450"/>
      <c r="K40" s="450"/>
      <c r="L40" s="450"/>
      <c r="M40" s="450"/>
      <c r="N40" s="451"/>
      <c r="O40" s="451"/>
      <c r="P40" s="451"/>
      <c r="Q40" s="451"/>
      <c r="R40" s="451"/>
      <c r="S40" s="451"/>
      <c r="T40" s="451"/>
      <c r="U40" s="451"/>
      <c r="V40" s="451"/>
      <c r="W40" s="451"/>
      <c r="X40" s="451"/>
      <c r="Y40" s="451"/>
      <c r="Z40" s="451"/>
      <c r="AA40" s="451"/>
      <c r="AB40" s="451"/>
      <c r="AC40" s="451"/>
      <c r="AD40" s="85"/>
      <c r="AE40" s="85"/>
      <c r="AF40" s="85"/>
    </row>
    <row r="41" spans="1:54" x14ac:dyDescent="0.2">
      <c r="A41" s="64"/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</row>
  </sheetData>
  <mergeCells count="66">
    <mergeCell ref="A39:C39"/>
    <mergeCell ref="D39:J39"/>
    <mergeCell ref="K39:M39"/>
    <mergeCell ref="N39:AC39"/>
    <mergeCell ref="A40:C40"/>
    <mergeCell ref="D40:J40"/>
    <mergeCell ref="K40:M40"/>
    <mergeCell ref="N40:AC40"/>
    <mergeCell ref="AE38:AF38"/>
    <mergeCell ref="A37:C37"/>
    <mergeCell ref="D37:G37"/>
    <mergeCell ref="H37:J37"/>
    <mergeCell ref="K37:AA37"/>
    <mergeCell ref="AB37:AD37"/>
    <mergeCell ref="AE37:AF37"/>
    <mergeCell ref="A38:C38"/>
    <mergeCell ref="D38:G38"/>
    <mergeCell ref="H38:J38"/>
    <mergeCell ref="K38:AA38"/>
    <mergeCell ref="AB38:AD38"/>
    <mergeCell ref="AE36:AF36"/>
    <mergeCell ref="A35:C35"/>
    <mergeCell ref="D35:G35"/>
    <mergeCell ref="H35:J35"/>
    <mergeCell ref="K35:AA35"/>
    <mergeCell ref="AB35:AD35"/>
    <mergeCell ref="AE35:AF35"/>
    <mergeCell ref="A36:C36"/>
    <mergeCell ref="D36:G36"/>
    <mergeCell ref="H36:J36"/>
    <mergeCell ref="K36:AA36"/>
    <mergeCell ref="AB36:AD36"/>
    <mergeCell ref="A15:A23"/>
    <mergeCell ref="C15:S23"/>
    <mergeCell ref="U15:Z33"/>
    <mergeCell ref="AB15:AF33"/>
    <mergeCell ref="A25:A33"/>
    <mergeCell ref="C25:S33"/>
    <mergeCell ref="AB13:AC13"/>
    <mergeCell ref="A11:E11"/>
    <mergeCell ref="F11:K11"/>
    <mergeCell ref="M11:N11"/>
    <mergeCell ref="O11:R11"/>
    <mergeCell ref="Z11:AA11"/>
    <mergeCell ref="AB11:AC11"/>
    <mergeCell ref="A13:E13"/>
    <mergeCell ref="F13:K13"/>
    <mergeCell ref="M13:N13"/>
    <mergeCell ref="O13:R13"/>
    <mergeCell ref="Z13:AA13"/>
    <mergeCell ref="AD3:AF4"/>
    <mergeCell ref="Q5:T6"/>
    <mergeCell ref="U5:X6"/>
    <mergeCell ref="Z6:AF6"/>
    <mergeCell ref="Z7:AF9"/>
    <mergeCell ref="Z3:AC4"/>
    <mergeCell ref="A8:G8"/>
    <mergeCell ref="H8:K9"/>
    <mergeCell ref="L8:O9"/>
    <mergeCell ref="Q8:T9"/>
    <mergeCell ref="U8:X9"/>
    <mergeCell ref="A3:G6"/>
    <mergeCell ref="H3:K6"/>
    <mergeCell ref="L3:O6"/>
    <mergeCell ref="Q3:T4"/>
    <mergeCell ref="U3:X4"/>
  </mergeCells>
  <pageMargins left="0" right="0.196850393700787" top="0.196850393700787" bottom="0.31496062992126" header="0.196850393700787" footer="0.196850393700787"/>
  <pageSetup paperSize="9" scale="88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"/>
  <sheetViews>
    <sheetView topLeftCell="A7" workbookViewId="0">
      <selection activeCell="D12" sqref="D12"/>
    </sheetView>
  </sheetViews>
  <sheetFormatPr defaultRowHeight="15" x14ac:dyDescent="0.25"/>
  <cols>
    <col min="1" max="1" width="19.7109375" bestFit="1" customWidth="1"/>
    <col min="2" max="9" width="11" customWidth="1"/>
    <col min="10" max="25" width="12" customWidth="1"/>
  </cols>
  <sheetData>
    <row r="1" spans="1:25" x14ac:dyDescent="0.25">
      <c r="A1" t="s">
        <v>156</v>
      </c>
      <c r="B1" t="s">
        <v>160</v>
      </c>
      <c r="C1" t="s">
        <v>161</v>
      </c>
      <c r="D1" t="s">
        <v>60</v>
      </c>
      <c r="E1" t="s">
        <v>162</v>
      </c>
      <c r="F1" t="s">
        <v>163</v>
      </c>
      <c r="G1" t="s">
        <v>164</v>
      </c>
      <c r="H1" t="s">
        <v>62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  <c r="Q1" t="s">
        <v>173</v>
      </c>
      <c r="R1" t="s">
        <v>174</v>
      </c>
      <c r="S1" t="s">
        <v>175</v>
      </c>
      <c r="T1" t="s">
        <v>176</v>
      </c>
      <c r="U1" t="s">
        <v>177</v>
      </c>
      <c r="V1" t="s">
        <v>178</v>
      </c>
      <c r="W1" t="s">
        <v>179</v>
      </c>
      <c r="X1" t="s">
        <v>180</v>
      </c>
      <c r="Y1" t="s">
        <v>181</v>
      </c>
    </row>
    <row r="2" spans="1:25" x14ac:dyDescent="0.25">
      <c r="B2" s="38"/>
      <c r="C2" s="38"/>
      <c r="D2" s="38"/>
      <c r="E2" s="86"/>
      <c r="F2" s="86"/>
      <c r="G2" s="38"/>
      <c r="H2" s="38"/>
      <c r="I2" s="38"/>
      <c r="J2" s="38"/>
      <c r="K2" s="38"/>
      <c r="L2" s="86"/>
      <c r="M2" s="86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"/>
  <sheetViews>
    <sheetView topLeftCell="A13" workbookViewId="0">
      <selection activeCell="E11" sqref="E11"/>
    </sheetView>
  </sheetViews>
  <sheetFormatPr defaultRowHeight="15" x14ac:dyDescent="0.25"/>
  <cols>
    <col min="1" max="1" width="25.140625" bestFit="1" customWidth="1"/>
    <col min="2" max="8" width="11" customWidth="1"/>
  </cols>
  <sheetData>
    <row r="1" spans="1:8" x14ac:dyDescent="0.25">
      <c r="A1" t="s">
        <v>155</v>
      </c>
      <c r="B1" t="s">
        <v>156</v>
      </c>
      <c r="C1" t="s">
        <v>57</v>
      </c>
      <c r="D1" t="s">
        <v>157</v>
      </c>
      <c r="E1" t="s">
        <v>63</v>
      </c>
      <c r="F1" t="s">
        <v>64</v>
      </c>
      <c r="G1" t="s">
        <v>158</v>
      </c>
      <c r="H1" t="s">
        <v>159</v>
      </c>
    </row>
    <row r="2" spans="1:8" x14ac:dyDescent="0.25">
      <c r="C2" s="38"/>
      <c r="D2" s="38"/>
      <c r="E2" s="38"/>
      <c r="F2" s="38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F79"/>
  <sheetViews>
    <sheetView view="pageBreakPreview" topLeftCell="A12" zoomScale="55" zoomScaleNormal="55" zoomScaleSheetLayoutView="55" workbookViewId="0">
      <selection activeCell="A15" sqref="A15:I41"/>
    </sheetView>
  </sheetViews>
  <sheetFormatPr defaultRowHeight="15" x14ac:dyDescent="0.25"/>
  <cols>
    <col min="1" max="1" width="9.28515625" style="178" customWidth="1"/>
    <col min="2" max="4" width="20.7109375" style="178" customWidth="1"/>
    <col min="5" max="5" width="17" style="178" customWidth="1"/>
    <col min="6" max="9" width="8.85546875" style="178" customWidth="1"/>
    <col min="10" max="10" width="5.42578125" style="178" customWidth="1"/>
    <col min="11" max="13" width="9.5703125" style="178" customWidth="1"/>
    <col min="14" max="16" width="14.7109375" style="178" customWidth="1"/>
    <col min="17" max="17" width="7.28515625" style="178" customWidth="1"/>
    <col min="18" max="21" width="8.85546875" style="178" customWidth="1"/>
    <col min="22" max="24" width="9.140625" style="178" customWidth="1"/>
    <col min="25" max="25" width="52" style="178" customWidth="1"/>
    <col min="26" max="26" width="9.140625" style="178" customWidth="1"/>
    <col min="27" max="16384" width="9.140625" style="178"/>
  </cols>
  <sheetData>
    <row r="1" spans="1:32" ht="27" thickBot="1" x14ac:dyDescent="0.45">
      <c r="A1" s="170"/>
      <c r="B1" s="171"/>
      <c r="C1" s="171"/>
      <c r="D1" s="171"/>
      <c r="E1" s="172"/>
      <c r="F1" s="172"/>
      <c r="G1" s="173"/>
      <c r="H1" s="174" t="s">
        <v>182</v>
      </c>
      <c r="I1" s="172"/>
      <c r="J1" s="172"/>
      <c r="K1" s="256"/>
      <c r="L1" s="175"/>
      <c r="M1" s="176"/>
      <c r="N1" s="177"/>
      <c r="O1" s="177"/>
      <c r="P1" s="562"/>
      <c r="Q1" s="562"/>
      <c r="R1" s="562"/>
      <c r="S1" s="562"/>
      <c r="T1" s="562"/>
      <c r="U1" s="563"/>
      <c r="W1" s="179"/>
      <c r="X1" s="180"/>
      <c r="Y1" s="180"/>
      <c r="Z1" s="180"/>
      <c r="AA1" s="180"/>
      <c r="AB1" s="180"/>
      <c r="AC1" s="180"/>
      <c r="AD1" s="179"/>
      <c r="AE1" s="179"/>
      <c r="AF1" s="179"/>
    </row>
    <row r="2" spans="1:32" ht="26.25" x14ac:dyDescent="0.4">
      <c r="A2" s="170"/>
      <c r="B2" s="171"/>
      <c r="C2" s="171"/>
      <c r="D2" s="171"/>
      <c r="E2" s="172"/>
      <c r="F2" s="172"/>
      <c r="G2" s="172"/>
      <c r="H2" s="181"/>
      <c r="I2" s="173"/>
      <c r="J2" s="182"/>
      <c r="K2" s="256"/>
      <c r="L2" s="183"/>
      <c r="M2" s="184"/>
      <c r="N2" s="185"/>
      <c r="O2" s="185"/>
      <c r="P2" s="186"/>
      <c r="Q2" s="186"/>
      <c r="R2" s="186"/>
      <c r="S2" s="186"/>
      <c r="T2" s="186"/>
      <c r="U2" s="187"/>
      <c r="W2" s="179"/>
      <c r="X2" s="180"/>
      <c r="Y2" s="180"/>
      <c r="Z2" s="180"/>
      <c r="AA2" s="180"/>
      <c r="AB2" s="180"/>
      <c r="AC2" s="180"/>
      <c r="AD2" s="179"/>
      <c r="AE2" s="179"/>
      <c r="AF2" s="179"/>
    </row>
    <row r="3" spans="1:32" ht="26.25" x14ac:dyDescent="0.4">
      <c r="A3" s="188"/>
      <c r="B3" s="189"/>
      <c r="C3" s="189"/>
      <c r="D3" s="189"/>
      <c r="E3" s="190"/>
      <c r="F3" s="190"/>
      <c r="G3" s="190"/>
      <c r="H3" s="191"/>
      <c r="I3" s="192"/>
      <c r="J3" s="193"/>
      <c r="K3" s="257"/>
      <c r="L3" s="194"/>
      <c r="M3" s="195"/>
      <c r="N3" s="196"/>
      <c r="O3" s="196"/>
      <c r="P3" s="197"/>
      <c r="Q3" s="197"/>
      <c r="R3" s="197"/>
      <c r="S3" s="197"/>
      <c r="T3" s="197"/>
      <c r="U3" s="198"/>
      <c r="W3" s="179"/>
      <c r="X3" s="180"/>
      <c r="Y3" s="180"/>
      <c r="Z3" s="180"/>
      <c r="AA3" s="180"/>
      <c r="AB3" s="180"/>
      <c r="AC3" s="180"/>
      <c r="AD3" s="179"/>
      <c r="AE3" s="179"/>
      <c r="AF3" s="179"/>
    </row>
    <row r="4" spans="1:32" ht="26.25" x14ac:dyDescent="0.4">
      <c r="A4" s="188"/>
      <c r="B4" s="189"/>
      <c r="C4" s="189"/>
      <c r="D4" s="189"/>
      <c r="E4" s="190"/>
      <c r="F4" s="190"/>
      <c r="G4" s="190"/>
      <c r="H4" s="191"/>
      <c r="I4" s="192"/>
      <c r="J4" s="193"/>
      <c r="K4" s="257"/>
      <c r="L4" s="194"/>
      <c r="M4" s="195"/>
      <c r="N4" s="196"/>
      <c r="O4" s="196"/>
      <c r="P4" s="197"/>
      <c r="Q4" s="197"/>
      <c r="R4" s="197"/>
      <c r="S4" s="197"/>
      <c r="T4" s="197"/>
      <c r="U4" s="198"/>
      <c r="W4" s="179"/>
      <c r="X4" s="180"/>
      <c r="Y4" s="180"/>
      <c r="Z4" s="180"/>
      <c r="AA4" s="180"/>
      <c r="AB4" s="180"/>
      <c r="AC4" s="180"/>
      <c r="AD4" s="179"/>
      <c r="AE4" s="179"/>
      <c r="AF4" s="179"/>
    </row>
    <row r="5" spans="1:32" ht="27" thickBot="1" x14ac:dyDescent="0.45">
      <c r="A5" s="199"/>
      <c r="B5" s="200"/>
      <c r="C5" s="200"/>
      <c r="D5" s="200"/>
      <c r="E5" s="201"/>
      <c r="F5" s="201"/>
      <c r="G5" s="201"/>
      <c r="H5" s="202"/>
      <c r="I5" s="203"/>
      <c r="J5" s="204"/>
      <c r="K5" s="258"/>
      <c r="L5" s="205"/>
      <c r="M5" s="206"/>
      <c r="N5" s="207"/>
      <c r="O5" s="207"/>
      <c r="P5" s="208"/>
      <c r="Q5" s="208"/>
      <c r="R5" s="208"/>
      <c r="S5" s="208"/>
      <c r="T5" s="208"/>
      <c r="U5" s="209"/>
      <c r="W5" s="179"/>
      <c r="X5" s="180"/>
      <c r="Y5" s="180"/>
      <c r="Z5" s="180"/>
      <c r="AA5" s="180"/>
      <c r="AB5" s="180"/>
      <c r="AC5" s="180"/>
      <c r="AD5" s="179"/>
      <c r="AE5" s="179"/>
      <c r="AF5" s="179"/>
    </row>
    <row r="6" spans="1:32" x14ac:dyDescent="0.25">
      <c r="A6" s="520" t="s">
        <v>183</v>
      </c>
      <c r="B6" s="521"/>
      <c r="C6" s="522" t="str">
        <f>Data1!B2&amp;""</f>
        <v/>
      </c>
      <c r="D6" s="522"/>
      <c r="E6" s="522"/>
      <c r="F6" s="522"/>
      <c r="G6" s="522"/>
      <c r="H6" s="522"/>
      <c r="I6" s="523"/>
      <c r="J6" s="524" t="s">
        <v>184</v>
      </c>
      <c r="K6" s="525"/>
      <c r="L6" s="525"/>
      <c r="M6" s="526">
        <f ca="1">NOW()</f>
        <v>42998.687669791667</v>
      </c>
      <c r="N6" s="526"/>
      <c r="O6" s="526"/>
      <c r="P6" s="526"/>
      <c r="Q6" s="526"/>
      <c r="R6" s="526"/>
      <c r="S6" s="526"/>
      <c r="T6" s="526"/>
      <c r="U6" s="527"/>
      <c r="W6" s="179"/>
      <c r="X6" s="180"/>
      <c r="Y6" s="210"/>
      <c r="Z6" s="210"/>
      <c r="AA6" s="210"/>
      <c r="AB6" s="210"/>
      <c r="AC6" s="210"/>
      <c r="AD6" s="179"/>
      <c r="AE6" s="179"/>
      <c r="AF6" s="179"/>
    </row>
    <row r="7" spans="1:32" x14ac:dyDescent="0.25">
      <c r="A7" s="604" t="s">
        <v>364</v>
      </c>
      <c r="B7" s="605"/>
      <c r="C7" s="566" t="str">
        <f>Data1!C2&amp;""</f>
        <v/>
      </c>
      <c r="D7" s="566"/>
      <c r="E7" s="566"/>
      <c r="F7" s="566"/>
      <c r="G7" s="566"/>
      <c r="H7" s="566"/>
      <c r="I7" s="571"/>
      <c r="J7" s="564" t="s">
        <v>185</v>
      </c>
      <c r="K7" s="565"/>
      <c r="L7" s="565"/>
      <c r="M7" s="566"/>
      <c r="N7" s="566"/>
      <c r="O7" s="566"/>
      <c r="P7" s="566"/>
      <c r="Q7" s="566"/>
      <c r="R7" s="566"/>
      <c r="S7" s="566"/>
      <c r="T7" s="566"/>
      <c r="U7" s="571"/>
      <c r="W7" s="179"/>
      <c r="X7" s="180"/>
      <c r="Y7" s="180"/>
      <c r="Z7" s="180"/>
      <c r="AA7" s="180"/>
      <c r="AB7" s="180"/>
      <c r="AC7" s="180"/>
      <c r="AD7" s="179"/>
      <c r="AE7" s="179"/>
      <c r="AF7" s="179"/>
    </row>
    <row r="8" spans="1:32" x14ac:dyDescent="0.25">
      <c r="A8" s="622" t="s">
        <v>186</v>
      </c>
      <c r="B8" s="623"/>
      <c r="C8" s="481" t="str">
        <f>Data1!D2&amp;""</f>
        <v/>
      </c>
      <c r="D8" s="481"/>
      <c r="E8" s="481"/>
      <c r="F8" s="481"/>
      <c r="G8" s="481"/>
      <c r="H8" s="481"/>
      <c r="I8" s="572"/>
      <c r="J8" s="564" t="s">
        <v>365</v>
      </c>
      <c r="K8" s="565"/>
      <c r="L8" s="565"/>
      <c r="M8" s="566" t="str">
        <f>Data1!E2&amp;""</f>
        <v/>
      </c>
      <c r="N8" s="566"/>
      <c r="O8" s="566"/>
      <c r="P8" s="566"/>
      <c r="Q8" s="566"/>
      <c r="R8" s="566"/>
      <c r="S8" s="566"/>
      <c r="T8" s="566"/>
      <c r="U8" s="571"/>
      <c r="W8" s="179"/>
      <c r="X8" s="180"/>
      <c r="Y8" s="180"/>
      <c r="Z8" s="180"/>
      <c r="AA8" s="180"/>
      <c r="AB8" s="180"/>
      <c r="AC8" s="180"/>
      <c r="AD8" s="179"/>
      <c r="AE8" s="179"/>
      <c r="AF8" s="179"/>
    </row>
    <row r="9" spans="1:32" x14ac:dyDescent="0.25">
      <c r="A9" s="624"/>
      <c r="B9" s="625"/>
      <c r="C9" s="573"/>
      <c r="D9" s="573"/>
      <c r="E9" s="573"/>
      <c r="F9" s="573"/>
      <c r="G9" s="573"/>
      <c r="H9" s="573"/>
      <c r="I9" s="573"/>
      <c r="J9" s="465" t="s">
        <v>187</v>
      </c>
      <c r="K9" s="582"/>
      <c r="L9" s="583"/>
      <c r="M9" s="533" t="str">
        <f>Data1!F2&amp;""</f>
        <v/>
      </c>
      <c r="N9" s="534"/>
      <c r="O9" s="534"/>
      <c r="P9" s="534"/>
      <c r="Q9" s="534"/>
      <c r="R9" s="534"/>
      <c r="S9" s="534"/>
      <c r="T9" s="534"/>
      <c r="U9" s="584"/>
      <c r="W9" s="179"/>
      <c r="X9" s="180"/>
      <c r="Y9" s="180"/>
      <c r="Z9" s="180"/>
      <c r="AA9" s="180"/>
      <c r="AB9" s="180"/>
      <c r="AC9" s="180"/>
      <c r="AD9" s="179"/>
      <c r="AE9" s="179"/>
      <c r="AF9" s="179"/>
    </row>
    <row r="10" spans="1:32" ht="50.1" customHeight="1" thickBot="1" x14ac:dyDescent="0.3">
      <c r="A10" s="626"/>
      <c r="B10" s="627"/>
      <c r="C10" s="574"/>
      <c r="D10" s="575"/>
      <c r="E10" s="575"/>
      <c r="F10" s="575"/>
      <c r="G10" s="575"/>
      <c r="H10" s="575"/>
      <c r="I10" s="575"/>
      <c r="J10" s="576" t="s">
        <v>188</v>
      </c>
      <c r="K10" s="577"/>
      <c r="L10" s="578"/>
      <c r="M10" s="579">
        <f>Data1!G2</f>
        <v>0</v>
      </c>
      <c r="N10" s="580"/>
      <c r="O10" s="580"/>
      <c r="P10" s="580"/>
      <c r="Q10" s="580"/>
      <c r="R10" s="580"/>
      <c r="S10" s="580"/>
      <c r="T10" s="580"/>
      <c r="U10" s="581"/>
      <c r="W10" s="179"/>
      <c r="X10" s="180"/>
      <c r="Y10" s="210"/>
      <c r="Z10" s="180"/>
      <c r="AA10" s="180"/>
      <c r="AB10" s="180"/>
      <c r="AC10" s="180"/>
      <c r="AD10" s="179"/>
      <c r="AE10" s="179"/>
      <c r="AF10" s="179"/>
    </row>
    <row r="11" spans="1:32" ht="15.75" thickBot="1" x14ac:dyDescent="0.3">
      <c r="A11" s="585" t="s">
        <v>366</v>
      </c>
      <c r="B11" s="586"/>
      <c r="C11" s="591"/>
      <c r="D11" s="592"/>
      <c r="E11" s="592"/>
      <c r="F11" s="592"/>
      <c r="G11" s="592"/>
      <c r="H11" s="592"/>
      <c r="I11" s="592"/>
      <c r="J11" s="592"/>
      <c r="K11" s="592"/>
      <c r="L11" s="592"/>
      <c r="M11" s="592"/>
      <c r="N11" s="592"/>
      <c r="O11" s="592"/>
      <c r="P11" s="592"/>
      <c r="Q11" s="593"/>
      <c r="R11" s="587" t="s">
        <v>367</v>
      </c>
      <c r="S11" s="588"/>
      <c r="T11" s="589"/>
      <c r="U11" s="590"/>
      <c r="W11" s="179"/>
      <c r="X11" s="180"/>
      <c r="Y11" s="210"/>
      <c r="Z11" s="180"/>
      <c r="AA11" s="180"/>
      <c r="AB11" s="180"/>
      <c r="AC11" s="180"/>
      <c r="AD11" s="179"/>
      <c r="AE11" s="179"/>
      <c r="AF11" s="179"/>
    </row>
    <row r="12" spans="1:32" x14ac:dyDescent="0.25">
      <c r="A12" s="211"/>
      <c r="B12" s="212"/>
      <c r="C12" s="212"/>
      <c r="D12" s="212"/>
      <c r="E12" s="213"/>
      <c r="F12" s="213"/>
      <c r="G12" s="213"/>
      <c r="H12" s="213"/>
      <c r="I12" s="214"/>
      <c r="J12" s="606">
        <f>Data1!I2</f>
        <v>0</v>
      </c>
      <c r="K12" s="607"/>
      <c r="L12" s="607"/>
      <c r="M12" s="607"/>
      <c r="N12" s="607"/>
      <c r="O12" s="607"/>
      <c r="P12" s="607"/>
      <c r="Q12" s="607"/>
      <c r="R12" s="607"/>
      <c r="S12" s="607"/>
      <c r="T12" s="607"/>
      <c r="U12" s="608"/>
      <c r="W12" s="179"/>
      <c r="X12" s="180"/>
      <c r="Y12" s="180"/>
      <c r="Z12" s="180"/>
      <c r="AA12" s="180"/>
      <c r="AB12" s="180"/>
      <c r="AC12" s="180"/>
      <c r="AD12" s="179"/>
      <c r="AE12" s="179"/>
      <c r="AF12" s="179"/>
    </row>
    <row r="13" spans="1:32" x14ac:dyDescent="0.25">
      <c r="A13" s="215" t="s">
        <v>190</v>
      </c>
      <c r="B13" s="213"/>
      <c r="C13" s="213"/>
      <c r="D13" s="213"/>
      <c r="E13" s="213"/>
      <c r="F13" s="213"/>
      <c r="G13" s="213"/>
      <c r="H13" s="213"/>
      <c r="I13" s="214"/>
      <c r="J13" s="606"/>
      <c r="K13" s="607"/>
      <c r="L13" s="607"/>
      <c r="M13" s="607"/>
      <c r="N13" s="607"/>
      <c r="O13" s="607"/>
      <c r="P13" s="607"/>
      <c r="Q13" s="607"/>
      <c r="R13" s="607"/>
      <c r="S13" s="607"/>
      <c r="T13" s="607"/>
      <c r="U13" s="608"/>
      <c r="W13" s="179"/>
      <c r="X13" s="180"/>
      <c r="Y13" s="180"/>
      <c r="Z13" s="180"/>
      <c r="AA13" s="180"/>
      <c r="AB13" s="180"/>
      <c r="AC13" s="180"/>
      <c r="AD13" s="179"/>
      <c r="AE13" s="179"/>
      <c r="AF13" s="179"/>
    </row>
    <row r="14" spans="1:32" x14ac:dyDescent="0.25">
      <c r="A14" s="216" t="s">
        <v>191</v>
      </c>
      <c r="B14" s="213"/>
      <c r="C14" s="213"/>
      <c r="D14" s="213"/>
      <c r="E14" s="213"/>
      <c r="F14" s="213"/>
      <c r="G14" s="213"/>
      <c r="H14" s="213"/>
      <c r="I14" s="214"/>
      <c r="J14" s="606"/>
      <c r="K14" s="607"/>
      <c r="L14" s="607"/>
      <c r="M14" s="607"/>
      <c r="N14" s="607"/>
      <c r="O14" s="607"/>
      <c r="P14" s="607"/>
      <c r="Q14" s="607"/>
      <c r="R14" s="607"/>
      <c r="S14" s="607"/>
      <c r="T14" s="607"/>
      <c r="U14" s="608"/>
      <c r="W14" s="179"/>
      <c r="X14" s="180"/>
      <c r="Y14" s="180"/>
      <c r="Z14" s="180"/>
      <c r="AA14" s="180"/>
      <c r="AB14" s="180"/>
      <c r="AC14" s="180"/>
      <c r="AD14" s="179"/>
      <c r="AE14" s="179"/>
      <c r="AF14" s="179"/>
    </row>
    <row r="15" spans="1:32" x14ac:dyDescent="0.25">
      <c r="A15" s="594">
        <f>Data1!H2</f>
        <v>0</v>
      </c>
      <c r="B15" s="595"/>
      <c r="C15" s="595"/>
      <c r="D15" s="595"/>
      <c r="E15" s="595"/>
      <c r="F15" s="595"/>
      <c r="G15" s="595"/>
      <c r="H15" s="595"/>
      <c r="I15" s="596"/>
      <c r="J15" s="606"/>
      <c r="K15" s="607"/>
      <c r="L15" s="607"/>
      <c r="M15" s="607"/>
      <c r="N15" s="607"/>
      <c r="O15" s="607"/>
      <c r="P15" s="607"/>
      <c r="Q15" s="607"/>
      <c r="R15" s="607"/>
      <c r="S15" s="607"/>
      <c r="T15" s="607"/>
      <c r="U15" s="608"/>
      <c r="W15" s="179"/>
      <c r="X15" s="180"/>
      <c r="Y15" s="180"/>
      <c r="Z15" s="180"/>
      <c r="AA15" s="180"/>
      <c r="AB15" s="180"/>
      <c r="AC15" s="180"/>
      <c r="AD15" s="179"/>
      <c r="AE15" s="179"/>
      <c r="AF15" s="179"/>
    </row>
    <row r="16" spans="1:32" x14ac:dyDescent="0.25">
      <c r="A16" s="594"/>
      <c r="B16" s="595"/>
      <c r="C16" s="595"/>
      <c r="D16" s="595"/>
      <c r="E16" s="595"/>
      <c r="F16" s="595"/>
      <c r="G16" s="595"/>
      <c r="H16" s="595"/>
      <c r="I16" s="596"/>
      <c r="J16" s="606"/>
      <c r="K16" s="607"/>
      <c r="L16" s="607"/>
      <c r="M16" s="607"/>
      <c r="N16" s="607"/>
      <c r="O16" s="607"/>
      <c r="P16" s="607"/>
      <c r="Q16" s="607"/>
      <c r="R16" s="607"/>
      <c r="S16" s="607"/>
      <c r="T16" s="607"/>
      <c r="U16" s="608"/>
      <c r="W16" s="179"/>
      <c r="X16" s="180"/>
      <c r="Y16" s="180"/>
      <c r="Z16" s="180"/>
      <c r="AA16" s="180"/>
      <c r="AB16" s="180"/>
      <c r="AC16" s="180"/>
      <c r="AD16" s="179"/>
      <c r="AE16" s="179"/>
      <c r="AF16" s="179"/>
    </row>
    <row r="17" spans="1:32" x14ac:dyDescent="0.25">
      <c r="A17" s="594"/>
      <c r="B17" s="595"/>
      <c r="C17" s="595"/>
      <c r="D17" s="595"/>
      <c r="E17" s="595"/>
      <c r="F17" s="595"/>
      <c r="G17" s="595"/>
      <c r="H17" s="595"/>
      <c r="I17" s="596"/>
      <c r="J17" s="606"/>
      <c r="K17" s="607"/>
      <c r="L17" s="607"/>
      <c r="M17" s="607"/>
      <c r="N17" s="607"/>
      <c r="O17" s="607"/>
      <c r="P17" s="607"/>
      <c r="Q17" s="607"/>
      <c r="R17" s="607"/>
      <c r="S17" s="607"/>
      <c r="T17" s="607"/>
      <c r="U17" s="608"/>
      <c r="W17" s="179"/>
      <c r="X17" s="180"/>
      <c r="Y17" s="180"/>
      <c r="Z17" s="180"/>
      <c r="AA17" s="180"/>
      <c r="AB17" s="180"/>
      <c r="AC17" s="180"/>
      <c r="AD17" s="179"/>
      <c r="AE17" s="179"/>
      <c r="AF17" s="179"/>
    </row>
    <row r="18" spans="1:32" x14ac:dyDescent="0.25">
      <c r="A18" s="594"/>
      <c r="B18" s="595"/>
      <c r="C18" s="595"/>
      <c r="D18" s="595"/>
      <c r="E18" s="595"/>
      <c r="F18" s="595"/>
      <c r="G18" s="595"/>
      <c r="H18" s="595"/>
      <c r="I18" s="596"/>
      <c r="J18" s="606"/>
      <c r="K18" s="607"/>
      <c r="L18" s="607"/>
      <c r="M18" s="607"/>
      <c r="N18" s="607"/>
      <c r="O18" s="607"/>
      <c r="P18" s="607"/>
      <c r="Q18" s="607"/>
      <c r="R18" s="607"/>
      <c r="S18" s="607"/>
      <c r="T18" s="607"/>
      <c r="U18" s="608"/>
      <c r="W18" s="179"/>
      <c r="X18" s="180"/>
      <c r="Y18" s="180"/>
      <c r="Z18" s="180"/>
      <c r="AA18" s="180"/>
      <c r="AB18" s="180"/>
      <c r="AC18" s="180"/>
      <c r="AD18" s="179"/>
      <c r="AE18" s="179"/>
      <c r="AF18" s="179"/>
    </row>
    <row r="19" spans="1:32" x14ac:dyDescent="0.25">
      <c r="A19" s="594"/>
      <c r="B19" s="595"/>
      <c r="C19" s="595"/>
      <c r="D19" s="595"/>
      <c r="E19" s="595"/>
      <c r="F19" s="595"/>
      <c r="G19" s="595"/>
      <c r="H19" s="595"/>
      <c r="I19" s="596"/>
      <c r="J19" s="606"/>
      <c r="K19" s="607"/>
      <c r="L19" s="607"/>
      <c r="M19" s="607"/>
      <c r="N19" s="607"/>
      <c r="O19" s="607"/>
      <c r="P19" s="607"/>
      <c r="Q19" s="607"/>
      <c r="R19" s="607"/>
      <c r="S19" s="607"/>
      <c r="T19" s="607"/>
      <c r="U19" s="608"/>
      <c r="W19" s="217"/>
      <c r="X19" s="210"/>
      <c r="Y19" s="210"/>
      <c r="Z19" s="210"/>
      <c r="AA19" s="180"/>
      <c r="AB19" s="180"/>
      <c r="AC19" s="180"/>
      <c r="AD19" s="179"/>
      <c r="AE19" s="179"/>
      <c r="AF19" s="179"/>
    </row>
    <row r="20" spans="1:32" x14ac:dyDescent="0.25">
      <c r="A20" s="594"/>
      <c r="B20" s="595"/>
      <c r="C20" s="595"/>
      <c r="D20" s="595"/>
      <c r="E20" s="595"/>
      <c r="F20" s="595"/>
      <c r="G20" s="595"/>
      <c r="H20" s="595"/>
      <c r="I20" s="596"/>
      <c r="J20" s="606"/>
      <c r="K20" s="607"/>
      <c r="L20" s="607"/>
      <c r="M20" s="607"/>
      <c r="N20" s="607"/>
      <c r="O20" s="607"/>
      <c r="P20" s="607"/>
      <c r="Q20" s="607"/>
      <c r="R20" s="607"/>
      <c r="S20" s="607"/>
      <c r="T20" s="607"/>
      <c r="U20" s="608"/>
      <c r="W20" s="179"/>
      <c r="X20" s="179"/>
      <c r="Y20" s="179"/>
      <c r="Z20" s="179"/>
      <c r="AA20" s="179"/>
      <c r="AB20" s="179"/>
      <c r="AC20" s="179"/>
      <c r="AD20" s="179"/>
      <c r="AE20" s="179"/>
      <c r="AF20" s="179"/>
    </row>
    <row r="21" spans="1:32" x14ac:dyDescent="0.25">
      <c r="A21" s="594"/>
      <c r="B21" s="595"/>
      <c r="C21" s="595"/>
      <c r="D21" s="595"/>
      <c r="E21" s="595"/>
      <c r="F21" s="595"/>
      <c r="G21" s="595"/>
      <c r="H21" s="595"/>
      <c r="I21" s="596"/>
      <c r="J21" s="606"/>
      <c r="K21" s="607"/>
      <c r="L21" s="607"/>
      <c r="M21" s="607"/>
      <c r="N21" s="607"/>
      <c r="O21" s="607"/>
      <c r="P21" s="607"/>
      <c r="Q21" s="607"/>
      <c r="R21" s="607"/>
      <c r="S21" s="607"/>
      <c r="T21" s="607"/>
      <c r="U21" s="608"/>
      <c r="W21" s="179"/>
      <c r="X21" s="179"/>
      <c r="Y21" s="179"/>
      <c r="Z21" s="179"/>
      <c r="AA21" s="179"/>
      <c r="AB21" s="179"/>
      <c r="AC21" s="179"/>
      <c r="AD21" s="179"/>
      <c r="AE21" s="179"/>
      <c r="AF21" s="179"/>
    </row>
    <row r="22" spans="1:32" x14ac:dyDescent="0.25">
      <c r="A22" s="594"/>
      <c r="B22" s="595"/>
      <c r="C22" s="595"/>
      <c r="D22" s="595"/>
      <c r="E22" s="595"/>
      <c r="F22" s="595"/>
      <c r="G22" s="595"/>
      <c r="H22" s="595"/>
      <c r="I22" s="596"/>
      <c r="J22" s="606"/>
      <c r="K22" s="607"/>
      <c r="L22" s="607"/>
      <c r="M22" s="607"/>
      <c r="N22" s="607"/>
      <c r="O22" s="607"/>
      <c r="P22" s="607"/>
      <c r="Q22" s="607"/>
      <c r="R22" s="607"/>
      <c r="S22" s="607"/>
      <c r="T22" s="607"/>
      <c r="U22" s="608"/>
      <c r="W22" s="179"/>
      <c r="X22" s="179"/>
      <c r="Y22" s="179"/>
      <c r="Z22" s="179"/>
      <c r="AA22" s="179"/>
      <c r="AB22" s="179"/>
      <c r="AC22" s="179"/>
      <c r="AD22" s="179"/>
      <c r="AE22" s="179"/>
      <c r="AF22" s="179"/>
    </row>
    <row r="23" spans="1:32" x14ac:dyDescent="0.25">
      <c r="A23" s="594"/>
      <c r="B23" s="595"/>
      <c r="C23" s="595"/>
      <c r="D23" s="595"/>
      <c r="E23" s="595"/>
      <c r="F23" s="595"/>
      <c r="G23" s="595"/>
      <c r="H23" s="595"/>
      <c r="I23" s="596"/>
      <c r="J23" s="606"/>
      <c r="K23" s="607"/>
      <c r="L23" s="607"/>
      <c r="M23" s="607"/>
      <c r="N23" s="607"/>
      <c r="O23" s="607"/>
      <c r="P23" s="607"/>
      <c r="Q23" s="607"/>
      <c r="R23" s="607"/>
      <c r="S23" s="607"/>
      <c r="T23" s="607"/>
      <c r="U23" s="608"/>
      <c r="W23" s="179"/>
      <c r="X23" s="179"/>
      <c r="Y23" s="179"/>
      <c r="Z23" s="179"/>
      <c r="AA23" s="179"/>
      <c r="AB23" s="179"/>
      <c r="AC23" s="179"/>
      <c r="AD23" s="179"/>
      <c r="AE23" s="179"/>
      <c r="AF23" s="179"/>
    </row>
    <row r="24" spans="1:32" x14ac:dyDescent="0.25">
      <c r="A24" s="594"/>
      <c r="B24" s="595"/>
      <c r="C24" s="595"/>
      <c r="D24" s="595"/>
      <c r="E24" s="595"/>
      <c r="F24" s="595"/>
      <c r="G24" s="595"/>
      <c r="H24" s="595"/>
      <c r="I24" s="596"/>
      <c r="J24" s="609"/>
      <c r="K24" s="610"/>
      <c r="L24" s="610"/>
      <c r="M24" s="610"/>
      <c r="N24" s="610"/>
      <c r="O24" s="610"/>
      <c r="P24" s="610"/>
      <c r="Q24" s="610"/>
      <c r="R24" s="610"/>
      <c r="S24" s="610"/>
      <c r="T24" s="610"/>
      <c r="U24" s="611"/>
      <c r="W24" s="179"/>
      <c r="X24" s="179"/>
      <c r="Y24" s="179"/>
      <c r="Z24" s="179"/>
      <c r="AA24" s="179"/>
      <c r="AB24" s="179"/>
      <c r="AC24" s="179"/>
      <c r="AD24" s="179"/>
      <c r="AE24" s="179"/>
      <c r="AF24" s="179"/>
    </row>
    <row r="25" spans="1:32" x14ac:dyDescent="0.25">
      <c r="A25" s="594"/>
      <c r="B25" s="595"/>
      <c r="C25" s="595"/>
      <c r="D25" s="595"/>
      <c r="E25" s="595"/>
      <c r="F25" s="595"/>
      <c r="G25" s="595"/>
      <c r="H25" s="595"/>
      <c r="I25" s="596"/>
      <c r="J25" s="463" t="s">
        <v>192</v>
      </c>
      <c r="K25" s="634"/>
      <c r="L25" s="634"/>
      <c r="M25" s="464"/>
      <c r="N25" s="620" t="str">
        <f>Data1!K2&amp;""</f>
        <v/>
      </c>
      <c r="O25" s="621"/>
      <c r="P25" s="621"/>
      <c r="Q25" s="621"/>
      <c r="R25" s="621"/>
      <c r="S25" s="621"/>
      <c r="T25" s="628" t="s">
        <v>368</v>
      </c>
      <c r="U25" s="259" t="str">
        <f>Data1!L2&amp;""</f>
        <v/>
      </c>
    </row>
    <row r="26" spans="1:32" ht="17.25" customHeight="1" thickBot="1" x14ac:dyDescent="0.3">
      <c r="A26" s="594"/>
      <c r="B26" s="595"/>
      <c r="C26" s="595"/>
      <c r="D26" s="595"/>
      <c r="E26" s="595"/>
      <c r="F26" s="595"/>
      <c r="G26" s="595"/>
      <c r="H26" s="595"/>
      <c r="I26" s="596"/>
      <c r="J26" s="635" t="s">
        <v>193</v>
      </c>
      <c r="K26" s="636"/>
      <c r="L26" s="636"/>
      <c r="M26" s="637"/>
      <c r="N26" s="600" t="str">
        <f>Data1!M2&amp;""</f>
        <v/>
      </c>
      <c r="O26" s="601"/>
      <c r="P26" s="601"/>
      <c r="Q26" s="601"/>
      <c r="R26" s="601"/>
      <c r="S26" s="601"/>
      <c r="T26" s="629"/>
      <c r="U26" s="260" t="str">
        <f>Data1!N2&amp;""</f>
        <v/>
      </c>
      <c r="Y26" s="218"/>
    </row>
    <row r="27" spans="1:32" x14ac:dyDescent="0.25">
      <c r="A27" s="594"/>
      <c r="B27" s="595"/>
      <c r="C27" s="595"/>
      <c r="D27" s="595"/>
      <c r="E27" s="595"/>
      <c r="F27" s="595"/>
      <c r="G27" s="595"/>
      <c r="H27" s="595"/>
      <c r="I27" s="596"/>
      <c r="J27" s="606">
        <f>Data1!J2</f>
        <v>0</v>
      </c>
      <c r="K27" s="607"/>
      <c r="L27" s="607"/>
      <c r="M27" s="607"/>
      <c r="N27" s="607"/>
      <c r="O27" s="607"/>
      <c r="P27" s="607"/>
      <c r="Q27" s="607"/>
      <c r="R27" s="607"/>
      <c r="S27" s="607"/>
      <c r="T27" s="607"/>
      <c r="U27" s="608"/>
    </row>
    <row r="28" spans="1:32" x14ac:dyDescent="0.25">
      <c r="A28" s="594"/>
      <c r="B28" s="595"/>
      <c r="C28" s="595"/>
      <c r="D28" s="595"/>
      <c r="E28" s="595"/>
      <c r="F28" s="595"/>
      <c r="G28" s="595"/>
      <c r="H28" s="595"/>
      <c r="I28" s="596"/>
      <c r="J28" s="606"/>
      <c r="K28" s="607"/>
      <c r="L28" s="607"/>
      <c r="M28" s="607"/>
      <c r="N28" s="607"/>
      <c r="O28" s="607"/>
      <c r="P28" s="607"/>
      <c r="Q28" s="607"/>
      <c r="R28" s="607"/>
      <c r="S28" s="607"/>
      <c r="T28" s="607"/>
      <c r="U28" s="608"/>
      <c r="Z28" s="218"/>
      <c r="AA28" s="218"/>
      <c r="AB28" s="218"/>
      <c r="AC28" s="218"/>
    </row>
    <row r="29" spans="1:32" x14ac:dyDescent="0.25">
      <c r="A29" s="594"/>
      <c r="B29" s="595"/>
      <c r="C29" s="595"/>
      <c r="D29" s="595"/>
      <c r="E29" s="595"/>
      <c r="F29" s="595"/>
      <c r="G29" s="595"/>
      <c r="H29" s="595"/>
      <c r="I29" s="596"/>
      <c r="J29" s="606"/>
      <c r="K29" s="607"/>
      <c r="L29" s="607"/>
      <c r="M29" s="607"/>
      <c r="N29" s="607"/>
      <c r="O29" s="607"/>
      <c r="P29" s="607"/>
      <c r="Q29" s="607"/>
      <c r="R29" s="607"/>
      <c r="S29" s="607"/>
      <c r="T29" s="607"/>
      <c r="U29" s="608"/>
    </row>
    <row r="30" spans="1:32" x14ac:dyDescent="0.25">
      <c r="A30" s="594"/>
      <c r="B30" s="595"/>
      <c r="C30" s="595"/>
      <c r="D30" s="595"/>
      <c r="E30" s="595"/>
      <c r="F30" s="595"/>
      <c r="G30" s="595"/>
      <c r="H30" s="595"/>
      <c r="I30" s="596"/>
      <c r="J30" s="606"/>
      <c r="K30" s="607"/>
      <c r="L30" s="607"/>
      <c r="M30" s="607"/>
      <c r="N30" s="607"/>
      <c r="O30" s="607"/>
      <c r="P30" s="607"/>
      <c r="Q30" s="607"/>
      <c r="R30" s="607"/>
      <c r="S30" s="607"/>
      <c r="T30" s="607"/>
      <c r="U30" s="608"/>
    </row>
    <row r="31" spans="1:32" x14ac:dyDescent="0.25">
      <c r="A31" s="594"/>
      <c r="B31" s="595"/>
      <c r="C31" s="595"/>
      <c r="D31" s="595"/>
      <c r="E31" s="595"/>
      <c r="F31" s="595"/>
      <c r="G31" s="595"/>
      <c r="H31" s="595"/>
      <c r="I31" s="596"/>
      <c r="J31" s="606"/>
      <c r="K31" s="607"/>
      <c r="L31" s="607"/>
      <c r="M31" s="607"/>
      <c r="N31" s="607"/>
      <c r="O31" s="607"/>
      <c r="P31" s="607"/>
      <c r="Q31" s="607"/>
      <c r="R31" s="607"/>
      <c r="S31" s="607"/>
      <c r="T31" s="607"/>
      <c r="U31" s="608"/>
    </row>
    <row r="32" spans="1:32" x14ac:dyDescent="0.25">
      <c r="A32" s="594"/>
      <c r="B32" s="595"/>
      <c r="C32" s="595"/>
      <c r="D32" s="595"/>
      <c r="E32" s="595"/>
      <c r="F32" s="595"/>
      <c r="G32" s="595"/>
      <c r="H32" s="595"/>
      <c r="I32" s="596"/>
      <c r="J32" s="606"/>
      <c r="K32" s="607"/>
      <c r="L32" s="607"/>
      <c r="M32" s="607"/>
      <c r="N32" s="607"/>
      <c r="O32" s="607"/>
      <c r="P32" s="607"/>
      <c r="Q32" s="607"/>
      <c r="R32" s="607"/>
      <c r="S32" s="607"/>
      <c r="T32" s="607"/>
      <c r="U32" s="608"/>
    </row>
    <row r="33" spans="1:30" x14ac:dyDescent="0.25">
      <c r="A33" s="594"/>
      <c r="B33" s="595"/>
      <c r="C33" s="595"/>
      <c r="D33" s="595"/>
      <c r="E33" s="595"/>
      <c r="F33" s="595"/>
      <c r="G33" s="595"/>
      <c r="H33" s="595"/>
      <c r="I33" s="596"/>
      <c r="J33" s="606"/>
      <c r="K33" s="607"/>
      <c r="L33" s="607"/>
      <c r="M33" s="607"/>
      <c r="N33" s="607"/>
      <c r="O33" s="607"/>
      <c r="P33" s="607"/>
      <c r="Q33" s="607"/>
      <c r="R33" s="607"/>
      <c r="S33" s="607"/>
      <c r="T33" s="607"/>
      <c r="U33" s="608"/>
      <c r="W33" s="219"/>
    </row>
    <row r="34" spans="1:30" x14ac:dyDescent="0.25">
      <c r="A34" s="594"/>
      <c r="B34" s="595"/>
      <c r="C34" s="595"/>
      <c r="D34" s="595"/>
      <c r="E34" s="595"/>
      <c r="F34" s="595"/>
      <c r="G34" s="595"/>
      <c r="H34" s="595"/>
      <c r="I34" s="596"/>
      <c r="J34" s="606"/>
      <c r="K34" s="607"/>
      <c r="L34" s="607"/>
      <c r="M34" s="607"/>
      <c r="N34" s="607"/>
      <c r="O34" s="607"/>
      <c r="P34" s="607"/>
      <c r="Q34" s="607"/>
      <c r="R34" s="607"/>
      <c r="S34" s="607"/>
      <c r="T34" s="607"/>
      <c r="U34" s="608"/>
    </row>
    <row r="35" spans="1:30" x14ac:dyDescent="0.25">
      <c r="A35" s="594"/>
      <c r="B35" s="595"/>
      <c r="C35" s="595"/>
      <c r="D35" s="595"/>
      <c r="E35" s="595"/>
      <c r="F35" s="595"/>
      <c r="G35" s="595"/>
      <c r="H35" s="595"/>
      <c r="I35" s="596"/>
      <c r="J35" s="606"/>
      <c r="K35" s="607"/>
      <c r="L35" s="607"/>
      <c r="M35" s="607"/>
      <c r="N35" s="607"/>
      <c r="O35" s="607"/>
      <c r="P35" s="607"/>
      <c r="Q35" s="607"/>
      <c r="R35" s="607"/>
      <c r="S35" s="607"/>
      <c r="T35" s="607"/>
      <c r="U35" s="608"/>
    </row>
    <row r="36" spans="1:30" x14ac:dyDescent="0.25">
      <c r="A36" s="594"/>
      <c r="B36" s="595"/>
      <c r="C36" s="595"/>
      <c r="D36" s="595"/>
      <c r="E36" s="595"/>
      <c r="F36" s="595"/>
      <c r="G36" s="595"/>
      <c r="H36" s="595"/>
      <c r="I36" s="596"/>
      <c r="J36" s="606"/>
      <c r="K36" s="607"/>
      <c r="L36" s="607"/>
      <c r="M36" s="607"/>
      <c r="N36" s="607"/>
      <c r="O36" s="607"/>
      <c r="P36" s="607"/>
      <c r="Q36" s="607"/>
      <c r="R36" s="607"/>
      <c r="S36" s="607"/>
      <c r="T36" s="607"/>
      <c r="U36" s="608"/>
    </row>
    <row r="37" spans="1:30" x14ac:dyDescent="0.25">
      <c r="A37" s="594"/>
      <c r="B37" s="595"/>
      <c r="C37" s="595"/>
      <c r="D37" s="595"/>
      <c r="E37" s="595"/>
      <c r="F37" s="595"/>
      <c r="G37" s="595"/>
      <c r="H37" s="595"/>
      <c r="I37" s="596"/>
      <c r="J37" s="606"/>
      <c r="K37" s="607"/>
      <c r="L37" s="607"/>
      <c r="M37" s="607"/>
      <c r="N37" s="607"/>
      <c r="O37" s="607"/>
      <c r="P37" s="607"/>
      <c r="Q37" s="607"/>
      <c r="R37" s="607"/>
      <c r="S37" s="607"/>
      <c r="T37" s="607"/>
      <c r="U37" s="608"/>
    </row>
    <row r="38" spans="1:30" x14ac:dyDescent="0.25">
      <c r="A38" s="594"/>
      <c r="B38" s="595"/>
      <c r="C38" s="595"/>
      <c r="D38" s="595"/>
      <c r="E38" s="595"/>
      <c r="F38" s="595"/>
      <c r="G38" s="595"/>
      <c r="H38" s="595"/>
      <c r="I38" s="596"/>
      <c r="J38" s="606"/>
      <c r="K38" s="607"/>
      <c r="L38" s="607"/>
      <c r="M38" s="607"/>
      <c r="N38" s="607"/>
      <c r="O38" s="607"/>
      <c r="P38" s="607"/>
      <c r="Q38" s="607"/>
      <c r="R38" s="607"/>
      <c r="S38" s="607"/>
      <c r="T38" s="607"/>
      <c r="U38" s="608"/>
    </row>
    <row r="39" spans="1:30" ht="17.25" customHeight="1" x14ac:dyDescent="0.25">
      <c r="A39" s="594"/>
      <c r="B39" s="595"/>
      <c r="C39" s="595"/>
      <c r="D39" s="595"/>
      <c r="E39" s="595"/>
      <c r="F39" s="595"/>
      <c r="G39" s="595"/>
      <c r="H39" s="595"/>
      <c r="I39" s="596"/>
      <c r="J39" s="609"/>
      <c r="K39" s="610"/>
      <c r="L39" s="610"/>
      <c r="M39" s="610"/>
      <c r="N39" s="610"/>
      <c r="O39" s="610"/>
      <c r="P39" s="610"/>
      <c r="Q39" s="610"/>
      <c r="R39" s="610"/>
      <c r="S39" s="610"/>
      <c r="T39" s="610"/>
      <c r="U39" s="611"/>
    </row>
    <row r="40" spans="1:30" ht="17.25" customHeight="1" x14ac:dyDescent="0.25">
      <c r="A40" s="594"/>
      <c r="B40" s="595"/>
      <c r="C40" s="595"/>
      <c r="D40" s="595"/>
      <c r="E40" s="595"/>
      <c r="F40" s="595"/>
      <c r="G40" s="595"/>
      <c r="H40" s="595"/>
      <c r="I40" s="596"/>
      <c r="J40" s="261" t="s">
        <v>194</v>
      </c>
      <c r="K40" s="262"/>
      <c r="L40" s="263"/>
      <c r="M40" s="264"/>
      <c r="N40" s="630" t="str">
        <f>Data1!O2&amp;""</f>
        <v/>
      </c>
      <c r="O40" s="621"/>
      <c r="P40" s="621"/>
      <c r="Q40" s="621"/>
      <c r="R40" s="621"/>
      <c r="S40" s="631"/>
      <c r="T40" s="220" t="s">
        <v>368</v>
      </c>
      <c r="U40" s="221" t="str">
        <f>Data1!P2&amp;""</f>
        <v/>
      </c>
    </row>
    <row r="41" spans="1:30" ht="17.25" customHeight="1" thickBot="1" x14ac:dyDescent="0.3">
      <c r="A41" s="597"/>
      <c r="B41" s="598"/>
      <c r="C41" s="598"/>
      <c r="D41" s="598"/>
      <c r="E41" s="598"/>
      <c r="F41" s="598"/>
      <c r="G41" s="598"/>
      <c r="H41" s="598"/>
      <c r="I41" s="599"/>
      <c r="J41" s="265" t="s">
        <v>195</v>
      </c>
      <c r="K41" s="266"/>
      <c r="L41" s="266"/>
      <c r="M41" s="267"/>
      <c r="N41" s="632" t="str">
        <f>Data1!Q2&amp;""</f>
        <v/>
      </c>
      <c r="O41" s="601"/>
      <c r="P41" s="601"/>
      <c r="Q41" s="601"/>
      <c r="R41" s="601"/>
      <c r="S41" s="633"/>
      <c r="T41" s="222"/>
      <c r="U41" s="223"/>
    </row>
    <row r="42" spans="1:30" ht="17.25" customHeight="1" x14ac:dyDescent="0.25">
      <c r="A42" s="612" t="s">
        <v>196</v>
      </c>
      <c r="B42" s="613"/>
      <c r="C42" s="224"/>
      <c r="D42" s="224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5"/>
    </row>
    <row r="43" spans="1:30" ht="17.25" customHeight="1" x14ac:dyDescent="0.25">
      <c r="A43" s="614"/>
      <c r="B43" s="615"/>
      <c r="C43" s="226"/>
      <c r="D43" s="226"/>
      <c r="E43" s="226"/>
      <c r="F43" s="226"/>
      <c r="G43" s="226"/>
      <c r="H43" s="226"/>
      <c r="I43" s="226"/>
      <c r="J43" s="227"/>
      <c r="K43" s="227"/>
      <c r="L43" s="227"/>
      <c r="M43" s="227"/>
      <c r="N43" s="227"/>
      <c r="O43" s="227"/>
      <c r="P43" s="616" t="s">
        <v>197</v>
      </c>
      <c r="Q43" s="619"/>
      <c r="R43" s="616" t="s">
        <v>198</v>
      </c>
      <c r="S43" s="618"/>
      <c r="T43" s="616" t="s">
        <v>199</v>
      </c>
      <c r="U43" s="617"/>
    </row>
    <row r="44" spans="1:30" ht="17.25" customHeight="1" x14ac:dyDescent="0.25">
      <c r="A44" s="268"/>
      <c r="B44" s="269"/>
      <c r="C44" s="228"/>
      <c r="D44" s="228"/>
      <c r="E44" s="229" t="s">
        <v>197</v>
      </c>
      <c r="F44" s="570" t="s">
        <v>198</v>
      </c>
      <c r="G44" s="569"/>
      <c r="H44" s="568" t="s">
        <v>199</v>
      </c>
      <c r="I44" s="569"/>
      <c r="J44" s="262" t="s">
        <v>200</v>
      </c>
      <c r="K44" s="230"/>
      <c r="L44" s="230"/>
      <c r="M44" s="230"/>
      <c r="N44" s="231"/>
      <c r="O44" s="232"/>
      <c r="P44" s="558" t="str">
        <f>Data1!AD2&amp;""</f>
        <v/>
      </c>
      <c r="Q44" s="561"/>
      <c r="R44" s="558" t="str">
        <f>Data1!AE2&amp;""</f>
        <v/>
      </c>
      <c r="S44" s="560"/>
      <c r="T44" s="558" t="str">
        <f>Data1!AF2&amp;""</f>
        <v/>
      </c>
      <c r="U44" s="559"/>
    </row>
    <row r="45" spans="1:30" ht="17.25" customHeight="1" x14ac:dyDescent="0.25">
      <c r="A45" s="233" t="s">
        <v>201</v>
      </c>
      <c r="B45" s="234"/>
      <c r="C45" s="235"/>
      <c r="D45" s="236"/>
      <c r="E45" s="237" t="str">
        <f>Data1!R2&amp;""</f>
        <v/>
      </c>
      <c r="F45" s="555" t="str">
        <f>Data1!S2&amp;""</f>
        <v/>
      </c>
      <c r="G45" s="556"/>
      <c r="H45" s="553" t="str">
        <f>Data1!T2&amp;""</f>
        <v/>
      </c>
      <c r="I45" s="554"/>
      <c r="J45" s="262" t="s">
        <v>202</v>
      </c>
      <c r="K45" s="230"/>
      <c r="L45" s="230"/>
      <c r="M45" s="230"/>
      <c r="N45" s="231"/>
      <c r="O45" s="232"/>
      <c r="P45" s="558" t="str">
        <f>Data1!AG2&amp;""</f>
        <v/>
      </c>
      <c r="Q45" s="561"/>
      <c r="R45" s="558" t="str">
        <f>Data1!AH2&amp;""</f>
        <v/>
      </c>
      <c r="S45" s="560"/>
      <c r="T45" s="558" t="str">
        <f>Data1!AI2&amp;""</f>
        <v/>
      </c>
      <c r="U45" s="559"/>
    </row>
    <row r="46" spans="1:30" ht="17.25" customHeight="1" x14ac:dyDescent="0.25">
      <c r="A46" s="233" t="s">
        <v>203</v>
      </c>
      <c r="B46" s="234"/>
      <c r="C46" s="235"/>
      <c r="D46" s="236"/>
      <c r="E46" s="237" t="str">
        <f>Data1!U2&amp;""</f>
        <v/>
      </c>
      <c r="F46" s="557" t="str">
        <f>Data1!V2&amp;""</f>
        <v/>
      </c>
      <c r="G46" s="556"/>
      <c r="H46" s="553" t="str">
        <f>Data1!W2&amp;""</f>
        <v/>
      </c>
      <c r="I46" s="554"/>
      <c r="J46" s="452"/>
      <c r="K46" s="453"/>
      <c r="L46" s="453"/>
      <c r="M46" s="453"/>
      <c r="N46" s="453"/>
      <c r="O46" s="453"/>
      <c r="P46" s="453"/>
      <c r="Q46" s="453"/>
      <c r="R46" s="453"/>
      <c r="S46" s="453"/>
      <c r="T46" s="453"/>
      <c r="U46" s="454"/>
    </row>
    <row r="47" spans="1:30" ht="17.25" customHeight="1" x14ac:dyDescent="0.25">
      <c r="A47" s="238" t="s">
        <v>204</v>
      </c>
      <c r="B47" s="239"/>
      <c r="C47" s="239"/>
      <c r="D47" s="239"/>
      <c r="E47" s="237" t="str">
        <f>Data1!X2&amp;""</f>
        <v/>
      </c>
      <c r="F47" s="555" t="str">
        <f>Data1!Y2&amp;""</f>
        <v/>
      </c>
      <c r="G47" s="567"/>
      <c r="H47" s="555" t="str">
        <f>Data1!Z2&amp;""</f>
        <v/>
      </c>
      <c r="I47" s="567"/>
      <c r="J47" s="602" t="s">
        <v>205</v>
      </c>
      <c r="K47" s="602"/>
      <c r="L47" s="602"/>
      <c r="M47" s="602"/>
      <c r="N47" s="603"/>
      <c r="O47" s="452" t="str">
        <f>Data1!AJ2&amp;""</f>
        <v/>
      </c>
      <c r="P47" s="453"/>
      <c r="Q47" s="453"/>
      <c r="R47" s="453"/>
      <c r="S47" s="453"/>
      <c r="T47" s="453"/>
      <c r="U47" s="454"/>
    </row>
    <row r="48" spans="1:30" ht="17.25" customHeight="1" x14ac:dyDescent="0.25">
      <c r="A48" s="238" t="s">
        <v>206</v>
      </c>
      <c r="B48" s="239"/>
      <c r="C48" s="239"/>
      <c r="D48" s="239"/>
      <c r="E48" s="237" t="str">
        <f>Data1!AA2&amp;""</f>
        <v/>
      </c>
      <c r="F48" s="555" t="str">
        <f>Data1!AB2&amp;""</f>
        <v/>
      </c>
      <c r="G48" s="567"/>
      <c r="H48" s="555" t="str">
        <f>Data1!AC2&amp;""</f>
        <v/>
      </c>
      <c r="I48" s="567"/>
      <c r="J48" s="461" t="s">
        <v>207</v>
      </c>
      <c r="K48" s="453"/>
      <c r="L48" s="453"/>
      <c r="M48" s="453"/>
      <c r="N48" s="462"/>
      <c r="O48" s="452" t="str">
        <f>Data1!AK2&amp;""</f>
        <v/>
      </c>
      <c r="P48" s="453"/>
      <c r="Q48" s="453"/>
      <c r="R48" s="453"/>
      <c r="S48" s="453"/>
      <c r="T48" s="453"/>
      <c r="U48" s="454"/>
      <c r="AA48" s="218"/>
      <c r="AB48" s="218"/>
      <c r="AC48" s="218"/>
      <c r="AD48" s="218"/>
    </row>
    <row r="49" spans="1:21" ht="17.25" customHeight="1" x14ac:dyDescent="0.25">
      <c r="A49" s="240"/>
      <c r="J49" s="461" t="s">
        <v>208</v>
      </c>
      <c r="K49" s="453"/>
      <c r="L49" s="453"/>
      <c r="M49" s="453"/>
      <c r="N49" s="462"/>
      <c r="O49" s="452" t="str">
        <f>Data1!AL2&amp;""</f>
        <v/>
      </c>
      <c r="P49" s="453"/>
      <c r="Q49" s="453"/>
      <c r="R49" s="453"/>
      <c r="S49" s="453"/>
      <c r="T49" s="453"/>
      <c r="U49" s="454"/>
    </row>
    <row r="50" spans="1:21" ht="17.25" customHeight="1" x14ac:dyDescent="0.25">
      <c r="A50" s="240"/>
      <c r="J50" s="452"/>
      <c r="K50" s="453"/>
      <c r="L50" s="453"/>
      <c r="M50" s="453"/>
      <c r="N50" s="453"/>
      <c r="O50" s="453"/>
      <c r="P50" s="453"/>
      <c r="Q50" s="453"/>
      <c r="R50" s="453"/>
      <c r="S50" s="453"/>
      <c r="T50" s="453"/>
      <c r="U50" s="454"/>
    </row>
    <row r="51" spans="1:21" ht="17.25" customHeight="1" x14ac:dyDescent="0.25">
      <c r="A51" s="564" t="s">
        <v>209</v>
      </c>
      <c r="B51" s="565"/>
      <c r="C51" s="566" t="str">
        <f>Data1!AM2&amp;""</f>
        <v/>
      </c>
      <c r="D51" s="566"/>
      <c r="E51" s="566"/>
      <c r="F51" s="566"/>
      <c r="G51" s="566"/>
      <c r="H51" s="566"/>
      <c r="I51" s="566"/>
      <c r="J51" s="602" t="s">
        <v>210</v>
      </c>
      <c r="K51" s="602"/>
      <c r="L51" s="602"/>
      <c r="M51" s="602"/>
      <c r="N51" s="603"/>
      <c r="O51" s="452" t="str">
        <f>Data1!AP2&amp;""</f>
        <v/>
      </c>
      <c r="P51" s="453"/>
      <c r="Q51" s="453"/>
      <c r="R51" s="453"/>
      <c r="S51" s="453"/>
      <c r="T51" s="453"/>
      <c r="U51" s="454"/>
    </row>
    <row r="52" spans="1:21" ht="17.25" customHeight="1" x14ac:dyDescent="0.25">
      <c r="A52" s="465" t="s">
        <v>369</v>
      </c>
      <c r="B52" s="464"/>
      <c r="C52" s="533" t="str">
        <f>Data1!AN2&amp;""</f>
        <v/>
      </c>
      <c r="D52" s="534"/>
      <c r="E52" s="534"/>
      <c r="F52" s="534"/>
      <c r="G52" s="534"/>
      <c r="H52" s="534"/>
      <c r="I52" s="535"/>
      <c r="J52" s="461" t="s">
        <v>211</v>
      </c>
      <c r="K52" s="453"/>
      <c r="L52" s="453"/>
      <c r="M52" s="453"/>
      <c r="N52" s="462"/>
      <c r="O52" s="452" t="str">
        <f>Data1!AQ2&amp;""</f>
        <v/>
      </c>
      <c r="P52" s="453"/>
      <c r="Q52" s="453"/>
      <c r="R52" s="453"/>
      <c r="S52" s="453"/>
      <c r="T52" s="453"/>
      <c r="U52" s="454"/>
    </row>
    <row r="53" spans="1:21" ht="17.25" customHeight="1" x14ac:dyDescent="0.25">
      <c r="A53" s="463" t="s">
        <v>212</v>
      </c>
      <c r="B53" s="464"/>
      <c r="C53" s="533" t="str">
        <f>Data1!AO2&amp;""</f>
        <v/>
      </c>
      <c r="D53" s="534"/>
      <c r="E53" s="534"/>
      <c r="F53" s="534"/>
      <c r="G53" s="534"/>
      <c r="H53" s="534"/>
      <c r="I53" s="535"/>
      <c r="J53" s="461" t="s">
        <v>213</v>
      </c>
      <c r="K53" s="453"/>
      <c r="L53" s="453"/>
      <c r="M53" s="453"/>
      <c r="N53" s="462"/>
      <c r="O53" s="452" t="str">
        <f>Data1!AR2&amp;""</f>
        <v/>
      </c>
      <c r="P53" s="453"/>
      <c r="Q53" s="453"/>
      <c r="R53" s="453"/>
      <c r="S53" s="453"/>
      <c r="T53" s="453"/>
      <c r="U53" s="454"/>
    </row>
    <row r="54" spans="1:21" ht="17.25" customHeight="1" x14ac:dyDescent="0.25">
      <c r="A54" s="455"/>
      <c r="B54" s="456"/>
      <c r="C54" s="456"/>
      <c r="D54" s="456"/>
      <c r="E54" s="456"/>
      <c r="F54" s="456"/>
      <c r="G54" s="456"/>
      <c r="H54" s="456"/>
      <c r="I54" s="457"/>
      <c r="J54" s="461" t="s">
        <v>214</v>
      </c>
      <c r="K54" s="453"/>
      <c r="L54" s="453"/>
      <c r="M54" s="453"/>
      <c r="N54" s="462"/>
      <c r="O54" s="452" t="str">
        <f>Data1!AS2&amp;""</f>
        <v/>
      </c>
      <c r="P54" s="453"/>
      <c r="Q54" s="453"/>
      <c r="R54" s="453"/>
      <c r="S54" s="453"/>
      <c r="T54" s="453"/>
      <c r="U54" s="454"/>
    </row>
    <row r="55" spans="1:21" ht="17.25" customHeight="1" thickBot="1" x14ac:dyDescent="0.3">
      <c r="A55" s="458"/>
      <c r="B55" s="459"/>
      <c r="C55" s="459"/>
      <c r="D55" s="459"/>
      <c r="E55" s="459"/>
      <c r="F55" s="459"/>
      <c r="G55" s="459"/>
      <c r="H55" s="459"/>
      <c r="I55" s="460"/>
      <c r="J55" s="552" t="s">
        <v>215</v>
      </c>
      <c r="K55" s="456"/>
      <c r="L55" s="456"/>
      <c r="M55" s="456"/>
      <c r="N55" s="457"/>
      <c r="O55" s="550" t="str">
        <f>Data1!AT2&amp;""</f>
        <v/>
      </c>
      <c r="P55" s="456"/>
      <c r="Q55" s="456"/>
      <c r="R55" s="456"/>
      <c r="S55" s="456"/>
      <c r="T55" s="456"/>
      <c r="U55" s="551"/>
    </row>
    <row r="56" spans="1:21" ht="17.25" customHeight="1" x14ac:dyDescent="0.25">
      <c r="A56" s="541" t="s">
        <v>216</v>
      </c>
      <c r="B56" s="537"/>
      <c r="C56" s="537"/>
      <c r="D56" s="537"/>
      <c r="E56" s="537"/>
      <c r="F56" s="537"/>
      <c r="G56" s="537"/>
      <c r="H56" s="537"/>
      <c r="I56" s="537"/>
      <c r="J56" s="537"/>
      <c r="K56" s="537"/>
      <c r="L56" s="537"/>
      <c r="M56" s="537"/>
      <c r="N56" s="537"/>
      <c r="O56" s="537"/>
      <c r="P56" s="537"/>
      <c r="Q56" s="537"/>
      <c r="R56" s="537"/>
      <c r="S56" s="537"/>
      <c r="T56" s="537"/>
      <c r="U56" s="538"/>
    </row>
    <row r="57" spans="1:21" x14ac:dyDescent="0.25">
      <c r="A57" s="542"/>
      <c r="B57" s="539"/>
      <c r="C57" s="539"/>
      <c r="D57" s="539"/>
      <c r="E57" s="539"/>
      <c r="F57" s="539"/>
      <c r="G57" s="539"/>
      <c r="H57" s="539"/>
      <c r="I57" s="539"/>
      <c r="J57" s="539"/>
      <c r="K57" s="539"/>
      <c r="L57" s="539"/>
      <c r="M57" s="539"/>
      <c r="N57" s="539"/>
      <c r="O57" s="539"/>
      <c r="P57" s="539"/>
      <c r="Q57" s="539"/>
      <c r="R57" s="539"/>
      <c r="S57" s="539"/>
      <c r="T57" s="539"/>
      <c r="U57" s="540"/>
    </row>
    <row r="58" spans="1:21" x14ac:dyDescent="0.25">
      <c r="A58" s="241"/>
      <c r="B58" s="242"/>
      <c r="C58" s="242"/>
      <c r="D58" s="242"/>
      <c r="E58" s="242"/>
      <c r="F58" s="242"/>
      <c r="G58" s="242"/>
      <c r="H58" s="242"/>
      <c r="I58" s="242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242"/>
      <c r="U58" s="243"/>
    </row>
    <row r="59" spans="1:21" ht="36.75" customHeight="1" x14ac:dyDescent="0.25">
      <c r="A59" s="244"/>
      <c r="B59" s="532" t="s">
        <v>217</v>
      </c>
      <c r="C59" s="532"/>
      <c r="D59" s="532"/>
      <c r="E59" s="532" t="s">
        <v>218</v>
      </c>
      <c r="F59" s="532"/>
      <c r="G59" s="532" t="s">
        <v>219</v>
      </c>
      <c r="H59" s="532"/>
      <c r="I59" s="532" t="s">
        <v>220</v>
      </c>
      <c r="J59" s="532"/>
      <c r="K59" s="532" t="s">
        <v>221</v>
      </c>
      <c r="L59" s="532"/>
      <c r="M59" s="532"/>
      <c r="N59" s="532" t="s">
        <v>222</v>
      </c>
      <c r="O59" s="532"/>
      <c r="P59" s="532"/>
      <c r="Q59" s="532" t="s">
        <v>223</v>
      </c>
      <c r="R59" s="532"/>
      <c r="S59" s="532"/>
      <c r="T59" s="245"/>
      <c r="U59" s="246"/>
    </row>
    <row r="60" spans="1:21" x14ac:dyDescent="0.25">
      <c r="A60" s="247"/>
      <c r="B60" s="248" t="s">
        <v>197</v>
      </c>
      <c r="C60" s="248" t="s">
        <v>198</v>
      </c>
      <c r="D60" s="248" t="s">
        <v>199</v>
      </c>
      <c r="E60" s="532"/>
      <c r="F60" s="532"/>
      <c r="G60" s="532"/>
      <c r="H60" s="532"/>
      <c r="I60" s="532"/>
      <c r="J60" s="532"/>
      <c r="K60" s="248" t="s">
        <v>224</v>
      </c>
      <c r="L60" s="248" t="s">
        <v>225</v>
      </c>
      <c r="M60" s="248" t="s">
        <v>226</v>
      </c>
      <c r="N60" s="248" t="s">
        <v>197</v>
      </c>
      <c r="O60" s="248" t="s">
        <v>198</v>
      </c>
      <c r="P60" s="248" t="s">
        <v>199</v>
      </c>
      <c r="Q60" s="248" t="s">
        <v>224</v>
      </c>
      <c r="R60" s="248" t="s">
        <v>225</v>
      </c>
      <c r="S60" s="248" t="s">
        <v>226</v>
      </c>
      <c r="T60" s="249"/>
      <c r="U60" s="246"/>
    </row>
    <row r="61" spans="1:21" ht="27.75" customHeight="1" x14ac:dyDescent="0.25">
      <c r="A61" s="250" t="s">
        <v>227</v>
      </c>
      <c r="B61" s="270" t="str">
        <f>Data1!AU2&amp;""</f>
        <v/>
      </c>
      <c r="C61" s="270" t="str">
        <f>Data1!AV2&amp;""</f>
        <v/>
      </c>
      <c r="D61" s="270" t="str">
        <f>Data1!AW2&amp;""</f>
        <v/>
      </c>
      <c r="E61" s="475" t="str">
        <f>Data1!BG2&amp;""</f>
        <v/>
      </c>
      <c r="F61" s="543"/>
      <c r="G61" s="546" t="str">
        <f>Data1!BH2&amp;""</f>
        <v/>
      </c>
      <c r="H61" s="547"/>
      <c r="I61" s="475" t="str">
        <f>Data1!BI2&amp;""</f>
        <v/>
      </c>
      <c r="J61" s="543"/>
      <c r="K61" s="251" t="str">
        <f>Data1!AX2&amp;""</f>
        <v/>
      </c>
      <c r="L61" s="251" t="str">
        <f>Data1!AY2&amp;""</f>
        <v/>
      </c>
      <c r="M61" s="251" t="str">
        <f>Data1!AZ2&amp;""</f>
        <v/>
      </c>
      <c r="N61" s="251"/>
      <c r="O61" s="251"/>
      <c r="P61" s="251"/>
      <c r="Q61" s="251"/>
      <c r="R61" s="251"/>
      <c r="S61" s="251"/>
      <c r="T61" s="242"/>
      <c r="U61" s="243"/>
    </row>
    <row r="62" spans="1:21" ht="27.75" customHeight="1" x14ac:dyDescent="0.25">
      <c r="A62" s="250" t="s">
        <v>228</v>
      </c>
      <c r="B62" s="251" t="str">
        <f>Data1!BA2&amp;""</f>
        <v/>
      </c>
      <c r="C62" s="251" t="str">
        <f>Data1!BB2&amp;""</f>
        <v/>
      </c>
      <c r="D62" s="251" t="str">
        <f>Data1!BC2&amp;""</f>
        <v/>
      </c>
      <c r="E62" s="544"/>
      <c r="F62" s="545"/>
      <c r="G62" s="548"/>
      <c r="H62" s="549"/>
      <c r="I62" s="544"/>
      <c r="J62" s="545"/>
      <c r="K62" s="251" t="str">
        <f>Data1!BD2&amp;""</f>
        <v/>
      </c>
      <c r="L62" s="251" t="str">
        <f>Data1!BE2&amp;""</f>
        <v/>
      </c>
      <c r="M62" s="251" t="str">
        <f>Data1!BF2&amp;""</f>
        <v/>
      </c>
      <c r="N62" s="251"/>
      <c r="O62" s="251"/>
      <c r="P62" s="251"/>
      <c r="Q62" s="251"/>
      <c r="R62" s="251"/>
      <c r="S62" s="251"/>
      <c r="T62" s="242"/>
      <c r="U62" s="243"/>
    </row>
    <row r="63" spans="1:21" ht="15.75" thickBot="1" x14ac:dyDescent="0.3">
      <c r="A63" s="271"/>
      <c r="B63" s="252"/>
      <c r="C63" s="252"/>
      <c r="D63" s="252"/>
      <c r="E63" s="252"/>
      <c r="F63" s="252"/>
      <c r="G63" s="252"/>
      <c r="H63" s="252"/>
      <c r="I63" s="252"/>
      <c r="J63" s="242"/>
      <c r="K63" s="242"/>
      <c r="L63" s="242"/>
      <c r="M63" s="242"/>
      <c r="N63" s="242"/>
      <c r="O63" s="242"/>
      <c r="P63" s="242"/>
      <c r="Q63" s="242"/>
      <c r="R63" s="242"/>
      <c r="S63" s="242"/>
      <c r="T63" s="242"/>
      <c r="U63" s="243"/>
    </row>
    <row r="64" spans="1:21" x14ac:dyDescent="0.25">
      <c r="A64" s="541" t="s">
        <v>229</v>
      </c>
      <c r="B64" s="537"/>
      <c r="C64" s="537"/>
      <c r="D64" s="537"/>
      <c r="E64" s="537"/>
      <c r="F64" s="537"/>
      <c r="G64" s="537"/>
      <c r="H64" s="537"/>
      <c r="I64" s="537"/>
      <c r="J64" s="536" t="s">
        <v>230</v>
      </c>
      <c r="K64" s="537"/>
      <c r="L64" s="537"/>
      <c r="M64" s="537"/>
      <c r="N64" s="537"/>
      <c r="O64" s="537"/>
      <c r="P64" s="537"/>
      <c r="Q64" s="537"/>
      <c r="R64" s="537"/>
      <c r="S64" s="537"/>
      <c r="T64" s="537"/>
      <c r="U64" s="538"/>
    </row>
    <row r="65" spans="1:24" x14ac:dyDescent="0.25">
      <c r="A65" s="542"/>
      <c r="B65" s="539"/>
      <c r="C65" s="539"/>
      <c r="D65" s="539"/>
      <c r="E65" s="539"/>
      <c r="F65" s="539"/>
      <c r="G65" s="539"/>
      <c r="H65" s="539"/>
      <c r="I65" s="539"/>
      <c r="J65" s="539"/>
      <c r="K65" s="539"/>
      <c r="L65" s="539"/>
      <c r="M65" s="539"/>
      <c r="N65" s="539"/>
      <c r="O65" s="539"/>
      <c r="P65" s="539"/>
      <c r="Q65" s="539"/>
      <c r="R65" s="539"/>
      <c r="S65" s="539"/>
      <c r="T65" s="539"/>
      <c r="U65" s="540"/>
    </row>
    <row r="66" spans="1:24" x14ac:dyDescent="0.25">
      <c r="A66" s="480">
        <f>Data1!BJ2</f>
        <v>0</v>
      </c>
      <c r="B66" s="481"/>
      <c r="C66" s="481"/>
      <c r="D66" s="481"/>
      <c r="E66" s="481"/>
      <c r="F66" s="481"/>
      <c r="G66" s="481"/>
      <c r="H66" s="481"/>
      <c r="I66" s="482"/>
      <c r="J66" s="500"/>
      <c r="K66" s="500"/>
      <c r="L66" s="500"/>
      <c r="M66" s="501"/>
      <c r="N66" s="501"/>
      <c r="O66" s="501"/>
      <c r="P66" s="501"/>
      <c r="Q66" s="501"/>
      <c r="R66" s="501"/>
      <c r="S66" s="501"/>
      <c r="T66" s="501"/>
      <c r="U66" s="502"/>
      <c r="X66" s="218"/>
    </row>
    <row r="67" spans="1:24" x14ac:dyDescent="0.25">
      <c r="A67" s="483"/>
      <c r="B67" s="484"/>
      <c r="C67" s="484"/>
      <c r="D67" s="484"/>
      <c r="E67" s="484"/>
      <c r="F67" s="484"/>
      <c r="G67" s="484"/>
      <c r="H67" s="484"/>
      <c r="I67" s="485"/>
      <c r="J67" s="500"/>
      <c r="K67" s="500"/>
      <c r="L67" s="500"/>
      <c r="M67" s="501"/>
      <c r="N67" s="501"/>
      <c r="O67" s="501"/>
      <c r="P67" s="501"/>
      <c r="Q67" s="501"/>
      <c r="R67" s="501"/>
      <c r="S67" s="501"/>
      <c r="T67" s="501"/>
      <c r="U67" s="502"/>
      <c r="X67" s="218"/>
    </row>
    <row r="68" spans="1:24" x14ac:dyDescent="0.25">
      <c r="A68" s="483"/>
      <c r="B68" s="484"/>
      <c r="C68" s="484"/>
      <c r="D68" s="484"/>
      <c r="E68" s="484"/>
      <c r="F68" s="484"/>
      <c r="G68" s="484"/>
      <c r="H68" s="484"/>
      <c r="I68" s="485"/>
      <c r="J68" s="503" t="s">
        <v>138</v>
      </c>
      <c r="K68" s="504"/>
      <c r="L68" s="505"/>
      <c r="M68" s="509" t="str">
        <f>Data1!BK2&amp;""</f>
        <v/>
      </c>
      <c r="N68" s="509"/>
      <c r="O68" s="509"/>
      <c r="P68" s="509"/>
      <c r="Q68" s="509"/>
      <c r="R68" s="509"/>
      <c r="S68" s="509"/>
      <c r="T68" s="509"/>
      <c r="U68" s="510"/>
    </row>
    <row r="69" spans="1:24" x14ac:dyDescent="0.25">
      <c r="A69" s="483"/>
      <c r="B69" s="484"/>
      <c r="C69" s="484"/>
      <c r="D69" s="484"/>
      <c r="E69" s="484"/>
      <c r="F69" s="484"/>
      <c r="G69" s="484"/>
      <c r="H69" s="484"/>
      <c r="I69" s="485"/>
      <c r="J69" s="506"/>
      <c r="K69" s="507"/>
      <c r="L69" s="508"/>
      <c r="M69" s="509"/>
      <c r="N69" s="509"/>
      <c r="O69" s="509"/>
      <c r="P69" s="509"/>
      <c r="Q69" s="509"/>
      <c r="R69" s="509"/>
      <c r="S69" s="509"/>
      <c r="T69" s="509"/>
      <c r="U69" s="510"/>
    </row>
    <row r="70" spans="1:24" ht="15.75" thickBot="1" x14ac:dyDescent="0.3">
      <c r="A70" s="486"/>
      <c r="B70" s="487"/>
      <c r="C70" s="487"/>
      <c r="D70" s="487"/>
      <c r="E70" s="487"/>
      <c r="F70" s="487"/>
      <c r="G70" s="487"/>
      <c r="H70" s="487"/>
      <c r="I70" s="488"/>
      <c r="J70" s="511"/>
      <c r="K70" s="511"/>
      <c r="L70" s="511"/>
      <c r="M70" s="496"/>
      <c r="N70" s="496"/>
      <c r="O70" s="496"/>
      <c r="P70" s="496"/>
      <c r="Q70" s="496"/>
      <c r="R70" s="496"/>
      <c r="S70" s="496"/>
      <c r="T70" s="496"/>
      <c r="U70" s="497"/>
    </row>
    <row r="71" spans="1:24" ht="24" customHeight="1" x14ac:dyDescent="0.25">
      <c r="A71" s="528" t="s">
        <v>231</v>
      </c>
      <c r="B71" s="529"/>
      <c r="C71" s="529"/>
      <c r="D71" s="529"/>
      <c r="E71" s="529"/>
      <c r="F71" s="529"/>
      <c r="G71" s="529"/>
      <c r="H71" s="529"/>
      <c r="I71" s="529"/>
      <c r="J71" s="530" t="s">
        <v>232</v>
      </c>
      <c r="K71" s="529"/>
      <c r="L71" s="529"/>
      <c r="M71" s="529"/>
      <c r="N71" s="529"/>
      <c r="O71" s="529"/>
      <c r="P71" s="529"/>
      <c r="Q71" s="529"/>
      <c r="R71" s="529"/>
      <c r="S71" s="529"/>
      <c r="T71" s="529"/>
      <c r="U71" s="531"/>
    </row>
    <row r="72" spans="1:24" x14ac:dyDescent="0.25">
      <c r="A72" s="513">
        <f>Data1!BL2</f>
        <v>0</v>
      </c>
      <c r="B72" s="467"/>
      <c r="C72" s="467"/>
      <c r="D72" s="467"/>
      <c r="E72" s="467"/>
      <c r="F72" s="467"/>
      <c r="G72" s="467"/>
      <c r="H72" s="467"/>
      <c r="I72" s="476"/>
      <c r="J72" s="466"/>
      <c r="K72" s="467"/>
      <c r="L72" s="467"/>
      <c r="M72" s="467"/>
      <c r="N72" s="467"/>
      <c r="O72" s="467"/>
      <c r="P72" s="467"/>
      <c r="Q72" s="467"/>
      <c r="R72" s="467"/>
      <c r="S72" s="467"/>
      <c r="T72" s="467"/>
      <c r="U72" s="468"/>
    </row>
    <row r="73" spans="1:24" x14ac:dyDescent="0.25">
      <c r="A73" s="514"/>
      <c r="B73" s="470"/>
      <c r="C73" s="470"/>
      <c r="D73" s="470"/>
      <c r="E73" s="470"/>
      <c r="F73" s="470"/>
      <c r="G73" s="470"/>
      <c r="H73" s="470"/>
      <c r="I73" s="515"/>
      <c r="J73" s="469"/>
      <c r="K73" s="470"/>
      <c r="L73" s="470"/>
      <c r="M73" s="470"/>
      <c r="N73" s="470"/>
      <c r="O73" s="470"/>
      <c r="P73" s="470"/>
      <c r="Q73" s="470"/>
      <c r="R73" s="470"/>
      <c r="S73" s="470"/>
      <c r="T73" s="470"/>
      <c r="U73" s="471"/>
    </row>
    <row r="74" spans="1:24" x14ac:dyDescent="0.25">
      <c r="A74" s="514"/>
      <c r="B74" s="470"/>
      <c r="C74" s="470"/>
      <c r="D74" s="470"/>
      <c r="E74" s="470"/>
      <c r="F74" s="470"/>
      <c r="G74" s="470"/>
      <c r="H74" s="470"/>
      <c r="I74" s="515"/>
      <c r="J74" s="469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1"/>
    </row>
    <row r="75" spans="1:24" x14ac:dyDescent="0.25">
      <c r="A75" s="514"/>
      <c r="B75" s="470"/>
      <c r="C75" s="470"/>
      <c r="D75" s="470"/>
      <c r="E75" s="470"/>
      <c r="F75" s="470"/>
      <c r="G75" s="470"/>
      <c r="H75" s="470"/>
      <c r="I75" s="515"/>
      <c r="J75" s="469"/>
      <c r="K75" s="470"/>
      <c r="L75" s="470"/>
      <c r="M75" s="470"/>
      <c r="N75" s="470"/>
      <c r="O75" s="470"/>
      <c r="P75" s="470"/>
      <c r="Q75" s="470"/>
      <c r="R75" s="470"/>
      <c r="S75" s="470"/>
      <c r="T75" s="470"/>
      <c r="U75" s="471"/>
    </row>
    <row r="76" spans="1:24" x14ac:dyDescent="0.25">
      <c r="A76" s="514"/>
      <c r="B76" s="470"/>
      <c r="C76" s="470"/>
      <c r="D76" s="470"/>
      <c r="E76" s="470"/>
      <c r="F76" s="470"/>
      <c r="G76" s="470"/>
      <c r="H76" s="470"/>
      <c r="I76" s="515"/>
      <c r="J76" s="469"/>
      <c r="K76" s="470"/>
      <c r="L76" s="470"/>
      <c r="M76" s="470"/>
      <c r="N76" s="470"/>
      <c r="O76" s="470"/>
      <c r="P76" s="470"/>
      <c r="Q76" s="470"/>
      <c r="R76" s="470"/>
      <c r="S76" s="470"/>
      <c r="T76" s="470"/>
      <c r="U76" s="471"/>
    </row>
    <row r="77" spans="1:24" ht="48.95" customHeight="1" x14ac:dyDescent="0.25">
      <c r="A77" s="516"/>
      <c r="B77" s="473"/>
      <c r="C77" s="473"/>
      <c r="D77" s="473"/>
      <c r="E77" s="473"/>
      <c r="F77" s="473"/>
      <c r="G77" s="473"/>
      <c r="H77" s="473"/>
      <c r="I77" s="517"/>
      <c r="J77" s="472"/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4" x14ac:dyDescent="0.25">
      <c r="A78" s="518"/>
      <c r="B78" s="467"/>
      <c r="C78" s="467"/>
      <c r="D78" s="467"/>
      <c r="E78" s="476"/>
      <c r="F78" s="512" t="s">
        <v>233</v>
      </c>
      <c r="G78" s="512"/>
      <c r="H78" s="489"/>
      <c r="I78" s="489"/>
      <c r="J78" s="475"/>
      <c r="K78" s="467"/>
      <c r="L78" s="467"/>
      <c r="M78" s="467"/>
      <c r="N78" s="467"/>
      <c r="O78" s="467"/>
      <c r="P78" s="467"/>
      <c r="Q78" s="476"/>
      <c r="R78" s="253" t="s">
        <v>233</v>
      </c>
      <c r="S78" s="490"/>
      <c r="T78" s="491"/>
      <c r="U78" s="492"/>
    </row>
    <row r="79" spans="1:24" ht="15.75" thickBot="1" x14ac:dyDescent="0.3">
      <c r="A79" s="519"/>
      <c r="B79" s="478"/>
      <c r="C79" s="478"/>
      <c r="D79" s="478"/>
      <c r="E79" s="479"/>
      <c r="F79" s="498" t="s">
        <v>184</v>
      </c>
      <c r="G79" s="498"/>
      <c r="H79" s="499">
        <f ca="1">M6</f>
        <v>42998.687669791667</v>
      </c>
      <c r="I79" s="499"/>
      <c r="J79" s="477"/>
      <c r="K79" s="478"/>
      <c r="L79" s="478"/>
      <c r="M79" s="478"/>
      <c r="N79" s="478"/>
      <c r="O79" s="478"/>
      <c r="P79" s="478"/>
      <c r="Q79" s="479"/>
      <c r="R79" s="254" t="s">
        <v>184</v>
      </c>
      <c r="S79" s="493"/>
      <c r="T79" s="494"/>
      <c r="U79" s="495"/>
    </row>
  </sheetData>
  <mergeCells count="108">
    <mergeCell ref="J50:U50"/>
    <mergeCell ref="O47:U47"/>
    <mergeCell ref="O48:U48"/>
    <mergeCell ref="J51:N51"/>
    <mergeCell ref="T25:T26"/>
    <mergeCell ref="O51:U51"/>
    <mergeCell ref="N40:S40"/>
    <mergeCell ref="N41:S41"/>
    <mergeCell ref="J25:M25"/>
    <mergeCell ref="J26:M26"/>
    <mergeCell ref="R45:S45"/>
    <mergeCell ref="P45:Q45"/>
    <mergeCell ref="J46:U46"/>
    <mergeCell ref="J48:N48"/>
    <mergeCell ref="J49:N49"/>
    <mergeCell ref="A7:B7"/>
    <mergeCell ref="C7:I7"/>
    <mergeCell ref="J7:L7"/>
    <mergeCell ref="J12:U24"/>
    <mergeCell ref="J27:U39"/>
    <mergeCell ref="A42:B43"/>
    <mergeCell ref="T43:U43"/>
    <mergeCell ref="R43:S43"/>
    <mergeCell ref="P43:Q43"/>
    <mergeCell ref="N25:S25"/>
    <mergeCell ref="A8:B10"/>
    <mergeCell ref="A51:B51"/>
    <mergeCell ref="C51:I51"/>
    <mergeCell ref="H47:I47"/>
    <mergeCell ref="H48:I48"/>
    <mergeCell ref="F47:G47"/>
    <mergeCell ref="F48:G48"/>
    <mergeCell ref="H44:I44"/>
    <mergeCell ref="F44:G44"/>
    <mergeCell ref="M7:U7"/>
    <mergeCell ref="C8:I10"/>
    <mergeCell ref="J8:L8"/>
    <mergeCell ref="M8:U8"/>
    <mergeCell ref="J10:L10"/>
    <mergeCell ref="M10:U10"/>
    <mergeCell ref="J9:L9"/>
    <mergeCell ref="M9:U9"/>
    <mergeCell ref="A11:B11"/>
    <mergeCell ref="R11:S11"/>
    <mergeCell ref="T11:U11"/>
    <mergeCell ref="C11:Q11"/>
    <mergeCell ref="O49:U49"/>
    <mergeCell ref="A15:I41"/>
    <mergeCell ref="N26:S26"/>
    <mergeCell ref="J47:N47"/>
    <mergeCell ref="H45:I45"/>
    <mergeCell ref="F45:G45"/>
    <mergeCell ref="H46:I46"/>
    <mergeCell ref="F46:G46"/>
    <mergeCell ref="T44:U44"/>
    <mergeCell ref="R44:S44"/>
    <mergeCell ref="P44:Q44"/>
    <mergeCell ref="T45:U45"/>
    <mergeCell ref="P1:U1"/>
    <mergeCell ref="A6:B6"/>
    <mergeCell ref="C6:I6"/>
    <mergeCell ref="J6:L6"/>
    <mergeCell ref="M6:U6"/>
    <mergeCell ref="A71:I71"/>
    <mergeCell ref="J71:U71"/>
    <mergeCell ref="I59:J60"/>
    <mergeCell ref="C53:I53"/>
    <mergeCell ref="C52:I52"/>
    <mergeCell ref="J64:U65"/>
    <mergeCell ref="B59:D59"/>
    <mergeCell ref="A64:I65"/>
    <mergeCell ref="E61:F62"/>
    <mergeCell ref="G61:H62"/>
    <mergeCell ref="I61:J62"/>
    <mergeCell ref="E59:F60"/>
    <mergeCell ref="G59:H60"/>
    <mergeCell ref="Q59:S59"/>
    <mergeCell ref="K59:M59"/>
    <mergeCell ref="N59:P59"/>
    <mergeCell ref="O55:U55"/>
    <mergeCell ref="J55:N55"/>
    <mergeCell ref="A56:U57"/>
    <mergeCell ref="O53:U53"/>
    <mergeCell ref="J78:Q79"/>
    <mergeCell ref="A66:I70"/>
    <mergeCell ref="H78:I78"/>
    <mergeCell ref="S78:U78"/>
    <mergeCell ref="S79:U79"/>
    <mergeCell ref="M70:U70"/>
    <mergeCell ref="F79:G79"/>
    <mergeCell ref="H79:I79"/>
    <mergeCell ref="J66:L67"/>
    <mergeCell ref="M66:U67"/>
    <mergeCell ref="J68:L69"/>
    <mergeCell ref="M68:U69"/>
    <mergeCell ref="J70:L70"/>
    <mergeCell ref="F78:G78"/>
    <mergeCell ref="A72:I77"/>
    <mergeCell ref="A78:E79"/>
    <mergeCell ref="O54:U54"/>
    <mergeCell ref="A54:I55"/>
    <mergeCell ref="J52:N52"/>
    <mergeCell ref="A53:B53"/>
    <mergeCell ref="A52:B52"/>
    <mergeCell ref="O52:U52"/>
    <mergeCell ref="J53:N53"/>
    <mergeCell ref="J54:N54"/>
    <mergeCell ref="J72:U77"/>
  </mergeCells>
  <conditionalFormatting sqref="C52:I52">
    <cfRule type="expression" dxfId="31" priority="32">
      <formula>$Z$1</formula>
    </cfRule>
  </conditionalFormatting>
  <conditionalFormatting sqref="C53:I53">
    <cfRule type="expression" dxfId="30" priority="31">
      <formula>$Z$2</formula>
    </cfRule>
  </conditionalFormatting>
  <conditionalFormatting sqref="T44">
    <cfRule type="expression" dxfId="29" priority="30">
      <formula>$Z$3</formula>
    </cfRule>
  </conditionalFormatting>
  <conditionalFormatting sqref="T45">
    <cfRule type="expression" dxfId="28" priority="29">
      <formula>$Z$4</formula>
    </cfRule>
  </conditionalFormatting>
  <conditionalFormatting sqref="K61:M61">
    <cfRule type="expression" dxfId="27" priority="28">
      <formula>$Z$5</formula>
    </cfRule>
  </conditionalFormatting>
  <conditionalFormatting sqref="H44:H48">
    <cfRule type="expression" dxfId="26" priority="27">
      <formula>$Z$6</formula>
    </cfRule>
  </conditionalFormatting>
  <conditionalFormatting sqref="O47:U47">
    <cfRule type="expression" dxfId="25" priority="26">
      <formula>$Z$3</formula>
    </cfRule>
  </conditionalFormatting>
  <conditionalFormatting sqref="O48:U48">
    <cfRule type="expression" dxfId="24" priority="25">
      <formula>$Z$3</formula>
    </cfRule>
  </conditionalFormatting>
  <conditionalFormatting sqref="O49:U49">
    <cfRule type="expression" dxfId="23" priority="24">
      <formula>$Z$3</formula>
    </cfRule>
  </conditionalFormatting>
  <conditionalFormatting sqref="O51:U51">
    <cfRule type="expression" dxfId="22" priority="23">
      <formula>$Z$4</formula>
    </cfRule>
  </conditionalFormatting>
  <conditionalFormatting sqref="O52:U52">
    <cfRule type="expression" dxfId="21" priority="22">
      <formula>$Z$4</formula>
    </cfRule>
  </conditionalFormatting>
  <conditionalFormatting sqref="O53:U53">
    <cfRule type="expression" dxfId="20" priority="21">
      <formula>$Z$4</formula>
    </cfRule>
  </conditionalFormatting>
  <conditionalFormatting sqref="O54:U54">
    <cfRule type="expression" dxfId="19" priority="20">
      <formula>$Z$4</formula>
    </cfRule>
  </conditionalFormatting>
  <conditionalFormatting sqref="O55:U55">
    <cfRule type="expression" dxfId="18" priority="19">
      <formula>$Z$4</formula>
    </cfRule>
  </conditionalFormatting>
  <conditionalFormatting sqref="B61">
    <cfRule type="expression" dxfId="17" priority="18">
      <formula>$Z$5</formula>
    </cfRule>
  </conditionalFormatting>
  <conditionalFormatting sqref="C61">
    <cfRule type="expression" dxfId="16" priority="17">
      <formula>$Z$5</formula>
    </cfRule>
  </conditionalFormatting>
  <conditionalFormatting sqref="D61">
    <cfRule type="expression" dxfId="15" priority="16">
      <formula>$Z$5</formula>
    </cfRule>
  </conditionalFormatting>
  <conditionalFormatting sqref="E61:F62">
    <cfRule type="expression" dxfId="14" priority="15">
      <formula>$Z$5</formula>
    </cfRule>
  </conditionalFormatting>
  <conditionalFormatting sqref="G61:H62">
    <cfRule type="expression" dxfId="13" priority="14">
      <formula>$Z$5</formula>
    </cfRule>
  </conditionalFormatting>
  <conditionalFormatting sqref="I61:J62">
    <cfRule type="expression" dxfId="12" priority="13">
      <formula>$Z$5</formula>
    </cfRule>
  </conditionalFormatting>
  <conditionalFormatting sqref="N61">
    <cfRule type="expression" dxfId="11" priority="12">
      <formula>$Z$5</formula>
    </cfRule>
  </conditionalFormatting>
  <conditionalFormatting sqref="O61">
    <cfRule type="expression" dxfId="10" priority="11">
      <formula>$Z$5</formula>
    </cfRule>
  </conditionalFormatting>
  <conditionalFormatting sqref="P61">
    <cfRule type="expression" dxfId="9" priority="10">
      <formula>$Z$5</formula>
    </cfRule>
  </conditionalFormatting>
  <conditionalFormatting sqref="B62">
    <cfRule type="expression" dxfId="8" priority="9">
      <formula>$Z$5</formula>
    </cfRule>
  </conditionalFormatting>
  <conditionalFormatting sqref="C62">
    <cfRule type="expression" dxfId="7" priority="8">
      <formula>$Z$5</formula>
    </cfRule>
  </conditionalFormatting>
  <conditionalFormatting sqref="D62">
    <cfRule type="expression" dxfId="6" priority="7">
      <formula>$Z$5</formula>
    </cfRule>
  </conditionalFormatting>
  <conditionalFormatting sqref="K62">
    <cfRule type="expression" dxfId="5" priority="6">
      <formula>$Z$5</formula>
    </cfRule>
  </conditionalFormatting>
  <conditionalFormatting sqref="L62">
    <cfRule type="expression" dxfId="4" priority="5">
      <formula>$Z$5</formula>
    </cfRule>
  </conditionalFormatting>
  <conditionalFormatting sqref="M62">
    <cfRule type="expression" dxfId="3" priority="4">
      <formula>$Z$5</formula>
    </cfRule>
  </conditionalFormatting>
  <conditionalFormatting sqref="N62">
    <cfRule type="expression" dxfId="2" priority="3">
      <formula>$Z$5</formula>
    </cfRule>
  </conditionalFormatting>
  <conditionalFormatting sqref="O62">
    <cfRule type="expression" dxfId="1" priority="2">
      <formula>$Z$5</formula>
    </cfRule>
  </conditionalFormatting>
  <conditionalFormatting sqref="P62">
    <cfRule type="expression" dxfId="0" priority="1">
      <formula>$Z$5</formula>
    </cfRule>
  </conditionalFormatting>
  <printOptions horizontalCentered="1" verticalCentered="1"/>
  <pageMargins left="0.25" right="0.25" top="0" bottom="0" header="0" footer="0"/>
  <pageSetup paperSize="9" scale="4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K53"/>
  <sheetViews>
    <sheetView view="pageBreakPreview" zoomScaleNormal="100" zoomScaleSheetLayoutView="100" workbookViewId="0">
      <selection activeCell="M25" sqref="M25"/>
    </sheetView>
  </sheetViews>
  <sheetFormatPr defaultColWidth="9.140625" defaultRowHeight="12" x14ac:dyDescent="0.2"/>
  <cols>
    <col min="1" max="9" width="9.7109375" style="87" customWidth="1"/>
    <col min="10" max="16384" width="9.140625" style="87"/>
  </cols>
  <sheetData>
    <row r="1" spans="1:11" x14ac:dyDescent="0.2">
      <c r="A1" s="642"/>
      <c r="B1" s="643"/>
      <c r="C1" s="643"/>
      <c r="D1" s="643"/>
      <c r="E1" s="643"/>
      <c r="F1" s="643"/>
      <c r="G1" s="643"/>
      <c r="H1" s="643"/>
      <c r="I1" s="643"/>
      <c r="J1" s="644"/>
    </row>
    <row r="2" spans="1:11" ht="12.75" thickBot="1" x14ac:dyDescent="0.25">
      <c r="A2" s="645"/>
      <c r="B2" s="646"/>
      <c r="C2" s="646"/>
      <c r="D2" s="646"/>
      <c r="E2" s="646"/>
      <c r="F2" s="646"/>
      <c r="G2" s="646"/>
      <c r="H2" s="646"/>
      <c r="I2" s="646"/>
      <c r="J2" s="647"/>
    </row>
    <row r="3" spans="1:11" ht="15" x14ac:dyDescent="0.2">
      <c r="A3" s="88" t="s">
        <v>234</v>
      </c>
      <c r="B3" s="89"/>
      <c r="C3" s="89"/>
      <c r="D3" s="89"/>
      <c r="E3" s="90"/>
      <c r="F3" s="91" t="s">
        <v>235</v>
      </c>
      <c r="G3" s="92"/>
      <c r="H3" s="92"/>
      <c r="I3" s="92"/>
      <c r="J3" s="93"/>
    </row>
    <row r="4" spans="1:11" x14ac:dyDescent="0.2">
      <c r="A4" s="648"/>
      <c r="B4" s="649"/>
      <c r="C4" s="649"/>
      <c r="D4" s="649"/>
      <c r="E4" s="650"/>
      <c r="F4" s="657"/>
      <c r="G4" s="658"/>
      <c r="H4" s="658"/>
      <c r="I4" s="658"/>
      <c r="J4" s="659"/>
    </row>
    <row r="5" spans="1:11" x14ac:dyDescent="0.2">
      <c r="A5" s="651"/>
      <c r="B5" s="652"/>
      <c r="C5" s="652"/>
      <c r="D5" s="652"/>
      <c r="E5" s="653"/>
      <c r="F5" s="660"/>
      <c r="G5" s="661"/>
      <c r="H5" s="661"/>
      <c r="I5" s="661"/>
      <c r="J5" s="662"/>
    </row>
    <row r="6" spans="1:11" x14ac:dyDescent="0.2">
      <c r="A6" s="651"/>
      <c r="B6" s="652"/>
      <c r="C6" s="652"/>
      <c r="D6" s="652"/>
      <c r="E6" s="653"/>
      <c r="F6" s="660"/>
      <c r="G6" s="661"/>
      <c r="H6" s="661"/>
      <c r="I6" s="661"/>
      <c r="J6" s="662"/>
    </row>
    <row r="7" spans="1:11" x14ac:dyDescent="0.2">
      <c r="A7" s="651"/>
      <c r="B7" s="652"/>
      <c r="C7" s="652"/>
      <c r="D7" s="652"/>
      <c r="E7" s="653"/>
      <c r="F7" s="660"/>
      <c r="G7" s="661"/>
      <c r="H7" s="661"/>
      <c r="I7" s="661"/>
      <c r="J7" s="662"/>
    </row>
    <row r="8" spans="1:11" x14ac:dyDescent="0.2">
      <c r="A8" s="651"/>
      <c r="B8" s="652"/>
      <c r="C8" s="652"/>
      <c r="D8" s="652"/>
      <c r="E8" s="653"/>
      <c r="F8" s="660"/>
      <c r="G8" s="661"/>
      <c r="H8" s="661"/>
      <c r="I8" s="661"/>
      <c r="J8" s="662"/>
    </row>
    <row r="9" spans="1:11" ht="12.75" thickBot="1" x14ac:dyDescent="0.25">
      <c r="A9" s="654"/>
      <c r="B9" s="655"/>
      <c r="C9" s="655"/>
      <c r="D9" s="655"/>
      <c r="E9" s="656"/>
      <c r="F9" s="660"/>
      <c r="G9" s="661"/>
      <c r="H9" s="661"/>
      <c r="I9" s="661"/>
      <c r="J9" s="662"/>
    </row>
    <row r="10" spans="1:11" ht="12" customHeight="1" x14ac:dyDescent="0.2">
      <c r="A10" s="94" t="s">
        <v>236</v>
      </c>
      <c r="B10" s="95"/>
      <c r="C10" s="95"/>
      <c r="D10" s="95"/>
      <c r="E10" s="93"/>
      <c r="F10" s="660"/>
      <c r="G10" s="661"/>
      <c r="H10" s="661"/>
      <c r="I10" s="661"/>
      <c r="J10" s="662"/>
    </row>
    <row r="11" spans="1:11" ht="14.25" customHeight="1" x14ac:dyDescent="0.2">
      <c r="A11" s="651"/>
      <c r="B11" s="652"/>
      <c r="C11" s="652"/>
      <c r="D11" s="652"/>
      <c r="E11" s="653"/>
      <c r="F11" s="660"/>
      <c r="G11" s="661"/>
      <c r="H11" s="661"/>
      <c r="I11" s="661"/>
      <c r="J11" s="662"/>
      <c r="K11" s="96"/>
    </row>
    <row r="12" spans="1:11" ht="14.25" customHeight="1" x14ac:dyDescent="0.2">
      <c r="A12" s="651"/>
      <c r="B12" s="652"/>
      <c r="C12" s="652"/>
      <c r="D12" s="652"/>
      <c r="E12" s="653"/>
      <c r="F12" s="660"/>
      <c r="G12" s="661"/>
      <c r="H12" s="661"/>
      <c r="I12" s="661"/>
      <c r="J12" s="662"/>
    </row>
    <row r="13" spans="1:11" ht="14.25" customHeight="1" x14ac:dyDescent="0.2">
      <c r="A13" s="651"/>
      <c r="B13" s="652"/>
      <c r="C13" s="652"/>
      <c r="D13" s="652"/>
      <c r="E13" s="653"/>
      <c r="F13" s="660"/>
      <c r="G13" s="661"/>
      <c r="H13" s="661"/>
      <c r="I13" s="661"/>
      <c r="J13" s="662"/>
    </row>
    <row r="14" spans="1:11" ht="14.25" customHeight="1" x14ac:dyDescent="0.2">
      <c r="A14" s="651"/>
      <c r="B14" s="652"/>
      <c r="C14" s="652"/>
      <c r="D14" s="652"/>
      <c r="E14" s="653"/>
      <c r="F14" s="660"/>
      <c r="G14" s="661"/>
      <c r="H14" s="661"/>
      <c r="I14" s="661"/>
      <c r="J14" s="662"/>
    </row>
    <row r="15" spans="1:11" ht="14.25" customHeight="1" thickBot="1" x14ac:dyDescent="0.25">
      <c r="A15" s="651"/>
      <c r="B15" s="652"/>
      <c r="C15" s="652"/>
      <c r="D15" s="652"/>
      <c r="E15" s="653"/>
      <c r="F15" s="660"/>
      <c r="G15" s="661"/>
      <c r="H15" s="661"/>
      <c r="I15" s="661"/>
      <c r="J15" s="662"/>
    </row>
    <row r="16" spans="1:11" x14ac:dyDescent="0.2">
      <c r="A16" s="94" t="s">
        <v>237</v>
      </c>
      <c r="B16" s="95"/>
      <c r="C16" s="95"/>
      <c r="D16" s="95"/>
      <c r="E16" s="93"/>
      <c r="F16" s="94" t="s">
        <v>238</v>
      </c>
      <c r="G16" s="95"/>
      <c r="H16" s="95"/>
      <c r="I16" s="95"/>
      <c r="J16" s="93"/>
    </row>
    <row r="17" spans="1:10" x14ac:dyDescent="0.2">
      <c r="A17" s="648"/>
      <c r="B17" s="649"/>
      <c r="C17" s="649"/>
      <c r="D17" s="649"/>
      <c r="E17" s="650"/>
      <c r="F17" s="663"/>
      <c r="G17" s="664"/>
      <c r="H17" s="664"/>
      <c r="I17" s="664"/>
      <c r="J17" s="665"/>
    </row>
    <row r="18" spans="1:10" x14ac:dyDescent="0.2">
      <c r="A18" s="651"/>
      <c r="B18" s="652"/>
      <c r="C18" s="652"/>
      <c r="D18" s="652"/>
      <c r="E18" s="653"/>
      <c r="F18" s="666"/>
      <c r="G18" s="667"/>
      <c r="H18" s="667"/>
      <c r="I18" s="667"/>
      <c r="J18" s="668"/>
    </row>
    <row r="19" spans="1:10" x14ac:dyDescent="0.2">
      <c r="A19" s="651"/>
      <c r="B19" s="652"/>
      <c r="C19" s="652"/>
      <c r="D19" s="652"/>
      <c r="E19" s="653"/>
      <c r="F19" s="666"/>
      <c r="G19" s="667"/>
      <c r="H19" s="667"/>
      <c r="I19" s="667"/>
      <c r="J19" s="668"/>
    </row>
    <row r="20" spans="1:10" x14ac:dyDescent="0.2">
      <c r="A20" s="651"/>
      <c r="B20" s="652"/>
      <c r="C20" s="652"/>
      <c r="D20" s="652"/>
      <c r="E20" s="653"/>
      <c r="F20" s="666"/>
      <c r="G20" s="667"/>
      <c r="H20" s="667"/>
      <c r="I20" s="667"/>
      <c r="J20" s="668"/>
    </row>
    <row r="21" spans="1:10" x14ac:dyDescent="0.2">
      <c r="A21" s="651"/>
      <c r="B21" s="652"/>
      <c r="C21" s="652"/>
      <c r="D21" s="652"/>
      <c r="E21" s="653"/>
      <c r="F21" s="666"/>
      <c r="G21" s="667"/>
      <c r="H21" s="667"/>
      <c r="I21" s="667"/>
      <c r="J21" s="668"/>
    </row>
    <row r="22" spans="1:10" ht="12.75" thickBot="1" x14ac:dyDescent="0.25">
      <c r="A22" s="654"/>
      <c r="B22" s="655"/>
      <c r="C22" s="655"/>
      <c r="D22" s="655"/>
      <c r="E22" s="656"/>
      <c r="F22" s="669"/>
      <c r="G22" s="670"/>
      <c r="H22" s="670"/>
      <c r="I22" s="670"/>
      <c r="J22" s="671"/>
    </row>
    <row r="23" spans="1:10" ht="15" x14ac:dyDescent="0.25">
      <c r="A23" s="88" t="s">
        <v>239</v>
      </c>
      <c r="B23" s="89"/>
      <c r="C23" s="90"/>
      <c r="D23" s="638" t="s">
        <v>240</v>
      </c>
      <c r="E23" s="639"/>
      <c r="F23" s="639"/>
      <c r="G23" s="640"/>
      <c r="H23" s="641" t="s">
        <v>241</v>
      </c>
      <c r="I23" s="639"/>
      <c r="J23" s="640"/>
    </row>
    <row r="24" spans="1:10" x14ac:dyDescent="0.2">
      <c r="A24" s="666"/>
      <c r="B24" s="667"/>
      <c r="C24" s="668"/>
      <c r="D24" s="660"/>
      <c r="E24" s="661"/>
      <c r="F24" s="661"/>
      <c r="G24" s="662"/>
      <c r="H24" s="660"/>
      <c r="I24" s="661"/>
      <c r="J24" s="662"/>
    </row>
    <row r="25" spans="1:10" ht="12.75" thickBot="1" x14ac:dyDescent="0.25">
      <c r="A25" s="669"/>
      <c r="B25" s="670"/>
      <c r="C25" s="671"/>
      <c r="D25" s="654"/>
      <c r="E25" s="655"/>
      <c r="F25" s="655"/>
      <c r="G25" s="656"/>
      <c r="H25" s="654"/>
      <c r="I25" s="655"/>
      <c r="J25" s="656"/>
    </row>
    <row r="26" spans="1:10" ht="15" x14ac:dyDescent="0.25">
      <c r="A26" s="638" t="s">
        <v>242</v>
      </c>
      <c r="B26" s="639"/>
      <c r="C26" s="640"/>
      <c r="D26" s="641" t="s">
        <v>243</v>
      </c>
      <c r="E26" s="639"/>
      <c r="F26" s="640"/>
      <c r="G26" s="641" t="s">
        <v>244</v>
      </c>
      <c r="H26" s="640"/>
      <c r="I26" s="641" t="s">
        <v>245</v>
      </c>
      <c r="J26" s="640"/>
    </row>
    <row r="27" spans="1:10" x14ac:dyDescent="0.2">
      <c r="A27" s="651"/>
      <c r="B27" s="661"/>
      <c r="C27" s="662"/>
      <c r="D27" s="660"/>
      <c r="E27" s="661"/>
      <c r="F27" s="662"/>
      <c r="G27" s="660"/>
      <c r="H27" s="662"/>
      <c r="I27" s="660"/>
      <c r="J27" s="662"/>
    </row>
    <row r="28" spans="1:10" ht="12.75" thickBot="1" x14ac:dyDescent="0.25">
      <c r="A28" s="654"/>
      <c r="B28" s="655"/>
      <c r="C28" s="656"/>
      <c r="D28" s="654"/>
      <c r="E28" s="655"/>
      <c r="F28" s="656"/>
      <c r="G28" s="654"/>
      <c r="H28" s="656"/>
      <c r="I28" s="654"/>
      <c r="J28" s="656"/>
    </row>
    <row r="29" spans="1:10" ht="15" x14ac:dyDescent="0.25">
      <c r="A29" s="684" t="s">
        <v>246</v>
      </c>
      <c r="B29" s="639"/>
      <c r="C29" s="640"/>
      <c r="D29" s="97" t="s">
        <v>247</v>
      </c>
      <c r="E29" s="684" t="s">
        <v>248</v>
      </c>
      <c r="F29" s="639"/>
      <c r="G29" s="639"/>
      <c r="H29" s="640"/>
      <c r="I29" s="98" t="s">
        <v>249</v>
      </c>
      <c r="J29" s="99" t="s">
        <v>250</v>
      </c>
    </row>
    <row r="30" spans="1:10" x14ac:dyDescent="0.2">
      <c r="A30" s="685"/>
      <c r="B30" s="658"/>
      <c r="C30" s="659"/>
      <c r="D30" s="686"/>
      <c r="E30" s="689"/>
      <c r="F30" s="690"/>
      <c r="G30" s="690"/>
      <c r="H30" s="691"/>
      <c r="I30" s="698"/>
      <c r="J30" s="701"/>
    </row>
    <row r="31" spans="1:10" x14ac:dyDescent="0.2">
      <c r="A31" s="660"/>
      <c r="B31" s="661"/>
      <c r="C31" s="662"/>
      <c r="D31" s="687"/>
      <c r="E31" s="692"/>
      <c r="F31" s="693"/>
      <c r="G31" s="693"/>
      <c r="H31" s="694"/>
      <c r="I31" s="699"/>
      <c r="J31" s="702"/>
    </row>
    <row r="32" spans="1:10" x14ac:dyDescent="0.2">
      <c r="A32" s="660"/>
      <c r="B32" s="661"/>
      <c r="C32" s="662"/>
      <c r="D32" s="687"/>
      <c r="E32" s="692"/>
      <c r="F32" s="693"/>
      <c r="G32" s="693"/>
      <c r="H32" s="694"/>
      <c r="I32" s="699"/>
      <c r="J32" s="702"/>
    </row>
    <row r="33" spans="1:10" x14ac:dyDescent="0.2">
      <c r="A33" s="660"/>
      <c r="B33" s="661"/>
      <c r="C33" s="662"/>
      <c r="D33" s="687"/>
      <c r="E33" s="692"/>
      <c r="F33" s="693"/>
      <c r="G33" s="693"/>
      <c r="H33" s="694"/>
      <c r="I33" s="699"/>
      <c r="J33" s="702"/>
    </row>
    <row r="34" spans="1:10" x14ac:dyDescent="0.2">
      <c r="A34" s="660"/>
      <c r="B34" s="661"/>
      <c r="C34" s="662"/>
      <c r="D34" s="687"/>
      <c r="E34" s="692"/>
      <c r="F34" s="693"/>
      <c r="G34" s="693"/>
      <c r="H34" s="694"/>
      <c r="I34" s="699"/>
      <c r="J34" s="702"/>
    </row>
    <row r="35" spans="1:10" x14ac:dyDescent="0.2">
      <c r="A35" s="660"/>
      <c r="B35" s="661"/>
      <c r="C35" s="662"/>
      <c r="D35" s="687"/>
      <c r="E35" s="692"/>
      <c r="F35" s="693"/>
      <c r="G35" s="693"/>
      <c r="H35" s="694"/>
      <c r="I35" s="699"/>
      <c r="J35" s="702"/>
    </row>
    <row r="36" spans="1:10" x14ac:dyDescent="0.2">
      <c r="A36" s="660"/>
      <c r="B36" s="661"/>
      <c r="C36" s="662"/>
      <c r="D36" s="687"/>
      <c r="E36" s="692"/>
      <c r="F36" s="693"/>
      <c r="G36" s="693"/>
      <c r="H36" s="694"/>
      <c r="I36" s="699"/>
      <c r="J36" s="702"/>
    </row>
    <row r="37" spans="1:10" x14ac:dyDescent="0.2">
      <c r="A37" s="660"/>
      <c r="B37" s="661"/>
      <c r="C37" s="662"/>
      <c r="D37" s="687"/>
      <c r="E37" s="692"/>
      <c r="F37" s="693"/>
      <c r="G37" s="693"/>
      <c r="H37" s="694"/>
      <c r="I37" s="699"/>
      <c r="J37" s="702"/>
    </row>
    <row r="38" spans="1:10" x14ac:dyDescent="0.2">
      <c r="A38" s="660"/>
      <c r="B38" s="661"/>
      <c r="C38" s="662"/>
      <c r="D38" s="687"/>
      <c r="E38" s="692"/>
      <c r="F38" s="693"/>
      <c r="G38" s="693"/>
      <c r="H38" s="694"/>
      <c r="I38" s="699"/>
      <c r="J38" s="702"/>
    </row>
    <row r="39" spans="1:10" x14ac:dyDescent="0.2">
      <c r="A39" s="660"/>
      <c r="B39" s="661"/>
      <c r="C39" s="662"/>
      <c r="D39" s="687"/>
      <c r="E39" s="692"/>
      <c r="F39" s="693"/>
      <c r="G39" s="693"/>
      <c r="H39" s="694"/>
      <c r="I39" s="699"/>
      <c r="J39" s="702"/>
    </row>
    <row r="40" spans="1:10" x14ac:dyDescent="0.2">
      <c r="A40" s="660"/>
      <c r="B40" s="661"/>
      <c r="C40" s="662"/>
      <c r="D40" s="687"/>
      <c r="E40" s="692"/>
      <c r="F40" s="693"/>
      <c r="G40" s="693"/>
      <c r="H40" s="694"/>
      <c r="I40" s="699"/>
      <c r="J40" s="702"/>
    </row>
    <row r="41" spans="1:10" ht="12.75" thickBot="1" x14ac:dyDescent="0.25">
      <c r="A41" s="654"/>
      <c r="B41" s="655"/>
      <c r="C41" s="656"/>
      <c r="D41" s="688"/>
      <c r="E41" s="695"/>
      <c r="F41" s="696"/>
      <c r="G41" s="696"/>
      <c r="H41" s="697"/>
      <c r="I41" s="700"/>
      <c r="J41" s="703"/>
    </row>
    <row r="42" spans="1:10" x14ac:dyDescent="0.2">
      <c r="A42" s="100" t="s">
        <v>251</v>
      </c>
      <c r="B42" s="101"/>
      <c r="C42" s="101"/>
      <c r="D42" s="101"/>
      <c r="E42" s="101"/>
      <c r="F42" s="672" t="s">
        <v>252</v>
      </c>
      <c r="G42" s="673"/>
      <c r="H42" s="673"/>
      <c r="I42" s="673"/>
      <c r="J42" s="674"/>
    </row>
    <row r="43" spans="1:10" x14ac:dyDescent="0.2">
      <c r="A43" s="666"/>
      <c r="B43" s="667"/>
      <c r="C43" s="667"/>
      <c r="D43" s="667"/>
      <c r="E43" s="667"/>
      <c r="F43" s="675"/>
      <c r="G43" s="676"/>
      <c r="H43" s="676"/>
      <c r="I43" s="676"/>
      <c r="J43" s="677"/>
    </row>
    <row r="44" spans="1:10" x14ac:dyDescent="0.2">
      <c r="A44" s="666"/>
      <c r="B44" s="667"/>
      <c r="C44" s="667"/>
      <c r="D44" s="667"/>
      <c r="E44" s="667"/>
      <c r="F44" s="675"/>
      <c r="G44" s="676"/>
      <c r="H44" s="676"/>
      <c r="I44" s="676"/>
      <c r="J44" s="677"/>
    </row>
    <row r="45" spans="1:10" ht="12.75" thickBot="1" x14ac:dyDescent="0.25">
      <c r="A45" s="669"/>
      <c r="B45" s="670"/>
      <c r="C45" s="670"/>
      <c r="D45" s="670"/>
      <c r="E45" s="670"/>
      <c r="F45" s="675"/>
      <c r="G45" s="676"/>
      <c r="H45" s="676"/>
      <c r="I45" s="676"/>
      <c r="J45" s="677"/>
    </row>
    <row r="46" spans="1:10" x14ac:dyDescent="0.2">
      <c r="A46" s="88" t="s">
        <v>253</v>
      </c>
      <c r="B46" s="89"/>
      <c r="C46" s="89"/>
      <c r="D46" s="89"/>
      <c r="E46" s="90"/>
      <c r="F46" s="675"/>
      <c r="G46" s="676"/>
      <c r="H46" s="676"/>
      <c r="I46" s="676"/>
      <c r="J46" s="677"/>
    </row>
    <row r="47" spans="1:10" x14ac:dyDescent="0.2">
      <c r="A47" s="666"/>
      <c r="B47" s="667"/>
      <c r="C47" s="667"/>
      <c r="D47" s="667"/>
      <c r="E47" s="668"/>
      <c r="F47" s="675"/>
      <c r="G47" s="676"/>
      <c r="H47" s="676"/>
      <c r="I47" s="676"/>
      <c r="J47" s="677"/>
    </row>
    <row r="48" spans="1:10" x14ac:dyDescent="0.2">
      <c r="A48" s="666"/>
      <c r="B48" s="667"/>
      <c r="C48" s="667"/>
      <c r="D48" s="667"/>
      <c r="E48" s="668"/>
      <c r="F48" s="678"/>
      <c r="G48" s="679"/>
      <c r="H48" s="679"/>
      <c r="I48" s="679"/>
      <c r="J48" s="680"/>
    </row>
    <row r="49" spans="1:10" ht="12.75" thickBot="1" x14ac:dyDescent="0.25">
      <c r="A49" s="669"/>
      <c r="B49" s="670"/>
      <c r="C49" s="670"/>
      <c r="D49" s="670"/>
      <c r="E49" s="671"/>
      <c r="F49" s="681"/>
      <c r="G49" s="682"/>
      <c r="H49" s="682"/>
      <c r="I49" s="682"/>
      <c r="J49" s="683"/>
    </row>
    <row r="50" spans="1:10" x14ac:dyDescent="0.2">
      <c r="A50" s="101"/>
      <c r="B50" s="101"/>
      <c r="C50" s="101"/>
      <c r="D50" s="101"/>
      <c r="E50" s="101"/>
      <c r="F50" s="101"/>
      <c r="G50" s="101"/>
      <c r="H50" s="101"/>
      <c r="I50" s="101"/>
      <c r="J50" s="101"/>
    </row>
    <row r="51" spans="1:10" x14ac:dyDescent="0.2">
      <c r="A51" s="101"/>
      <c r="B51" s="102"/>
      <c r="C51" s="103"/>
      <c r="D51" s="101"/>
      <c r="E51" s="104"/>
      <c r="F51" s="104"/>
      <c r="G51" s="104"/>
      <c r="H51" s="101"/>
      <c r="I51" s="101"/>
      <c r="J51" s="101"/>
    </row>
    <row r="52" spans="1:10" s="104" customFormat="1" ht="15" x14ac:dyDescent="0.2">
      <c r="A52" s="105"/>
      <c r="B52" s="105"/>
      <c r="C52" s="106"/>
      <c r="D52" s="107"/>
      <c r="E52" s="108"/>
      <c r="F52" s="108"/>
    </row>
    <row r="53" spans="1:10" s="104" customFormat="1" x14ac:dyDescent="0.2">
      <c r="E53" s="106"/>
    </row>
  </sheetData>
  <mergeCells count="30">
    <mergeCell ref="F42:J47"/>
    <mergeCell ref="A43:E45"/>
    <mergeCell ref="A47:E49"/>
    <mergeCell ref="F48:J49"/>
    <mergeCell ref="A27:C28"/>
    <mergeCell ref="D27:F28"/>
    <mergeCell ref="G27:H28"/>
    <mergeCell ref="I27:J28"/>
    <mergeCell ref="A29:C29"/>
    <mergeCell ref="E29:H29"/>
    <mergeCell ref="A30:C41"/>
    <mergeCell ref="D30:D41"/>
    <mergeCell ref="E30:H41"/>
    <mergeCell ref="I30:I41"/>
    <mergeCell ref="J30:J41"/>
    <mergeCell ref="A26:C26"/>
    <mergeCell ref="D26:F26"/>
    <mergeCell ref="G26:H26"/>
    <mergeCell ref="I26:J26"/>
    <mergeCell ref="A1:J2"/>
    <mergeCell ref="A4:E9"/>
    <mergeCell ref="F4:J15"/>
    <mergeCell ref="A11:E15"/>
    <mergeCell ref="A17:E22"/>
    <mergeCell ref="F17:J22"/>
    <mergeCell ref="D23:G23"/>
    <mergeCell ref="H23:J23"/>
    <mergeCell ref="A24:C25"/>
    <mergeCell ref="D24:G25"/>
    <mergeCell ref="H24:J25"/>
  </mergeCells>
  <pageMargins left="0" right="0.196850393700787" top="0.196850393700787" bottom="0.31496062992126" header="0.196850393700787" footer="0.196850393700787"/>
  <pageSetup paperSize="9" scale="9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L1"/>
  <sheetViews>
    <sheetView topLeftCell="E1" workbookViewId="0">
      <selection activeCell="E2" sqref="E2"/>
    </sheetView>
  </sheetViews>
  <sheetFormatPr defaultRowHeight="15" x14ac:dyDescent="0.25"/>
  <cols>
    <col min="1" max="1" width="20" style="255" bestFit="1" customWidth="1"/>
    <col min="2" max="2" width="8.85546875" style="255" bestFit="1" customWidth="1"/>
    <col min="3" max="3" width="27.42578125" style="255" bestFit="1" customWidth="1"/>
    <col min="4" max="4" width="126.28515625" style="255" bestFit="1" customWidth="1"/>
    <col min="5" max="5" width="11.28515625" style="255" bestFit="1" customWidth="1"/>
    <col min="6" max="6" width="13.5703125" style="255" bestFit="1" customWidth="1"/>
    <col min="7" max="7" width="12.7109375" style="255" bestFit="1" customWidth="1"/>
    <col min="8" max="8" width="48" style="255" bestFit="1" customWidth="1"/>
    <col min="9" max="9" width="47.28515625" style="255" bestFit="1" customWidth="1"/>
    <col min="10" max="10" width="21.5703125" style="255" bestFit="1" customWidth="1"/>
    <col min="11" max="11" width="21.42578125" style="255" bestFit="1" customWidth="1"/>
    <col min="12" max="12" width="20.7109375" style="255" bestFit="1" customWidth="1"/>
    <col min="13" max="13" width="22.140625" style="255" bestFit="1" customWidth="1"/>
    <col min="14" max="14" width="15.85546875" style="255" bestFit="1" customWidth="1"/>
    <col min="15" max="15" width="16.140625" style="255" bestFit="1" customWidth="1"/>
    <col min="16" max="16" width="15.5703125" style="255" bestFit="1" customWidth="1"/>
    <col min="17" max="17" width="12.7109375" style="255" bestFit="1" customWidth="1"/>
    <col min="18" max="18" width="11.85546875" style="255" bestFit="1" customWidth="1"/>
    <col min="19" max="19" width="12.85546875" style="255" bestFit="1" customWidth="1"/>
    <col min="20" max="20" width="12.28515625" style="255" bestFit="1" customWidth="1"/>
    <col min="21" max="21" width="9.28515625" style="255" bestFit="1" customWidth="1"/>
    <col min="22" max="22" width="10.28515625" style="255" bestFit="1" customWidth="1"/>
    <col min="23" max="23" width="9.7109375" style="255" bestFit="1" customWidth="1"/>
    <col min="24" max="24" width="9.140625" style="255"/>
    <col min="25" max="25" width="10.140625" style="255" bestFit="1" customWidth="1"/>
    <col min="26" max="26" width="9.5703125" style="255" bestFit="1" customWidth="1"/>
    <col min="27" max="27" width="10.5703125" style="255" bestFit="1" customWidth="1"/>
    <col min="28" max="28" width="11.5703125" style="255" bestFit="1" customWidth="1"/>
    <col min="29" max="29" width="11" style="255" bestFit="1" customWidth="1"/>
    <col min="30" max="30" width="16.5703125" style="255" bestFit="1" customWidth="1"/>
    <col min="31" max="31" width="17.7109375" style="255" bestFit="1" customWidth="1"/>
    <col min="32" max="32" width="17" style="255" bestFit="1" customWidth="1"/>
    <col min="33" max="33" width="16.7109375" style="255" bestFit="1" customWidth="1"/>
    <col min="34" max="34" width="17.85546875" style="255" bestFit="1" customWidth="1"/>
    <col min="35" max="35" width="17.28515625" style="255" bestFit="1" customWidth="1"/>
    <col min="36" max="36" width="19.28515625" style="255" bestFit="1" customWidth="1"/>
    <col min="37" max="37" width="18.7109375" style="255" bestFit="1" customWidth="1"/>
    <col min="38" max="38" width="16.5703125" style="255" bestFit="1" customWidth="1"/>
    <col min="39" max="39" width="24.5703125" style="255" bestFit="1" customWidth="1"/>
    <col min="40" max="40" width="15" style="255" bestFit="1" customWidth="1"/>
    <col min="41" max="41" width="10.7109375" style="255" bestFit="1" customWidth="1"/>
    <col min="42" max="42" width="16.5703125" style="255" bestFit="1" customWidth="1"/>
    <col min="43" max="43" width="19.42578125" style="255" bestFit="1" customWidth="1"/>
    <col min="44" max="44" width="18.85546875" style="255" bestFit="1" customWidth="1"/>
    <col min="45" max="45" width="16.7109375" style="255" bestFit="1" customWidth="1"/>
    <col min="46" max="46" width="20.42578125" style="255" bestFit="1" customWidth="1"/>
    <col min="47" max="47" width="19" style="255" bestFit="1" customWidth="1"/>
    <col min="48" max="48" width="20" style="255" bestFit="1" customWidth="1"/>
    <col min="49" max="49" width="19.42578125" style="255" bestFit="1" customWidth="1"/>
    <col min="50" max="52" width="12.85546875" style="255" bestFit="1" customWidth="1"/>
    <col min="53" max="53" width="17.7109375" style="255" bestFit="1" customWidth="1"/>
    <col min="54" max="54" width="18.7109375" style="255" bestFit="1" customWidth="1"/>
    <col min="55" max="55" width="18.140625" style="255" bestFit="1" customWidth="1"/>
    <col min="56" max="58" width="11.5703125" style="255" bestFit="1" customWidth="1"/>
    <col min="59" max="59" width="9.28515625" style="255" bestFit="1" customWidth="1"/>
    <col min="60" max="60" width="20.85546875" style="255" bestFit="1" customWidth="1"/>
    <col min="61" max="61" width="12.28515625" style="255" bestFit="1" customWidth="1"/>
    <col min="62" max="62" width="7.7109375" style="255" bestFit="1" customWidth="1"/>
    <col min="63" max="63" width="7.5703125" style="255" bestFit="1" customWidth="1"/>
    <col min="64" max="64" width="48" style="255" bestFit="1" customWidth="1"/>
    <col min="65" max="16384" width="9.140625" style="255"/>
  </cols>
  <sheetData>
    <row r="1" spans="1:64" x14ac:dyDescent="0.25">
      <c r="A1" s="255" t="s">
        <v>370</v>
      </c>
      <c r="B1" s="255" t="s">
        <v>371</v>
      </c>
      <c r="C1" s="255" t="s">
        <v>372</v>
      </c>
      <c r="D1" s="255" t="s">
        <v>373</v>
      </c>
      <c r="E1" s="255" t="s">
        <v>374</v>
      </c>
      <c r="F1" s="255" t="s">
        <v>375</v>
      </c>
      <c r="G1" s="255" t="s">
        <v>376</v>
      </c>
      <c r="H1" s="255" t="s">
        <v>377</v>
      </c>
      <c r="I1" s="255" t="s">
        <v>378</v>
      </c>
      <c r="J1" s="255" t="s">
        <v>379</v>
      </c>
      <c r="K1" s="255" t="s">
        <v>380</v>
      </c>
      <c r="L1" s="255" t="s">
        <v>381</v>
      </c>
      <c r="M1" s="255" t="s">
        <v>382</v>
      </c>
      <c r="N1" s="255" t="s">
        <v>383</v>
      </c>
      <c r="O1" s="255" t="s">
        <v>384</v>
      </c>
      <c r="P1" s="255" t="s">
        <v>385</v>
      </c>
      <c r="Q1" s="255" t="s">
        <v>386</v>
      </c>
      <c r="R1" s="255" t="s">
        <v>387</v>
      </c>
      <c r="S1" s="255" t="s">
        <v>388</v>
      </c>
      <c r="T1" s="255" t="s">
        <v>389</v>
      </c>
      <c r="U1" s="255" t="s">
        <v>390</v>
      </c>
      <c r="V1" s="255" t="s">
        <v>391</v>
      </c>
      <c r="W1" s="255" t="s">
        <v>392</v>
      </c>
      <c r="X1" s="255" t="s">
        <v>393</v>
      </c>
      <c r="Y1" s="255" t="s">
        <v>394</v>
      </c>
      <c r="Z1" s="255" t="s">
        <v>395</v>
      </c>
      <c r="AA1" s="255" t="s">
        <v>396</v>
      </c>
      <c r="AB1" s="255" t="s">
        <v>397</v>
      </c>
      <c r="AC1" s="255" t="s">
        <v>398</v>
      </c>
      <c r="AD1" s="255" t="s">
        <v>399</v>
      </c>
      <c r="AE1" s="255" t="s">
        <v>400</v>
      </c>
      <c r="AF1" s="255" t="s">
        <v>401</v>
      </c>
      <c r="AG1" s="255" t="s">
        <v>402</v>
      </c>
      <c r="AH1" s="255" t="s">
        <v>403</v>
      </c>
      <c r="AI1" s="255" t="s">
        <v>404</v>
      </c>
      <c r="AJ1" s="255" t="s">
        <v>405</v>
      </c>
      <c r="AK1" s="255" t="s">
        <v>406</v>
      </c>
      <c r="AL1" s="255" t="s">
        <v>407</v>
      </c>
      <c r="AM1" s="255" t="s">
        <v>408</v>
      </c>
      <c r="AN1" s="255" t="s">
        <v>409</v>
      </c>
      <c r="AO1" s="255" t="s">
        <v>410</v>
      </c>
      <c r="AP1" s="255" t="s">
        <v>411</v>
      </c>
      <c r="AQ1" s="255" t="s">
        <v>412</v>
      </c>
      <c r="AR1" s="255" t="s">
        <v>413</v>
      </c>
      <c r="AS1" s="255" t="s">
        <v>414</v>
      </c>
      <c r="AT1" s="255" t="s">
        <v>415</v>
      </c>
      <c r="AU1" s="255" t="s">
        <v>416</v>
      </c>
      <c r="AV1" s="255" t="s">
        <v>417</v>
      </c>
      <c r="AW1" s="255" t="s">
        <v>418</v>
      </c>
      <c r="AX1" s="255" t="s">
        <v>419</v>
      </c>
      <c r="AY1" s="255" t="s">
        <v>420</v>
      </c>
      <c r="AZ1" s="255" t="s">
        <v>421</v>
      </c>
      <c r="BA1" s="255" t="s">
        <v>422</v>
      </c>
      <c r="BB1" s="255" t="s">
        <v>423</v>
      </c>
      <c r="BC1" s="255" t="s">
        <v>424</v>
      </c>
      <c r="BD1" s="255" t="s">
        <v>425</v>
      </c>
      <c r="BE1" s="255" t="s">
        <v>426</v>
      </c>
      <c r="BF1" s="255" t="s">
        <v>427</v>
      </c>
      <c r="BG1" s="255" t="s">
        <v>428</v>
      </c>
      <c r="BH1" s="255" t="s">
        <v>429</v>
      </c>
      <c r="BI1" s="255" t="s">
        <v>430</v>
      </c>
      <c r="BJ1" s="255" t="s">
        <v>41</v>
      </c>
      <c r="BK1" s="255" t="s">
        <v>431</v>
      </c>
      <c r="BL1" s="255" t="s">
        <v>432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1"/>
  <sheetViews>
    <sheetView topLeftCell="K1" workbookViewId="0">
      <selection activeCell="K2" sqref="A2:XFD2"/>
    </sheetView>
  </sheetViews>
  <sheetFormatPr defaultColWidth="9" defaultRowHeight="15" x14ac:dyDescent="0.25"/>
  <cols>
    <col min="1" max="3" width="9" style="255"/>
    <col min="4" max="4" width="8.85546875" style="255" bestFit="1" customWidth="1"/>
    <col min="5" max="5" width="19.5703125" style="255" bestFit="1" customWidth="1"/>
    <col min="6" max="6" width="14.42578125" style="255" bestFit="1" customWidth="1"/>
    <col min="7" max="7" width="16" style="255" bestFit="1" customWidth="1"/>
    <col min="8" max="8" width="8.7109375" style="255" bestFit="1" customWidth="1"/>
    <col min="9" max="9" width="28.42578125" style="255" bestFit="1" customWidth="1"/>
    <col min="10" max="10" width="63" style="255" bestFit="1" customWidth="1"/>
    <col min="11" max="11" width="9.42578125" style="255" bestFit="1" customWidth="1"/>
    <col min="12" max="12" width="22.140625" style="255" bestFit="1" customWidth="1"/>
    <col min="13" max="13" width="20.28515625" style="255" bestFit="1" customWidth="1"/>
    <col min="14" max="14" width="9.140625" style="255" bestFit="1" customWidth="1"/>
    <col min="15" max="15" width="11.7109375" style="255" bestFit="1" customWidth="1"/>
    <col min="16" max="16" width="13.42578125" style="255" bestFit="1" customWidth="1"/>
    <col min="17" max="17" width="15.42578125" style="255" bestFit="1" customWidth="1"/>
    <col min="18" max="18" width="18.7109375" style="255" bestFit="1" customWidth="1"/>
    <col min="19" max="19" width="12.85546875" style="255" bestFit="1" customWidth="1"/>
    <col min="20" max="20" width="10.7109375" style="255" bestFit="1" customWidth="1"/>
    <col min="21" max="16384" width="9" style="255"/>
  </cols>
  <sheetData>
    <row r="1" spans="1:20" x14ac:dyDescent="0.25">
      <c r="A1" s="255" t="s">
        <v>437</v>
      </c>
      <c r="B1" s="255" t="s">
        <v>434</v>
      </c>
      <c r="C1" s="255" t="s">
        <v>438</v>
      </c>
      <c r="D1" s="255" t="s">
        <v>371</v>
      </c>
      <c r="E1" s="255" t="s">
        <v>439</v>
      </c>
      <c r="F1" s="255" t="s">
        <v>440</v>
      </c>
      <c r="G1" s="255" t="s">
        <v>441</v>
      </c>
      <c r="H1" s="255" t="s">
        <v>442</v>
      </c>
      <c r="I1" s="255" t="s">
        <v>372</v>
      </c>
      <c r="J1" s="255" t="s">
        <v>443</v>
      </c>
      <c r="K1" s="255" t="s">
        <v>444</v>
      </c>
      <c r="L1" s="255" t="s">
        <v>445</v>
      </c>
      <c r="M1" s="255" t="s">
        <v>446</v>
      </c>
      <c r="N1" s="255" t="s">
        <v>447</v>
      </c>
      <c r="O1" s="255" t="s">
        <v>374</v>
      </c>
      <c r="P1" s="255" t="s">
        <v>448</v>
      </c>
      <c r="Q1" s="255" t="s">
        <v>449</v>
      </c>
      <c r="R1" s="255" t="s">
        <v>450</v>
      </c>
      <c r="S1" s="255" t="s">
        <v>451</v>
      </c>
      <c r="T1" s="255" t="s">
        <v>452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5"/>
  <sheetViews>
    <sheetView workbookViewId="0">
      <selection activeCell="A2" sqref="A2:XFD5"/>
    </sheetView>
  </sheetViews>
  <sheetFormatPr defaultRowHeight="15" x14ac:dyDescent="0.25"/>
  <cols>
    <col min="1" max="1" width="10.5703125" style="255" customWidth="1"/>
    <col min="2" max="2" width="14.28515625" style="255" customWidth="1"/>
    <col min="3" max="3" width="33.5703125" style="255" bestFit="1" customWidth="1"/>
    <col min="4" max="4" width="85.5703125" style="255" bestFit="1" customWidth="1"/>
    <col min="5" max="16384" width="9.140625" style="255"/>
  </cols>
  <sheetData>
    <row r="1" spans="1:4" x14ac:dyDescent="0.25">
      <c r="A1" s="255" t="s">
        <v>433</v>
      </c>
      <c r="B1" s="255" t="s">
        <v>434</v>
      </c>
      <c r="C1" s="255" t="s">
        <v>435</v>
      </c>
      <c r="D1" s="255" t="s">
        <v>436</v>
      </c>
    </row>
    <row r="2" spans="1:4" x14ac:dyDescent="0.25">
      <c r="D2" s="277"/>
    </row>
    <row r="3" spans="1:4" x14ac:dyDescent="0.25">
      <c r="D3" s="277"/>
    </row>
    <row r="4" spans="1:4" x14ac:dyDescent="0.25">
      <c r="D4" s="277"/>
    </row>
    <row r="5" spans="1:4" x14ac:dyDescent="0.25">
      <c r="D5" s="27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C68"/>
  <sheetViews>
    <sheetView view="pageBreakPreview" topLeftCell="B1" zoomScale="55" zoomScaleNormal="60" zoomScaleSheetLayoutView="55" workbookViewId="0">
      <selection activeCell="J24" sqref="J24:L37"/>
    </sheetView>
  </sheetViews>
  <sheetFormatPr defaultColWidth="9.140625" defaultRowHeight="12.75" x14ac:dyDescent="0.2"/>
  <cols>
    <col min="1" max="1" width="48.7109375" style="146" customWidth="1"/>
    <col min="2" max="4" width="16.7109375" style="146" customWidth="1"/>
    <col min="5" max="5" width="48.7109375" style="146" customWidth="1"/>
    <col min="6" max="8" width="16.7109375" style="146" customWidth="1"/>
    <col min="9" max="9" width="48.7109375" style="146" customWidth="1"/>
    <col min="10" max="12" width="16.7109375" style="146" customWidth="1"/>
    <col min="13" max="31" width="9" style="146" customWidth="1"/>
    <col min="32" max="16384" width="9.140625" style="146"/>
  </cols>
  <sheetData>
    <row r="1" spans="1:81" s="109" customFormat="1" ht="13.5" thickBot="1" x14ac:dyDescent="0.25"/>
    <row r="2" spans="1:81" s="109" customFormat="1" ht="21.75" customHeight="1" x14ac:dyDescent="0.25">
      <c r="E2" s="110" t="s">
        <v>254</v>
      </c>
      <c r="F2" s="111">
        <f ca="1">NOW()</f>
        <v>42998.687669791667</v>
      </c>
      <c r="G2" s="112"/>
      <c r="H2" s="112"/>
      <c r="I2" s="113" t="s">
        <v>255</v>
      </c>
      <c r="J2" s="753"/>
      <c r="K2" s="754"/>
      <c r="L2" s="755"/>
      <c r="O2" s="114"/>
    </row>
    <row r="3" spans="1:81" s="109" customFormat="1" ht="21" customHeight="1" x14ac:dyDescent="0.25">
      <c r="E3" s="115" t="s">
        <v>256</v>
      </c>
      <c r="F3" s="116" t="s">
        <v>257</v>
      </c>
      <c r="G3" s="117"/>
      <c r="H3" s="117"/>
      <c r="I3" s="118" t="s">
        <v>258</v>
      </c>
      <c r="J3" s="756"/>
      <c r="K3" s="757"/>
      <c r="L3" s="758"/>
    </row>
    <row r="4" spans="1:81" s="109" customFormat="1" ht="21.75" customHeight="1" x14ac:dyDescent="0.25">
      <c r="A4" s="119"/>
      <c r="B4" s="120"/>
      <c r="C4" s="120"/>
      <c r="D4" s="120"/>
      <c r="E4" s="121" t="s">
        <v>259</v>
      </c>
      <c r="F4" s="122"/>
      <c r="G4" s="123"/>
      <c r="H4" s="123"/>
      <c r="I4" s="118" t="s">
        <v>260</v>
      </c>
      <c r="J4" s="759"/>
      <c r="K4" s="760"/>
      <c r="L4" s="761"/>
      <c r="M4" s="124"/>
      <c r="N4" s="125"/>
      <c r="O4" s="125"/>
      <c r="P4" s="126"/>
      <c r="Q4" s="126"/>
      <c r="R4" s="114"/>
      <c r="S4" s="126"/>
      <c r="T4" s="126"/>
      <c r="U4" s="126"/>
      <c r="V4" s="126"/>
      <c r="Z4" s="127"/>
      <c r="AA4" s="127"/>
      <c r="AB4" s="127"/>
      <c r="AC4" s="127"/>
      <c r="AD4" s="127"/>
      <c r="AE4" s="127"/>
      <c r="AF4" s="127"/>
      <c r="AG4" s="128"/>
      <c r="AH4" s="128"/>
      <c r="AI4" s="128"/>
      <c r="AJ4" s="128"/>
      <c r="AK4" s="128"/>
      <c r="AL4" s="128"/>
      <c r="AM4" s="128"/>
      <c r="AN4" s="128"/>
      <c r="AO4" s="127"/>
      <c r="AP4" s="127"/>
      <c r="AQ4" s="127"/>
      <c r="AR4" s="127"/>
      <c r="AS4" s="127"/>
      <c r="AT4" s="127"/>
      <c r="AU4" s="127"/>
      <c r="AV4" s="127"/>
      <c r="AW4" s="127"/>
    </row>
    <row r="5" spans="1:81" s="109" customFormat="1" ht="21.75" customHeight="1" thickBot="1" x14ac:dyDescent="0.3">
      <c r="A5" s="119"/>
      <c r="B5" s="120"/>
      <c r="C5" s="120"/>
      <c r="D5" s="120"/>
      <c r="E5" s="129" t="s">
        <v>233</v>
      </c>
      <c r="F5" s="130"/>
      <c r="G5" s="123"/>
      <c r="H5" s="123"/>
      <c r="I5" s="131" t="s">
        <v>261</v>
      </c>
      <c r="J5" s="762"/>
      <c r="K5" s="763"/>
      <c r="L5" s="764"/>
      <c r="M5" s="124"/>
      <c r="N5" s="125"/>
      <c r="O5" s="125"/>
      <c r="P5" s="126"/>
      <c r="Q5" s="126"/>
      <c r="R5" s="114"/>
      <c r="S5" s="126"/>
      <c r="T5" s="126"/>
      <c r="U5" s="126"/>
      <c r="V5" s="126"/>
      <c r="Z5" s="127"/>
      <c r="AA5" s="127"/>
      <c r="AB5" s="127"/>
      <c r="AC5" s="127"/>
      <c r="AD5" s="127"/>
      <c r="AE5" s="127"/>
      <c r="AF5" s="127"/>
      <c r="AG5" s="128"/>
      <c r="AH5" s="128"/>
      <c r="AI5" s="128"/>
      <c r="AJ5" s="128"/>
      <c r="AK5" s="128"/>
      <c r="AL5" s="128"/>
      <c r="AM5" s="128"/>
      <c r="AN5" s="128"/>
      <c r="AO5" s="127"/>
      <c r="AP5" s="127"/>
      <c r="AQ5" s="127"/>
      <c r="AR5" s="127"/>
      <c r="AS5" s="127"/>
      <c r="AT5" s="127"/>
      <c r="AU5" s="127"/>
      <c r="AV5" s="127"/>
      <c r="AW5" s="127"/>
    </row>
    <row r="6" spans="1:81" s="109" customFormat="1" ht="12.75" customHeight="1" thickBot="1" x14ac:dyDescent="0.25">
      <c r="A6" s="132"/>
      <c r="B6" s="132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AF6" s="127"/>
      <c r="AG6" s="127"/>
      <c r="AH6" s="133"/>
      <c r="AI6" s="133"/>
      <c r="AJ6" s="133"/>
      <c r="AK6" s="133"/>
      <c r="AL6" s="133"/>
      <c r="AM6" s="133"/>
      <c r="AN6" s="133"/>
      <c r="AO6" s="133"/>
      <c r="AP6" s="127"/>
      <c r="AQ6" s="127"/>
      <c r="AR6" s="127"/>
      <c r="AS6" s="127"/>
    </row>
    <row r="7" spans="1:81" s="138" customFormat="1" ht="28.5" customHeight="1" x14ac:dyDescent="0.2">
      <c r="A7" s="134" t="s">
        <v>262</v>
      </c>
      <c r="B7" s="765" t="s">
        <v>263</v>
      </c>
      <c r="C7" s="766"/>
      <c r="D7" s="767"/>
      <c r="E7" s="135" t="s">
        <v>264</v>
      </c>
      <c r="F7" s="765" t="s">
        <v>265</v>
      </c>
      <c r="G7" s="766"/>
      <c r="H7" s="766"/>
      <c r="I7" s="767"/>
      <c r="J7" s="768" t="s">
        <v>266</v>
      </c>
      <c r="K7" s="769"/>
      <c r="L7" s="770"/>
      <c r="M7" s="136"/>
      <c r="N7" s="136"/>
      <c r="O7" s="136"/>
      <c r="P7" s="136"/>
      <c r="Q7" s="136"/>
      <c r="R7" s="136"/>
      <c r="S7" s="136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  <c r="AG7" s="137"/>
      <c r="AH7" s="136"/>
      <c r="AI7" s="136"/>
      <c r="AJ7" s="136"/>
      <c r="AK7" s="136"/>
      <c r="AL7" s="136"/>
      <c r="AM7" s="136"/>
      <c r="AN7" s="136"/>
      <c r="AO7" s="136"/>
      <c r="AP7" s="136"/>
      <c r="AQ7" s="136"/>
      <c r="AR7" s="136"/>
      <c r="AS7" s="136"/>
      <c r="AT7" s="136"/>
      <c r="AU7" s="136"/>
      <c r="AV7" s="136"/>
      <c r="AW7" s="136"/>
      <c r="AX7" s="136"/>
      <c r="AY7" s="136"/>
      <c r="AZ7" s="136"/>
      <c r="BA7" s="136"/>
      <c r="BB7" s="136"/>
      <c r="BC7" s="136"/>
      <c r="BD7" s="136"/>
      <c r="BE7" s="136"/>
      <c r="BF7" s="136"/>
      <c r="BG7" s="136"/>
      <c r="BH7" s="136"/>
      <c r="BI7" s="136"/>
      <c r="BJ7" s="136"/>
      <c r="BK7" s="136"/>
      <c r="BL7" s="136"/>
      <c r="BM7" s="136"/>
      <c r="BN7" s="136"/>
      <c r="BO7" s="136"/>
      <c r="BP7" s="136"/>
      <c r="BQ7" s="136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</row>
    <row r="8" spans="1:81" s="143" customFormat="1" ht="57.75" customHeight="1" x14ac:dyDescent="0.25">
      <c r="A8" s="139"/>
      <c r="B8" s="743"/>
      <c r="C8" s="744"/>
      <c r="D8" s="745"/>
      <c r="E8" s="140"/>
      <c r="F8" s="743"/>
      <c r="G8" s="744"/>
      <c r="H8" s="744"/>
      <c r="I8" s="745"/>
      <c r="J8" s="746"/>
      <c r="K8" s="747"/>
      <c r="L8" s="748"/>
      <c r="M8" s="141"/>
      <c r="N8" s="141"/>
      <c r="O8" s="141"/>
      <c r="P8" s="141"/>
      <c r="Q8" s="141"/>
      <c r="R8" s="141"/>
      <c r="S8" s="141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1"/>
      <c r="BA8" s="141"/>
      <c r="BB8" s="141"/>
      <c r="BC8" s="141"/>
      <c r="BD8" s="141"/>
      <c r="BE8" s="141"/>
      <c r="BF8" s="141"/>
      <c r="BG8" s="141"/>
      <c r="BH8" s="141"/>
      <c r="BI8" s="141"/>
      <c r="BJ8" s="141"/>
      <c r="BK8" s="141"/>
      <c r="BL8" s="141"/>
      <c r="BM8" s="141"/>
      <c r="BN8" s="141"/>
      <c r="BO8" s="141"/>
      <c r="BP8" s="141"/>
      <c r="BQ8" s="141"/>
      <c r="BR8" s="141"/>
      <c r="BS8" s="141"/>
      <c r="BT8" s="141"/>
      <c r="BU8" s="141"/>
      <c r="BV8" s="141"/>
      <c r="BW8" s="141"/>
      <c r="BX8" s="141"/>
      <c r="BY8" s="141"/>
      <c r="BZ8" s="141"/>
      <c r="CA8" s="141"/>
      <c r="CB8" s="141"/>
      <c r="CC8" s="141"/>
    </row>
    <row r="9" spans="1:81" x14ac:dyDescent="0.2">
      <c r="A9" s="144" t="s">
        <v>267</v>
      </c>
      <c r="B9" s="749" t="s">
        <v>268</v>
      </c>
      <c r="C9" s="750"/>
      <c r="D9" s="751"/>
      <c r="E9" s="145" t="s">
        <v>269</v>
      </c>
      <c r="F9" s="749" t="s">
        <v>270</v>
      </c>
      <c r="G9" s="750"/>
      <c r="H9" s="751"/>
      <c r="I9" s="145" t="s">
        <v>271</v>
      </c>
      <c r="J9" s="706" t="s">
        <v>272</v>
      </c>
      <c r="K9" s="706"/>
      <c r="L9" s="752"/>
      <c r="O9" s="147"/>
      <c r="P9" s="147"/>
      <c r="R9" s="147"/>
      <c r="S9" s="147"/>
      <c r="T9" s="147"/>
      <c r="U9" s="147"/>
      <c r="V9" s="147"/>
      <c r="X9" s="147"/>
      <c r="Y9" s="147"/>
      <c r="Z9" s="147"/>
    </row>
    <row r="10" spans="1:81" x14ac:dyDescent="0.2">
      <c r="A10" s="724"/>
      <c r="B10" s="727"/>
      <c r="C10" s="728"/>
      <c r="D10" s="729"/>
      <c r="E10" s="736"/>
      <c r="F10" s="727"/>
      <c r="G10" s="728"/>
      <c r="H10" s="729"/>
      <c r="I10" s="739"/>
      <c r="J10" s="712"/>
      <c r="K10" s="712"/>
      <c r="L10" s="713"/>
      <c r="O10" s="147"/>
      <c r="P10" s="147"/>
      <c r="R10" s="147"/>
      <c r="S10" s="147"/>
      <c r="T10" s="147"/>
      <c r="U10" s="147"/>
      <c r="V10" s="147"/>
      <c r="X10" s="147"/>
      <c r="Y10" s="147"/>
      <c r="Z10" s="147"/>
    </row>
    <row r="11" spans="1:81" x14ac:dyDescent="0.2">
      <c r="A11" s="725"/>
      <c r="B11" s="730"/>
      <c r="C11" s="731"/>
      <c r="D11" s="732"/>
      <c r="E11" s="737"/>
      <c r="F11" s="730"/>
      <c r="G11" s="731"/>
      <c r="H11" s="732"/>
      <c r="I11" s="740"/>
      <c r="J11" s="712"/>
      <c r="K11" s="712"/>
      <c r="L11" s="713"/>
      <c r="O11" s="147"/>
      <c r="P11" s="147"/>
      <c r="R11" s="147"/>
      <c r="S11" s="147"/>
      <c r="T11" s="147"/>
      <c r="U11" s="147"/>
      <c r="V11" s="147"/>
      <c r="X11" s="147"/>
      <c r="Y11" s="147"/>
      <c r="Z11" s="147"/>
    </row>
    <row r="12" spans="1:81" x14ac:dyDescent="0.2">
      <c r="A12" s="725"/>
      <c r="B12" s="730"/>
      <c r="C12" s="731"/>
      <c r="D12" s="732"/>
      <c r="E12" s="737"/>
      <c r="F12" s="730"/>
      <c r="G12" s="731"/>
      <c r="H12" s="732"/>
      <c r="I12" s="740"/>
      <c r="J12" s="712"/>
      <c r="K12" s="712"/>
      <c r="L12" s="713"/>
      <c r="O12" s="147"/>
      <c r="P12" s="147"/>
      <c r="R12" s="147"/>
      <c r="S12" s="147"/>
      <c r="T12" s="147"/>
      <c r="U12" s="147"/>
      <c r="V12" s="147"/>
      <c r="X12" s="147"/>
      <c r="Y12" s="147"/>
      <c r="Z12" s="147"/>
    </row>
    <row r="13" spans="1:81" x14ac:dyDescent="0.2">
      <c r="A13" s="725"/>
      <c r="B13" s="730"/>
      <c r="C13" s="731"/>
      <c r="D13" s="732"/>
      <c r="E13" s="737"/>
      <c r="F13" s="730"/>
      <c r="G13" s="731"/>
      <c r="H13" s="732"/>
      <c r="I13" s="740"/>
      <c r="J13" s="712"/>
      <c r="K13" s="712"/>
      <c r="L13" s="713"/>
      <c r="O13" s="147"/>
      <c r="P13" s="147"/>
      <c r="R13" s="147"/>
      <c r="S13" s="147"/>
      <c r="T13" s="147"/>
      <c r="U13" s="147"/>
      <c r="V13" s="147"/>
      <c r="X13" s="147"/>
      <c r="Y13" s="147"/>
      <c r="Z13" s="147"/>
    </row>
    <row r="14" spans="1:81" x14ac:dyDescent="0.2">
      <c r="A14" s="725"/>
      <c r="B14" s="730"/>
      <c r="C14" s="731"/>
      <c r="D14" s="732"/>
      <c r="E14" s="737"/>
      <c r="F14" s="730"/>
      <c r="G14" s="731"/>
      <c r="H14" s="732"/>
      <c r="I14" s="740"/>
      <c r="J14" s="712"/>
      <c r="K14" s="712"/>
      <c r="L14" s="713"/>
      <c r="O14" s="147"/>
      <c r="P14" s="147"/>
      <c r="R14" s="147"/>
      <c r="S14" s="147"/>
      <c r="T14" s="147"/>
      <c r="U14" s="147"/>
      <c r="V14" s="147"/>
      <c r="X14" s="147"/>
      <c r="Y14" s="147"/>
      <c r="Z14" s="147"/>
    </row>
    <row r="15" spans="1:81" x14ac:dyDescent="0.2">
      <c r="A15" s="725"/>
      <c r="B15" s="730"/>
      <c r="C15" s="731"/>
      <c r="D15" s="732"/>
      <c r="E15" s="737"/>
      <c r="F15" s="730"/>
      <c r="G15" s="731"/>
      <c r="H15" s="732"/>
      <c r="I15" s="740"/>
      <c r="J15" s="712"/>
      <c r="K15" s="712"/>
      <c r="L15" s="713"/>
      <c r="O15" s="147"/>
      <c r="P15" s="147"/>
      <c r="R15" s="147"/>
      <c r="S15" s="147"/>
      <c r="T15" s="147"/>
      <c r="U15" s="147"/>
      <c r="V15" s="147"/>
      <c r="X15" s="147"/>
      <c r="Y15" s="147"/>
      <c r="Z15" s="147"/>
    </row>
    <row r="16" spans="1:81" x14ac:dyDescent="0.2">
      <c r="A16" s="725"/>
      <c r="B16" s="730"/>
      <c r="C16" s="731"/>
      <c r="D16" s="732"/>
      <c r="E16" s="737"/>
      <c r="F16" s="730"/>
      <c r="G16" s="731"/>
      <c r="H16" s="732"/>
      <c r="I16" s="740"/>
      <c r="J16" s="712"/>
      <c r="K16" s="712"/>
      <c r="L16" s="713"/>
      <c r="O16" s="147"/>
      <c r="P16" s="147"/>
      <c r="R16" s="147"/>
      <c r="S16" s="147"/>
      <c r="T16" s="147"/>
      <c r="U16" s="147"/>
      <c r="V16" s="147"/>
      <c r="X16" s="147"/>
      <c r="Y16" s="147"/>
      <c r="Z16" s="147"/>
    </row>
    <row r="17" spans="1:26" x14ac:dyDescent="0.2">
      <c r="A17" s="725"/>
      <c r="B17" s="730"/>
      <c r="C17" s="731"/>
      <c r="D17" s="732"/>
      <c r="E17" s="737"/>
      <c r="F17" s="730"/>
      <c r="G17" s="731"/>
      <c r="H17" s="732"/>
      <c r="I17" s="740"/>
      <c r="J17" s="712"/>
      <c r="K17" s="712"/>
      <c r="L17" s="713"/>
      <c r="O17" s="147"/>
      <c r="P17" s="147"/>
      <c r="R17" s="147"/>
      <c r="S17" s="147"/>
      <c r="T17" s="147"/>
      <c r="U17" s="147"/>
      <c r="V17" s="147"/>
      <c r="X17" s="147"/>
      <c r="Y17" s="147"/>
      <c r="Z17" s="147"/>
    </row>
    <row r="18" spans="1:26" x14ac:dyDescent="0.2">
      <c r="A18" s="725"/>
      <c r="B18" s="730"/>
      <c r="C18" s="731"/>
      <c r="D18" s="732"/>
      <c r="E18" s="737"/>
      <c r="F18" s="730"/>
      <c r="G18" s="731"/>
      <c r="H18" s="732"/>
      <c r="I18" s="740"/>
      <c r="J18" s="712"/>
      <c r="K18" s="712"/>
      <c r="L18" s="713"/>
      <c r="O18" s="147"/>
      <c r="P18" s="147"/>
      <c r="R18" s="147"/>
      <c r="S18" s="147"/>
      <c r="T18" s="147"/>
      <c r="U18" s="147"/>
      <c r="V18" s="147"/>
      <c r="X18" s="147"/>
      <c r="Y18" s="147"/>
      <c r="Z18" s="147"/>
    </row>
    <row r="19" spans="1:26" x14ac:dyDescent="0.2">
      <c r="A19" s="725"/>
      <c r="B19" s="730"/>
      <c r="C19" s="731"/>
      <c r="D19" s="732"/>
      <c r="E19" s="737"/>
      <c r="F19" s="730"/>
      <c r="G19" s="731"/>
      <c r="H19" s="732"/>
      <c r="I19" s="740"/>
      <c r="J19" s="712"/>
      <c r="K19" s="712"/>
      <c r="L19" s="713"/>
      <c r="O19" s="147"/>
      <c r="P19" s="147"/>
      <c r="R19" s="147"/>
      <c r="S19" s="147"/>
      <c r="T19" s="147"/>
      <c r="U19" s="147"/>
      <c r="V19" s="147"/>
      <c r="X19" s="147"/>
      <c r="Y19" s="147"/>
      <c r="Z19" s="147"/>
    </row>
    <row r="20" spans="1:26" x14ac:dyDescent="0.2">
      <c r="A20" s="725"/>
      <c r="B20" s="730"/>
      <c r="C20" s="731"/>
      <c r="D20" s="732"/>
      <c r="E20" s="737"/>
      <c r="F20" s="730"/>
      <c r="G20" s="731"/>
      <c r="H20" s="732"/>
      <c r="I20" s="740"/>
      <c r="J20" s="712"/>
      <c r="K20" s="712"/>
      <c r="L20" s="713"/>
      <c r="O20" s="147"/>
      <c r="P20" s="147"/>
      <c r="R20" s="147"/>
      <c r="S20" s="147"/>
      <c r="T20" s="147"/>
      <c r="U20" s="147"/>
      <c r="V20" s="147"/>
      <c r="X20" s="147"/>
      <c r="Y20" s="147"/>
      <c r="Z20" s="147"/>
    </row>
    <row r="21" spans="1:26" x14ac:dyDescent="0.2">
      <c r="A21" s="725"/>
      <c r="B21" s="730"/>
      <c r="C21" s="731"/>
      <c r="D21" s="732"/>
      <c r="E21" s="737"/>
      <c r="F21" s="730"/>
      <c r="G21" s="731"/>
      <c r="H21" s="732"/>
      <c r="I21" s="740"/>
      <c r="J21" s="712"/>
      <c r="K21" s="712"/>
      <c r="L21" s="713"/>
      <c r="O21" s="147"/>
      <c r="P21" s="147"/>
      <c r="R21" s="147"/>
      <c r="S21" s="147"/>
      <c r="T21" s="147"/>
      <c r="U21" s="147"/>
      <c r="V21" s="147"/>
      <c r="X21" s="147"/>
      <c r="Y21" s="147"/>
      <c r="Z21" s="147"/>
    </row>
    <row r="22" spans="1:26" x14ac:dyDescent="0.2">
      <c r="A22" s="725"/>
      <c r="B22" s="730"/>
      <c r="C22" s="731"/>
      <c r="D22" s="732"/>
      <c r="E22" s="737"/>
      <c r="F22" s="730"/>
      <c r="G22" s="731"/>
      <c r="H22" s="732"/>
      <c r="I22" s="740"/>
      <c r="J22" s="712"/>
      <c r="K22" s="712"/>
      <c r="L22" s="713"/>
      <c r="O22" s="147"/>
      <c r="P22" s="147"/>
      <c r="R22" s="147"/>
      <c r="S22" s="147"/>
      <c r="T22" s="147"/>
      <c r="U22" s="147"/>
      <c r="V22" s="147"/>
      <c r="X22" s="147"/>
      <c r="Y22" s="147"/>
      <c r="Z22" s="147"/>
    </row>
    <row r="23" spans="1:26" ht="60" customHeight="1" x14ac:dyDescent="0.2">
      <c r="A23" s="726"/>
      <c r="B23" s="733"/>
      <c r="C23" s="734"/>
      <c r="D23" s="735"/>
      <c r="E23" s="738"/>
      <c r="F23" s="733"/>
      <c r="G23" s="734"/>
      <c r="H23" s="735"/>
      <c r="I23" s="741"/>
      <c r="J23" s="712"/>
      <c r="K23" s="712"/>
      <c r="L23" s="713"/>
      <c r="O23" s="147"/>
      <c r="P23" s="147"/>
      <c r="R23" s="147"/>
      <c r="S23" s="147"/>
      <c r="T23" s="147"/>
      <c r="U23" s="147"/>
      <c r="V23" s="147"/>
      <c r="X23" s="147"/>
      <c r="Y23" s="147"/>
      <c r="Z23" s="147"/>
    </row>
    <row r="24" spans="1:26" x14ac:dyDescent="0.2">
      <c r="A24" s="714"/>
      <c r="B24" s="727"/>
      <c r="C24" s="728"/>
      <c r="D24" s="729"/>
      <c r="E24" s="742"/>
      <c r="F24" s="727"/>
      <c r="G24" s="728"/>
      <c r="H24" s="729"/>
      <c r="I24" s="712"/>
      <c r="J24" s="712"/>
      <c r="K24" s="712"/>
      <c r="L24" s="713"/>
    </row>
    <row r="25" spans="1:26" x14ac:dyDescent="0.2">
      <c r="A25" s="714"/>
      <c r="B25" s="730"/>
      <c r="C25" s="731"/>
      <c r="D25" s="732"/>
      <c r="E25" s="742"/>
      <c r="F25" s="730"/>
      <c r="G25" s="731"/>
      <c r="H25" s="732"/>
      <c r="I25" s="712"/>
      <c r="J25" s="712"/>
      <c r="K25" s="712"/>
      <c r="L25" s="713"/>
    </row>
    <row r="26" spans="1:26" x14ac:dyDescent="0.2">
      <c r="A26" s="714"/>
      <c r="B26" s="730"/>
      <c r="C26" s="731"/>
      <c r="D26" s="732"/>
      <c r="E26" s="742"/>
      <c r="F26" s="730"/>
      <c r="G26" s="731"/>
      <c r="H26" s="732"/>
      <c r="I26" s="712"/>
      <c r="J26" s="712"/>
      <c r="K26" s="712"/>
      <c r="L26" s="713"/>
    </row>
    <row r="27" spans="1:26" x14ac:dyDescent="0.2">
      <c r="A27" s="714"/>
      <c r="B27" s="730"/>
      <c r="C27" s="731"/>
      <c r="D27" s="732"/>
      <c r="E27" s="742"/>
      <c r="F27" s="730"/>
      <c r="G27" s="731"/>
      <c r="H27" s="732"/>
      <c r="I27" s="712"/>
      <c r="J27" s="712"/>
      <c r="K27" s="712"/>
      <c r="L27" s="713"/>
    </row>
    <row r="28" spans="1:26" x14ac:dyDescent="0.2">
      <c r="A28" s="714"/>
      <c r="B28" s="730"/>
      <c r="C28" s="731"/>
      <c r="D28" s="732"/>
      <c r="E28" s="742"/>
      <c r="F28" s="730"/>
      <c r="G28" s="731"/>
      <c r="H28" s="732"/>
      <c r="I28" s="712"/>
      <c r="J28" s="712"/>
      <c r="K28" s="712"/>
      <c r="L28" s="713"/>
    </row>
    <row r="29" spans="1:26" x14ac:dyDescent="0.2">
      <c r="A29" s="714"/>
      <c r="B29" s="730"/>
      <c r="C29" s="731"/>
      <c r="D29" s="732"/>
      <c r="E29" s="742"/>
      <c r="F29" s="730"/>
      <c r="G29" s="731"/>
      <c r="H29" s="732"/>
      <c r="I29" s="712"/>
      <c r="J29" s="712"/>
      <c r="K29" s="712"/>
      <c r="L29" s="713"/>
    </row>
    <row r="30" spans="1:26" x14ac:dyDescent="0.2">
      <c r="A30" s="714"/>
      <c r="B30" s="730"/>
      <c r="C30" s="731"/>
      <c r="D30" s="732"/>
      <c r="E30" s="742"/>
      <c r="F30" s="730"/>
      <c r="G30" s="731"/>
      <c r="H30" s="732"/>
      <c r="I30" s="712"/>
      <c r="J30" s="712"/>
      <c r="K30" s="712"/>
      <c r="L30" s="713"/>
    </row>
    <row r="31" spans="1:26" x14ac:dyDescent="0.2">
      <c r="A31" s="714"/>
      <c r="B31" s="730"/>
      <c r="C31" s="731"/>
      <c r="D31" s="732"/>
      <c r="E31" s="742"/>
      <c r="F31" s="730"/>
      <c r="G31" s="731"/>
      <c r="H31" s="732"/>
      <c r="I31" s="712"/>
      <c r="J31" s="712"/>
      <c r="K31" s="712"/>
      <c r="L31" s="713"/>
    </row>
    <row r="32" spans="1:26" x14ac:dyDescent="0.2">
      <c r="A32" s="714"/>
      <c r="B32" s="730"/>
      <c r="C32" s="731"/>
      <c r="D32" s="732"/>
      <c r="E32" s="742"/>
      <c r="F32" s="730"/>
      <c r="G32" s="731"/>
      <c r="H32" s="732"/>
      <c r="I32" s="712"/>
      <c r="J32" s="712"/>
      <c r="K32" s="712"/>
      <c r="L32" s="713"/>
    </row>
    <row r="33" spans="1:12" x14ac:dyDescent="0.2">
      <c r="A33" s="714"/>
      <c r="B33" s="730"/>
      <c r="C33" s="731"/>
      <c r="D33" s="732"/>
      <c r="E33" s="742"/>
      <c r="F33" s="730"/>
      <c r="G33" s="731"/>
      <c r="H33" s="732"/>
      <c r="I33" s="712"/>
      <c r="J33" s="712"/>
      <c r="K33" s="712"/>
      <c r="L33" s="713"/>
    </row>
    <row r="34" spans="1:12" x14ac:dyDescent="0.2">
      <c r="A34" s="714"/>
      <c r="B34" s="730"/>
      <c r="C34" s="731"/>
      <c r="D34" s="732"/>
      <c r="E34" s="742"/>
      <c r="F34" s="730"/>
      <c r="G34" s="731"/>
      <c r="H34" s="732"/>
      <c r="I34" s="712"/>
      <c r="J34" s="712"/>
      <c r="K34" s="712"/>
      <c r="L34" s="713"/>
    </row>
    <row r="35" spans="1:12" x14ac:dyDescent="0.2">
      <c r="A35" s="714"/>
      <c r="B35" s="730"/>
      <c r="C35" s="731"/>
      <c r="D35" s="732"/>
      <c r="E35" s="742"/>
      <c r="F35" s="730"/>
      <c r="G35" s="731"/>
      <c r="H35" s="732"/>
      <c r="I35" s="712"/>
      <c r="J35" s="712"/>
      <c r="K35" s="712"/>
      <c r="L35" s="713"/>
    </row>
    <row r="36" spans="1:12" x14ac:dyDescent="0.2">
      <c r="A36" s="714"/>
      <c r="B36" s="730"/>
      <c r="C36" s="731"/>
      <c r="D36" s="732"/>
      <c r="E36" s="742"/>
      <c r="F36" s="730"/>
      <c r="G36" s="731"/>
      <c r="H36" s="732"/>
      <c r="I36" s="712"/>
      <c r="J36" s="712"/>
      <c r="K36" s="712"/>
      <c r="L36" s="713"/>
    </row>
    <row r="37" spans="1:12" ht="60" customHeight="1" x14ac:dyDescent="0.2">
      <c r="A37" s="724"/>
      <c r="B37" s="733"/>
      <c r="C37" s="734"/>
      <c r="D37" s="735"/>
      <c r="E37" s="736"/>
      <c r="F37" s="733"/>
      <c r="G37" s="734"/>
      <c r="H37" s="735"/>
      <c r="I37" s="739"/>
      <c r="J37" s="712"/>
      <c r="K37" s="712"/>
      <c r="L37" s="713"/>
    </row>
    <row r="38" spans="1:12" x14ac:dyDescent="0.2">
      <c r="A38" s="148" t="s">
        <v>273</v>
      </c>
      <c r="B38" s="722"/>
      <c r="C38" s="722"/>
      <c r="D38" s="722"/>
      <c r="E38" s="149" t="s">
        <v>274</v>
      </c>
      <c r="F38" s="722"/>
      <c r="G38" s="722"/>
      <c r="H38" s="722"/>
      <c r="I38" s="150"/>
      <c r="J38" s="145" t="s">
        <v>197</v>
      </c>
      <c r="K38" s="145" t="s">
        <v>198</v>
      </c>
      <c r="L38" s="151" t="s">
        <v>199</v>
      </c>
    </row>
    <row r="39" spans="1:12" x14ac:dyDescent="0.2">
      <c r="A39" s="148" t="s">
        <v>275</v>
      </c>
      <c r="B39" s="722"/>
      <c r="C39" s="722"/>
      <c r="D39" s="722"/>
      <c r="E39" s="149" t="s">
        <v>195</v>
      </c>
      <c r="F39" s="722"/>
      <c r="G39" s="722"/>
      <c r="H39" s="722"/>
      <c r="I39" s="152" t="s">
        <v>276</v>
      </c>
      <c r="J39" s="153"/>
      <c r="K39" s="153"/>
      <c r="L39" s="154"/>
    </row>
    <row r="40" spans="1:12" x14ac:dyDescent="0.2">
      <c r="A40" s="148" t="s">
        <v>277</v>
      </c>
      <c r="B40" s="722"/>
      <c r="C40" s="722"/>
      <c r="D40" s="722"/>
      <c r="E40" s="152" t="s">
        <v>278</v>
      </c>
      <c r="F40" s="722"/>
      <c r="G40" s="722"/>
      <c r="H40" s="722"/>
      <c r="I40" s="152"/>
      <c r="J40" s="155"/>
      <c r="K40" s="155"/>
      <c r="L40" s="156"/>
    </row>
    <row r="41" spans="1:12" x14ac:dyDescent="0.2">
      <c r="A41" s="148" t="s">
        <v>279</v>
      </c>
      <c r="B41" s="722"/>
      <c r="C41" s="722"/>
      <c r="D41" s="722"/>
      <c r="E41" s="149" t="s">
        <v>205</v>
      </c>
      <c r="F41" s="722"/>
      <c r="G41" s="722"/>
      <c r="H41" s="722"/>
      <c r="I41" s="152" t="s">
        <v>280</v>
      </c>
      <c r="J41" s="722"/>
      <c r="K41" s="722"/>
      <c r="L41" s="723"/>
    </row>
    <row r="42" spans="1:12" x14ac:dyDescent="0.2">
      <c r="A42" s="148" t="s">
        <v>281</v>
      </c>
      <c r="B42" s="722"/>
      <c r="C42" s="722"/>
      <c r="D42" s="722"/>
      <c r="E42" s="149" t="s">
        <v>282</v>
      </c>
      <c r="F42" s="722"/>
      <c r="G42" s="722"/>
      <c r="H42" s="722"/>
      <c r="I42" s="152" t="s">
        <v>283</v>
      </c>
      <c r="J42" s="722"/>
      <c r="K42" s="722"/>
      <c r="L42" s="723"/>
    </row>
    <row r="43" spans="1:12" x14ac:dyDescent="0.2">
      <c r="A43" s="148"/>
      <c r="B43" s="720"/>
      <c r="C43" s="720"/>
      <c r="D43" s="720"/>
      <c r="E43" s="152" t="s">
        <v>208</v>
      </c>
      <c r="F43" s="722"/>
      <c r="G43" s="722"/>
      <c r="H43" s="722"/>
      <c r="I43" s="149" t="s">
        <v>284</v>
      </c>
      <c r="J43" s="722"/>
      <c r="K43" s="722"/>
      <c r="L43" s="723"/>
    </row>
    <row r="44" spans="1:12" x14ac:dyDescent="0.2">
      <c r="A44" s="157"/>
      <c r="B44" s="145" t="s">
        <v>197</v>
      </c>
      <c r="C44" s="145" t="s">
        <v>198</v>
      </c>
      <c r="D44" s="145" t="s">
        <v>199</v>
      </c>
      <c r="E44" s="149" t="s">
        <v>285</v>
      </c>
      <c r="F44" s="722"/>
      <c r="G44" s="722"/>
      <c r="H44" s="722"/>
      <c r="I44" s="152"/>
      <c r="J44" s="158"/>
      <c r="K44" s="159"/>
      <c r="L44" s="160"/>
    </row>
    <row r="45" spans="1:12" ht="14.25" x14ac:dyDescent="0.2">
      <c r="A45" s="157" t="s">
        <v>201</v>
      </c>
      <c r="B45" s="161"/>
      <c r="C45" s="161"/>
      <c r="D45" s="161"/>
      <c r="E45" s="149"/>
      <c r="F45" s="720"/>
      <c r="G45" s="720"/>
      <c r="H45" s="720"/>
      <c r="I45" s="152"/>
      <c r="J45" s="158"/>
      <c r="K45" s="159"/>
      <c r="L45" s="160"/>
    </row>
    <row r="46" spans="1:12" ht="14.25" x14ac:dyDescent="0.2">
      <c r="A46" s="157" t="s">
        <v>286</v>
      </c>
      <c r="B46" s="161"/>
      <c r="C46" s="161"/>
      <c r="D46" s="161"/>
      <c r="E46" s="149" t="s">
        <v>210</v>
      </c>
      <c r="F46" s="722"/>
      <c r="G46" s="722"/>
      <c r="H46" s="722"/>
      <c r="I46" s="152"/>
      <c r="J46" s="158"/>
      <c r="K46" s="159"/>
      <c r="L46" s="160"/>
    </row>
    <row r="47" spans="1:12" ht="14.25" x14ac:dyDescent="0.2">
      <c r="A47" s="157" t="s">
        <v>204</v>
      </c>
      <c r="B47" s="161"/>
      <c r="C47" s="161"/>
      <c r="D47" s="161"/>
      <c r="E47" s="149" t="s">
        <v>211</v>
      </c>
      <c r="F47" s="721"/>
      <c r="G47" s="721"/>
      <c r="H47" s="721"/>
      <c r="I47" s="152"/>
      <c r="J47" s="158"/>
      <c r="K47" s="159"/>
      <c r="L47" s="160"/>
    </row>
    <row r="48" spans="1:12" x14ac:dyDescent="0.2">
      <c r="A48" s="157" t="s">
        <v>206</v>
      </c>
      <c r="B48" s="153"/>
      <c r="C48" s="153"/>
      <c r="D48" s="153"/>
      <c r="E48" s="149" t="s">
        <v>287</v>
      </c>
      <c r="F48" s="722"/>
      <c r="G48" s="722"/>
      <c r="H48" s="722"/>
      <c r="I48" s="152"/>
      <c r="J48" s="158"/>
      <c r="K48" s="159"/>
      <c r="L48" s="160"/>
    </row>
    <row r="49" spans="1:13" x14ac:dyDescent="0.2">
      <c r="A49" s="148"/>
      <c r="B49" s="720"/>
      <c r="C49" s="720"/>
      <c r="D49" s="720"/>
      <c r="E49" s="149" t="s">
        <v>214</v>
      </c>
      <c r="F49" s="722"/>
      <c r="G49" s="722"/>
      <c r="H49" s="722"/>
      <c r="I49" s="152"/>
      <c r="J49" s="158"/>
      <c r="K49" s="159"/>
      <c r="L49" s="160"/>
    </row>
    <row r="50" spans="1:13" x14ac:dyDescent="0.2">
      <c r="A50" s="148" t="s">
        <v>288</v>
      </c>
      <c r="B50" s="722"/>
      <c r="C50" s="722"/>
      <c r="D50" s="722"/>
      <c r="E50" s="149" t="s">
        <v>215</v>
      </c>
      <c r="F50" s="722"/>
      <c r="G50" s="722"/>
      <c r="H50" s="722"/>
      <c r="I50" s="152"/>
      <c r="J50" s="158"/>
      <c r="K50" s="159"/>
      <c r="L50" s="160"/>
    </row>
    <row r="51" spans="1:13" x14ac:dyDescent="0.2">
      <c r="A51" s="148" t="s">
        <v>289</v>
      </c>
      <c r="B51" s="722"/>
      <c r="C51" s="722"/>
      <c r="D51" s="722"/>
      <c r="E51" s="149"/>
      <c r="F51" s="720"/>
      <c r="G51" s="720"/>
      <c r="H51" s="720"/>
      <c r="I51" s="152"/>
      <c r="J51" s="158"/>
      <c r="K51" s="159"/>
      <c r="L51" s="160"/>
    </row>
    <row r="52" spans="1:13" x14ac:dyDescent="0.2">
      <c r="A52" s="148"/>
      <c r="B52" s="720"/>
      <c r="C52" s="720"/>
      <c r="D52" s="720"/>
      <c r="E52" s="149"/>
      <c r="F52" s="145" t="s">
        <v>197</v>
      </c>
      <c r="G52" s="145" t="s">
        <v>198</v>
      </c>
      <c r="H52" s="145" t="s">
        <v>199</v>
      </c>
      <c r="I52" s="152"/>
      <c r="J52" s="158"/>
      <c r="K52" s="159"/>
      <c r="L52" s="160"/>
    </row>
    <row r="53" spans="1:13" x14ac:dyDescent="0.2">
      <c r="A53" s="148"/>
      <c r="B53" s="720"/>
      <c r="C53" s="720"/>
      <c r="D53" s="720"/>
      <c r="E53" s="152" t="s">
        <v>200</v>
      </c>
      <c r="F53" s="153"/>
      <c r="G53" s="153"/>
      <c r="H53" s="153"/>
      <c r="I53" s="152"/>
      <c r="J53" s="158"/>
      <c r="K53" s="159"/>
      <c r="L53" s="160"/>
    </row>
    <row r="54" spans="1:13" s="162" customFormat="1" x14ac:dyDescent="0.2">
      <c r="A54" s="148"/>
      <c r="B54" s="720"/>
      <c r="C54" s="720"/>
      <c r="D54" s="720"/>
      <c r="E54" s="152" t="s">
        <v>202</v>
      </c>
      <c r="F54" s="153"/>
      <c r="G54" s="153"/>
      <c r="H54" s="153"/>
      <c r="I54" s="152"/>
      <c r="J54" s="158"/>
      <c r="K54" s="159"/>
      <c r="L54" s="160"/>
      <c r="M54" s="146"/>
    </row>
    <row r="55" spans="1:13" s="162" customFormat="1" x14ac:dyDescent="0.2">
      <c r="A55" s="148"/>
      <c r="B55" s="720"/>
      <c r="C55" s="720"/>
      <c r="D55" s="720"/>
      <c r="E55" s="149"/>
      <c r="F55" s="155"/>
      <c r="G55" s="155"/>
      <c r="H55" s="155"/>
      <c r="I55" s="149"/>
      <c r="J55" s="163"/>
      <c r="K55" s="159"/>
      <c r="L55" s="160"/>
    </row>
    <row r="56" spans="1:13" s="162" customFormat="1" x14ac:dyDescent="0.2">
      <c r="A56" s="164" t="s">
        <v>290</v>
      </c>
      <c r="B56" s="706" t="s">
        <v>291</v>
      </c>
      <c r="C56" s="706"/>
      <c r="D56" s="706"/>
      <c r="E56" s="165" t="s">
        <v>292</v>
      </c>
      <c r="F56" s="707"/>
      <c r="G56" s="707"/>
      <c r="H56" s="707"/>
      <c r="I56" s="709" t="s">
        <v>293</v>
      </c>
      <c r="J56" s="712"/>
      <c r="K56" s="712"/>
      <c r="L56" s="713"/>
    </row>
    <row r="57" spans="1:13" x14ac:dyDescent="0.2">
      <c r="A57" s="714"/>
      <c r="B57" s="712"/>
      <c r="C57" s="712"/>
      <c r="D57" s="712"/>
      <c r="E57" s="715"/>
      <c r="F57" s="707"/>
      <c r="G57" s="707"/>
      <c r="H57" s="707"/>
      <c r="I57" s="710"/>
      <c r="J57" s="712"/>
      <c r="K57" s="712"/>
      <c r="L57" s="713"/>
      <c r="M57" s="162"/>
    </row>
    <row r="58" spans="1:13" x14ac:dyDescent="0.2">
      <c r="A58" s="714"/>
      <c r="B58" s="712"/>
      <c r="C58" s="712"/>
      <c r="D58" s="712"/>
      <c r="E58" s="715"/>
      <c r="F58" s="707"/>
      <c r="G58" s="707"/>
      <c r="H58" s="707"/>
      <c r="I58" s="710"/>
      <c r="J58" s="712"/>
      <c r="K58" s="712"/>
      <c r="L58" s="713"/>
    </row>
    <row r="59" spans="1:13" x14ac:dyDescent="0.2">
      <c r="A59" s="714"/>
      <c r="B59" s="712"/>
      <c r="C59" s="712"/>
      <c r="D59" s="712"/>
      <c r="E59" s="715"/>
      <c r="F59" s="707"/>
      <c r="G59" s="707"/>
      <c r="H59" s="707"/>
      <c r="I59" s="710"/>
      <c r="J59" s="712"/>
      <c r="K59" s="712"/>
      <c r="L59" s="713"/>
    </row>
    <row r="60" spans="1:13" x14ac:dyDescent="0.2">
      <c r="A60" s="164" t="s">
        <v>294</v>
      </c>
      <c r="B60" s="706" t="s">
        <v>295</v>
      </c>
      <c r="C60" s="706"/>
      <c r="D60" s="706"/>
      <c r="E60" s="715"/>
      <c r="F60" s="707"/>
      <c r="G60" s="707"/>
      <c r="H60" s="707"/>
      <c r="I60" s="710"/>
      <c r="J60" s="712"/>
      <c r="K60" s="712"/>
      <c r="L60" s="713"/>
    </row>
    <row r="61" spans="1:13" x14ac:dyDescent="0.2">
      <c r="A61" s="714"/>
      <c r="B61" s="718"/>
      <c r="C61" s="718"/>
      <c r="D61" s="718"/>
      <c r="E61" s="715"/>
      <c r="F61" s="707"/>
      <c r="G61" s="707"/>
      <c r="H61" s="707"/>
      <c r="I61" s="710"/>
      <c r="J61" s="712"/>
      <c r="K61" s="712"/>
      <c r="L61" s="713"/>
    </row>
    <row r="62" spans="1:13" x14ac:dyDescent="0.2">
      <c r="A62" s="714"/>
      <c r="B62" s="718"/>
      <c r="C62" s="718"/>
      <c r="D62" s="718"/>
      <c r="E62" s="715"/>
      <c r="F62" s="707"/>
      <c r="G62" s="707"/>
      <c r="H62" s="707"/>
      <c r="I62" s="711"/>
      <c r="J62" s="712"/>
      <c r="K62" s="712"/>
      <c r="L62" s="713"/>
    </row>
    <row r="63" spans="1:13" ht="13.5" thickBot="1" x14ac:dyDescent="0.25">
      <c r="A63" s="717"/>
      <c r="B63" s="719"/>
      <c r="C63" s="719"/>
      <c r="D63" s="719"/>
      <c r="E63" s="716"/>
      <c r="F63" s="708"/>
      <c r="G63" s="708"/>
      <c r="H63" s="708"/>
      <c r="I63" s="166" t="s">
        <v>296</v>
      </c>
      <c r="J63" s="704"/>
      <c r="K63" s="704"/>
      <c r="L63" s="705"/>
    </row>
    <row r="68" spans="9:9" x14ac:dyDescent="0.2">
      <c r="I68" s="146" t="s">
        <v>189</v>
      </c>
    </row>
  </sheetData>
  <mergeCells count="66">
    <mergeCell ref="J2:L2"/>
    <mergeCell ref="J3:L3"/>
    <mergeCell ref="J4:L4"/>
    <mergeCell ref="J5:L5"/>
    <mergeCell ref="B7:D7"/>
    <mergeCell ref="F7:I7"/>
    <mergeCell ref="J7:L7"/>
    <mergeCell ref="B8:D8"/>
    <mergeCell ref="F8:I8"/>
    <mergeCell ref="J8:L8"/>
    <mergeCell ref="B9:D9"/>
    <mergeCell ref="F9:H9"/>
    <mergeCell ref="J9:L9"/>
    <mergeCell ref="J24:L37"/>
    <mergeCell ref="A10:A23"/>
    <mergeCell ref="B10:D23"/>
    <mergeCell ref="E10:E23"/>
    <mergeCell ref="F10:H23"/>
    <mergeCell ref="I10:I23"/>
    <mergeCell ref="J10:L23"/>
    <mergeCell ref="A24:A37"/>
    <mergeCell ref="B24:D37"/>
    <mergeCell ref="E24:E37"/>
    <mergeCell ref="F24:H37"/>
    <mergeCell ref="I24:I37"/>
    <mergeCell ref="B38:D38"/>
    <mergeCell ref="F38:H38"/>
    <mergeCell ref="B39:D39"/>
    <mergeCell ref="F39:H39"/>
    <mergeCell ref="B40:D40"/>
    <mergeCell ref="F40:H40"/>
    <mergeCell ref="F46:H46"/>
    <mergeCell ref="B41:D41"/>
    <mergeCell ref="F41:H41"/>
    <mergeCell ref="J41:L41"/>
    <mergeCell ref="B42:D42"/>
    <mergeCell ref="F42:H42"/>
    <mergeCell ref="J42:L42"/>
    <mergeCell ref="B43:D43"/>
    <mergeCell ref="F43:H43"/>
    <mergeCell ref="J43:L43"/>
    <mergeCell ref="F44:H44"/>
    <mergeCell ref="F45:H45"/>
    <mergeCell ref="B55:D55"/>
    <mergeCell ref="F47:H47"/>
    <mergeCell ref="F48:H48"/>
    <mergeCell ref="B49:D49"/>
    <mergeCell ref="F49:H49"/>
    <mergeCell ref="B50:D50"/>
    <mergeCell ref="F50:H50"/>
    <mergeCell ref="B51:D51"/>
    <mergeCell ref="F51:H51"/>
    <mergeCell ref="B52:D52"/>
    <mergeCell ref="B53:D53"/>
    <mergeCell ref="B54:D54"/>
    <mergeCell ref="A57:A59"/>
    <mergeCell ref="B57:D59"/>
    <mergeCell ref="E57:E63"/>
    <mergeCell ref="B60:D60"/>
    <mergeCell ref="A61:A63"/>
    <mergeCell ref="B61:D63"/>
    <mergeCell ref="J63:L63"/>
    <mergeCell ref="B56:D56"/>
    <mergeCell ref="F56:H63"/>
    <mergeCell ref="I56:I62"/>
    <mergeCell ref="J56:L62"/>
  </mergeCells>
  <pageMargins left="0" right="0.196850393700787" top="0.196850393700787" bottom="0.31496062992126" header="0.196850393700787" footer="0.196850393700787"/>
  <pageSetup paperSize="9" scale="4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J2"/>
  <sheetViews>
    <sheetView workbookViewId="0">
      <selection activeCell="B4" sqref="B4"/>
    </sheetView>
  </sheetViews>
  <sheetFormatPr defaultRowHeight="15" x14ac:dyDescent="0.25"/>
  <cols>
    <col min="1" max="9" width="11" customWidth="1"/>
    <col min="10" max="62" width="12" customWidth="1"/>
  </cols>
  <sheetData>
    <row r="1" spans="1:62" x14ac:dyDescent="0.25">
      <c r="A1" t="s">
        <v>297</v>
      </c>
      <c r="B1" t="s">
        <v>160</v>
      </c>
      <c r="C1" t="s">
        <v>298</v>
      </c>
      <c r="D1" t="s">
        <v>57</v>
      </c>
      <c r="E1" t="s">
        <v>157</v>
      </c>
      <c r="F1" t="s">
        <v>63</v>
      </c>
      <c r="G1" t="s">
        <v>64</v>
      </c>
      <c r="H1" t="s">
        <v>158</v>
      </c>
      <c r="I1" t="s">
        <v>299</v>
      </c>
      <c r="J1" t="s">
        <v>300</v>
      </c>
      <c r="K1" t="s">
        <v>301</v>
      </c>
      <c r="L1" t="s">
        <v>302</v>
      </c>
      <c r="M1" t="s">
        <v>303</v>
      </c>
      <c r="N1" t="s">
        <v>304</v>
      </c>
      <c r="O1" t="s">
        <v>305</v>
      </c>
      <c r="P1" t="s">
        <v>306</v>
      </c>
      <c r="Q1" t="s">
        <v>307</v>
      </c>
      <c r="R1" t="s">
        <v>308</v>
      </c>
      <c r="S1" t="s">
        <v>309</v>
      </c>
      <c r="T1" t="s">
        <v>310</v>
      </c>
      <c r="U1" t="s">
        <v>311</v>
      </c>
      <c r="V1" t="s">
        <v>312</v>
      </c>
      <c r="W1" t="s">
        <v>313</v>
      </c>
      <c r="X1" t="s">
        <v>314</v>
      </c>
      <c r="Y1" t="s">
        <v>315</v>
      </c>
      <c r="Z1" t="s">
        <v>316</v>
      </c>
      <c r="AA1" t="s">
        <v>317</v>
      </c>
      <c r="AB1" t="s">
        <v>318</v>
      </c>
      <c r="AC1" t="s">
        <v>319</v>
      </c>
      <c r="AD1" t="s">
        <v>320</v>
      </c>
      <c r="AE1" t="s">
        <v>321</v>
      </c>
      <c r="AF1" t="s">
        <v>322</v>
      </c>
      <c r="AG1" t="s">
        <v>323</v>
      </c>
      <c r="AH1" t="s">
        <v>324</v>
      </c>
      <c r="AI1" t="s">
        <v>325</v>
      </c>
      <c r="AJ1" t="s">
        <v>326</v>
      </c>
      <c r="AK1" t="s">
        <v>327</v>
      </c>
      <c r="AL1" t="s">
        <v>328</v>
      </c>
      <c r="AM1" t="s">
        <v>329</v>
      </c>
      <c r="AN1" t="s">
        <v>330</v>
      </c>
      <c r="AO1" t="s">
        <v>331</v>
      </c>
      <c r="AP1" t="s">
        <v>332</v>
      </c>
      <c r="AQ1" t="s">
        <v>333</v>
      </c>
      <c r="AR1" t="s">
        <v>334</v>
      </c>
      <c r="AS1" t="s">
        <v>335</v>
      </c>
      <c r="AT1" t="s">
        <v>336</v>
      </c>
      <c r="AU1" t="s">
        <v>337</v>
      </c>
      <c r="AV1" t="s">
        <v>338</v>
      </c>
      <c r="AW1" t="s">
        <v>339</v>
      </c>
      <c r="AX1" t="s">
        <v>340</v>
      </c>
      <c r="AY1" t="s">
        <v>341</v>
      </c>
      <c r="AZ1" t="s">
        <v>342</v>
      </c>
      <c r="BA1" t="s">
        <v>343</v>
      </c>
      <c r="BB1" t="s">
        <v>344</v>
      </c>
      <c r="BC1" t="s">
        <v>345</v>
      </c>
      <c r="BD1" t="s">
        <v>346</v>
      </c>
      <c r="BE1" t="s">
        <v>347</v>
      </c>
      <c r="BF1" t="s">
        <v>348</v>
      </c>
      <c r="BG1" t="s">
        <v>349</v>
      </c>
      <c r="BH1" t="s">
        <v>350</v>
      </c>
      <c r="BI1" t="s">
        <v>351</v>
      </c>
      <c r="BJ1" t="s">
        <v>352</v>
      </c>
    </row>
    <row r="2" spans="1:62" x14ac:dyDescent="0.25">
      <c r="B2" s="38"/>
      <c r="C2" s="38"/>
      <c r="D2" s="38"/>
      <c r="E2" s="38"/>
      <c r="F2" s="38"/>
      <c r="G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86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86"/>
      <c r="BG2" s="38"/>
      <c r="BH2" s="38"/>
      <c r="BI2" s="38"/>
      <c r="BJ2" s="38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D2"/>
  <sheetViews>
    <sheetView workbookViewId="0">
      <selection activeCell="H12" sqref="H12"/>
    </sheetView>
  </sheetViews>
  <sheetFormatPr defaultRowHeight="15" x14ac:dyDescent="0.25"/>
  <cols>
    <col min="1" max="1" width="11.85546875" bestFit="1" customWidth="1"/>
    <col min="2" max="2" width="16.7109375" bestFit="1" customWidth="1"/>
    <col min="3" max="3" width="15.5703125" bestFit="1" customWidth="1"/>
    <col min="4" max="4" width="11" customWidth="1"/>
  </cols>
  <sheetData>
    <row r="1" spans="1:4" x14ac:dyDescent="0.25">
      <c r="A1" t="s">
        <v>297</v>
      </c>
      <c r="B1" t="s">
        <v>353</v>
      </c>
      <c r="C1" t="s">
        <v>354</v>
      </c>
      <c r="D1" t="s">
        <v>355</v>
      </c>
    </row>
    <row r="2" spans="1:4" x14ac:dyDescent="0.25">
      <c r="B2" s="38"/>
      <c r="C2" s="38"/>
      <c r="D2" s="3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</vt:i4>
      </vt:variant>
    </vt:vector>
  </HeadingPairs>
  <TitlesOfParts>
    <vt:vector size="23" baseType="lpstr">
      <vt:lpstr>SRF</vt:lpstr>
      <vt:lpstr>Blad1</vt:lpstr>
      <vt:lpstr>EXTRA PHOTOS</vt:lpstr>
      <vt:lpstr>Temp</vt:lpstr>
      <vt:lpstr>Ref</vt:lpstr>
      <vt:lpstr>tmpReportSample</vt:lpstr>
      <vt:lpstr>tmpLoadingPlan</vt:lpstr>
      <vt:lpstr>tmpLoadingPlanDetail</vt:lpstr>
      <vt:lpstr>PS</vt:lpstr>
      <vt:lpstr>Booking</vt:lpstr>
      <vt:lpstr>Data1</vt:lpstr>
      <vt:lpstr>SRFData</vt:lpstr>
      <vt:lpstr>SRFDataImages</vt:lpstr>
      <vt:lpstr>PLCReport</vt:lpstr>
      <vt:lpstr>PLCRefData</vt:lpstr>
      <vt:lpstr>PLCRefImage</vt:lpstr>
      <vt:lpstr>Accountmanager</vt:lpstr>
      <vt:lpstr>Booking!Print_Area</vt:lpstr>
      <vt:lpstr>PLCReport!Print_Area</vt:lpstr>
      <vt:lpstr>PS!Print_Area</vt:lpstr>
      <vt:lpstr>SRF!Print_Area</vt:lpstr>
      <vt:lpstr>tmpReportSample!Print_Area</vt:lpstr>
      <vt:lpstr>Seizoen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dvanderlinden</dc:creator>
  <cp:lastModifiedBy>my</cp:lastModifiedBy>
  <cp:lastPrinted>2017-07-05T14:01:11Z</cp:lastPrinted>
  <dcterms:created xsi:type="dcterms:W3CDTF">2011-05-23T08:11:35Z</dcterms:created>
  <dcterms:modified xsi:type="dcterms:W3CDTF">2017-09-20T09:30:35Z</dcterms:modified>
</cp:coreProperties>
</file>