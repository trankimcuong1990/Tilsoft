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SingleCells1.xml" ContentType="application/vnd.openxmlformats-officedocument.spreadsheetml.tableSingleCell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TILSOFTv2\SOLUTION\TilsoftService\Reports\"/>
    </mc:Choice>
  </mc:AlternateContent>
  <bookViews>
    <workbookView xWindow="-15" yWindow="-15" windowWidth="15480" windowHeight="5340" tabRatio="608"/>
  </bookViews>
  <sheets>
    <sheet name="TOTAL_PROFORMA_INVOICE" sheetId="29" r:id="rId1"/>
    <sheet name="STATUS" sheetId="33" r:id="rId2"/>
    <sheet name="Param" sheetId="32" r:id="rId3"/>
  </sheets>
  <definedNames>
    <definedName name="_xlnm._FilterDatabase" localSheetId="1" hidden="1">STATUS!$A$5:$I$6</definedName>
    <definedName name="_xlnm._FilterDatabase" localSheetId="0" hidden="1">TOTAL_PROFORMA_INVOICE!$A$6:$AC$6</definedName>
    <definedName name="_xlnm.Print_Area" localSheetId="1">STATUS!$A$1:$AO$5024</definedName>
    <definedName name="_xlnm.Print_Area" localSheetId="0">TOTAL_PROFORMA_INVOICE!$A$1:$AR$7</definedName>
    <definedName name="_xlnm.Print_Titles" localSheetId="0">TOTAL_PROFORMA_INVOICE!$2:$3</definedName>
  </definedNames>
  <calcPr calcId="162913"/>
</workbook>
</file>

<file path=xl/calcChain.xml><?xml version="1.0" encoding="utf-8"?>
<calcChain xmlns="http://schemas.openxmlformats.org/spreadsheetml/2006/main">
  <c r="H4" i="33" l="1"/>
  <c r="I4" i="33"/>
  <c r="H3" i="33"/>
  <c r="I3" i="33"/>
  <c r="G4" i="33"/>
  <c r="G3" i="33"/>
  <c r="AJ5" i="29" l="1"/>
  <c r="AI5" i="29"/>
  <c r="AJ4" i="29"/>
  <c r="AI4" i="29"/>
  <c r="M5" i="29" l="1"/>
  <c r="M4" i="29"/>
  <c r="L5" i="29"/>
  <c r="L4" i="29"/>
  <c r="Z5" i="29" l="1"/>
  <c r="Z4" i="29"/>
  <c r="AB5" i="29"/>
  <c r="AB4" i="29"/>
  <c r="J1" i="29" l="1"/>
  <c r="AC7" i="29" s="1"/>
  <c r="A1" i="29"/>
  <c r="AC5" i="29" l="1"/>
  <c r="AC4" i="29"/>
</calcChain>
</file>

<file path=xl/comments1.xml><?xml version="1.0" encoding="utf-8"?>
<comments xmlns="http://schemas.openxmlformats.org/spreadsheetml/2006/main">
  <authors>
    <author>QUANG</author>
  </authors>
  <commentList>
    <comment ref="AH2" authorId="0" shapeId="0">
      <text>
        <r>
          <rPr>
            <b/>
            <sz val="9"/>
            <color indexed="81"/>
            <rFont val="Tahoma"/>
            <family val="2"/>
          </rPr>
          <t xml:space="preserve">PAD : Payment After Delivery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RAP_EU20132014" type="4" refreshedVersion="0" background="1">
    <webPr xml="1" sourceData="1" url="C:\Users\ltran\AppData\Local\Temp\5\RAP_EU20132014.xml" htmlTables="1" htmlFormat="all"/>
  </connection>
</connections>
</file>

<file path=xl/sharedStrings.xml><?xml version="1.0" encoding="utf-8"?>
<sst xmlns="http://schemas.openxmlformats.org/spreadsheetml/2006/main" count="114" uniqueCount="110">
  <si>
    <t>ART. DESCRIPTION</t>
  </si>
  <si>
    <t>ART. CODE</t>
  </si>
  <si>
    <t>QNT/40FT</t>
  </si>
  <si>
    <t>ORDER QNT</t>
  </si>
  <si>
    <t>ORDER IN CONT.</t>
  </si>
  <si>
    <t>ORDER DATE</t>
  </si>
  <si>
    <t>SUB-TOTAL</t>
  </si>
  <si>
    <t>#</t>
  </si>
  <si>
    <t>CLIENT CODE</t>
  </si>
  <si>
    <t>CLIENT NAME</t>
  </si>
  <si>
    <t>SALE</t>
  </si>
  <si>
    <t>ns1:ProformaInvoiceNo</t>
  </si>
  <si>
    <t>ns1:SaleNM</t>
  </si>
  <si>
    <t>ns1:ArticleCode</t>
  </si>
  <si>
    <t>ns1:Description</t>
  </si>
  <si>
    <t>ns1:OrderQnt</t>
  </si>
  <si>
    <t>SALES UNITPRICE IN US$</t>
  </si>
  <si>
    <t>SALES ORDERS AMOUNT IN US$</t>
  </si>
  <si>
    <t>SALES UNITPRICE IN EURO</t>
  </si>
  <si>
    <t>SALES ORDERS AMOUNT IN EURO</t>
  </si>
  <si>
    <t>TOTAL SALES  IN EURO</t>
  </si>
  <si>
    <t>GRAND-TOTAL</t>
  </si>
  <si>
    <t>ns1:InvoiceDate</t>
  </si>
  <si>
    <t>ns1:OrderIn40HC</t>
  </si>
  <si>
    <t>DELIVERY DATE CLIENT</t>
  </si>
  <si>
    <t>MATERIAL</t>
  </si>
  <si>
    <t>ns1:MaterialNM</t>
  </si>
  <si>
    <t>FRAME MATERIAL</t>
  </si>
  <si>
    <t>TYPE MATERIALS</t>
  </si>
  <si>
    <t>COLOR MATERIALS</t>
  </si>
  <si>
    <t>COLOR CUSHION</t>
  </si>
  <si>
    <t>ns1:FrameMaterialNM</t>
  </si>
  <si>
    <t>ns1:MaterialTypeNM</t>
  </si>
  <si>
    <t>ns1:MaterialColorNM</t>
  </si>
  <si>
    <t>ns1:CushionColorNM</t>
  </si>
  <si>
    <t>ns1:ConfirmStatus</t>
  </si>
  <si>
    <t>SUPPLIERS</t>
  </si>
  <si>
    <t>Exchange Rate:</t>
  </si>
  <si>
    <t>Season</t>
  </si>
  <si>
    <t>Rate</t>
  </si>
  <si>
    <t>ns1:ClientUD</t>
  </si>
  <si>
    <t>ns1:ClientNM</t>
  </si>
  <si>
    <t>ns1:Qnt40HC</t>
  </si>
  <si>
    <t>FRAME MATERIAL COLOR</t>
  </si>
  <si>
    <t>ns1:FrameMaterialColorNM</t>
  </si>
  <si>
    <t>SUB MATERIAL</t>
  </si>
  <si>
    <t>SUB MATERIAL COLOR</t>
  </si>
  <si>
    <t>ns1:SubMaterialNM</t>
  </si>
  <si>
    <t>ns1:SubMaterialColorNM</t>
  </si>
  <si>
    <t>Column1</t>
  </si>
  <si>
    <t>ns1:RowIndex</t>
  </si>
  <si>
    <t>ns1:LDS</t>
  </si>
  <si>
    <t>ns1:DeliveryDate</t>
  </si>
  <si>
    <t>ns1:PIReceivedDate</t>
  </si>
  <si>
    <t>ns1:FactoryUD</t>
  </si>
  <si>
    <t>ns1:UnitPriceInUSD</t>
  </si>
  <si>
    <t>ns1:AmountInUSD</t>
  </si>
  <si>
    <t>ns1:UnitPriceInEUR</t>
  </si>
  <si>
    <t>ns1:AmountInEUR</t>
  </si>
  <si>
    <t>Column2</t>
  </si>
  <si>
    <t>ORDER NO. (TILSOFT)</t>
  </si>
  <si>
    <t>LDS 1</t>
  </si>
  <si>
    <t>PROFORMA 
CONFIRMED</t>
  </si>
  <si>
    <t>PI RECEIVED 
DATE</t>
  </si>
  <si>
    <t>ns1:PaymentTermNM</t>
  </si>
  <si>
    <t>PAYMENT 
TERM</t>
  </si>
  <si>
    <t>ns1:PaymentAmountInUSD</t>
  </si>
  <si>
    <t>DP/LC RECEIVED 
IN USD</t>
  </si>
  <si>
    <t>DP/LC RECEIVED 
IN EUR</t>
  </si>
  <si>
    <t>ns1:PaymentAmountInEUR</t>
  </si>
  <si>
    <t>ns1:PaymentDate</t>
  </si>
  <si>
    <t>ns1:IsLCReceived</t>
  </si>
  <si>
    <t>Column3</t>
  </si>
  <si>
    <t>ORDER PUT IN PRODUCTION</t>
  </si>
  <si>
    <t>Column4</t>
  </si>
  <si>
    <t>LC
DP
 PAD</t>
  </si>
  <si>
    <t>Column6</t>
  </si>
  <si>
    <t>PAYMENT REMARK</t>
  </si>
  <si>
    <t>PAYMENT 
STATUS</t>
  </si>
  <si>
    <t>PAYMENT DATE</t>
  </si>
  <si>
    <t>ns1:UpdatorName</t>
  </si>
  <si>
    <t>ns1:UpdatedDate</t>
  </si>
  <si>
    <t>UPDATED BY</t>
  </si>
  <si>
    <t>UPDATED DATE</t>
  </si>
  <si>
    <t>Column5</t>
  </si>
  <si>
    <t>LDS CLIENT</t>
  </si>
  <si>
    <t>CLIENT ORDER NUMBER</t>
  </si>
  <si>
    <t>PROFORMA INVOICES</t>
  </si>
  <si>
    <t>Name Customer</t>
  </si>
  <si>
    <t>VN-monitored by</t>
  </si>
  <si>
    <t>NL-monitored by</t>
  </si>
  <si>
    <t>Agented By</t>
  </si>
  <si>
    <t>Sale Manager</t>
  </si>
  <si>
    <t xml:space="preserve"> Order in Cont.</t>
  </si>
  <si>
    <t>CONFIRMED in Cont.</t>
  </si>
  <si>
    <t>NOT CONFIRMED in Cont.</t>
  </si>
  <si>
    <t>Total</t>
  </si>
  <si>
    <t>Subtotal</t>
  </si>
  <si>
    <t>ns1:SaleVNNM</t>
  </si>
  <si>
    <t>ns1:Sale2NM</t>
  </si>
  <si>
    <t>ns1:AgentNM</t>
  </si>
  <si>
    <t>ns1:TotalOrderIn40HC</t>
  </si>
  <si>
    <t>ns1:ConfirmedOrderIn40HC</t>
  </si>
  <si>
    <t>ns1:NotConfirmedOrderIn40HC</t>
  </si>
  <si>
    <t>Column7</t>
  </si>
  <si>
    <t>Column8</t>
  </si>
  <si>
    <t>Column9</t>
  </si>
  <si>
    <t>CLIENT ARTICLE CODE</t>
  </si>
  <si>
    <t>CLIENT ARTICLE NAME</t>
  </si>
  <si>
    <t>CLIENT EAN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</si>
</sst>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_(* #,##0.00_);_(* \(#,##0.00\);_(* &quot;-&quot;??_);_(@_)"/>
    <numFmt numFmtId="165" formatCode="_ * #,##0_ ;_ * \-#,##0_ ;_ * &quot;-&quot;_ ;_ @_ "/>
    <numFmt numFmtId="166" formatCode="_ * #,##0.00_ ;_ * \-#,##0.00_ ;_ * &quot;-&quot;??_ ;_ @_ "/>
    <numFmt numFmtId="167" formatCode="_-* #,##0.00_-;_-* #,##0.00\-;_-* &quot;-&quot;??_-;_-@_-"/>
    <numFmt numFmtId="168" formatCode="_-* #,##0_-;\-* #,##0_-;_-* &quot;-&quot;??_-;_-@_-"/>
    <numFmt numFmtId="169" formatCode="_-* #,##0\ _B_F_-;\-* #,##0\ _B_F_-;_-* &quot;-&quot;\ _B_F_-;_-@_-"/>
    <numFmt numFmtId="170" formatCode="_(* #,##0.0_);_(* \(#,##0.0\);_(* &quot;-&quot;??_);_(@_)"/>
    <numFmt numFmtId="171" formatCode="_-[$€-2]\ * #,##0.00_-;\-[$€-2]\ * #,##0.00_-;_-[$€-2]\ * &quot;-&quot;??_-;_-@_-"/>
    <numFmt numFmtId="172" formatCode="[$-1010000]d/m/yy;@"/>
    <numFmt numFmtId="173" formatCode="_-[$$-409]* #,##0.00_ ;_-[$$-409]* \-#,##0.00\ ;_-[$$-409]* &quot;-&quot;??_ ;_-@_ "/>
    <numFmt numFmtId="174" formatCode="_-&quot;€&quot;* #,##0.00_-;\-&quot;€&quot;* #,##0.00_-;_-&quot;€&quot;* &quot;-&quot;??_-;_-@_-"/>
    <numFmt numFmtId="175" formatCode="_ [$€-413]\ * #,##0_ ;_ [$€-413]\ * \-#,##0_ ;_ [$€-413]\ * &quot;-&quot;_ ;_ @_ "/>
    <numFmt numFmtId="176" formatCode="_-[$$-409]* #,##0_ ;_-[$$-409]* \-#,##0\ ;_-[$$-409]* &quot;-&quot;_ ;_-@_ "/>
    <numFmt numFmtId="177" formatCode="[$€-413]\ #,##0.00"/>
    <numFmt numFmtId="178" formatCode="[$$-409]#,##0.00"/>
    <numFmt numFmtId="179" formatCode="_ [$€-413]\ * #,##0.00_ ;_ [$€-413]\ * \-#,##0.00_ ;_ [$€-413]\ * &quot;-&quot;??_ ;_ @_ "/>
    <numFmt numFmtId="180" formatCode="_-[$$-1409]* #,##0.00_-;\-[$$-1409]* #,##0.00_-;_-[$$-1409]* &quot;-&quot;??_-;_-@_-"/>
  </numFmts>
  <fonts count="29">
    <font>
      <sz val="10"/>
      <name val="Arial"/>
    </font>
    <font>
      <sz val="10"/>
      <name val="Arial"/>
      <family val="2"/>
    </font>
    <font>
      <sz val="12"/>
      <name val="宋体"/>
      <charset val="134"/>
    </font>
    <font>
      <sz val="10"/>
      <name val="Arial"/>
      <family val="2"/>
    </font>
    <font>
      <sz val="10"/>
      <name val="Arial"/>
      <family val="2"/>
    </font>
    <font>
      <sz val="12"/>
      <name val="VNI-Times"/>
    </font>
    <font>
      <b/>
      <sz val="8"/>
      <name val="Arial"/>
      <family val="2"/>
    </font>
    <font>
      <sz val="8"/>
      <name val="Arial"/>
      <family val="2"/>
    </font>
    <font>
      <b/>
      <sz val="12"/>
      <color rgb="FFFF0000"/>
      <name val="Arial"/>
      <family val="2"/>
    </font>
    <font>
      <sz val="8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5"/>
      <color rgb="FFFF0000"/>
      <name val="Arial"/>
      <family val="2"/>
    </font>
    <font>
      <sz val="10"/>
      <name val="Arial"/>
      <family val="2"/>
      <charset val="163"/>
    </font>
    <font>
      <b/>
      <sz val="10"/>
      <name val="Arial"/>
      <family val="2"/>
      <charset val="163"/>
    </font>
    <font>
      <b/>
      <sz val="10"/>
      <color rgb="FFFF0000"/>
      <name val="Arial"/>
      <family val="2"/>
      <charset val="163"/>
    </font>
    <font>
      <sz val="8"/>
      <name val="Arial"/>
      <family val="2"/>
      <charset val="163"/>
    </font>
    <font>
      <b/>
      <sz val="8"/>
      <color theme="0"/>
      <name val="Arial"/>
      <family val="2"/>
      <charset val="163"/>
    </font>
    <font>
      <sz val="8"/>
      <name val="Arial"/>
      <family val="2"/>
      <charset val="16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b/>
      <sz val="8"/>
      <color theme="0"/>
      <name val="Arial"/>
      <family val="2"/>
    </font>
    <font>
      <sz val="9"/>
      <color theme="1"/>
      <name val="Calibri"/>
      <family val="2"/>
      <scheme val="minor"/>
    </font>
    <font>
      <b/>
      <sz val="9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511703848384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7">
    <xf numFmtId="169" fontId="0" fillId="0" borderId="0" applyFont="0" applyFill="0" applyBorder="0" applyAlignment="0" applyProtection="0"/>
    <xf numFmtId="169" fontId="2" fillId="0" borderId="0" applyFont="0" applyFill="0" applyBorder="0" applyAlignment="0" applyProtection="0"/>
    <xf numFmtId="167" fontId="3" fillId="0" borderId="0" applyFont="0" applyFill="0" applyBorder="0" applyAlignment="0" applyProtection="0"/>
    <xf numFmtId="171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4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70" fontId="4" fillId="0" borderId="0" applyFont="0" applyFill="0" applyBorder="0" applyAlignment="0" applyProtection="0"/>
    <xf numFmtId="0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10" fillId="0" borderId="0" applyFont="0" applyFill="0" applyBorder="0" applyAlignment="0" applyProtection="0"/>
    <xf numFmtId="169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94">
    <xf numFmtId="0" fontId="0" fillId="0" borderId="0" xfId="0" applyNumberFormat="1"/>
    <xf numFmtId="14" fontId="7" fillId="0" borderId="0" xfId="0" applyNumberFormat="1" applyFont="1" applyAlignment="1">
      <alignment vertical="center"/>
    </xf>
    <xf numFmtId="0" fontId="7" fillId="0" borderId="0" xfId="0" applyNumberFormat="1" applyFont="1" applyAlignment="1">
      <alignment vertical="center" shrinkToFit="1"/>
    </xf>
    <xf numFmtId="0" fontId="7" fillId="0" borderId="0" xfId="0" applyNumberFormat="1" applyFont="1" applyAlignment="1">
      <alignment vertical="center"/>
    </xf>
    <xf numFmtId="0" fontId="7" fillId="0" borderId="0" xfId="0" applyNumberFormat="1" applyFont="1" applyAlignment="1">
      <alignment horizontal="right" vertical="center"/>
    </xf>
    <xf numFmtId="0" fontId="7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horizontal="center" vertical="center"/>
    </xf>
    <xf numFmtId="169" fontId="6" fillId="3" borderId="1" xfId="0" applyFont="1" applyFill="1" applyBorder="1" applyAlignment="1">
      <alignment horizontal="center" vertical="center" wrapText="1"/>
    </xf>
    <xf numFmtId="3" fontId="6" fillId="3" borderId="1" xfId="0" applyNumberFormat="1" applyFont="1" applyFill="1" applyBorder="1" applyAlignment="1">
      <alignment vertical="center" wrapText="1"/>
    </xf>
    <xf numFmtId="3" fontId="6" fillId="3" borderId="1" xfId="2" applyNumberFormat="1" applyFont="1" applyFill="1" applyBorder="1" applyAlignment="1">
      <alignment vertical="center" wrapText="1"/>
    </xf>
    <xf numFmtId="4" fontId="6" fillId="3" borderId="1" xfId="2" applyNumberFormat="1" applyFont="1" applyFill="1" applyBorder="1" applyAlignment="1">
      <alignment vertical="center" wrapText="1"/>
    </xf>
    <xf numFmtId="49" fontId="9" fillId="0" borderId="0" xfId="0" applyNumberFormat="1" applyFont="1" applyBorder="1" applyAlignment="1">
      <alignment vertical="center"/>
    </xf>
    <xf numFmtId="173" fontId="6" fillId="3" borderId="1" xfId="0" applyNumberFormat="1" applyFont="1" applyFill="1" applyBorder="1" applyAlignment="1">
      <alignment vertical="center" wrapText="1"/>
    </xf>
    <xf numFmtId="173" fontId="6" fillId="4" borderId="1" xfId="0" applyNumberFormat="1" applyFont="1" applyFill="1" applyBorder="1" applyAlignment="1">
      <alignment vertical="center" wrapText="1"/>
    </xf>
    <xf numFmtId="175" fontId="6" fillId="3" borderId="1" xfId="0" applyNumberFormat="1" applyFont="1" applyFill="1" applyBorder="1" applyAlignment="1">
      <alignment vertical="center" wrapText="1"/>
    </xf>
    <xf numFmtId="175" fontId="6" fillId="3" borderId="1" xfId="2" applyNumberFormat="1" applyFont="1" applyFill="1" applyBorder="1" applyAlignment="1">
      <alignment vertical="center" wrapText="1"/>
    </xf>
    <xf numFmtId="175" fontId="6" fillId="4" borderId="1" xfId="0" applyNumberFormat="1" applyFont="1" applyFill="1" applyBorder="1" applyAlignment="1">
      <alignment vertical="center" wrapText="1"/>
    </xf>
    <xf numFmtId="49" fontId="0" fillId="0" borderId="0" xfId="0" applyNumberFormat="1"/>
    <xf numFmtId="0" fontId="13" fillId="0" borderId="0" xfId="0" applyNumberFormat="1" applyFont="1"/>
    <xf numFmtId="0" fontId="14" fillId="0" borderId="0" xfId="0" applyNumberFormat="1" applyFont="1" applyAlignment="1">
      <alignment horizontal="right" vertical="center" shrinkToFit="1"/>
    </xf>
    <xf numFmtId="176" fontId="16" fillId="3" borderId="1" xfId="2" applyNumberFormat="1" applyFont="1" applyFill="1" applyBorder="1" applyAlignment="1">
      <alignment vertical="center" wrapText="1"/>
    </xf>
    <xf numFmtId="0" fontId="12" fillId="0" borderId="0" xfId="0" applyNumberFormat="1" applyFont="1" applyBorder="1" applyAlignment="1">
      <alignment horizontal="left" vertical="center"/>
    </xf>
    <xf numFmtId="0" fontId="8" fillId="0" borderId="0" xfId="0" applyNumberFormat="1" applyFont="1" applyBorder="1" applyAlignment="1">
      <alignment vertical="top"/>
    </xf>
    <xf numFmtId="2" fontId="15" fillId="0" borderId="0" xfId="0" applyNumberFormat="1" applyFont="1" applyBorder="1" applyAlignment="1">
      <alignment horizontal="left" vertical="center"/>
    </xf>
    <xf numFmtId="169" fontId="6" fillId="4" borderId="1" xfId="0" applyFont="1" applyFill="1" applyBorder="1" applyAlignment="1">
      <alignment horizontal="center" vertical="center" wrapText="1"/>
    </xf>
    <xf numFmtId="3" fontId="6" fillId="4" borderId="1" xfId="0" applyNumberFormat="1" applyFont="1" applyFill="1" applyBorder="1" applyAlignment="1">
      <alignment vertical="center" wrapText="1"/>
    </xf>
    <xf numFmtId="3" fontId="6" fillId="4" borderId="1" xfId="2" applyNumberFormat="1" applyFont="1" applyFill="1" applyBorder="1" applyAlignment="1">
      <alignment vertical="center" wrapText="1"/>
    </xf>
    <xf numFmtId="4" fontId="6" fillId="4" borderId="1" xfId="2" applyNumberFormat="1" applyFont="1" applyFill="1" applyBorder="1" applyAlignment="1">
      <alignment vertical="center" wrapText="1"/>
    </xf>
    <xf numFmtId="176" fontId="16" fillId="4" borderId="1" xfId="2" applyNumberFormat="1" applyFont="1" applyFill="1" applyBorder="1" applyAlignment="1">
      <alignment vertical="center" wrapText="1"/>
    </xf>
    <xf numFmtId="175" fontId="6" fillId="4" borderId="1" xfId="2" applyNumberFormat="1" applyFont="1" applyFill="1" applyBorder="1" applyAlignment="1">
      <alignment vertical="center" wrapText="1"/>
    </xf>
    <xf numFmtId="169" fontId="17" fillId="0" borderId="1" xfId="0" applyFont="1" applyFill="1" applyBorder="1" applyAlignment="1">
      <alignment horizontal="center" vertical="center" wrapText="1"/>
    </xf>
    <xf numFmtId="3" fontId="17" fillId="0" borderId="1" xfId="0" applyNumberFormat="1" applyFont="1" applyFill="1" applyBorder="1" applyAlignment="1">
      <alignment horizontal="center" vertical="center" wrapText="1"/>
    </xf>
    <xf numFmtId="3" fontId="17" fillId="0" borderId="1" xfId="2" applyNumberFormat="1" applyFont="1" applyFill="1" applyBorder="1" applyAlignment="1">
      <alignment horizontal="center" vertical="center" wrapText="1"/>
    </xf>
    <xf numFmtId="4" fontId="17" fillId="0" borderId="1" xfId="2" applyNumberFormat="1" applyFont="1" applyFill="1" applyBorder="1" applyAlignment="1">
      <alignment horizontal="center" vertical="center" wrapText="1"/>
    </xf>
    <xf numFmtId="173" fontId="17" fillId="0" borderId="1" xfId="0" applyNumberFormat="1" applyFont="1" applyFill="1" applyBorder="1" applyAlignment="1">
      <alignment horizontal="center" vertical="center" wrapText="1"/>
    </xf>
    <xf numFmtId="176" fontId="17" fillId="0" borderId="1" xfId="2" applyNumberFormat="1" applyFont="1" applyFill="1" applyBorder="1" applyAlignment="1">
      <alignment horizontal="center" vertical="center" wrapText="1"/>
    </xf>
    <xf numFmtId="175" fontId="17" fillId="0" borderId="1" xfId="0" applyNumberFormat="1" applyFont="1" applyFill="1" applyBorder="1" applyAlignment="1">
      <alignment horizontal="center" vertical="center" wrapText="1"/>
    </xf>
    <xf numFmtId="175" fontId="17" fillId="0" borderId="1" xfId="2" applyNumberFormat="1" applyFont="1" applyFill="1" applyBorder="1" applyAlignment="1">
      <alignment horizontal="center" vertical="center" wrapText="1"/>
    </xf>
    <xf numFmtId="0" fontId="17" fillId="0" borderId="1" xfId="0" applyNumberFormat="1" applyFont="1" applyFill="1" applyBorder="1" applyAlignment="1">
      <alignment horizontal="center" vertical="center" wrapText="1"/>
    </xf>
    <xf numFmtId="0" fontId="18" fillId="0" borderId="1" xfId="0" applyNumberFormat="1" applyFont="1" applyFill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14" fontId="16" fillId="0" borderId="1" xfId="0" applyNumberFormat="1" applyFont="1" applyBorder="1" applyAlignment="1">
      <alignment vertical="center"/>
    </xf>
    <xf numFmtId="49" fontId="16" fillId="0" borderId="1" xfId="0" applyNumberFormat="1" applyFont="1" applyBorder="1" applyAlignment="1">
      <alignment vertical="center"/>
    </xf>
    <xf numFmtId="0" fontId="16" fillId="0" borderId="1" xfId="0" applyNumberFormat="1" applyFont="1" applyBorder="1" applyAlignment="1">
      <alignment vertical="center"/>
    </xf>
    <xf numFmtId="14" fontId="18" fillId="0" borderId="1" xfId="0" applyNumberFormat="1" applyFont="1" applyBorder="1" applyAlignment="1">
      <alignment vertical="center"/>
    </xf>
    <xf numFmtId="49" fontId="18" fillId="0" borderId="1" xfId="0" applyNumberFormat="1" applyFont="1" applyBorder="1" applyAlignment="1">
      <alignment vertical="center"/>
    </xf>
    <xf numFmtId="178" fontId="18" fillId="0" borderId="1" xfId="0" applyNumberFormat="1" applyFont="1" applyFill="1" applyBorder="1" applyAlignment="1">
      <alignment vertical="center"/>
    </xf>
    <xf numFmtId="177" fontId="18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vertical="center"/>
    </xf>
    <xf numFmtId="14" fontId="16" fillId="0" borderId="1" xfId="0" applyNumberFormat="1" applyFont="1" applyFill="1" applyBorder="1" applyAlignment="1">
      <alignment vertical="center"/>
    </xf>
    <xf numFmtId="175" fontId="6" fillId="8" borderId="1" xfId="2" applyNumberFormat="1" applyFont="1" applyFill="1" applyBorder="1" applyAlignment="1">
      <alignment vertical="center" wrapText="1"/>
    </xf>
    <xf numFmtId="0" fontId="6" fillId="8" borderId="1" xfId="0" applyNumberFormat="1" applyFont="1" applyFill="1" applyBorder="1" applyAlignment="1">
      <alignment horizontal="center" vertical="center"/>
    </xf>
    <xf numFmtId="175" fontId="6" fillId="9" borderId="1" xfId="2" applyNumberFormat="1" applyFont="1" applyFill="1" applyBorder="1" applyAlignment="1">
      <alignment vertical="center" wrapText="1"/>
    </xf>
    <xf numFmtId="0" fontId="6" fillId="9" borderId="1" xfId="0" applyNumberFormat="1" applyFont="1" applyFill="1" applyBorder="1" applyAlignment="1">
      <alignment horizontal="center" vertical="center"/>
    </xf>
    <xf numFmtId="179" fontId="6" fillId="8" borderId="1" xfId="0" applyNumberFormat="1" applyFont="1" applyFill="1" applyBorder="1" applyAlignment="1">
      <alignment horizontal="right" vertical="center"/>
    </xf>
    <xf numFmtId="179" fontId="6" fillId="9" borderId="1" xfId="0" applyNumberFormat="1" applyFont="1" applyFill="1" applyBorder="1" applyAlignment="1">
      <alignment horizontal="right" vertical="center"/>
    </xf>
    <xf numFmtId="179" fontId="16" fillId="0" borderId="1" xfId="0" applyNumberFormat="1" applyFont="1" applyFill="1" applyBorder="1" applyAlignment="1">
      <alignment vertical="center"/>
    </xf>
    <xf numFmtId="180" fontId="16" fillId="0" borderId="1" xfId="0" applyNumberFormat="1" applyFont="1" applyFill="1" applyBorder="1" applyAlignment="1">
      <alignment vertical="center"/>
    </xf>
    <xf numFmtId="173" fontId="6" fillId="9" borderId="1" xfId="0" applyNumberFormat="1" applyFont="1" applyFill="1" applyBorder="1" applyAlignment="1">
      <alignment horizontal="right" vertical="center"/>
    </xf>
    <xf numFmtId="173" fontId="6" fillId="8" borderId="1" xfId="0" applyNumberFormat="1" applyFont="1" applyFill="1" applyBorder="1" applyAlignment="1">
      <alignment horizontal="right" vertical="center"/>
    </xf>
    <xf numFmtId="0" fontId="22" fillId="0" borderId="1" xfId="0" applyNumberFormat="1" applyFont="1" applyFill="1" applyBorder="1" applyAlignment="1">
      <alignment horizontal="center" vertical="center" wrapText="1"/>
    </xf>
    <xf numFmtId="49" fontId="21" fillId="0" borderId="1" xfId="0" applyNumberFormat="1" applyFont="1" applyFill="1" applyBorder="1" applyAlignment="1">
      <alignment vertical="center"/>
    </xf>
    <xf numFmtId="14" fontId="21" fillId="0" borderId="1" xfId="0" applyNumberFormat="1" applyFont="1" applyFill="1" applyBorder="1" applyAlignment="1">
      <alignment vertical="center"/>
    </xf>
    <xf numFmtId="4" fontId="16" fillId="0" borderId="1" xfId="0" applyNumberFormat="1" applyFont="1" applyBorder="1" applyAlignment="1">
      <alignment vertical="center"/>
    </xf>
    <xf numFmtId="0" fontId="1" fillId="0" borderId="0" xfId="14" applyNumberFormat="1"/>
    <xf numFmtId="0" fontId="23" fillId="2" borderId="2" xfId="14" applyNumberFormat="1" applyFont="1" applyFill="1" applyBorder="1" applyAlignment="1">
      <alignment horizontal="center" vertical="center"/>
    </xf>
    <xf numFmtId="164" fontId="24" fillId="10" borderId="2" xfId="15" applyNumberFormat="1" applyFont="1" applyFill="1" applyBorder="1" applyAlignment="1">
      <alignment horizontal="center" vertical="center" wrapText="1"/>
    </xf>
    <xf numFmtId="164" fontId="25" fillId="10" borderId="2" xfId="15" applyNumberFormat="1" applyFont="1" applyFill="1" applyBorder="1" applyAlignment="1">
      <alignment horizontal="center" vertical="center" wrapText="1"/>
    </xf>
    <xf numFmtId="0" fontId="23" fillId="3" borderId="1" xfId="14" applyNumberFormat="1" applyFont="1" applyFill="1" applyBorder="1"/>
    <xf numFmtId="0" fontId="26" fillId="3" borderId="1" xfId="14" applyNumberFormat="1" applyFont="1" applyFill="1" applyBorder="1"/>
    <xf numFmtId="4" fontId="26" fillId="3" borderId="1" xfId="14" applyNumberFormat="1" applyFont="1" applyFill="1" applyBorder="1"/>
    <xf numFmtId="0" fontId="23" fillId="11" borderId="3" xfId="14" applyNumberFormat="1" applyFont="1" applyFill="1" applyBorder="1"/>
    <xf numFmtId="0" fontId="26" fillId="4" borderId="3" xfId="14" applyNumberFormat="1" applyFont="1" applyFill="1" applyBorder="1"/>
    <xf numFmtId="4" fontId="26" fillId="4" borderId="3" xfId="14" applyNumberFormat="1" applyFont="1" applyFill="1" applyBorder="1"/>
    <xf numFmtId="0" fontId="1" fillId="0" borderId="6" xfId="14" applyNumberFormat="1" applyFont="1" applyFill="1" applyBorder="1"/>
    <xf numFmtId="0" fontId="1" fillId="0" borderId="3" xfId="14" applyNumberFormat="1" applyFont="1" applyFill="1" applyBorder="1"/>
    <xf numFmtId="166" fontId="0" fillId="0" borderId="3" xfId="16" applyFont="1" applyFill="1" applyBorder="1"/>
    <xf numFmtId="166" fontId="0" fillId="0" borderId="7" xfId="16" applyFont="1" applyFill="1" applyBorder="1"/>
    <xf numFmtId="49" fontId="1" fillId="0" borderId="3" xfId="14" applyNumberFormat="1" applyFont="1" applyFill="1" applyBorder="1"/>
    <xf numFmtId="0" fontId="27" fillId="0" borderId="4" xfId="14" applyNumberFormat="1" applyFont="1" applyFill="1" applyBorder="1"/>
    <xf numFmtId="0" fontId="27" fillId="0" borderId="2" xfId="14" applyNumberFormat="1" applyFont="1" applyFill="1" applyBorder="1"/>
    <xf numFmtId="166" fontId="27" fillId="0" borderId="2" xfId="16" applyFont="1" applyFill="1" applyBorder="1"/>
    <xf numFmtId="166" fontId="27" fillId="0" borderId="5" xfId="16" applyFont="1" applyFill="1" applyBorder="1"/>
    <xf numFmtId="169" fontId="28" fillId="0" borderId="2" xfId="0" applyNumberFormat="1" applyFont="1" applyFill="1" applyBorder="1" applyAlignment="1">
      <alignment horizontal="center" vertical="center" wrapText="1"/>
    </xf>
    <xf numFmtId="166" fontId="6" fillId="2" borderId="1" xfId="2" applyNumberFormat="1" applyFont="1" applyFill="1" applyBorder="1" applyAlignment="1">
      <alignment horizontal="center" vertical="center" wrapText="1"/>
    </xf>
    <xf numFmtId="169" fontId="6" fillId="2" borderId="1" xfId="0" applyFont="1" applyFill="1" applyBorder="1" applyAlignment="1">
      <alignment horizontal="center" vertical="center" wrapText="1"/>
    </xf>
    <xf numFmtId="168" fontId="6" fillId="2" borderId="1" xfId="2" applyNumberFormat="1" applyFont="1" applyFill="1" applyBorder="1" applyAlignment="1">
      <alignment horizontal="center" vertical="center" wrapText="1"/>
    </xf>
    <xf numFmtId="0" fontId="6" fillId="2" borderId="1" xfId="0" applyNumberFormat="1" applyFont="1" applyFill="1" applyBorder="1" applyAlignment="1">
      <alignment horizontal="center" vertical="center" wrapText="1"/>
    </xf>
    <xf numFmtId="0" fontId="6" fillId="2" borderId="1" xfId="0" applyNumberFormat="1" applyFont="1" applyFill="1" applyBorder="1" applyAlignment="1">
      <alignment horizontal="center" vertical="center"/>
    </xf>
    <xf numFmtId="173" fontId="11" fillId="5" borderId="1" xfId="0" applyNumberFormat="1" applyFont="1" applyFill="1" applyBorder="1" applyAlignment="1">
      <alignment horizontal="center" vertical="center" wrapText="1"/>
    </xf>
    <xf numFmtId="173" fontId="11" fillId="5" borderId="1" xfId="13" applyNumberFormat="1" applyFont="1" applyFill="1" applyBorder="1" applyAlignment="1">
      <alignment horizontal="center" vertical="center" wrapText="1"/>
    </xf>
    <xf numFmtId="173" fontId="11" fillId="6" borderId="1" xfId="0" applyNumberFormat="1" applyFont="1" applyFill="1" applyBorder="1" applyAlignment="1">
      <alignment horizontal="center" vertical="center" wrapText="1"/>
    </xf>
    <xf numFmtId="174" fontId="11" fillId="7" borderId="1" xfId="0" applyNumberFormat="1" applyFont="1" applyFill="1" applyBorder="1" applyAlignment="1">
      <alignment horizontal="center" vertical="center" wrapText="1"/>
    </xf>
    <xf numFmtId="0" fontId="1" fillId="0" borderId="1" xfId="14" applyNumberFormat="1" applyBorder="1" applyAlignment="1">
      <alignment horizontal="center"/>
    </xf>
  </cellXfs>
  <cellStyles count="17">
    <cellStyle name="_ET_STYLE_NoName_00_" xfId="1"/>
    <cellStyle name="Comma" xfId="13" builtinId="3"/>
    <cellStyle name="Comma 2" xfId="2"/>
    <cellStyle name="Comma 2 2" xfId="3"/>
    <cellStyle name="Comma 2 3" xfId="15"/>
    <cellStyle name="Comma 2_HANG THANH PHAM" xfId="4"/>
    <cellStyle name="Comma 3" xfId="16"/>
    <cellStyle name="Komma 2" xfId="5"/>
    <cellStyle name="Komma 2 2" xfId="6"/>
    <cellStyle name="Komma_Blad1" xfId="7"/>
    <cellStyle name="Normal" xfId="0" builtinId="0"/>
    <cellStyle name="Normal 2" xfId="14"/>
    <cellStyle name="Standaard 2" xfId="8"/>
    <cellStyle name="Standaard 3" xfId="9"/>
    <cellStyle name="Standaard_Blad1" xfId="10"/>
    <cellStyle name="Stijl 1" xfId="11"/>
    <cellStyle name="Style 1" xfId="12"/>
  </cellStyles>
  <dxfs count="1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9" formatCode="_ [$€-413]\ * #,##0.00_ ;_ [$€-413]\ * \-#,##0.00_ ;_ [$€-413]\ * &quot;-&quot;??_ ;_ @_ 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80" formatCode="_-[$$-1409]* #,##0.00_-;\-[$$-1409]* #,##0.00_-;_-[$$-1409]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7" formatCode="[$€-413]\ 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7" formatCode="[$€-413]\ 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7" formatCode="[$€-413]\ 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8" formatCode="[$$-409]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8" formatCode="[$$-409]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DCE6F1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1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Report_ProformaInvoice_View" minOccurs="0" maxOccurs="unbounded">
              <xs:complexType>
                <xs:sequence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RowIndex" type="xs:int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MSPI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InvoiceDate" minOccurs="0" type="xs:date"/>
                  <xs:element name="LDSClient" minOccurs="0" type="xs:date"/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OrderQnt" type="xs:int" minOccurs="0"/>
                  <xs:element name="OrderIn40HC" type="xs:decimal" minOccurs="0"/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ub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ub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firmStatus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LDS" minOccurs="0" type="xs:date"/>
                  <xs:element name="DeliveryDate" minOccurs="0" type="xs:date"/>
                  <xs:element name="PIReceivedDate" minOccurs="0" type="xs:date"/>
                  <xs:element name="FactoryUD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UnitPriceInUSD" type="xs:decimal"/>
                  <xs:element name="UnitPriceInEUR" type="xs:decimal"/>
                  <xs:element name="AmountInUSD" type="xs:decimal" minOccurs="0"/>
                  <xs:element name="AmountInEUR" type="xs:decimal" minOccurs="0"/>
                  <xs:element name="PaymentDate" minOccurs="0" type="xs:date"/>
                  <xs:element name="PaymentAmountInUSD" minOccurs="0" type="xs:decimal"/>
                  <xs:element name="PaymentAmountInEUR" minOccurs="0" type="xs:decimal"/>
                  <xs:element name="PaymentAmountEUR" minOccurs="0" type="xs:decimal"/>
                  <xs:element name="IsLCReceived" minOccurs="0" type="xs:string"/>
                  <xs:element name="PaymentTermNM" minOccurs="0" type="xs:string"/>
                  <xs:element name="PaymentTypeNM" minOccurs="0" type="xs:string"/>
                  <xs:element name="IsPutInProduction" minOccurs="0" type="xs:string"/>
                  <xs:element name="PaymentStatusNM" minOccurs="0" type="xs:string"/>
                  <xs:element name="PaymentRemark" minOccurs="0" type="xs:string"/>
                  <xs:element name="UpdatorName" minOccurs="0" type="xs:string"/>
                  <xs:element name="UpdatedDate" minOccurs="0" type="xs:date"/>
                  <xs:element name="UniqueID" msdata:DataType="System.Guid, mscorlib, Version=4.0.0.0, Culture=neutral, PublicKeyToken=b77a5c561934e089" type="xs:string" minOccurs="0"/>
                  <xs:element name="ClientArticleCode" minOccurs="0">
                    <xs:simpleType>
                      <xs:restriction base="xs:string">
                        <xs:maxLength value="100"/>
                      </xs:restriction>
                    </xs:simpleType>
                  </xs:element>
                  <xs:element name="ClientArticleName" minOccurs="0">
                    <xs:simpleType>
                      <xs:restriction base="xs:string">
                        <xs:maxLength value="100"/>
                      </xs:restriction>
                    </xs:simpleType>
                  </xs:element>
                  <xs:element name="ClientEANCode" minOccurs="0">
                    <xs:simpleType>
                      <xs:restriction base="xs:string">
                        <xs:maxLength value="100"/>
                      </xs:restriction>
                    </xs:simpleType>
                  </xs:element>
                </xs:sequence>
              </xs:complexType>
            </xs:element>
            <xs:element name="ParamTable">
              <xs:complexType>
                <xs:sequence>
                  <xs:element name="Season" type="xs:string" minOccurs="0"/>
                  <xs:element name="ExchangeRate" type="xs:decimal" minOccurs="0"/>
                </xs:sequence>
              </xs:complexType>
            </xs:element>
            <xs:element name="Report_ProformaInvoice_ByClient_View" minOccurs="0" maxOccurs="unbounded">
              <xs:complexType>
                <xs:sequence>
                  <xs:element name="RowIndex" type="xs:int" minOccurs="0"/>
                  <xs:element name="ClientNM" type="xs:string" minOccurs="0"/>
                  <xs:element name="SaleVNNM" type="xs:string" minOccurs="0"/>
                  <xs:element name="Sale2NM" type="xs:string" minOccurs="0"/>
                  <xs:element name="AgentNM" type="xs:string" minOccurs="0"/>
                  <xs:element name="SaleNM" type="xs:string" minOccurs="0"/>
                  <xs:element name="TotalOrderIn40HC" type="xs:decimal" minOccurs="0"/>
                  <xs:element name="ConfirmedOrderIn40HC" type="xs:decimal" minOccurs="0"/>
                  <xs:element name="NotConfirmedOrderIn40HC" type="xs:decimal" minOccurs="0"/>
                </xs:sequence>
              </xs:complexType>
            </xs:element>
          </xs:sequence>
        </xs:complexType>
      </xs:element>
    </xs:schema>
  </Schema>
  <Map ID="11" Name="ReportDataObject_Map" RootElement="ReportDataObject" SchemaID="Schema1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able3" displayName="Table3" ref="A6:AR7" tableType="xml" headerRowDxfId="107" dataDxfId="105" totalsRowDxfId="103" headerRowBorderDxfId="106" tableBorderDxfId="104" totalsRowBorderDxfId="102">
  <autoFilter ref="A6:AR7"/>
  <tableColumns count="44">
    <tableColumn id="20" uniqueName="ns1:RowIndex" name="ns1:RowIndex" totalsRowLabel="Total" dataDxfId="101" totalsRowDxfId="100">
      <xmlColumnPr mapId="11" xpath="/ns1:ReportDataObject/ns1:Report_ProformaInvoice_View/ns1:RowIndex" xmlDataType="int"/>
    </tableColumn>
    <tableColumn id="1" uniqueName="ns1:ProformaInvoiceNo" name="ns1:ProformaInvoiceNo" dataDxfId="99" totalsRowDxfId="98">
      <xmlColumnPr mapId="11" xpath="/ns1:ReportDataObject/ns1:Report_ProformaInvoice_View/ns1:ProformaInvoiceNo" xmlDataType="string"/>
    </tableColumn>
    <tableColumn id="30" uniqueName="ns1:OMSPINo" name="Column2" dataDxfId="97" totalsRowDxfId="96">
      <xmlColumnPr mapId="11" xpath="/ns1:ReportDataObject/ns1:Report_ProformaInvoice_View/ns1:OMSPINo" xmlDataType="string"/>
    </tableColumn>
    <tableColumn id="2" uniqueName="ns1:InvoiceDate" name="ns1:InvoiceDate" dataDxfId="95" totalsRowDxfId="94">
      <xmlColumnPr mapId="11" xpath="/ns1:ReportDataObject/ns1:Report_ProformaInvoice_View/ns1:InvoiceDate" xmlDataType="date"/>
    </tableColumn>
    <tableColumn id="41" uniqueName="ns1:LDSClient" name="Column5" dataDxfId="93" totalsRowDxfId="92">
      <xmlColumnPr mapId="11" xpath="/ns1:ReportDataObject/ns1:Report_ProformaInvoice_View/ns1:LDSClient" xmlDataType="date"/>
    </tableColumn>
    <tableColumn id="3" uniqueName="ns1:ClientUD" name="ns1:ClientUD" dataDxfId="91" totalsRowDxfId="90">
      <xmlColumnPr mapId="11" xpath="/ns1:ReportDataObject/ns1:Report_ProformaInvoice_View/ns1:ClientUD" xmlDataType="string"/>
    </tableColumn>
    <tableColumn id="4" uniqueName="ns1:ClientNM" name="ns1:ClientNM" dataDxfId="89" totalsRowDxfId="88">
      <xmlColumnPr mapId="11" xpath="/ns1:ReportDataObject/ns1:Report_ProformaInvoice_View/ns1:ClientNM" xmlDataType="string"/>
    </tableColumn>
    <tableColumn id="5" uniqueName="ns1:SaleNM" name="ns1:SaleNM" dataDxfId="87" totalsRowDxfId="86">
      <xmlColumnPr mapId="11" xpath="/ns1:ReportDataObject/ns1:Report_ProformaInvoice_View/ns1:SaleNM" xmlDataType="string"/>
    </tableColumn>
    <tableColumn id="6" uniqueName="ns1:ArticleCode" name="ns1:ArticleCode" dataDxfId="85" totalsRowDxfId="84">
      <xmlColumnPr mapId="11" xpath="/ns1:ReportDataObject/ns1:Report_ProformaInvoice_View/ns1:ArticleCode" xmlDataType="string"/>
    </tableColumn>
    <tableColumn id="7" uniqueName="ns1:Description" name="ns1:Description" dataDxfId="83" totalsRowDxfId="82">
      <xmlColumnPr mapId="11" xpath="/ns1:ReportDataObject/ns1:Report_ProformaInvoice_View/ns1:Description" xmlDataType="string"/>
    </tableColumn>
    <tableColumn id="8" uniqueName="ns1:Qnt40HC" name="ns1:Qnt40HC" dataDxfId="81" totalsRowDxfId="80">
      <xmlColumnPr mapId="11" xpath="/ns1:ReportDataObject/ns1:Report_ProformaInvoice_View/ns1:Qnt40HC" xmlDataType="int"/>
    </tableColumn>
    <tableColumn id="9" uniqueName="ns1:OrderQnt" name="ns1:OrderQnt" dataDxfId="79" totalsRowDxfId="78">
      <xmlColumnPr mapId="11" xpath="/ns1:ReportDataObject/ns1:Report_ProformaInvoice_View/ns1:OrderQnt" xmlDataType="int"/>
    </tableColumn>
    <tableColumn id="10" uniqueName="ns1:OrderIn40HC" name="ns1:OrderIn40HC" dataDxfId="77" totalsRowDxfId="76">
      <xmlColumnPr mapId="11" xpath="/ns1:ReportDataObject/ns1:Report_ProformaInvoice_View/ns1:OrderIn40HC" xmlDataType="decimal"/>
    </tableColumn>
    <tableColumn id="11" uniqueName="ns1:MaterialNM" name="ns1:MaterialNM" dataDxfId="75" totalsRowDxfId="74">
      <xmlColumnPr mapId="11" xpath="/ns1:ReportDataObject/ns1:Report_ProformaInvoice_View/ns1:MaterialNM" xmlDataType="string"/>
    </tableColumn>
    <tableColumn id="12" uniqueName="ns1:MaterialTypeNM" name="ns1:MaterialTypeNM" dataDxfId="73" totalsRowDxfId="72">
      <xmlColumnPr mapId="11" xpath="/ns1:ReportDataObject/ns1:Report_ProformaInvoice_View/ns1:MaterialTypeNM" xmlDataType="string"/>
    </tableColumn>
    <tableColumn id="13" uniqueName="ns1:MaterialColorNM" name="ns1:MaterialColorNM" dataDxfId="71" totalsRowDxfId="70">
      <xmlColumnPr mapId="11" xpath="/ns1:ReportDataObject/ns1:Report_ProformaInvoice_View/ns1:MaterialColorNM" xmlDataType="string"/>
    </tableColumn>
    <tableColumn id="14" uniqueName="ns1:FrameMaterialNM" name="ns1:FrameMaterialNM" dataDxfId="69" totalsRowDxfId="68">
      <xmlColumnPr mapId="11" xpath="/ns1:ReportDataObject/ns1:Report_ProformaInvoice_View/ns1:FrameMaterialNM" xmlDataType="string"/>
    </tableColumn>
    <tableColumn id="15" uniqueName="ns1:FrameMaterialColorNM" name="ns1:FrameMaterialColorNM" dataDxfId="67" totalsRowDxfId="66">
      <xmlColumnPr mapId="11" xpath="/ns1:ReportDataObject/ns1:Report_ProformaInvoice_View/ns1:FrameMaterialColorNM" xmlDataType="string"/>
    </tableColumn>
    <tableColumn id="16" uniqueName="ns1:SubMaterialNM" name="ns1:SubMaterialNM" dataDxfId="65" totalsRowDxfId="64">
      <xmlColumnPr mapId="11" xpath="/ns1:ReportDataObject/ns1:Report_ProformaInvoice_View/ns1:SubMaterialNM" xmlDataType="string"/>
    </tableColumn>
    <tableColumn id="17" uniqueName="ns1:SubMaterialColorNM" name="ns1:SubMaterialColorNM" dataDxfId="63" totalsRowDxfId="62">
      <xmlColumnPr mapId="11" xpath="/ns1:ReportDataObject/ns1:Report_ProformaInvoice_View/ns1:SubMaterialColorNM" xmlDataType="string"/>
    </tableColumn>
    <tableColumn id="18" uniqueName="ns1:CushionColorNM" name="ns1:CushionColorNM" dataDxfId="61" totalsRowDxfId="60">
      <xmlColumnPr mapId="11" xpath="/ns1:ReportDataObject/ns1:Report_ProformaInvoice_View/ns1:CushionColorNM" xmlDataType="string"/>
    </tableColumn>
    <tableColumn id="21" uniqueName="ns1:LDS" name="ns1:LDS" dataDxfId="59" totalsRowDxfId="58">
      <xmlColumnPr mapId="11" xpath="/ns1:ReportDataObject/ns1:Report_ProformaInvoice_View/ns1:LDS" xmlDataType="date"/>
    </tableColumn>
    <tableColumn id="22" uniqueName="ns1:DeliveryDate" name="ns1:DeliveryDate" dataDxfId="57" totalsRowDxfId="56">
      <xmlColumnPr mapId="11" xpath="/ns1:ReportDataObject/ns1:Report_ProformaInvoice_View/ns1:DeliveryDate" xmlDataType="date"/>
    </tableColumn>
    <tableColumn id="24" uniqueName="ns1:FactoryUD" name="ns1:FactoryUD" dataDxfId="55" totalsRowDxfId="54">
      <xmlColumnPr mapId="11" xpath="/ns1:ReportDataObject/ns1:Report_ProformaInvoice_View/ns1:FactoryUD" xmlDataType="string"/>
    </tableColumn>
    <tableColumn id="25" uniqueName="ns1:UnitPriceInUSD" name="ns1:UnitPriceInUSD" dataDxfId="53" totalsRowDxfId="52">
      <xmlColumnPr mapId="11" xpath="/ns1:ReportDataObject/ns1:Report_ProformaInvoice_View/ns1:UnitPriceInUSD" xmlDataType="decimal"/>
    </tableColumn>
    <tableColumn id="26" uniqueName="ns1:AmountInUSD" name="ns1:AmountInUSD" dataDxfId="51" totalsRowDxfId="50">
      <xmlColumnPr mapId="11" xpath="/ns1:ReportDataObject/ns1:Report_ProformaInvoice_View/ns1:AmountInUSD" xmlDataType="decimal"/>
    </tableColumn>
    <tableColumn id="27" uniqueName="ns1:UnitPriceInEUR" name="ns1:UnitPriceInEUR" dataDxfId="49" totalsRowDxfId="48">
      <xmlColumnPr mapId="11" xpath="/ns1:ReportDataObject/ns1:Report_ProformaInvoice_View/ns1:UnitPriceInEUR" xmlDataType="decimal"/>
    </tableColumn>
    <tableColumn id="28" uniqueName="ns1:AmountInEUR" name="ns1:AmountInEUR" dataDxfId="47" totalsRowDxfId="46">
      <xmlColumnPr mapId="11" xpath="/ns1:ReportDataObject/ns1:Report_ProformaInvoice_View/ns1:AmountInEUR" xmlDataType="decimal"/>
    </tableColumn>
    <tableColumn id="29" uniqueName="29" name="Column1" totalsRowFunction="count" dataDxfId="45" totalsRowDxfId="44">
      <calculatedColumnFormula>Table3[ns1:AmountInUSD]/$J$1 + Table3[ns1:AmountInEUR]</calculatedColumnFormula>
    </tableColumn>
    <tableColumn id="19" uniqueName="ns1:ConfirmStatus" name="ns1:ConfirmStatus" dataDxfId="43" totalsRowDxfId="42">
      <xmlColumnPr mapId="11" xpath="/ns1:ReportDataObject/ns1:Report_ProformaInvoice_View/ns1:ConfirmStatus" xmlDataType="string"/>
    </tableColumn>
    <tableColumn id="23" uniqueName="ns1:PIReceivedDate" name="ns1:PIReceivedDate" dataDxfId="41" totalsRowDxfId="40">
      <xmlColumnPr mapId="11" xpath="/ns1:ReportDataObject/ns1:Report_ProformaInvoice_View/ns1:PIReceivedDate" xmlDataType="date"/>
    </tableColumn>
    <tableColumn id="36" uniqueName="ns1:IsPutInProduction" name="Column3" dataDxfId="39" totalsRowDxfId="38">
      <xmlColumnPr mapId="11" xpath="/ns1:ReportDataObject/ns1:Report_ProformaInvoice_View/ns1:IsPutInProduction" xmlDataType="string"/>
    </tableColumn>
    <tableColumn id="31" uniqueName="ns1:PaymentTermNM" name="ns1:PaymentTermNM" dataDxfId="37" totalsRowDxfId="36">
      <xmlColumnPr mapId="11" xpath="/ns1:ReportDataObject/ns1:Report_ProformaInvoice_View/ns1:PaymentTermNM" xmlDataType="string"/>
    </tableColumn>
    <tableColumn id="37" uniqueName="ns1:PaymentTypeNM" name="Column4" dataDxfId="35" totalsRowDxfId="34">
      <xmlColumnPr mapId="11" xpath="/ns1:ReportDataObject/ns1:Report_ProformaInvoice_View/ns1:PaymentTypeNM" xmlDataType="string"/>
    </tableColumn>
    <tableColumn id="32" uniqueName="ns1:PaymentAmountInUSD" name="ns1:PaymentAmountInUSD" dataDxfId="33" totalsRowDxfId="32">
      <xmlColumnPr mapId="11" xpath="/ns1:ReportDataObject/ns1:Report_ProformaInvoice_View/ns1:PaymentAmountInUSD" xmlDataType="decimal"/>
    </tableColumn>
    <tableColumn id="33" uniqueName="ns1:PaymentAmountInEUR" name="ns1:PaymentAmountInEUR" dataDxfId="31" totalsRowDxfId="30">
      <xmlColumnPr mapId="11" xpath="/ns1:ReportDataObject/ns1:Report_ProformaInvoice_View/ns1:PaymentAmountInEUR" xmlDataType="decimal"/>
    </tableColumn>
    <tableColumn id="34" uniqueName="ns1:PaymentDate" name="ns1:PaymentDate" dataDxfId="29" totalsRowDxfId="28">
      <xmlColumnPr mapId="11" xpath="/ns1:ReportDataObject/ns1:Report_ProformaInvoice_View/ns1:PaymentDate" xmlDataType="date"/>
    </tableColumn>
    <tableColumn id="39" uniqueName="ns1:PaymentStatusNM" name="Column6" dataDxfId="27" totalsRowDxfId="26">
      <xmlColumnPr mapId="11" xpath="/ns1:ReportDataObject/ns1:Report_ProformaInvoice_View/ns1:PaymentStatusNM" xmlDataType="string"/>
    </tableColumn>
    <tableColumn id="35" uniqueName="ns1:PaymentRemark" name="ns1:IsLCReceived" dataDxfId="25" totalsRowDxfId="24">
      <xmlColumnPr mapId="11" xpath="/ns1:ReportDataObject/ns1:Report_ProformaInvoice_View/ns1:PaymentRemark" xmlDataType="string"/>
    </tableColumn>
    <tableColumn id="38" uniqueName="ns1:UpdatorName" name="ns1:UpdatorName" dataDxfId="23" totalsRowDxfId="22">
      <xmlColumnPr mapId="11" xpath="/ns1:ReportDataObject/ns1:Report_ProformaInvoice_View/ns1:UpdatorName" xmlDataType="string"/>
    </tableColumn>
    <tableColumn id="40" uniqueName="ns1:UpdatedDate" name="ns1:UpdatedDate" dataDxfId="3" totalsRowDxfId="21">
      <xmlColumnPr mapId="11" xpath="/ns1:ReportDataObject/ns1:Report_ProformaInvoice_View/ns1:UpdatedDate" xmlDataType="date"/>
    </tableColumn>
    <tableColumn id="42" uniqueName="ns1:ClientArticleCode" name="Column7" dataDxfId="2" totalsRowDxfId="20">
      <xmlColumnPr mapId="11" xpath="/ns1:ReportDataObject/ns1:Report_ProformaInvoice_View/ns1:ClientArticleCode" xmlDataType="string"/>
    </tableColumn>
    <tableColumn id="43" uniqueName="ns1:ClientArticleName" name="Column8" dataDxfId="1" totalsRowDxfId="19">
      <xmlColumnPr mapId="11" xpath="/ns1:ReportDataObject/ns1:Report_ProformaInvoice_View/ns1:ClientArticleName" xmlDataType="string"/>
    </tableColumn>
    <tableColumn id="44" uniqueName="ns1:ClientEANCode" name="Column9" dataDxfId="0" totalsRowDxfId="18">
      <xmlColumnPr mapId="11" xpath="/ns1:ReportDataObject/ns1:Report_ProformaInvoice_View/ns1:ClientEANCode" xmlDataType="string"/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5:I6" tableType="xml" insertRow="1" insertRowShift="1" totalsRowShown="0" headerRowDxfId="17" dataDxfId="15" headerRowBorderDxfId="16" tableBorderDxfId="14" totalsRowBorderDxfId="13" headerRowCellStyle="Normal 2" dataCellStyle="Normal 2">
  <autoFilter ref="A5:I6"/>
  <tableColumns count="9">
    <tableColumn id="1" uniqueName="ns1:RowIndex" name="ns1:RowIndex" dataDxfId="12" dataCellStyle="Normal 2">
      <xmlColumnPr mapId="11" xpath="/ns1:ReportDataObject/ns1:Report_ProformaInvoice_ByClient_View/ns1:RowIndex" xmlDataType="int"/>
    </tableColumn>
    <tableColumn id="2" uniqueName="ns1:ClientNM" name="ns1:ClientNM" dataDxfId="11" dataCellStyle="Normal 2">
      <xmlColumnPr mapId="11" xpath="/ns1:ReportDataObject/ns1:Report_ProformaInvoice_ByClient_View/ns1:ClientNM" xmlDataType="string"/>
    </tableColumn>
    <tableColumn id="3" uniqueName="ns1:SaleVNNM" name="ns1:SaleVNNM" dataDxfId="10" dataCellStyle="Normal 2">
      <xmlColumnPr mapId="11" xpath="/ns1:ReportDataObject/ns1:Report_ProformaInvoice_ByClient_View/ns1:SaleVNNM" xmlDataType="string"/>
    </tableColumn>
    <tableColumn id="4" uniqueName="ns1:Sale2NM" name="ns1:Sale2NM" dataDxfId="9" dataCellStyle="Normal 2">
      <xmlColumnPr mapId="11" xpath="/ns1:ReportDataObject/ns1:Report_ProformaInvoice_ByClient_View/ns1:Sale2NM" xmlDataType="string"/>
    </tableColumn>
    <tableColumn id="5" uniqueName="ns1:AgentNM" name="ns1:AgentNM" dataDxfId="8" dataCellStyle="Normal 2">
      <xmlColumnPr mapId="11" xpath="/ns1:ReportDataObject/ns1:Report_ProformaInvoice_ByClient_View/ns1:AgentNM" xmlDataType="string"/>
    </tableColumn>
    <tableColumn id="6" uniqueName="ns1:SaleNM" name="ns1:SaleNM" dataDxfId="7" dataCellStyle="Normal 2">
      <xmlColumnPr mapId="11" xpath="/ns1:ReportDataObject/ns1:Report_ProformaInvoice_ByClient_View/ns1:SaleNM" xmlDataType="string"/>
    </tableColumn>
    <tableColumn id="7" uniqueName="ns1:TotalOrderIn40HC" name="ns1:TotalOrderIn40HC" dataDxfId="6" dataCellStyle="Normal 2">
      <xmlColumnPr mapId="11" xpath="/ns1:ReportDataObject/ns1:Report_ProformaInvoice_ByClient_View/ns1:TotalOrderIn40HC" xmlDataType="decimal"/>
    </tableColumn>
    <tableColumn id="8" uniqueName="ns1:ConfirmedOrderIn40HC" name="ns1:ConfirmedOrderIn40HC" dataDxfId="5" dataCellStyle="Comma 3">
      <xmlColumnPr mapId="11" xpath="/ns1:ReportDataObject/ns1:Report_ProformaInvoice_ByClient_View/ns1:ConfirmedOrderIn40HC" xmlDataType="decimal"/>
    </tableColumn>
    <tableColumn id="9" uniqueName="ns1:NotConfirmedOrderIn40HC" name="ns1:NotConfirmedOrderIn40HC" dataDxfId="4" dataCellStyle="Comma 3">
      <xmlColumnPr mapId="11" xpath="/ns1:ReportDataObject/ns1:Report_ProformaInvoice_ByClient_View/ns1:NotConfirmedOrderIn40HC" xmlDataType="decimal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1" r="A2" connectionId="0">
    <xmlCellPr id="1" uniqueName="ns1:Season">
      <xmlPr mapId="11" xpath="/ns1:ReportDataObject/ns1:ParamTable/ns1:Season" xmlDataType="string"/>
    </xmlCellPr>
  </singleXmlCell>
  <singleXmlCell id="2" r="B2" connectionId="0">
    <xmlCellPr id="1" uniqueName="ns1:ExchangeRate">
      <xmlPr mapId="11" xpath="/ns1:ReportDataObject/ns1:ParamTable/ns1:ExchangeRate" xmlDataType="decimal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SingleCells" Target="../tables/tableSingleCell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fitToPage="1"/>
  </sheetPr>
  <dimension ref="A1:AR7"/>
  <sheetViews>
    <sheetView tabSelected="1" view="pageBreakPreview" zoomScale="85" zoomScaleNormal="85" zoomScaleSheetLayoutView="85" workbookViewId="0">
      <pane xSplit="13" ySplit="6" topLeftCell="AO7" activePane="bottomRight" state="frozen"/>
      <selection pane="topRight" activeCell="L1" sqref="L1"/>
      <selection pane="bottomLeft" activeCell="A7" sqref="A7"/>
      <selection pane="bottomRight"/>
    </sheetView>
  </sheetViews>
  <sheetFormatPr defaultColWidth="9.140625" defaultRowHeight="11.25"/>
  <cols>
    <col min="1" max="1" width="5.140625" style="5" customWidth="1"/>
    <col min="2" max="2" width="8.28515625" style="3" customWidth="1"/>
    <col min="3" max="3" width="10.140625" style="3" customWidth="1"/>
    <col min="4" max="5" width="8.7109375" style="3" customWidth="1"/>
    <col min="6" max="6" width="7.7109375" style="3" customWidth="1"/>
    <col min="7" max="7" width="11.140625" style="1" customWidth="1"/>
    <col min="8" max="8" width="10.140625" style="1" customWidth="1"/>
    <col min="9" max="9" width="15.5703125" style="2" customWidth="1"/>
    <col min="10" max="10" width="55.140625" style="3" customWidth="1"/>
    <col min="11" max="11" width="7.42578125" style="4" customWidth="1"/>
    <col min="12" max="12" width="8.7109375" style="4" customWidth="1"/>
    <col min="13" max="13" width="7.85546875" style="4" customWidth="1"/>
    <col min="14" max="19" width="10.85546875" style="4" customWidth="1"/>
    <col min="20" max="20" width="10.7109375" style="4" customWidth="1"/>
    <col min="21" max="21" width="22.7109375" style="4" customWidth="1"/>
    <col min="22" max="23" width="9" style="4" customWidth="1"/>
    <col min="24" max="24" width="15.42578125" style="4" customWidth="1"/>
    <col min="25" max="25" width="11" style="5" customWidth="1"/>
    <col min="26" max="26" width="12.7109375" style="5" customWidth="1"/>
    <col min="27" max="27" width="11.42578125" style="5" customWidth="1"/>
    <col min="28" max="30" width="12.7109375" style="5" customWidth="1"/>
    <col min="31" max="32" width="10.7109375" style="5" customWidth="1"/>
    <col min="33" max="33" width="21.42578125" style="5" customWidth="1"/>
    <col min="34" max="34" width="7.28515625" style="5" customWidth="1"/>
    <col min="35" max="35" width="14.28515625" style="5" customWidth="1"/>
    <col min="36" max="36" width="14.85546875" style="5" customWidth="1"/>
    <col min="37" max="37" width="10.42578125" style="5" customWidth="1"/>
    <col min="38" max="38" width="14.28515625" style="5" customWidth="1"/>
    <col min="39" max="39" width="26.85546875" style="5" customWidth="1"/>
    <col min="40" max="40" width="13.28515625" style="5" customWidth="1"/>
    <col min="41" max="41" width="8.7109375" style="5" customWidth="1"/>
    <col min="42" max="42" width="15.7109375" style="5" customWidth="1"/>
    <col min="43" max="44" width="15.85546875" style="5" customWidth="1"/>
    <col min="45" max="16384" width="9.140625" style="5"/>
  </cols>
  <sheetData>
    <row r="1" spans="1:44" ht="27.75" customHeight="1">
      <c r="A1" s="21" t="str">
        <f>"PROFORMA INVOICES " &amp; Param!A2</f>
        <v xml:space="preserve">PROFORMA INVOICES </v>
      </c>
      <c r="B1" s="22"/>
      <c r="C1" s="22"/>
      <c r="D1" s="11"/>
      <c r="E1" s="11"/>
      <c r="F1" s="11"/>
      <c r="G1" s="11"/>
      <c r="I1" s="19" t="s">
        <v>37</v>
      </c>
      <c r="J1" s="23">
        <f>Param!B2</f>
        <v>0</v>
      </c>
      <c r="K1" s="22"/>
    </row>
    <row r="2" spans="1:44" ht="19.5" customHeight="1">
      <c r="A2" s="85" t="s">
        <v>7</v>
      </c>
      <c r="B2" s="85" t="s">
        <v>60</v>
      </c>
      <c r="C2" s="85" t="s">
        <v>86</v>
      </c>
      <c r="D2" s="85" t="s">
        <v>5</v>
      </c>
      <c r="E2" s="85" t="s">
        <v>85</v>
      </c>
      <c r="F2" s="85" t="s">
        <v>8</v>
      </c>
      <c r="G2" s="85" t="s">
        <v>9</v>
      </c>
      <c r="H2" s="85" t="s">
        <v>10</v>
      </c>
      <c r="I2" s="85" t="s">
        <v>1</v>
      </c>
      <c r="J2" s="85" t="s">
        <v>0</v>
      </c>
      <c r="K2" s="85" t="s">
        <v>2</v>
      </c>
      <c r="L2" s="86" t="s">
        <v>3</v>
      </c>
      <c r="M2" s="84" t="s">
        <v>4</v>
      </c>
      <c r="N2" s="84" t="s">
        <v>25</v>
      </c>
      <c r="O2" s="84" t="s">
        <v>28</v>
      </c>
      <c r="P2" s="84" t="s">
        <v>29</v>
      </c>
      <c r="Q2" s="84" t="s">
        <v>27</v>
      </c>
      <c r="R2" s="84" t="s">
        <v>43</v>
      </c>
      <c r="S2" s="84" t="s">
        <v>45</v>
      </c>
      <c r="T2" s="84" t="s">
        <v>46</v>
      </c>
      <c r="U2" s="84" t="s">
        <v>30</v>
      </c>
      <c r="V2" s="84" t="s">
        <v>61</v>
      </c>
      <c r="W2" s="84" t="s">
        <v>24</v>
      </c>
      <c r="X2" s="84" t="s">
        <v>36</v>
      </c>
      <c r="Y2" s="89" t="s">
        <v>16</v>
      </c>
      <c r="Z2" s="90" t="s">
        <v>17</v>
      </c>
      <c r="AA2" s="91" t="s">
        <v>18</v>
      </c>
      <c r="AB2" s="91" t="s">
        <v>19</v>
      </c>
      <c r="AC2" s="92" t="s">
        <v>20</v>
      </c>
      <c r="AD2" s="87" t="s">
        <v>62</v>
      </c>
      <c r="AE2" s="87" t="s">
        <v>63</v>
      </c>
      <c r="AF2" s="87" t="s">
        <v>73</v>
      </c>
      <c r="AG2" s="87" t="s">
        <v>65</v>
      </c>
      <c r="AH2" s="87" t="s">
        <v>75</v>
      </c>
      <c r="AI2" s="87" t="s">
        <v>67</v>
      </c>
      <c r="AJ2" s="87" t="s">
        <v>68</v>
      </c>
      <c r="AK2" s="87" t="s">
        <v>79</v>
      </c>
      <c r="AL2" s="87" t="s">
        <v>78</v>
      </c>
      <c r="AM2" s="87" t="s">
        <v>77</v>
      </c>
      <c r="AN2" s="87" t="s">
        <v>82</v>
      </c>
      <c r="AO2" s="87" t="s">
        <v>83</v>
      </c>
      <c r="AP2" s="87" t="s">
        <v>107</v>
      </c>
      <c r="AQ2" s="87" t="s">
        <v>108</v>
      </c>
      <c r="AR2" s="87" t="s">
        <v>109</v>
      </c>
    </row>
    <row r="3" spans="1:44" s="6" customFormat="1" ht="51.75" customHeight="1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6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9"/>
      <c r="Z3" s="90"/>
      <c r="AA3" s="91"/>
      <c r="AB3" s="91"/>
      <c r="AC3" s="92"/>
      <c r="AD3" s="87"/>
      <c r="AE3" s="87"/>
      <c r="AF3" s="87"/>
      <c r="AG3" s="87"/>
      <c r="AH3" s="87"/>
      <c r="AI3" s="87"/>
      <c r="AJ3" s="87"/>
      <c r="AK3" s="87"/>
      <c r="AL3" s="87"/>
      <c r="AM3" s="88"/>
      <c r="AN3" s="88"/>
      <c r="AO3" s="88"/>
      <c r="AP3" s="88"/>
      <c r="AQ3" s="88"/>
      <c r="AR3" s="88"/>
    </row>
    <row r="4" spans="1:44" s="6" customFormat="1" ht="11.25" customHeight="1">
      <c r="A4" s="7"/>
      <c r="B4" s="7"/>
      <c r="C4" s="7"/>
      <c r="D4" s="7"/>
      <c r="E4" s="7"/>
      <c r="F4" s="7"/>
      <c r="G4" s="7"/>
      <c r="H4" s="7"/>
      <c r="I4" s="7"/>
      <c r="J4" s="7" t="s">
        <v>21</v>
      </c>
      <c r="K4" s="8"/>
      <c r="L4" s="9">
        <f>SUM(Table3[ns1:OrderQnt])</f>
        <v>0</v>
      </c>
      <c r="M4" s="10">
        <f>SUM(Table3[ns1:OrderIn40HC])</f>
        <v>0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2"/>
      <c r="Z4" s="20">
        <f>SUM(Table3[ns1:AmountInUSD])</f>
        <v>0</v>
      </c>
      <c r="AA4" s="14"/>
      <c r="AB4" s="15">
        <f>SUM(Table3[ns1:AmountInEUR])</f>
        <v>0</v>
      </c>
      <c r="AC4" s="50" t="e">
        <f>SUM(Table3[Column1])</f>
        <v>#DIV/0!</v>
      </c>
      <c r="AD4" s="51"/>
      <c r="AE4" s="51"/>
      <c r="AF4" s="51"/>
      <c r="AG4" s="51"/>
      <c r="AH4" s="51"/>
      <c r="AI4" s="59">
        <f>SUM(Table3[ns1:PaymentAmountInUSD])</f>
        <v>0</v>
      </c>
      <c r="AJ4" s="54">
        <f>SUM(Table3[ns1:PaymentAmountInEUR])</f>
        <v>0</v>
      </c>
      <c r="AK4" s="51"/>
      <c r="AL4" s="51"/>
      <c r="AM4" s="51"/>
      <c r="AN4" s="51"/>
      <c r="AO4" s="51"/>
      <c r="AP4" s="51"/>
      <c r="AQ4" s="51"/>
      <c r="AR4" s="51"/>
    </row>
    <row r="5" spans="1:44" s="6" customFormat="1" ht="11.25" customHeight="1">
      <c r="A5" s="24"/>
      <c r="B5" s="24"/>
      <c r="C5" s="24"/>
      <c r="D5" s="24"/>
      <c r="E5" s="24"/>
      <c r="F5" s="24"/>
      <c r="G5" s="24"/>
      <c r="H5" s="24"/>
      <c r="I5" s="24"/>
      <c r="J5" s="24" t="s">
        <v>6</v>
      </c>
      <c r="K5" s="25"/>
      <c r="L5" s="26">
        <f>SUBTOTAL(9,Table3[ns1:OrderQnt])</f>
        <v>0</v>
      </c>
      <c r="M5" s="27">
        <f>SUBTOTAL(9,Table3[ns1:OrderIn40HC])</f>
        <v>0</v>
      </c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13"/>
      <c r="Z5" s="28">
        <f>SUBTOTAL(9,Table3[ns1:AmountInUSD])</f>
        <v>0</v>
      </c>
      <c r="AA5" s="16"/>
      <c r="AB5" s="29">
        <f>SUBTOTAL(9,Table3[ns1:AmountInEUR])</f>
        <v>0</v>
      </c>
      <c r="AC5" s="52" t="e">
        <f>SUBTOTAL(9,Table3[Column1])</f>
        <v>#DIV/0!</v>
      </c>
      <c r="AD5" s="53"/>
      <c r="AE5" s="53"/>
      <c r="AF5" s="53"/>
      <c r="AG5" s="53"/>
      <c r="AH5" s="53"/>
      <c r="AI5" s="58">
        <f>SUBTOTAL(9,Table3[ns1:PaymentAmountInUSD])</f>
        <v>0</v>
      </c>
      <c r="AJ5" s="55">
        <f>SUBTOTAL(9,Table3[ns1:PaymentAmountInEUR])</f>
        <v>0</v>
      </c>
      <c r="AK5" s="53"/>
      <c r="AL5" s="53"/>
      <c r="AM5" s="53"/>
      <c r="AN5" s="53"/>
      <c r="AO5" s="53"/>
      <c r="AP5" s="53"/>
      <c r="AQ5" s="53"/>
      <c r="AR5" s="53"/>
    </row>
    <row r="6" spans="1:44" s="6" customFormat="1" ht="11.25" customHeight="1">
      <c r="A6" s="30" t="s">
        <v>50</v>
      </c>
      <c r="B6" s="30" t="s">
        <v>11</v>
      </c>
      <c r="C6" s="30" t="s">
        <v>59</v>
      </c>
      <c r="D6" s="30" t="s">
        <v>22</v>
      </c>
      <c r="E6" s="30" t="s">
        <v>84</v>
      </c>
      <c r="F6" s="30" t="s">
        <v>40</v>
      </c>
      <c r="G6" s="30" t="s">
        <v>41</v>
      </c>
      <c r="H6" s="30" t="s">
        <v>12</v>
      </c>
      <c r="I6" s="30" t="s">
        <v>13</v>
      </c>
      <c r="J6" s="30" t="s">
        <v>14</v>
      </c>
      <c r="K6" s="31" t="s">
        <v>42</v>
      </c>
      <c r="L6" s="32" t="s">
        <v>15</v>
      </c>
      <c r="M6" s="33" t="s">
        <v>23</v>
      </c>
      <c r="N6" s="33" t="s">
        <v>26</v>
      </c>
      <c r="O6" s="33" t="s">
        <v>32</v>
      </c>
      <c r="P6" s="33" t="s">
        <v>33</v>
      </c>
      <c r="Q6" s="33" t="s">
        <v>31</v>
      </c>
      <c r="R6" s="33" t="s">
        <v>44</v>
      </c>
      <c r="S6" s="33" t="s">
        <v>47</v>
      </c>
      <c r="T6" s="33" t="s">
        <v>48</v>
      </c>
      <c r="U6" s="33" t="s">
        <v>34</v>
      </c>
      <c r="V6" s="33" t="s">
        <v>51</v>
      </c>
      <c r="W6" s="33" t="s">
        <v>52</v>
      </c>
      <c r="X6" s="33" t="s">
        <v>54</v>
      </c>
      <c r="Y6" s="34" t="s">
        <v>55</v>
      </c>
      <c r="Z6" s="35" t="s">
        <v>56</v>
      </c>
      <c r="AA6" s="36" t="s">
        <v>57</v>
      </c>
      <c r="AB6" s="37" t="s">
        <v>58</v>
      </c>
      <c r="AC6" s="37" t="s">
        <v>49</v>
      </c>
      <c r="AD6" s="38" t="s">
        <v>35</v>
      </c>
      <c r="AE6" s="38" t="s">
        <v>53</v>
      </c>
      <c r="AF6" s="38" t="s">
        <v>72</v>
      </c>
      <c r="AG6" s="38" t="s">
        <v>64</v>
      </c>
      <c r="AH6" s="38" t="s">
        <v>74</v>
      </c>
      <c r="AI6" s="38" t="s">
        <v>66</v>
      </c>
      <c r="AJ6" s="38" t="s">
        <v>69</v>
      </c>
      <c r="AK6" s="38" t="s">
        <v>70</v>
      </c>
      <c r="AL6" s="38" t="s">
        <v>76</v>
      </c>
      <c r="AM6" s="38" t="s">
        <v>71</v>
      </c>
      <c r="AN6" s="60" t="s">
        <v>80</v>
      </c>
      <c r="AO6" s="60" t="s">
        <v>81</v>
      </c>
      <c r="AP6" s="83" t="s">
        <v>104</v>
      </c>
      <c r="AQ6" s="83" t="s">
        <v>105</v>
      </c>
      <c r="AR6" s="83" t="s">
        <v>106</v>
      </c>
    </row>
    <row r="7" spans="1:44">
      <c r="A7" s="39"/>
      <c r="B7" s="40"/>
      <c r="C7" s="40"/>
      <c r="D7" s="41"/>
      <c r="E7" s="41"/>
      <c r="F7" s="42"/>
      <c r="G7" s="42"/>
      <c r="H7" s="42"/>
      <c r="I7" s="42"/>
      <c r="J7" s="42"/>
      <c r="K7" s="43"/>
      <c r="L7" s="43"/>
      <c r="M7" s="63"/>
      <c r="N7" s="42"/>
      <c r="O7" s="42"/>
      <c r="P7" s="42"/>
      <c r="Q7" s="42"/>
      <c r="R7" s="42"/>
      <c r="S7" s="42"/>
      <c r="T7" s="42"/>
      <c r="U7" s="42"/>
      <c r="V7" s="44"/>
      <c r="W7" s="44"/>
      <c r="X7" s="45"/>
      <c r="Y7" s="46"/>
      <c r="Z7" s="46"/>
      <c r="AA7" s="47"/>
      <c r="AB7" s="47"/>
      <c r="AC7" s="47" t="e">
        <f>Table3[ns1:AmountInUSD]/$J$1 + Table3[ns1:AmountInEUR]</f>
        <v>#DIV/0!</v>
      </c>
      <c r="AD7" s="48"/>
      <c r="AE7" s="49"/>
      <c r="AF7" s="48"/>
      <c r="AG7" s="48"/>
      <c r="AH7" s="48"/>
      <c r="AI7" s="57"/>
      <c r="AJ7" s="56"/>
      <c r="AK7" s="49"/>
      <c r="AL7" s="48"/>
      <c r="AM7" s="48"/>
      <c r="AN7" s="61"/>
      <c r="AO7" s="62"/>
      <c r="AP7" s="43"/>
      <c r="AQ7" s="43"/>
      <c r="AR7" s="43"/>
    </row>
  </sheetData>
  <mergeCells count="44">
    <mergeCell ref="AR2:AR3"/>
    <mergeCell ref="E2:E3"/>
    <mergeCell ref="AK2:AK3"/>
    <mergeCell ref="AM2:AM3"/>
    <mergeCell ref="AD2:AD3"/>
    <mergeCell ref="AE2:AE3"/>
    <mergeCell ref="AG2:AG3"/>
    <mergeCell ref="AI2:AI3"/>
    <mergeCell ref="AJ2:AJ3"/>
    <mergeCell ref="AF2:AF3"/>
    <mergeCell ref="AH2:AH3"/>
    <mergeCell ref="AL2:AL3"/>
    <mergeCell ref="U2:U3"/>
    <mergeCell ref="X2:X3"/>
    <mergeCell ref="Q2:Q3"/>
    <mergeCell ref="O2:O3"/>
    <mergeCell ref="P2:P3"/>
    <mergeCell ref="AP2:AP3"/>
    <mergeCell ref="AQ2:AQ3"/>
    <mergeCell ref="AN2:AN3"/>
    <mergeCell ref="Y2:Y3"/>
    <mergeCell ref="Z2:Z3"/>
    <mergeCell ref="R2:R3"/>
    <mergeCell ref="S2:S3"/>
    <mergeCell ref="T2:T3"/>
    <mergeCell ref="AA2:AA3"/>
    <mergeCell ref="AB2:AB3"/>
    <mergeCell ref="AC2:AC3"/>
    <mergeCell ref="AO2:AO3"/>
    <mergeCell ref="V2:V3"/>
    <mergeCell ref="W2:W3"/>
    <mergeCell ref="N2:N3"/>
    <mergeCell ref="A2:A3"/>
    <mergeCell ref="K2:K3"/>
    <mergeCell ref="L2:L3"/>
    <mergeCell ref="M2:M3"/>
    <mergeCell ref="H2:H3"/>
    <mergeCell ref="B2:B3"/>
    <mergeCell ref="D2:D3"/>
    <mergeCell ref="F2:F3"/>
    <mergeCell ref="G2:G3"/>
    <mergeCell ref="I2:I3"/>
    <mergeCell ref="J2:J3"/>
    <mergeCell ref="C2:C3"/>
  </mergeCells>
  <printOptions horizontalCentered="1"/>
  <pageMargins left="0" right="0" top="0" bottom="0" header="0.19685039370078741" footer="0.19685039370078741"/>
  <pageSetup paperSize="9" scale="25" fitToHeight="0" orientation="landscape" r:id="rId1"/>
  <headerFooter>
    <oddHeader>&amp;R&amp;D    &amp;T</oddHeader>
    <oddFooter>&amp;L&amp;D&amp;C&amp;P&amp;R&amp;F</odd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E22" sqref="E22"/>
    </sheetView>
  </sheetViews>
  <sheetFormatPr defaultRowHeight="12.75"/>
  <cols>
    <col min="1" max="1" width="5.42578125" style="64" customWidth="1"/>
    <col min="2" max="2" width="49.42578125" style="64" customWidth="1"/>
    <col min="3" max="3" width="18.28515625" style="64" customWidth="1"/>
    <col min="4" max="4" width="19" style="64" customWidth="1"/>
    <col min="5" max="5" width="14.5703125" style="64" customWidth="1"/>
    <col min="6" max="6" width="16.5703125" style="64" customWidth="1"/>
    <col min="7" max="7" width="11.140625" style="64" customWidth="1"/>
    <col min="8" max="8" width="13.85546875" style="64" customWidth="1"/>
    <col min="9" max="9" width="16.5703125" style="64" customWidth="1"/>
    <col min="10" max="16384" width="9.140625" style="64"/>
  </cols>
  <sheetData>
    <row r="1" spans="1:9">
      <c r="H1" s="93" t="s">
        <v>87</v>
      </c>
      <c r="I1" s="93"/>
    </row>
    <row r="2" spans="1:9" ht="24">
      <c r="A2" s="65" t="s">
        <v>7</v>
      </c>
      <c r="B2" s="66" t="s">
        <v>88</v>
      </c>
      <c r="C2" s="66" t="s">
        <v>89</v>
      </c>
      <c r="D2" s="66" t="s">
        <v>90</v>
      </c>
      <c r="E2" s="66" t="s">
        <v>91</v>
      </c>
      <c r="F2" s="66" t="s">
        <v>92</v>
      </c>
      <c r="G2" s="66" t="s">
        <v>93</v>
      </c>
      <c r="H2" s="66" t="s">
        <v>94</v>
      </c>
      <c r="I2" s="67" t="s">
        <v>95</v>
      </c>
    </row>
    <row r="3" spans="1:9">
      <c r="A3" s="68"/>
      <c r="B3" s="69"/>
      <c r="C3" s="69"/>
      <c r="D3" s="69"/>
      <c r="E3" s="69"/>
      <c r="F3" s="69" t="s">
        <v>96</v>
      </c>
      <c r="G3" s="70">
        <f>SUM(Table4[ns1:TotalOrderIn40HC])</f>
        <v>0</v>
      </c>
      <c r="H3" s="70">
        <f>SUM(Table4[ns1:ConfirmedOrderIn40HC])</f>
        <v>0</v>
      </c>
      <c r="I3" s="70">
        <f>SUM(Table4[ns1:NotConfirmedOrderIn40HC])</f>
        <v>0</v>
      </c>
    </row>
    <row r="4" spans="1:9">
      <c r="A4" s="71"/>
      <c r="B4" s="72"/>
      <c r="C4" s="72"/>
      <c r="D4" s="72"/>
      <c r="E4" s="72"/>
      <c r="F4" s="72" t="s">
        <v>97</v>
      </c>
      <c r="G4" s="73">
        <f>SUBTOTAL(9,Table4[ns1:TotalOrderIn40HC])</f>
        <v>0</v>
      </c>
      <c r="H4" s="73">
        <f>SUBTOTAL(9,Table4[ns1:ConfirmedOrderIn40HC])</f>
        <v>0</v>
      </c>
      <c r="I4" s="73">
        <f>SUBTOTAL(9,Table4[ns1:NotConfirmedOrderIn40HC])</f>
        <v>0</v>
      </c>
    </row>
    <row r="5" spans="1:9">
      <c r="A5" s="79" t="s">
        <v>50</v>
      </c>
      <c r="B5" s="80" t="s">
        <v>41</v>
      </c>
      <c r="C5" s="80" t="s">
        <v>98</v>
      </c>
      <c r="D5" s="80" t="s">
        <v>99</v>
      </c>
      <c r="E5" s="80" t="s">
        <v>100</v>
      </c>
      <c r="F5" s="80" t="s">
        <v>12</v>
      </c>
      <c r="G5" s="80" t="s">
        <v>101</v>
      </c>
      <c r="H5" s="81" t="s">
        <v>102</v>
      </c>
      <c r="I5" s="82" t="s">
        <v>103</v>
      </c>
    </row>
    <row r="6" spans="1:9">
      <c r="A6" s="74"/>
      <c r="B6" s="78"/>
      <c r="C6" s="78"/>
      <c r="D6" s="78"/>
      <c r="E6" s="78"/>
      <c r="F6" s="78"/>
      <c r="G6" s="75"/>
      <c r="H6" s="76"/>
      <c r="I6" s="77"/>
    </row>
  </sheetData>
  <mergeCells count="1">
    <mergeCell ref="H1:I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A2" sqref="A2"/>
    </sheetView>
  </sheetViews>
  <sheetFormatPr defaultRowHeight="12.75"/>
  <sheetData>
    <row r="1" spans="1:2">
      <c r="A1" s="18" t="s">
        <v>38</v>
      </c>
      <c r="B1" s="18" t="s">
        <v>39</v>
      </c>
    </row>
    <row r="2" spans="1:2">
      <c r="A2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TOTAL_PROFORMA_INVOICE</vt:lpstr>
      <vt:lpstr>STATUS</vt:lpstr>
      <vt:lpstr>Param</vt:lpstr>
      <vt:lpstr>STATUS!Print_Area</vt:lpstr>
      <vt:lpstr>TOTAL_PROFORMA_INVOICE!Print_Area</vt:lpstr>
      <vt:lpstr>TOTAL_PROFORMA_INVOICE!Print_Titles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AuvietSoft</cp:lastModifiedBy>
  <cp:lastPrinted>2013-11-11T09:13:24Z</cp:lastPrinted>
  <dcterms:created xsi:type="dcterms:W3CDTF">2005-09-19T14:27:04Z</dcterms:created>
  <dcterms:modified xsi:type="dcterms:W3CDTF">2019-10-24T07:38:39Z</dcterms:modified>
</cp:coreProperties>
</file>