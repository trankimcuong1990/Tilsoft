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DEVELOPMENT\EUROFAR\TILSOFT\SOLUTION\TilsoftService\Reports\"/>
    </mc:Choice>
  </mc:AlternateContent>
  <bookViews>
    <workbookView xWindow="0" yWindow="0" windowWidth="22170" windowHeight="7140"/>
  </bookViews>
  <sheets>
    <sheet name="RAP OVERVIEW" sheetId="1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4" i="1" l="1"/>
  <c r="O3" i="1"/>
  <c r="N4" i="1"/>
  <c r="N3" i="1"/>
  <c r="M4" i="1"/>
  <c r="M3" i="1"/>
  <c r="L4" i="1"/>
  <c r="L3" i="1"/>
  <c r="K4" i="1"/>
  <c r="K3" i="1"/>
  <c r="J4" i="1"/>
  <c r="J3" i="1"/>
  <c r="C1" i="1"/>
</calcChain>
</file>

<file path=xl/sharedStrings.xml><?xml version="1.0" encoding="utf-8"?>
<sst xmlns="http://schemas.openxmlformats.org/spreadsheetml/2006/main" count="39" uniqueCount="39">
  <si>
    <t>ns1:ClientUD</t>
  </si>
  <si>
    <t>ns1:ClientNM</t>
  </si>
  <si>
    <t>ns1:SaleNM</t>
  </si>
  <si>
    <t>ns1:ArticleCode</t>
  </si>
  <si>
    <t>ns1:Description</t>
  </si>
  <si>
    <t>ns1:Season</t>
  </si>
  <si>
    <t>ns1:FactoryName</t>
  </si>
  <si>
    <t>ns1:OrderDate</t>
  </si>
  <si>
    <t>ns1:ProformaInvoiceNo</t>
  </si>
  <si>
    <t>ns1:Qnt40HC</t>
  </si>
  <si>
    <t>ns1:TotalOrderQnt</t>
  </si>
  <si>
    <t>ns1:ShippedQnt</t>
  </si>
  <si>
    <t>ns1:ToBeShippedQnt</t>
  </si>
  <si>
    <t>ns1:WarehouseQnty</t>
  </si>
  <si>
    <t>ns1:FreeToSaleQnty</t>
  </si>
  <si>
    <t>ns1:Remark</t>
  </si>
  <si>
    <t>ns1:SupplyChainRemark</t>
  </si>
  <si>
    <t>ns1:ProductionStatus</t>
  </si>
  <si>
    <t>RAP REPORT</t>
  </si>
  <si>
    <t>CLIENT CODE</t>
  </si>
  <si>
    <t>CLIENT NAME</t>
  </si>
  <si>
    <t>SALE</t>
  </si>
  <si>
    <t>ART. CODE</t>
  </si>
  <si>
    <t>ART. DESCRIPTION</t>
  </si>
  <si>
    <t>SEASON</t>
  </si>
  <si>
    <t>FACTORY</t>
  </si>
  <si>
    <t>ORDER DATE</t>
  </si>
  <si>
    <t>PI</t>
  </si>
  <si>
    <t>ORDER IN CONT.</t>
  </si>
  <si>
    <t>TOTAL ORDERS</t>
  </si>
  <si>
    <t>TOTAL SHIPPED</t>
  </si>
  <si>
    <t>TO BE SHIPPED</t>
  </si>
  <si>
    <t>TOTAL IN WAREHOUSE</t>
  </si>
  <si>
    <t>FTS</t>
  </si>
  <si>
    <t>PRODUCT REMARK</t>
  </si>
  <si>
    <t>SUPPLYCHAIN REMARK</t>
  </si>
  <si>
    <t>PRODUCTION STATUS</t>
  </si>
  <si>
    <t>GRANT-TOTAL</t>
  </si>
  <si>
    <t>SUB-TOTAL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</si>
</sst>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b/>
      <sz val="11"/>
      <color rgb="FFFF0000"/>
      <name val="Arial"/>
      <family val="2"/>
    </font>
    <font>
      <sz val="8"/>
      <color theme="1"/>
      <name val="Arial"/>
      <family val="2"/>
    </font>
    <font>
      <b/>
      <sz val="8"/>
      <name val="Arial"/>
      <family val="2"/>
    </font>
    <font>
      <b/>
      <sz val="8"/>
      <color theme="1"/>
      <name val="Arial"/>
      <family val="2"/>
    </font>
    <font>
      <b/>
      <sz val="1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19">
    <xf numFmtId="0" fontId="0" fillId="0" borderId="0" xfId="0"/>
    <xf numFmtId="0" fontId="1" fillId="0" borderId="0" xfId="0" applyFont="1"/>
    <xf numFmtId="0" fontId="3" fillId="0" borderId="2" xfId="0" applyFont="1" applyBorder="1"/>
    <xf numFmtId="0" fontId="3" fillId="0" borderId="3" xfId="0" applyFont="1" applyBorder="1"/>
    <xf numFmtId="0" fontId="4" fillId="2" borderId="1" xfId="0" applyFont="1" applyFill="1" applyBorder="1" applyAlignment="1">
      <alignment horizontal="center" vertical="center" wrapText="1"/>
    </xf>
    <xf numFmtId="0" fontId="5" fillId="2" borderId="1" xfId="0" applyFont="1" applyFill="1" applyBorder="1" applyAlignment="1">
      <alignment horizontal="center" vertical="center" wrapText="1"/>
    </xf>
    <xf numFmtId="0" fontId="4" fillId="3" borderId="2" xfId="0" applyFont="1" applyFill="1" applyBorder="1" applyAlignment="1">
      <alignment horizontal="center" vertical="center" wrapText="1"/>
    </xf>
    <xf numFmtId="0" fontId="5" fillId="3" borderId="3" xfId="0" applyFont="1" applyFill="1" applyBorder="1" applyAlignment="1">
      <alignment horizontal="center" vertical="center" wrapText="1"/>
    </xf>
    <xf numFmtId="0" fontId="4" fillId="3" borderId="3" xfId="0" applyFont="1" applyFill="1" applyBorder="1" applyAlignment="1">
      <alignment horizontal="center" vertical="center" wrapText="1"/>
    </xf>
    <xf numFmtId="0" fontId="4" fillId="4" borderId="2" xfId="0" applyFont="1" applyFill="1" applyBorder="1" applyAlignment="1">
      <alignment horizontal="center" vertical="center" wrapText="1"/>
    </xf>
    <xf numFmtId="0" fontId="5" fillId="4" borderId="3" xfId="0" applyFont="1" applyFill="1" applyBorder="1" applyAlignment="1">
      <alignment horizontal="center" vertical="center" wrapText="1"/>
    </xf>
    <xf numFmtId="0" fontId="4" fillId="4" borderId="3" xfId="0" applyFont="1" applyFill="1" applyBorder="1" applyAlignment="1">
      <alignment horizontal="center" vertical="center" wrapText="1"/>
    </xf>
    <xf numFmtId="49" fontId="3" fillId="0" borderId="4" xfId="0" applyNumberFormat="1" applyFont="1" applyBorder="1" applyAlignment="1">
      <alignment horizontal="center" vertical="center" wrapText="1"/>
    </xf>
    <xf numFmtId="49" fontId="3" fillId="0" borderId="5" xfId="0" applyNumberFormat="1" applyFont="1" applyBorder="1" applyAlignment="1">
      <alignment horizontal="center" vertical="center" wrapText="1"/>
    </xf>
    <xf numFmtId="0" fontId="3" fillId="0" borderId="5" xfId="0" applyFont="1" applyBorder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22" fontId="6" fillId="0" borderId="0" xfId="0" applyNumberFormat="1" applyFont="1" applyAlignment="1">
      <alignment horizontal="center" vertical="center"/>
    </xf>
    <xf numFmtId="0" fontId="6" fillId="0" borderId="0" xfId="0" applyFont="1" applyAlignment="1">
      <alignment horizontal="center" vertical="center"/>
    </xf>
  </cellXfs>
  <cellStyles count="1">
    <cellStyle name="Normal" xfId="0" builtinId="0"/>
  </cellStyles>
  <dxfs count="23">
    <dxf>
      <font>
        <strike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center" textRotation="0" wrapText="1" indent="0" justifyLastLine="0" shrinkToFit="0" readingOrder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8"/>
        <color theme="1"/>
        <name val="Arial"/>
        <scheme val="none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xmlns:ns1='http://tempuri.org/ReportRapDataObject.xsd'">
  <Schema ID="Schema1" Namespace="http://tempuri.org/ReportRapDataObject.xsd">
    <xs:schema xmlns:mstns="http://tempuri.org/ReportRapDataObject.xsd" xmlns="http://tempuri.org/ReportRapDataObject.xsd" xmlns:xs="http://www.w3.org/2001/XMLSchema" xmlns:msdata="urn:schemas-microsoft-com:xml-msdata" id="ReportRapDataObject" targetNamespace="http://tempuri.org/ReportRapDataObject.xsd" attributeFormDefault="qualified" elementFormDefault="qualified">
      <xs:element name="ReportRapDataObject" msdata:IsDataSet="true" msdata:UseCurrentLocale="true">
        <xs:complexType>
          <xs:sequence>
            <xs:element name="RAP_View" minOccurs="0" maxOccurs="unbounded">
              <xs:complexType>
                <xs:sequence>
                  <xs:element name="ClientUD" minOccurs="0">
                    <xs:simpleType>
                      <xs:restriction base="xs:string">
                        <xs:maxLength value="8"/>
                      </xs:restriction>
                    </xs:simpleType>
                  </xs:element>
                  <xs:element name="ClientNM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SaleNM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ArticleCode" minOccurs="0">
                    <xs:simpleType>
                      <xs:restriction base="xs:string">
                        <xs:maxLength value="21"/>
                      </xs:restriction>
                    </xs:simpleType>
                  </xs:element>
                  <xs:element name="Description" minOccurs="0">
                    <xs:simpleType>
                      <xs:restriction base="xs:string">
                        <xs:maxLength value="500"/>
                      </xs:restriction>
                    </xs:simpleType>
                  </xs:element>
                  <xs:element name="Season" minOccurs="0">
                    <xs:simpleType>
                      <xs:restriction base="xs:string">
                        <xs:maxLength value="9"/>
                      </xs:restriction>
                    </xs:simpleType>
                  </xs:element>
                  <xs:element name="FactoryName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OrderDate" msdata:ReadOnly="true" minOccurs="0">
                    <xs:simpleType>
                      <xs:restriction base="xs:string">
                        <xs:maxLength value="8000"/>
                      </xs:restriction>
                    </xs:simpleType>
                  </xs:element>
                  <xs:element name="ProformaInvoiceNo" minOccurs="0">
                    <xs:simpleType>
                      <xs:restriction base="xs:string">
                        <xs:maxLength value="20"/>
                      </xs:restriction>
                    </xs:simpleType>
                  </xs:element>
                  <xs:element name="Qnt40HC" type="xs:int" minOccurs="0"/>
                  <xs:element name="TotalOrderQnt" msdata:ReadOnly="true" type="xs:int" minOccurs="0"/>
                  <xs:element name="ShippedQnt" msdata:ReadOnly="true" type="xs:int" minOccurs="0"/>
                  <xs:element name="ToBeShippedQnt" msdata:ReadOnly="true" type="xs:int" minOccurs="0"/>
                  <xs:element name="WarehouseQnty" type="xs:int" minOccurs="0"/>
                  <xs:element name="FreeToSaleQnty" type="xs:int" minOccurs="0"/>
                  <xs:element name="OrderQntIn40HC" msdata:ReadOnly="true" type="xs:decimal" minOccurs="0"/>
                  <xs:element name="RangeName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MaterialNM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FrameMaterialNM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MaterialTypeNM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MaterialColorNM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CushionColorNM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FabricWeight" type="xs:decimal" minOccurs="0"/>
                  <xs:element name="CushionThickness" msdata:ReadOnly="true" type="xs:decimal" minOccurs="0"/>
                  <xs:element name="CushionNM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BackCushionFinishing" msdata:ReadOnly="true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Remark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SupplyChainRemark" minOccurs="0">
                    <xs:simpleType>
                      <xs:restriction base="xs:string">
                        <xs:maxLength value="500"/>
                      </xs:restriction>
                    </xs:simpleType>
                  </xs:element>
                  <xs:element name="FactoryUD" minOccurs="0">
                    <xs:simpleType>
                      <xs:restriction base="xs:string">
                        <xs:maxLength value="10"/>
                      </xs:restriction>
                    </xs:simpleType>
                  </xs:element>
                  <xs:element name="ProductionStatus" minOccurs="0">
                    <xs:simpleType>
                      <xs:restriction base="xs:string">
                        <xs:maxLength value="20"/>
                      </xs:restriction>
                    </xs:simpleType>
                  </xs:element>
                  <xs:element name="OrderPriority" msdata:ReadOnly="true" minOccurs="0">
                    <xs:simpleType>
                      <xs:restriction base="xs:string">
                        <xs:maxLength value="7"/>
                      </xs:restriction>
                    </xs:simpleType>
                  </xs:element>
                  <xs:element name="LDS1" msdata:ReadOnly="true" minOccurs="0">
                    <xs:simpleType>
                      <xs:restriction base="xs:string">
                        <xs:maxLength value="8000"/>
                      </xs:restriction>
                    </xs:simpleType>
                  </xs:element>
                  <xs:element name="LDS2" msdata:ReadOnly="true" minOccurs="0">
                    <xs:simpleType>
                      <xs:restriction base="xs:string">
                        <xs:maxLength value="8000"/>
                      </xs:restriction>
                    </xs:simpleType>
                  </xs:element>
                  <xs:element name="LDS3" msdata:ReadOnly="true" minOccurs="0">
                    <xs:simpleType>
                      <xs:restriction base="xs:string">
                        <xs:maxLength value="8000"/>
                      </xs:restriction>
                    </xs:simpleType>
                  </xs:element>
                  <xs:element name="LDS4" msdata:ReadOnly="true" minOccurs="0">
                    <xs:simpleType>
                      <xs:restriction base="xs:string">
                        <xs:maxLength value="8000"/>
                      </xs:restriction>
                    </xs:simpleType>
                  </xs:element>
                  <xs:element name="PackagingMethodNM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</xs:sequence>
              </xs:complexType>
            </xs:element>
            <xs:element name="RapReportHeader">
              <xs:complexType>
                <xs:sequence>
                  <xs:element name="RapReportHeader" type="xs:string" minOccurs="0"/>
                </xs:sequence>
              </xs:complexType>
            </xs:element>
          </xs:sequence>
        </xs:complexType>
      </xs:element>
    </xs:schema>
  </Schema>
  <Map ID="1" Name="ReportRapDataObject_Map" RootElement="ReportRapDataObject" SchemaID="Schema1" ShowImportExportValidationErrors="false" AutoFit="true" Append="false" PreserveSortAFLayout="true" PreserveFormat="true"/>
</MapInfo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xmlMaps" Target="xmlMaps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1" name="Table1" displayName="Table1" ref="A5:R6" tableType="xml" insertRow="1" totalsRowShown="0" headerRowDxfId="22" dataDxfId="20" headerRowBorderDxfId="21" tableBorderDxfId="19" totalsRowBorderDxfId="18">
  <autoFilter ref="A5:R6"/>
  <tableColumns count="18">
    <tableColumn id="1" uniqueName="ns1:ClientUD" name="ns1:ClientUD" dataDxfId="17">
      <xmlColumnPr mapId="1" xpath="/ns1:ReportRapDataObject/ns1:RAP_View/ns1:ClientUD" xmlDataType="string"/>
    </tableColumn>
    <tableColumn id="2" uniqueName="ns1:ClientNM" name="ns1:ClientNM" dataDxfId="16">
      <xmlColumnPr mapId="1" xpath="/ns1:ReportRapDataObject/ns1:RAP_View/ns1:ClientNM" xmlDataType="string"/>
    </tableColumn>
    <tableColumn id="3" uniqueName="ns1:SaleNM" name="ns1:SaleNM" dataDxfId="15">
      <xmlColumnPr mapId="1" xpath="/ns1:ReportRapDataObject/ns1:RAP_View/ns1:SaleNM" xmlDataType="string"/>
    </tableColumn>
    <tableColumn id="4" uniqueName="ns1:ArticleCode" name="ns1:ArticleCode" dataDxfId="14">
      <xmlColumnPr mapId="1" xpath="/ns1:ReportRapDataObject/ns1:RAP_View/ns1:ArticleCode" xmlDataType="string"/>
    </tableColumn>
    <tableColumn id="5" uniqueName="ns1:Description" name="ns1:Description" dataDxfId="13">
      <xmlColumnPr mapId="1" xpath="/ns1:ReportRapDataObject/ns1:RAP_View/ns1:Description" xmlDataType="string"/>
    </tableColumn>
    <tableColumn id="6" uniqueName="ns1:Season" name="ns1:Season" dataDxfId="12">
      <xmlColumnPr mapId="1" xpath="/ns1:ReportRapDataObject/ns1:RAP_View/ns1:Season" xmlDataType="string"/>
    </tableColumn>
    <tableColumn id="7" uniqueName="ns1:FactoryName" name="ns1:FactoryName" dataDxfId="11">
      <xmlColumnPr mapId="1" xpath="/ns1:ReportRapDataObject/ns1:RAP_View/ns1:FactoryName" xmlDataType="string"/>
    </tableColumn>
    <tableColumn id="8" uniqueName="ns1:OrderDate" name="ns1:OrderDate" dataDxfId="10">
      <xmlColumnPr mapId="1" xpath="/ns1:ReportRapDataObject/ns1:RAP_View/ns1:OrderDate" xmlDataType="string"/>
    </tableColumn>
    <tableColumn id="9" uniqueName="ns1:ProformaInvoiceNo" name="ns1:ProformaInvoiceNo" dataDxfId="9">
      <xmlColumnPr mapId="1" xpath="/ns1:ReportRapDataObject/ns1:RAP_View/ns1:ProformaInvoiceNo" xmlDataType="string"/>
    </tableColumn>
    <tableColumn id="10" uniqueName="ns1:Qnt40HC" name="ns1:Qnt40HC" dataDxfId="8">
      <xmlColumnPr mapId="1" xpath="/ns1:ReportRapDataObject/ns1:RAP_View/ns1:Qnt40HC" xmlDataType="int"/>
    </tableColumn>
    <tableColumn id="11" uniqueName="ns1:TotalOrderQnt" name="ns1:TotalOrderQnt" dataDxfId="7">
      <xmlColumnPr mapId="1" xpath="/ns1:ReportRapDataObject/ns1:RAP_View/ns1:TotalOrderQnt" xmlDataType="int"/>
    </tableColumn>
    <tableColumn id="12" uniqueName="ns1:ShippedQnt" name="ns1:ShippedQnt" dataDxfId="6">
      <xmlColumnPr mapId="1" xpath="/ns1:ReportRapDataObject/ns1:RAP_View/ns1:ShippedQnt" xmlDataType="int"/>
    </tableColumn>
    <tableColumn id="13" uniqueName="ns1:ToBeShippedQnt" name="ns1:ToBeShippedQnt" dataDxfId="5">
      <xmlColumnPr mapId="1" xpath="/ns1:ReportRapDataObject/ns1:RAP_View/ns1:ToBeShippedQnt" xmlDataType="int"/>
    </tableColumn>
    <tableColumn id="14" uniqueName="ns1:WarehouseQnty" name="ns1:WarehouseQnty" dataDxfId="4">
      <xmlColumnPr mapId="1" xpath="/ns1:ReportRapDataObject/ns1:RAP_View/ns1:WarehouseQnty" xmlDataType="int"/>
    </tableColumn>
    <tableColumn id="15" uniqueName="ns1:FreeToSaleQnty" name="ns1:FreeToSaleQnty" dataDxfId="3">
      <xmlColumnPr mapId="1" xpath="/ns1:ReportRapDataObject/ns1:RAP_View/ns1:FreeToSaleQnty" xmlDataType="int"/>
    </tableColumn>
    <tableColumn id="27" uniqueName="ns1:Remark" name="ns1:Remark" dataDxfId="2">
      <xmlColumnPr mapId="1" xpath="/ns1:ReportRapDataObject/ns1:RAP_View/ns1:Remark" xmlDataType="string"/>
    </tableColumn>
    <tableColumn id="28" uniqueName="ns1:SupplyChainRemark" name="ns1:SupplyChainRemark" dataDxfId="1">
      <xmlColumnPr mapId="1" xpath="/ns1:ReportRapDataObject/ns1:RAP_View/ns1:SupplyChainRemark" xmlDataType="string"/>
    </tableColumn>
    <tableColumn id="30" uniqueName="ns1:ProductionStatus" name="ns1:ProductionStatus" dataDxfId="0">
      <xmlColumnPr mapId="1" xpath="/ns1:ReportRapDataObject/ns1:RAP_View/ns1:ProductionStatus" xmlDataType="string"/>
    </tableColumn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R6"/>
  <sheetViews>
    <sheetView tabSelected="1" workbookViewId="0">
      <selection activeCell="F11" sqref="F11"/>
    </sheetView>
  </sheetViews>
  <sheetFormatPr defaultRowHeight="15" x14ac:dyDescent="0.25"/>
  <cols>
    <col min="1" max="1" width="12.5703125" customWidth="1"/>
    <col min="2" max="2" width="12.140625" customWidth="1"/>
    <col min="3" max="3" width="11.5703125" customWidth="1"/>
    <col min="4" max="4" width="19" customWidth="1"/>
    <col min="5" max="5" width="26.5703125" customWidth="1"/>
    <col min="6" max="6" width="11.5703125" customWidth="1"/>
    <col min="7" max="7" width="13.42578125" customWidth="1"/>
    <col min="8" max="8" width="13" customWidth="1"/>
    <col min="9" max="9" width="19.140625" customWidth="1"/>
    <col min="10" max="11" width="12" customWidth="1"/>
    <col min="12" max="12" width="12.28515625" customWidth="1"/>
    <col min="13" max="13" width="9.7109375" customWidth="1"/>
    <col min="14" max="14" width="12" customWidth="1"/>
    <col min="15" max="15" width="7.7109375" customWidth="1"/>
    <col min="16" max="16" width="20.5703125" customWidth="1"/>
    <col min="17" max="17" width="20.42578125" customWidth="1"/>
    <col min="18" max="18" width="17.5703125" customWidth="1"/>
  </cols>
  <sheetData>
    <row r="1" spans="1:18" ht="21" customHeight="1" x14ac:dyDescent="0.25">
      <c r="A1" s="15" t="s">
        <v>18</v>
      </c>
      <c r="B1" s="16"/>
      <c r="C1" s="17">
        <f ca="1">NOW()</f>
        <v>42150.977391435183</v>
      </c>
      <c r="D1" s="18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spans="1:18" ht="30" customHeight="1" x14ac:dyDescent="0.25">
      <c r="A2" s="4" t="s">
        <v>19</v>
      </c>
      <c r="B2" s="5" t="s">
        <v>20</v>
      </c>
      <c r="C2" s="4" t="s">
        <v>21</v>
      </c>
      <c r="D2" s="5" t="s">
        <v>22</v>
      </c>
      <c r="E2" s="5" t="s">
        <v>23</v>
      </c>
      <c r="F2" s="5" t="s">
        <v>24</v>
      </c>
      <c r="G2" s="5" t="s">
        <v>25</v>
      </c>
      <c r="H2" s="5" t="s">
        <v>26</v>
      </c>
      <c r="I2" s="5" t="s">
        <v>27</v>
      </c>
      <c r="J2" s="5" t="s">
        <v>28</v>
      </c>
      <c r="K2" s="5" t="s">
        <v>29</v>
      </c>
      <c r="L2" s="5" t="s">
        <v>30</v>
      </c>
      <c r="M2" s="5" t="s">
        <v>31</v>
      </c>
      <c r="N2" s="5" t="s">
        <v>32</v>
      </c>
      <c r="O2" s="5" t="s">
        <v>33</v>
      </c>
      <c r="P2" s="5" t="s">
        <v>34</v>
      </c>
      <c r="Q2" s="5" t="s">
        <v>35</v>
      </c>
      <c r="R2" s="5" t="s">
        <v>36</v>
      </c>
    </row>
    <row r="3" spans="1:18" ht="12.75" customHeight="1" x14ac:dyDescent="0.25">
      <c r="A3" s="6"/>
      <c r="B3" s="7"/>
      <c r="C3" s="8"/>
      <c r="D3" s="7"/>
      <c r="E3" s="7" t="s">
        <v>37</v>
      </c>
      <c r="F3" s="7"/>
      <c r="G3" s="7"/>
      <c r="H3" s="7"/>
      <c r="I3" s="7"/>
      <c r="J3" s="7">
        <f>SUM(Table1[ns1:Qnt40HC])</f>
        <v>0</v>
      </c>
      <c r="K3" s="7">
        <f>SUM(Table1[ns1:TotalOrderQnt])</f>
        <v>0</v>
      </c>
      <c r="L3" s="7">
        <f>SUM(Table1[ns1:ShippedQnt])</f>
        <v>0</v>
      </c>
      <c r="M3" s="7">
        <f>SUM(Table1[ns1:ToBeShippedQnt])</f>
        <v>0</v>
      </c>
      <c r="N3" s="7">
        <f>SUM(Table1[ns1:WarehouseQnty])</f>
        <v>0</v>
      </c>
      <c r="O3" s="7">
        <f>SUM(Table1[ns1:FreeToSaleQnty])</f>
        <v>0</v>
      </c>
      <c r="P3" s="7"/>
      <c r="Q3" s="7"/>
      <c r="R3" s="7"/>
    </row>
    <row r="4" spans="1:18" ht="12.75" customHeight="1" x14ac:dyDescent="0.25">
      <c r="A4" s="9"/>
      <c r="B4" s="10"/>
      <c r="C4" s="11"/>
      <c r="D4" s="10"/>
      <c r="E4" s="10" t="s">
        <v>38</v>
      </c>
      <c r="F4" s="10"/>
      <c r="G4" s="10"/>
      <c r="H4" s="10"/>
      <c r="I4" s="10"/>
      <c r="J4" s="10">
        <f>SUBTOTAL(9,Table1[ns1:Qnt40HC])</f>
        <v>0</v>
      </c>
      <c r="K4" s="10">
        <f>SUBTOTAL(9,Table1[ns1:TotalOrderQnt])</f>
        <v>0</v>
      </c>
      <c r="L4" s="10">
        <f>SUBTOTAL(9,Table1[ns1:ShippedQnt])</f>
        <v>0</v>
      </c>
      <c r="M4" s="10">
        <f>SUBTOTAL(9,Table1[ns1:ToBeShippedQnt])</f>
        <v>0</v>
      </c>
      <c r="N4" s="10">
        <f>SUBTOTAL(9,Table1[ns1:WarehouseQnty])</f>
        <v>0</v>
      </c>
      <c r="O4" s="10">
        <f>SUBTOTAL(9,Table1[ns1:FreeToSaleQnty])</f>
        <v>0</v>
      </c>
      <c r="P4" s="10"/>
      <c r="Q4" s="10"/>
      <c r="R4" s="10"/>
    </row>
    <row r="5" spans="1:18" x14ac:dyDescent="0.25">
      <c r="A5" s="2" t="s">
        <v>0</v>
      </c>
      <c r="B5" s="3" t="s">
        <v>1</v>
      </c>
      <c r="C5" s="3" t="s">
        <v>2</v>
      </c>
      <c r="D5" s="3" t="s">
        <v>3</v>
      </c>
      <c r="E5" s="3" t="s">
        <v>4</v>
      </c>
      <c r="F5" s="3" t="s">
        <v>5</v>
      </c>
      <c r="G5" s="3" t="s">
        <v>6</v>
      </c>
      <c r="H5" s="3" t="s">
        <v>7</v>
      </c>
      <c r="I5" s="3" t="s">
        <v>8</v>
      </c>
      <c r="J5" s="3" t="s">
        <v>9</v>
      </c>
      <c r="K5" s="3" t="s">
        <v>10</v>
      </c>
      <c r="L5" s="3" t="s">
        <v>11</v>
      </c>
      <c r="M5" s="3" t="s">
        <v>12</v>
      </c>
      <c r="N5" s="3" t="s">
        <v>13</v>
      </c>
      <c r="O5" s="3" t="s">
        <v>14</v>
      </c>
      <c r="P5" s="3" t="s">
        <v>15</v>
      </c>
      <c r="Q5" s="3" t="s">
        <v>16</v>
      </c>
      <c r="R5" s="3" t="s">
        <v>17</v>
      </c>
    </row>
    <row r="6" spans="1:18" x14ac:dyDescent="0.25">
      <c r="A6" s="12"/>
      <c r="B6" s="13"/>
      <c r="C6" s="13"/>
      <c r="D6" s="13"/>
      <c r="E6" s="13"/>
      <c r="F6" s="13"/>
      <c r="G6" s="13"/>
      <c r="H6" s="13"/>
      <c r="I6" s="13"/>
      <c r="J6" s="14"/>
      <c r="K6" s="14"/>
      <c r="L6" s="14"/>
      <c r="M6" s="14"/>
      <c r="N6" s="14"/>
      <c r="O6" s="14"/>
      <c r="P6" s="13"/>
      <c r="Q6" s="13"/>
      <c r="R6" s="13"/>
    </row>
  </sheetData>
  <mergeCells count="2">
    <mergeCell ref="A1:B1"/>
    <mergeCell ref="C1:D1"/>
  </mergeCells>
  <pageMargins left="0.7" right="0.7" top="0.75" bottom="0.75" header="0.3" footer="0.3"/>
  <pageSetup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RAP OVERVIEW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Windows User</cp:lastModifiedBy>
  <dcterms:created xsi:type="dcterms:W3CDTF">2015-05-26T19:51:59Z</dcterms:created>
  <dcterms:modified xsi:type="dcterms:W3CDTF">2015-05-26T21:27:32Z</dcterms:modified>
</cp:coreProperties>
</file>