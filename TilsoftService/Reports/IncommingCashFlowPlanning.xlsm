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CashFlowPlanning" sheetId="1" r:id="rId1"/>
    <sheet name="Data1" sheetId="2" r:id="rId2"/>
    <sheet name="Data2" sheetId="3" r:id="rId3"/>
    <sheet name="Data3" sheetId="4" r:id="rId4"/>
  </sheets>
  <functionGroups builtInGroupCount="18"/>
  <definedNames>
    <definedName name="_xlnm._FilterDatabase" localSheetId="0" hidden="1">CashFlowPlanning!$A$8:$K$8</definedName>
  </definedNames>
  <calcPr calcId="152511"/>
</workbook>
</file>

<file path=xl/calcChain.xml><?xml version="1.0" encoding="utf-8"?>
<calcChain xmlns="http://schemas.openxmlformats.org/spreadsheetml/2006/main">
  <c r="G9" i="1" l="1"/>
  <c r="I9" i="1" l="1"/>
  <c r="H9" i="1"/>
  <c r="F9" i="1"/>
  <c r="E9" i="1"/>
  <c r="D9" i="1"/>
  <c r="C9" i="1"/>
  <c r="B9" i="1"/>
  <c r="J4" i="1"/>
  <c r="D2" i="1"/>
  <c r="A9" i="1"/>
  <c r="J9" i="1" l="1"/>
</calcChain>
</file>

<file path=xl/sharedStrings.xml><?xml version="1.0" encoding="utf-8"?>
<sst xmlns="http://schemas.openxmlformats.org/spreadsheetml/2006/main" count="14" uniqueCount="14">
  <si>
    <t>LDS</t>
  </si>
  <si>
    <t>SEASON</t>
  </si>
  <si>
    <t>#</t>
  </si>
  <si>
    <t>P/O. No.</t>
  </si>
  <si>
    <t>Customer Code</t>
  </si>
  <si>
    <t>Name Customer</t>
  </si>
  <si>
    <t>TO BE SHIPPED AMOUNT IN USD</t>
  </si>
  <si>
    <t>TO BE SHIPPED AMOUNT IN EUR</t>
  </si>
  <si>
    <t>TO BE SHIPPED AMOUNT CONVERTED IN EURO</t>
  </si>
  <si>
    <t>TOTAL AMOUNT OF WEEKS</t>
  </si>
  <si>
    <t>Ex.Rate</t>
  </si>
  <si>
    <t>TOTAL</t>
  </si>
  <si>
    <t>SUB-TOTAL</t>
  </si>
  <si>
    <t>LDS + 14 DAYS + Payment term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</si>
</sst>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_-* #,##0.00\ &quot;₫&quot;_-;\-* #,##0.00\ &quot;₫&quot;_-;_-* &quot;-&quot;??\ &quot;₫&quot;_-;_-@_-"/>
    <numFmt numFmtId="165" formatCode="_-* #,##0\ _B_F_-;\-* #,##0\ _B_F_-;_-* &quot;-&quot;\ _B_F_-;_-@_-"/>
    <numFmt numFmtId="166" formatCode="_ [$€-413]\ * #,##0.00_ ;_ [$€-413]\ * \-#,##0.00_ ;_ [$€-413]\ * &quot;-&quot;??_ ;_ @_ "/>
    <numFmt numFmtId="167" formatCode="#,##0.00_ ;\-#,##0.00\ "/>
    <numFmt numFmtId="168" formatCode="_-[$$-409]* #,##0.00_ ;_-[$$-409]* \-#,##0.00\ ;_-[$$-409]* &quot;-&quot;??_ ;_-@_ "/>
    <numFmt numFmtId="169" formatCode="_-[$€-2]\ * #,##0.00_ ;_-[$€-2]\ * \-#,##0.00\ ;_-[$€-2]\ * &quot;-&quot;??_ ;_-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2" fillId="0" borderId="0"/>
    <xf numFmtId="164" fontId="1" fillId="0" borderId="0"/>
    <xf numFmtId="165" fontId="2" fillId="0" borderId="0"/>
  </cellStyleXfs>
  <cellXfs count="27">
    <xf numFmtId="0" fontId="0" fillId="0" borderId="0" xfId="0" applyNumberFormat="1" applyFont="1" applyFill="1" applyBorder="1"/>
    <xf numFmtId="49" fontId="3" fillId="2" borderId="1" xfId="3" applyNumberFormat="1" applyFont="1" applyFill="1" applyBorder="1" applyAlignment="1">
      <alignment horizontal="center" vertical="center" wrapText="1"/>
    </xf>
    <xf numFmtId="43" fontId="3" fillId="2" borderId="1" xfId="1" applyNumberFormat="1" applyFont="1" applyFill="1" applyBorder="1" applyAlignment="1">
      <alignment horizontal="center" vertical="center" wrapText="1"/>
    </xf>
    <xf numFmtId="166" fontId="3" fillId="2" borderId="1" xfId="1" applyNumberFormat="1" applyFont="1" applyFill="1" applyBorder="1" applyAlignment="1">
      <alignment horizontal="center" vertical="center" wrapText="1"/>
    </xf>
    <xf numFmtId="166" fontId="3" fillId="2" borderId="1" xfId="3" applyNumberFormat="1" applyFont="1" applyFill="1" applyBorder="1" applyAlignment="1">
      <alignment horizontal="center" vertical="center" wrapText="1"/>
    </xf>
    <xf numFmtId="43" fontId="4" fillId="2" borderId="1" xfId="1" applyNumberFormat="1" applyFont="1" applyFill="1" applyBorder="1" applyAlignment="1">
      <alignment horizontal="center" vertical="center" wrapText="1"/>
    </xf>
    <xf numFmtId="166" fontId="3" fillId="2" borderId="0" xfId="1" applyNumberFormat="1" applyFont="1" applyFill="1" applyBorder="1" applyAlignment="1">
      <alignment horizontal="center" vertical="center" wrapText="1"/>
    </xf>
    <xf numFmtId="167" fontId="4" fillId="2" borderId="0" xfId="1" applyNumberFormat="1" applyFont="1" applyFill="1" applyBorder="1" applyAlignment="1">
      <alignment horizontal="center" vertical="center" wrapText="1"/>
    </xf>
    <xf numFmtId="0" fontId="6" fillId="0" borderId="0" xfId="0" applyNumberFormat="1" applyFont="1" applyFill="1" applyBorder="1"/>
    <xf numFmtId="0" fontId="6" fillId="3" borderId="1" xfId="0" applyNumberFormat="1" applyFont="1" applyFill="1" applyBorder="1"/>
    <xf numFmtId="0" fontId="6" fillId="0" borderId="1" xfId="0" applyNumberFormat="1" applyFont="1" applyFill="1" applyBorder="1"/>
    <xf numFmtId="0" fontId="6" fillId="0" borderId="1" xfId="0" applyNumberFormat="1" applyFont="1" applyFill="1" applyBorder="1" applyAlignment="1">
      <alignment horizontal="center"/>
    </xf>
    <xf numFmtId="0" fontId="7" fillId="0" borderId="0" xfId="0" applyNumberFormat="1" applyFont="1" applyFill="1" applyBorder="1"/>
    <xf numFmtId="168" fontId="6" fillId="0" borderId="1" xfId="0" applyNumberFormat="1" applyFont="1" applyFill="1" applyBorder="1"/>
    <xf numFmtId="169" fontId="6" fillId="0" borderId="1" xfId="0" applyNumberFormat="1" applyFont="1" applyFill="1" applyBorder="1"/>
    <xf numFmtId="14" fontId="6" fillId="0" borderId="1" xfId="0" applyNumberFormat="1" applyFont="1" applyFill="1" applyBorder="1" applyAlignment="1">
      <alignment horizontal="center"/>
    </xf>
    <xf numFmtId="166" fontId="3" fillId="2" borderId="1" xfId="1" applyNumberFormat="1" applyFont="1" applyFill="1" applyBorder="1" applyAlignment="1">
      <alignment horizontal="right" vertical="center" wrapText="1"/>
    </xf>
    <xf numFmtId="166" fontId="7" fillId="2" borderId="1" xfId="1" applyNumberFormat="1" applyFont="1" applyFill="1" applyBorder="1" applyAlignment="1">
      <alignment horizontal="center" vertical="center" wrapText="1"/>
    </xf>
    <xf numFmtId="43" fontId="6" fillId="2" borderId="1" xfId="1" applyNumberFormat="1" applyFont="1" applyFill="1" applyBorder="1" applyAlignment="1">
      <alignment horizontal="center" vertical="center" wrapText="1"/>
    </xf>
    <xf numFmtId="43" fontId="7" fillId="2" borderId="1" xfId="1" applyNumberFormat="1" applyFont="1" applyFill="1" applyBorder="1" applyAlignment="1">
      <alignment horizontal="center" vertical="center" wrapText="1"/>
    </xf>
    <xf numFmtId="0" fontId="6" fillId="0" borderId="2" xfId="0" applyNumberFormat="1" applyFont="1" applyFill="1" applyBorder="1"/>
    <xf numFmtId="168" fontId="7" fillId="2" borderId="1" xfId="1" applyNumberFormat="1" applyFont="1" applyFill="1" applyBorder="1" applyAlignment="1">
      <alignment horizontal="center" vertical="center" wrapText="1"/>
    </xf>
    <xf numFmtId="169" fontId="7" fillId="2" borderId="1" xfId="1" applyNumberFormat="1" applyFont="1" applyFill="1" applyBorder="1" applyAlignment="1">
      <alignment horizontal="center" vertical="center" wrapText="1"/>
    </xf>
    <xf numFmtId="169" fontId="7" fillId="3" borderId="1" xfId="0" applyNumberFormat="1" applyFont="1" applyFill="1" applyBorder="1"/>
    <xf numFmtId="169" fontId="6" fillId="0" borderId="1" xfId="2" applyNumberFormat="1" applyFont="1" applyFill="1" applyBorder="1"/>
    <xf numFmtId="167" fontId="6" fillId="2" borderId="1" xfId="1" applyNumberFormat="1" applyFont="1" applyFill="1" applyBorder="1" applyAlignment="1">
      <alignment horizontal="right" vertical="center" wrapText="1"/>
    </xf>
    <xf numFmtId="0" fontId="5" fillId="0" borderId="0" xfId="0" applyNumberFormat="1" applyFont="1" applyFill="1" applyBorder="1" applyAlignment="1">
      <alignment horizontal="center"/>
    </xf>
  </cellXfs>
  <cellStyles count="4">
    <cellStyle name="Comma 2" xfId="1"/>
    <cellStyle name="Currency" xfId="2" builtinId="4"/>
    <cellStyle name="Normal" xfId="0" builtinId="0"/>
    <cellStyle name="Normal 2" xf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K9"/>
  <sheetViews>
    <sheetView tabSelected="1" workbookViewId="0"/>
  </sheetViews>
  <sheetFormatPr defaultRowHeight="12" x14ac:dyDescent="0.2"/>
  <cols>
    <col min="1" max="1" width="8.7109375" style="8" customWidth="1"/>
    <col min="2" max="2" width="4.85546875" style="8" customWidth="1"/>
    <col min="3" max="3" width="8.28515625" style="8" bestFit="1" customWidth="1"/>
    <col min="4" max="4" width="8.5703125" style="8" customWidth="1"/>
    <col min="5" max="5" width="26.85546875" style="8" customWidth="1"/>
    <col min="6" max="6" width="10.7109375" style="8" bestFit="1" customWidth="1"/>
    <col min="7" max="7" width="11.85546875" style="8" customWidth="1"/>
    <col min="8" max="8" width="14.85546875" style="8" bestFit="1" customWidth="1"/>
    <col min="9" max="9" width="14.140625" style="8" bestFit="1" customWidth="1"/>
    <col min="10" max="10" width="14.85546875" style="8" bestFit="1" customWidth="1"/>
    <col min="11" max="11" width="15.140625" style="8" bestFit="1" customWidth="1"/>
    <col min="12" max="12" width="9.140625" style="8" customWidth="1"/>
    <col min="13" max="16384" width="9.140625" style="8"/>
  </cols>
  <sheetData>
    <row r="2" spans="1:11" ht="15.75" x14ac:dyDescent="0.25">
      <c r="B2" s="26" t="s">
        <v>1</v>
      </c>
      <c r="C2" s="26"/>
      <c r="D2" s="12">
        <f>Data3!A2</f>
        <v>0</v>
      </c>
    </row>
    <row r="3" spans="1:11" ht="48" x14ac:dyDescent="0.2">
      <c r="A3" s="6"/>
      <c r="B3" s="1" t="s">
        <v>2</v>
      </c>
      <c r="C3" s="1" t="s">
        <v>3</v>
      </c>
      <c r="D3" s="1" t="s">
        <v>4</v>
      </c>
      <c r="E3" s="2" t="s">
        <v>5</v>
      </c>
      <c r="F3" s="2" t="s">
        <v>0</v>
      </c>
      <c r="G3" s="2" t="s">
        <v>13</v>
      </c>
      <c r="H3" s="17" t="s">
        <v>6</v>
      </c>
      <c r="I3" s="17" t="s">
        <v>7</v>
      </c>
      <c r="J3" s="17" t="s">
        <v>8</v>
      </c>
      <c r="K3" s="17" t="s">
        <v>9</v>
      </c>
    </row>
    <row r="4" spans="1:11" x14ac:dyDescent="0.2">
      <c r="A4" s="7"/>
      <c r="B4" s="1"/>
      <c r="C4" s="1"/>
      <c r="D4" s="1"/>
      <c r="E4" s="2"/>
      <c r="F4" s="2"/>
      <c r="G4" s="5"/>
      <c r="H4" s="18"/>
      <c r="I4" s="18" t="s">
        <v>10</v>
      </c>
      <c r="J4" s="25">
        <f>Data3!B2</f>
        <v>0</v>
      </c>
      <c r="K4" s="9"/>
    </row>
    <row r="5" spans="1:11" x14ac:dyDescent="0.2">
      <c r="A5" s="6"/>
      <c r="B5" s="1"/>
      <c r="C5" s="1"/>
      <c r="D5" s="1"/>
      <c r="E5" s="2"/>
      <c r="F5" s="2"/>
      <c r="G5" s="2"/>
      <c r="H5" s="19"/>
      <c r="I5" s="19"/>
      <c r="J5" s="17"/>
      <c r="K5" s="9"/>
    </row>
    <row r="6" spans="1:11" x14ac:dyDescent="0.2">
      <c r="A6" s="6"/>
      <c r="B6" s="4"/>
      <c r="C6" s="4"/>
      <c r="D6" s="4"/>
      <c r="E6" s="3"/>
      <c r="F6" s="3"/>
      <c r="G6" s="16" t="s">
        <v>11</v>
      </c>
      <c r="H6" s="21"/>
      <c r="I6" s="22"/>
      <c r="J6" s="22"/>
      <c r="K6" s="23"/>
    </row>
    <row r="7" spans="1:11" x14ac:dyDescent="0.2">
      <c r="A7" s="6"/>
      <c r="B7" s="4"/>
      <c r="C7" s="4"/>
      <c r="D7" s="4"/>
      <c r="E7" s="3"/>
      <c r="F7" s="3"/>
      <c r="G7" s="16" t="s">
        <v>12</v>
      </c>
      <c r="H7" s="21"/>
      <c r="I7" s="22"/>
      <c r="J7" s="22"/>
      <c r="K7" s="23"/>
    </row>
    <row r="8" spans="1:11" x14ac:dyDescent="0.2">
      <c r="B8" s="10"/>
      <c r="C8" s="10"/>
      <c r="D8" s="10"/>
      <c r="E8" s="10"/>
      <c r="F8" s="10"/>
      <c r="G8" s="10"/>
      <c r="H8" s="10"/>
      <c r="I8" s="10"/>
      <c r="J8" s="10"/>
      <c r="K8" s="10"/>
    </row>
    <row r="9" spans="1:11" x14ac:dyDescent="0.2">
      <c r="A9" s="20" t="e">
        <f>GetWeek(G9)</f>
        <v>#VALUE!</v>
      </c>
      <c r="B9" s="10">
        <f>ROW()-8</f>
        <v>1</v>
      </c>
      <c r="C9" s="11">
        <f>Data1!C2</f>
        <v>0</v>
      </c>
      <c r="D9" s="11">
        <f>Data1!D2</f>
        <v>0</v>
      </c>
      <c r="E9" s="10">
        <f>Data1!E2</f>
        <v>0</v>
      </c>
      <c r="F9" s="15">
        <f>Data1!F2</f>
        <v>0</v>
      </c>
      <c r="G9" s="15">
        <f>Data1!H2</f>
        <v>0</v>
      </c>
      <c r="H9" s="13">
        <f>Data1!I2</f>
        <v>0</v>
      </c>
      <c r="I9" s="14">
        <f>Data1!J2</f>
        <v>0</v>
      </c>
      <c r="J9" s="24" t="e">
        <f>H9/$J$4+I9</f>
        <v>#DIV/0!</v>
      </c>
      <c r="K9" s="14"/>
    </row>
  </sheetData>
  <mergeCells count="1">
    <mergeCell ref="B2:C2"/>
  </mergeCell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502" workbookViewId="0">
      <selection activeCell="A502"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A3" sqref="A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CashFlowPlanning</vt:lpstr>
      <vt:lpstr>Data1</vt:lpstr>
      <vt:lpstr>Data2</vt:lpstr>
      <vt:lpstr>Data3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2018-03-28T07:36:24Z</dcterms:modified>
</cp:coreProperties>
</file>