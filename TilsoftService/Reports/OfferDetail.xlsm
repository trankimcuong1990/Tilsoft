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OfferDetail" sheetId="1" r:id="rId1"/>
    <sheet name="Data1" sheetId="2" r:id="rId2"/>
  </sheets>
  <definedNames>
    <definedName name="_xlnm._FilterDatabase" localSheetId="0" hidden="1">OfferDetail!$A$5:$AD$5</definedName>
  </definedNames>
  <calcPr calcId="152511"/>
</workbook>
</file>

<file path=xl/calcChain.xml><?xml version="1.0" encoding="utf-8"?>
<calcChain xmlns="http://schemas.openxmlformats.org/spreadsheetml/2006/main">
  <c r="F6" i="1" l="1"/>
  <c r="AA6" i="1" l="1"/>
  <c r="N6" i="1" l="1"/>
  <c r="H6" i="1"/>
  <c r="AD6" i="1"/>
  <c r="AC6" i="1"/>
  <c r="AB6" i="1"/>
  <c r="L6" i="1" s="1"/>
  <c r="X6" i="1"/>
  <c r="X3" i="1" s="1"/>
  <c r="W6" i="1"/>
  <c r="V6" i="1"/>
  <c r="V4" i="1" s="1"/>
  <c r="U6" i="1"/>
  <c r="U4" i="1" s="1"/>
  <c r="T6" i="1"/>
  <c r="T4" i="1" s="1"/>
  <c r="S6" i="1"/>
  <c r="R6" i="1"/>
  <c r="P6" i="1"/>
  <c r="M6" i="1"/>
  <c r="I6" i="1"/>
  <c r="J6" i="1" s="1"/>
  <c r="G6" i="1"/>
  <c r="E6" i="1"/>
  <c r="E4" i="1" s="1"/>
  <c r="D6" i="1"/>
  <c r="C6" i="1"/>
  <c r="B6" i="1"/>
  <c r="A6" i="1"/>
  <c r="X4" i="1"/>
  <c r="W4" i="1"/>
  <c r="W3" i="1"/>
  <c r="Z6" i="1" l="1"/>
  <c r="O6" i="1" s="1"/>
  <c r="T3" i="1"/>
  <c r="K6" i="1"/>
  <c r="K3" i="1" s="1"/>
  <c r="E3" i="1"/>
  <c r="V3" i="1"/>
  <c r="Y6" i="1"/>
  <c r="S3" i="1"/>
  <c r="U3" i="1"/>
  <c r="S4" i="1"/>
  <c r="K4" i="1"/>
  <c r="Q6" i="1"/>
  <c r="Y4" i="1" l="1"/>
  <c r="Y3" i="1"/>
  <c r="F4" i="1"/>
  <c r="F3" i="1"/>
  <c r="Q3" i="1"/>
  <c r="Z3" i="1" s="1"/>
  <c r="Q4" i="1"/>
  <c r="Z4" i="1" s="1"/>
</calcChain>
</file>

<file path=xl/sharedStrings.xml><?xml version="1.0" encoding="utf-8"?>
<sst xmlns="http://schemas.openxmlformats.org/spreadsheetml/2006/main" count="36" uniqueCount="34">
  <si>
    <t>Description</t>
  </si>
  <si>
    <t>#</t>
  </si>
  <si>
    <t>Image</t>
  </si>
  <si>
    <t>Art.Code</t>
  </si>
  <si>
    <t>Qnt</t>
  </si>
  <si>
    <t>Sales</t>
  </si>
  <si>
    <t>Purchasing</t>
  </si>
  <si>
    <t>Delta 5</t>
  </si>
  <si>
    <t>Delta 5 Last year</t>
  </si>
  <si>
    <t>Current Supplier</t>
  </si>
  <si>
    <t>Approved By</t>
  </si>
  <si>
    <t>Price (EUR)</t>
  </si>
  <si>
    <t>Price (USD)</t>
  </si>
  <si>
    <t>Price Converted to USD</t>
  </si>
  <si>
    <t>Sales Amount</t>
  </si>
  <si>
    <t>Price</t>
  </si>
  <si>
    <t>Prefer Factory</t>
  </si>
  <si>
    <t>Purchasing Amount</t>
  </si>
  <si>
    <t>Selected By</t>
  </si>
  <si>
    <t>Margin Before</t>
  </si>
  <si>
    <t>Commission</t>
  </si>
  <si>
    <t>Transportation</t>
  </si>
  <si>
    <t>LC Cost</t>
  </si>
  <si>
    <t>Interest Cost</t>
  </si>
  <si>
    <t>Datamage</t>
  </si>
  <si>
    <t>Delta Amount</t>
  </si>
  <si>
    <t>Delta %</t>
  </si>
  <si>
    <t>Factory</t>
  </si>
  <si>
    <t>TOTAL</t>
  </si>
  <si>
    <t>SUB-TOTAL</t>
  </si>
  <si>
    <t>Cont</t>
  </si>
  <si>
    <t>Price Last Season (USD)</t>
  </si>
  <si>
    <t>Gross Margin</t>
  </si>
  <si>
    <t>Gross Margin Last Season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</si>
</sst>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[$€-2]\ * #,##0.00_-;\-[$€-2]\ * #,##0.00_-;_-[$€-2]\ * &quot;-&quot;??_-;_-@_-"/>
    <numFmt numFmtId="165" formatCode="_-[$$-409]* #,##0.00_ ;_-[$$-409]* \-#,##0.00\ ;_-[$$-409]* &quot;-&quot;??_ ;_-@_ "/>
    <numFmt numFmtId="166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30">
    <xf numFmtId="0" fontId="0" fillId="0" borderId="0" xfId="0" applyNumberFormat="1" applyFont="1" applyFill="1" applyBorder="1"/>
    <xf numFmtId="0" fontId="2" fillId="2" borderId="1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/>
    <xf numFmtId="0" fontId="3" fillId="3" borderId="1" xfId="0" applyNumberFormat="1" applyFont="1" applyFill="1" applyBorder="1"/>
    <xf numFmtId="0" fontId="2" fillId="3" borderId="1" xfId="0" applyNumberFormat="1" applyFont="1" applyFill="1" applyBorder="1" applyAlignment="1">
      <alignment horizontal="right"/>
    </xf>
    <xf numFmtId="3" fontId="2" fillId="3" borderId="1" xfId="0" applyNumberFormat="1" applyFont="1" applyFill="1" applyBorder="1"/>
    <xf numFmtId="4" fontId="2" fillId="3" borderId="1" xfId="0" applyNumberFormat="1" applyFont="1" applyFill="1" applyBorder="1"/>
    <xf numFmtId="0" fontId="2" fillId="3" borderId="1" xfId="0" applyNumberFormat="1" applyFont="1" applyFill="1" applyBorder="1"/>
    <xf numFmtId="164" fontId="2" fillId="3" borderId="1" xfId="0" applyNumberFormat="1" applyFont="1" applyFill="1" applyBorder="1"/>
    <xf numFmtId="165" fontId="2" fillId="3" borderId="1" xfId="0" applyNumberFormat="1" applyFont="1" applyFill="1" applyBorder="1"/>
    <xf numFmtId="166" fontId="2" fillId="3" borderId="1" xfId="1" applyNumberFormat="1" applyFont="1" applyFill="1" applyBorder="1"/>
    <xf numFmtId="0" fontId="3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top"/>
    </xf>
    <xf numFmtId="3" fontId="3" fillId="0" borderId="1" xfId="0" applyNumberFormat="1" applyFont="1" applyFill="1" applyBorder="1" applyAlignment="1">
      <alignment vertical="top"/>
    </xf>
    <xf numFmtId="4" fontId="3" fillId="0" borderId="1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vertical="top"/>
    </xf>
    <xf numFmtId="165" fontId="3" fillId="0" borderId="1" xfId="0" applyNumberFormat="1" applyFont="1" applyFill="1" applyBorder="1" applyAlignment="1">
      <alignment vertical="top"/>
    </xf>
    <xf numFmtId="0" fontId="3" fillId="0" borderId="1" xfId="0" applyNumberFormat="1" applyFont="1" applyFill="1" applyBorder="1" applyAlignment="1">
      <alignment horizontal="left" vertical="top"/>
    </xf>
    <xf numFmtId="165" fontId="3" fillId="0" borderId="1" xfId="0" applyNumberFormat="1" applyFont="1" applyFill="1" applyBorder="1" applyAlignment="1">
      <alignment horizontal="center" vertical="top"/>
    </xf>
    <xf numFmtId="166" fontId="3" fillId="0" borderId="1" xfId="1" applyNumberFormat="1" applyFont="1" applyFill="1" applyBorder="1" applyAlignment="1">
      <alignment vertical="top"/>
    </xf>
    <xf numFmtId="165" fontId="3" fillId="0" borderId="0" xfId="0" applyNumberFormat="1" applyFont="1" applyFill="1" applyBorder="1"/>
    <xf numFmtId="166" fontId="3" fillId="0" borderId="1" xfId="1" applyNumberFormat="1" applyFont="1" applyBorder="1" applyAlignment="1">
      <alignment vertical="top"/>
    </xf>
    <xf numFmtId="0" fontId="3" fillId="0" borderId="0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2" fillId="2" borderId="4" xfId="0" applyNumberFormat="1" applyFont="1" applyFill="1" applyBorder="1" applyAlignment="1">
      <alignment horizontal="center" vertical="center" wrapText="1"/>
    </xf>
    <xf numFmtId="0" fontId="2" fillId="2" borderId="5" xfId="0" applyNumberFormat="1" applyFont="1" applyFill="1" applyBorder="1" applyAlignment="1">
      <alignment horizontal="center" vertical="center" wrapText="1"/>
    </xf>
    <xf numFmtId="0" fontId="2" fillId="2" borderId="6" xfId="0" applyNumberFormat="1" applyFont="1" applyFill="1" applyBorder="1" applyAlignment="1">
      <alignment horizontal="center" vertical="center" wrapText="1"/>
    </xf>
    <xf numFmtId="0" fontId="3" fillId="0" borderId="1" xfId="0" applyNumberFormat="1" applyFont="1" applyFill="1" applyBorder="1" applyAlignment="1">
      <alignment horizontal="left" vertical="top" wrapText="1"/>
    </xf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7"/>
  <sheetViews>
    <sheetView tabSelected="1" workbookViewId="0">
      <pane xSplit="6" ySplit="5" topLeftCell="P6" activePane="bottomRight" state="frozen"/>
      <selection pane="topRight" activeCell="G1" sqref="G1"/>
      <selection pane="bottomLeft" activeCell="A6" sqref="A6"/>
      <selection pane="bottomRight" activeCell="P6" sqref="P6"/>
    </sheetView>
  </sheetViews>
  <sheetFormatPr defaultRowHeight="10.199999999999999" x14ac:dyDescent="0.2"/>
  <cols>
    <col min="1" max="1" width="5" style="2" customWidth="1"/>
    <col min="2" max="2" width="11.21875" style="2" customWidth="1"/>
    <col min="3" max="3" width="17.77734375" style="2" customWidth="1"/>
    <col min="4" max="4" width="35.5546875" style="2" customWidth="1"/>
    <col min="5" max="6" width="7.33203125" style="2" customWidth="1"/>
    <col min="7" max="9" width="7.44140625" style="2" customWidth="1"/>
    <col min="10" max="12" width="9.44140625" style="2" customWidth="1"/>
    <col min="13" max="15" width="8.88671875" style="2" customWidth="1"/>
    <col min="16" max="16" width="11" style="2" bestFit="1" customWidth="1"/>
    <col min="17" max="17" width="9.6640625" style="2" bestFit="1" customWidth="1"/>
    <col min="18" max="18" width="8.88671875" style="2" customWidth="1"/>
    <col min="19" max="19" width="11.109375" style="2" bestFit="1" customWidth="1"/>
    <col min="20" max="22" width="8.88671875" style="2" customWidth="1"/>
    <col min="23" max="24" width="10.109375" style="2" bestFit="1" customWidth="1"/>
    <col min="25" max="25" width="11.109375" style="2" bestFit="1" customWidth="1"/>
    <col min="26" max="26" width="7.109375" style="2" customWidth="1"/>
    <col min="27" max="27" width="6.77734375" style="2" customWidth="1"/>
    <col min="28" max="28" width="8.88671875" style="2" customWidth="1"/>
    <col min="29" max="16384" width="8.88671875" style="2"/>
  </cols>
  <sheetData>
    <row r="1" spans="1:30" ht="14.4" customHeight="1" x14ac:dyDescent="0.2">
      <c r="A1" s="23" t="s">
        <v>1</v>
      </c>
      <c r="B1" s="23" t="s">
        <v>2</v>
      </c>
      <c r="C1" s="23" t="s">
        <v>3</v>
      </c>
      <c r="D1" s="23" t="s">
        <v>0</v>
      </c>
      <c r="E1" s="24" t="s">
        <v>4</v>
      </c>
      <c r="F1" s="24" t="s">
        <v>30</v>
      </c>
      <c r="G1" s="26" t="s">
        <v>5</v>
      </c>
      <c r="H1" s="27"/>
      <c r="I1" s="27"/>
      <c r="J1" s="27"/>
      <c r="K1" s="28"/>
      <c r="L1" s="26" t="s">
        <v>6</v>
      </c>
      <c r="M1" s="27"/>
      <c r="N1" s="27"/>
      <c r="O1" s="27"/>
      <c r="P1" s="27"/>
      <c r="Q1" s="27"/>
      <c r="R1" s="28"/>
      <c r="S1" s="23" t="s">
        <v>7</v>
      </c>
      <c r="T1" s="23"/>
      <c r="U1" s="23"/>
      <c r="V1" s="23"/>
      <c r="W1" s="23"/>
      <c r="X1" s="23"/>
      <c r="Y1" s="23"/>
      <c r="Z1" s="23"/>
      <c r="AA1" s="23" t="s">
        <v>8</v>
      </c>
      <c r="AB1" s="23" t="s">
        <v>9</v>
      </c>
      <c r="AC1" s="23"/>
      <c r="AD1" s="24" t="s">
        <v>10</v>
      </c>
    </row>
    <row r="2" spans="1:30" ht="46.2" customHeight="1" x14ac:dyDescent="0.2">
      <c r="A2" s="23"/>
      <c r="B2" s="23"/>
      <c r="C2" s="23"/>
      <c r="D2" s="23"/>
      <c r="E2" s="25"/>
      <c r="F2" s="25"/>
      <c r="G2" s="1" t="s">
        <v>11</v>
      </c>
      <c r="H2" s="1" t="s">
        <v>31</v>
      </c>
      <c r="I2" s="1" t="s">
        <v>12</v>
      </c>
      <c r="J2" s="1" t="s">
        <v>13</v>
      </c>
      <c r="K2" s="1" t="s">
        <v>14</v>
      </c>
      <c r="L2" s="1" t="s">
        <v>31</v>
      </c>
      <c r="M2" s="1" t="s">
        <v>12</v>
      </c>
      <c r="N2" s="1" t="s">
        <v>33</v>
      </c>
      <c r="O2" s="1" t="s">
        <v>32</v>
      </c>
      <c r="P2" s="1" t="s">
        <v>16</v>
      </c>
      <c r="Q2" s="1" t="s">
        <v>17</v>
      </c>
      <c r="R2" s="1" t="s">
        <v>18</v>
      </c>
      <c r="S2" s="1" t="s">
        <v>19</v>
      </c>
      <c r="T2" s="1" t="s">
        <v>20</v>
      </c>
      <c r="U2" s="1" t="s">
        <v>21</v>
      </c>
      <c r="V2" s="1" t="s">
        <v>22</v>
      </c>
      <c r="W2" s="1" t="s">
        <v>23</v>
      </c>
      <c r="X2" s="1" t="s">
        <v>24</v>
      </c>
      <c r="Y2" s="1" t="s">
        <v>25</v>
      </c>
      <c r="Z2" s="1" t="s">
        <v>26</v>
      </c>
      <c r="AA2" s="23"/>
      <c r="AB2" s="1" t="s">
        <v>15</v>
      </c>
      <c r="AC2" s="1" t="s">
        <v>27</v>
      </c>
      <c r="AD2" s="25"/>
    </row>
    <row r="3" spans="1:30" x14ac:dyDescent="0.2">
      <c r="A3" s="3"/>
      <c r="B3" s="3"/>
      <c r="C3" s="3"/>
      <c r="D3" s="4" t="s">
        <v>28</v>
      </c>
      <c r="E3" s="5">
        <f>SUM(E6:E5000)</f>
        <v>0</v>
      </c>
      <c r="F3" s="6">
        <f>SUM(F6:F5000)</f>
        <v>0</v>
      </c>
      <c r="G3" s="7"/>
      <c r="H3" s="7"/>
      <c r="I3" s="7"/>
      <c r="J3" s="7"/>
      <c r="K3" s="8">
        <f>SUM(K6:K5000)</f>
        <v>0</v>
      </c>
      <c r="L3" s="8"/>
      <c r="M3" s="7"/>
      <c r="N3" s="7"/>
      <c r="O3" s="7"/>
      <c r="P3" s="7"/>
      <c r="Q3" s="9">
        <f>SUM(Q6:Q5000)</f>
        <v>0</v>
      </c>
      <c r="R3" s="7"/>
      <c r="S3" s="9">
        <f t="shared" ref="S3:Y3" si="0">SUM(S6:S5000)</f>
        <v>0</v>
      </c>
      <c r="T3" s="9">
        <f t="shared" si="0"/>
        <v>0</v>
      </c>
      <c r="U3" s="9">
        <f t="shared" si="0"/>
        <v>0</v>
      </c>
      <c r="V3" s="9">
        <f t="shared" si="0"/>
        <v>0</v>
      </c>
      <c r="W3" s="9">
        <f t="shared" si="0"/>
        <v>0</v>
      </c>
      <c r="X3" s="9">
        <f t="shared" si="0"/>
        <v>0</v>
      </c>
      <c r="Y3" s="9">
        <f t="shared" si="0"/>
        <v>0</v>
      </c>
      <c r="Z3" s="10" t="str">
        <f>IF(Q3&gt;0,Y3/Q3,"")</f>
        <v/>
      </c>
      <c r="AA3" s="7"/>
      <c r="AB3" s="7"/>
      <c r="AC3" s="7"/>
      <c r="AD3" s="7"/>
    </row>
    <row r="4" spans="1:30" x14ac:dyDescent="0.2">
      <c r="A4" s="3"/>
      <c r="B4" s="3"/>
      <c r="C4" s="3"/>
      <c r="D4" s="4" t="s">
        <v>29</v>
      </c>
      <c r="E4" s="5">
        <f>SUBTOTAL(9,E6:E5000)</f>
        <v>0</v>
      </c>
      <c r="F4" s="6">
        <f>SUBTOTAL(9,F6:F5000)</f>
        <v>0</v>
      </c>
      <c r="G4" s="7"/>
      <c r="H4" s="7"/>
      <c r="I4" s="7"/>
      <c r="J4" s="7"/>
      <c r="K4" s="8">
        <f>SUBTOTAL(9,K6:K5000)</f>
        <v>0</v>
      </c>
      <c r="L4" s="8"/>
      <c r="M4" s="7"/>
      <c r="N4" s="7"/>
      <c r="O4" s="7"/>
      <c r="P4" s="7"/>
      <c r="Q4" s="9">
        <f>SUBTOTAL(9,Q6:Q5000)</f>
        <v>0</v>
      </c>
      <c r="R4" s="7"/>
      <c r="S4" s="9">
        <f t="shared" ref="S4:Y4" si="1">SUBTOTAL(9,S6:S5000)</f>
        <v>0</v>
      </c>
      <c r="T4" s="9">
        <f t="shared" si="1"/>
        <v>0</v>
      </c>
      <c r="U4" s="9">
        <f t="shared" si="1"/>
        <v>0</v>
      </c>
      <c r="V4" s="9">
        <f t="shared" si="1"/>
        <v>0</v>
      </c>
      <c r="W4" s="9">
        <f t="shared" si="1"/>
        <v>0</v>
      </c>
      <c r="X4" s="9">
        <f t="shared" si="1"/>
        <v>0</v>
      </c>
      <c r="Y4" s="9">
        <f t="shared" si="1"/>
        <v>0</v>
      </c>
      <c r="Z4" s="10" t="str">
        <f>IF(Q4&gt;0,Y4/Q4,"")</f>
        <v/>
      </c>
      <c r="AA4" s="7"/>
      <c r="AB4" s="7"/>
      <c r="AC4" s="7"/>
      <c r="AD4" s="7"/>
    </row>
    <row r="5" spans="1:30" x14ac:dyDescent="0.2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</row>
    <row r="6" spans="1:30" s="22" customFormat="1" ht="59.4" customHeight="1" x14ac:dyDescent="0.3">
      <c r="A6" s="12">
        <f>ROW()-5</f>
        <v>1</v>
      </c>
      <c r="B6" s="12" t="str">
        <f>Data1!AB2&amp;""</f>
        <v/>
      </c>
      <c r="C6" s="12" t="str">
        <f>Data1!B2&amp;""</f>
        <v/>
      </c>
      <c r="D6" s="12" t="str">
        <f>Data1!C2&amp;""</f>
        <v/>
      </c>
      <c r="E6" s="13">
        <f>Data1!G2</f>
        <v>0</v>
      </c>
      <c r="F6" s="14">
        <f>IF(Data1!AC2&gt;0,E6/Data1!AC2,0)</f>
        <v>0</v>
      </c>
      <c r="G6" s="15">
        <f>IF(Data1!E2 = "EUR",Data1!D2,0)</f>
        <v>0</v>
      </c>
      <c r="H6" s="16">
        <f>Data1!AD2</f>
        <v>0</v>
      </c>
      <c r="I6" s="16">
        <f>IF(Data1!E2 = "USD",Data1!D2,0)</f>
        <v>0</v>
      </c>
      <c r="J6" s="16">
        <f>IF(I6=0,G6*Data1!N2,I6)</f>
        <v>0</v>
      </c>
      <c r="K6" s="16">
        <f>J6*E6</f>
        <v>0</v>
      </c>
      <c r="L6" s="16">
        <f>AB6</f>
        <v>0</v>
      </c>
      <c r="M6" s="16">
        <f>Data1!F2</f>
        <v>0</v>
      </c>
      <c r="N6" s="21" t="str">
        <f>AA6</f>
        <v/>
      </c>
      <c r="O6" s="21" t="str">
        <f>Z6</f>
        <v/>
      </c>
      <c r="P6" s="17" t="str">
        <f>Data1!T2&amp;""</f>
        <v/>
      </c>
      <c r="Q6" s="18">
        <f>M6*E6</f>
        <v>0</v>
      </c>
      <c r="R6" s="17" t="str">
        <f>Data1!V2&amp;""</f>
        <v/>
      </c>
      <c r="S6" s="16">
        <f>Data1!H2</f>
        <v>0</v>
      </c>
      <c r="T6" s="16">
        <f>Data1!I2</f>
        <v>0</v>
      </c>
      <c r="U6" s="16">
        <f>Data1!J2</f>
        <v>0</v>
      </c>
      <c r="V6" s="16">
        <f>Data1!K2</f>
        <v>0</v>
      </c>
      <c r="W6" s="16">
        <f>Data1!L2</f>
        <v>0</v>
      </c>
      <c r="X6" s="16">
        <f>Data1!M2</f>
        <v>0</v>
      </c>
      <c r="Y6" s="16">
        <f>S6-(T6+U6+V6+W6+X6)</f>
        <v>0</v>
      </c>
      <c r="Z6" s="19" t="str">
        <f>IF(M6*E6 &gt; 0,Y6/(M6*E6),"")</f>
        <v/>
      </c>
      <c r="AA6" s="19" t="str">
        <f>IF(Data1!O2&gt;0,Data1!O2/100,"")</f>
        <v/>
      </c>
      <c r="AB6" s="16">
        <f>Data1!Q3</f>
        <v>0</v>
      </c>
      <c r="AC6" s="17" t="str">
        <f>Data1!P3&amp;""</f>
        <v/>
      </c>
      <c r="AD6" s="29" t="str">
        <f>Data1!Y2&amp;""</f>
        <v/>
      </c>
    </row>
    <row r="17" spans="20:20" x14ac:dyDescent="0.2">
      <c r="T17" s="20"/>
    </row>
  </sheetData>
  <autoFilter ref="A5:AD5"/>
  <mergeCells count="12">
    <mergeCell ref="C1:C2"/>
    <mergeCell ref="D1:D2"/>
    <mergeCell ref="B1:B2"/>
    <mergeCell ref="A1:A2"/>
    <mergeCell ref="AD1:AD2"/>
    <mergeCell ref="E1:E2"/>
    <mergeCell ref="G1:K1"/>
    <mergeCell ref="AB1:AC1"/>
    <mergeCell ref="S1:Z1"/>
    <mergeCell ref="AA1:AA2"/>
    <mergeCell ref="F1:F2"/>
    <mergeCell ref="L1:R1"/>
  </mergeCells>
  <conditionalFormatting sqref="Z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048576"/>
    </sheetView>
  </sheetViews>
  <sheetFormatPr defaultRowHeight="14.4" x14ac:dyDescent="0.3"/>
  <cols>
    <col min="15" max="15" width="10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OfferDetail</vt:lpstr>
      <vt:lpstr>Data1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2019-09-11T06:37:10Z</dcterms:modified>
</cp:coreProperties>
</file>