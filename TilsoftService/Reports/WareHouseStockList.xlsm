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TILSOFT\SOLUTION\TilsoftService\Reports\"/>
    </mc:Choice>
  </mc:AlternateContent>
  <bookViews>
    <workbookView xWindow="0" yWindow="0" windowWidth="15090" windowHeight="535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" l="1"/>
  <c r="N5" i="1"/>
  <c r="M5" i="1"/>
  <c r="L5" i="1"/>
  <c r="K5" i="1"/>
  <c r="J5" i="1"/>
  <c r="J4" i="1" l="1"/>
  <c r="O4" i="1" l="1"/>
  <c r="N4" i="1"/>
  <c r="M4" i="1"/>
  <c r="L4" i="1"/>
  <c r="K4" i="1"/>
  <c r="D1" i="1" l="1"/>
</calcChain>
</file>

<file path=xl/sharedStrings.xml><?xml version="1.0" encoding="utf-8"?>
<sst xmlns="http://schemas.openxmlformats.org/spreadsheetml/2006/main" count="34" uniqueCount="34">
  <si>
    <t>STOCK MONITOR</t>
  </si>
  <si>
    <t>WARE HOUSE</t>
  </si>
  <si>
    <t>Barcode</t>
  </si>
  <si>
    <t>Picture</t>
  </si>
  <si>
    <t>Art.Code</t>
  </si>
  <si>
    <t>Description</t>
  </si>
  <si>
    <t>Load 40HC</t>
  </si>
  <si>
    <t>Price</t>
  </si>
  <si>
    <t>Remaining</t>
  </si>
  <si>
    <t>R IN 40HC</t>
  </si>
  <si>
    <t>R. AMOUNT</t>
  </si>
  <si>
    <t>FTS</t>
  </si>
  <si>
    <t>F IN 40HC</t>
  </si>
  <si>
    <t>F AMOUNT</t>
  </si>
  <si>
    <t>Report date</t>
  </si>
  <si>
    <t>WareHouse</t>
  </si>
  <si>
    <t>Pro Status</t>
  </si>
  <si>
    <t>Location (M-W)</t>
  </si>
  <si>
    <t>ns1:WareHouseUD</t>
  </si>
  <si>
    <t>ns1:ProductStatusNM</t>
  </si>
  <si>
    <t>ns1:AreaCode</t>
  </si>
  <si>
    <t>ns1:BarCode</t>
  </si>
  <si>
    <t>ns1:ImageFile</t>
  </si>
  <si>
    <t>ns1:ArticleCode</t>
  </si>
  <si>
    <t>ns1:Description</t>
  </si>
  <si>
    <t>ns1:LoadAbility40HC</t>
  </si>
  <si>
    <t>ns1:UnitPrice</t>
  </si>
  <si>
    <t>ns1:RemainingQnt</t>
  </si>
  <si>
    <t>ns1:RemainQnt40HC</t>
  </si>
  <si>
    <t>ns1:RemainAmount</t>
  </si>
  <si>
    <t>ns1:FreeToSaleQnt</t>
  </si>
  <si>
    <t>ns1:FreeToSaleQnt40HC</t>
  </si>
  <si>
    <t>ns1:FTSAmount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</si>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</sst>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[$€-413]\ * #,##0.00_ ;_ [$€-413]\ * \-#,##0.00_ ;_ [$€-413]\ * &quot;-&quot;??_ ;_ @_ "/>
    <numFmt numFmtId="165" formatCode="[$€-413]\ #,##0.00"/>
  </numFmts>
  <fonts count="6">
    <font>
      <sz val="11"/>
      <color theme="1"/>
      <name val="Calibri"/>
      <family val="2"/>
      <charset val="163"/>
      <scheme val="minor"/>
    </font>
    <font>
      <sz val="9"/>
      <color theme="1"/>
      <name val="Calibri"/>
      <family val="2"/>
      <charset val="163"/>
      <scheme val="minor"/>
    </font>
    <font>
      <b/>
      <sz val="9"/>
      <color theme="1"/>
      <name val="Calibri"/>
      <family val="2"/>
      <charset val="163"/>
      <scheme val="minor"/>
    </font>
    <font>
      <b/>
      <sz val="12"/>
      <color theme="1"/>
      <name val="Calibri"/>
      <family val="2"/>
      <scheme val="minor"/>
    </font>
    <font>
      <sz val="9"/>
      <color theme="0"/>
      <name val="Calibri"/>
      <family val="2"/>
      <charset val="163"/>
      <scheme val="minor"/>
    </font>
    <font>
      <sz val="28"/>
      <color theme="1"/>
      <name val="Code 128"/>
      <charset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1" fillId="4" borderId="1" xfId="0" applyFont="1" applyFill="1" applyBorder="1"/>
    <xf numFmtId="22" fontId="1" fillId="4" borderId="1" xfId="0" applyNumberFormat="1" applyFont="1" applyFill="1" applyBorder="1"/>
    <xf numFmtId="0" fontId="4" fillId="0" borderId="1" xfId="0" applyFont="1" applyFill="1" applyBorder="1"/>
    <xf numFmtId="0" fontId="4" fillId="0" borderId="0" xfId="0" applyFont="1" applyFill="1"/>
    <xf numFmtId="49" fontId="1" fillId="4" borderId="1" xfId="0" applyNumberFormat="1" applyFont="1" applyFill="1" applyBorder="1"/>
    <xf numFmtId="0" fontId="2" fillId="5" borderId="1" xfId="0" applyFont="1" applyFill="1" applyBorder="1" applyAlignment="1">
      <alignment horizontal="center" vertical="center" wrapText="1"/>
    </xf>
    <xf numFmtId="3" fontId="2" fillId="5" borderId="1" xfId="0" applyNumberFormat="1" applyFont="1" applyFill="1" applyBorder="1" applyAlignment="1">
      <alignment horizontal="right" vertical="center" wrapText="1"/>
    </xf>
    <xf numFmtId="164" fontId="2" fillId="5" borderId="1" xfId="0" applyNumberFormat="1" applyFont="1" applyFill="1" applyBorder="1" applyAlignment="1">
      <alignment horizontal="right" vertical="center" wrapText="1"/>
    </xf>
    <xf numFmtId="0" fontId="4" fillId="0" borderId="1" xfId="0" applyFont="1" applyFill="1" applyBorder="1" applyAlignment="1">
      <alignment horizontal="right"/>
    </xf>
    <xf numFmtId="4" fontId="2" fillId="5" borderId="1" xfId="0" applyNumberFormat="1" applyFont="1" applyFill="1" applyBorder="1" applyAlignment="1">
      <alignment horizontal="right" vertical="center" wrapText="1"/>
    </xf>
    <xf numFmtId="49" fontId="1" fillId="0" borderId="1" xfId="0" applyNumberFormat="1" applyFont="1" applyBorder="1" applyAlignment="1">
      <alignment vertical="top"/>
    </xf>
    <xf numFmtId="49" fontId="1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left" vertical="center" wrapText="1"/>
    </xf>
    <xf numFmtId="3" fontId="1" fillId="0" borderId="1" xfId="0" applyNumberFormat="1" applyFont="1" applyBorder="1" applyAlignment="1">
      <alignment horizontal="right" vertical="center"/>
    </xf>
    <xf numFmtId="4" fontId="1" fillId="0" borderId="1" xfId="0" applyNumberFormat="1" applyFont="1" applyBorder="1" applyAlignment="1">
      <alignment horizontal="right" vertical="center"/>
    </xf>
    <xf numFmtId="49" fontId="5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/>
    <xf numFmtId="165" fontId="1" fillId="0" borderId="1" xfId="0" applyNumberFormat="1" applyFont="1" applyBorder="1" applyAlignment="1">
      <alignment horizontal="right" vertical="center"/>
    </xf>
    <xf numFmtId="0" fontId="3" fillId="3" borderId="1" xfId="0" applyFont="1" applyFill="1" applyBorder="1" applyAlignment="1">
      <alignment horizontal="left" vertical="center" wrapText="1"/>
    </xf>
  </cellXfs>
  <cellStyles count="1">
    <cellStyle name="Normal" xfId="0" builtinId="0"/>
  </cellStyles>
  <dxfs count="18"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[$€-413]\ 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[$€-413]\ 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5" formatCode="[$€-413]\ #,##0.0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28"/>
        <color theme="1"/>
        <name val="Code 128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9"/>
        <name val="Calibri"/>
        <scheme val="minor"/>
      </font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1='http://tempuri.org/ReportDataObject.xsd'">
  <Schema ID="Schema1" Namespace="http://tempuri.org/ReportDataObject.xsd">
    <xs:schema xmlns:mstns="http://tempuri.org/ReportDataObject.xsd" xmlns="http://tempuri.org/ReportDataObject.xsd" xmlns:xs="http://www.w3.org/2001/XMLSchema" xmlns:msdata="urn:schemas-microsoft-com:xml-msdata" id="ReportDataObject" targetNamespace="http://tempuri.org/ReportDataObject.xsd" attributeFormDefault="qualified" elementFormDefault="qualified">
      <xs:element name="ReportDataObject" msdata:IsDataSet="true" msdata:UseCurrentLocale="true">
        <xs:complexType>
          <xs:sequence>
            <xs:element name="Report_StockList_View" minOccurs="0" maxOccurs="unbounded">
              <xs:complexType>
                <xs:sequence>
                  <xs:element name="WareHouseID" type="xs:int" minOccurs="0"/>
                  <xs:element name="WareHouseUD" minOccurs="0">
                    <xs:simpleType>
                      <xs:restriction base="xs:string">
                        <xs:maxLength value="10"/>
                      </xs:restriction>
                    </xs:simpleType>
                  </xs:element>
                  <xs:element name="ProductStatusNM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ea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Bar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ImageFile" minOccurs="0">
                    <xs:simpleType>
                      <xs:restriction base="xs:string">
                        <xs:maxLength value="50"/>
                      </xs:restriction>
                    </xs:simpleType>
                  </xs:element>
                  <xs:element name="ArticleCode" minOccurs="0">
                    <xs:simpleType>
                      <xs:restriction base="xs:string">
                        <xs:maxLength value="20"/>
                      </xs:restriction>
                    </xs:simpleType>
                  </xs:element>
                  <xs:element name="Description" minOccurs="0">
                    <xs:simpleType>
                      <xs:restriction base="xs:string">
                        <xs:maxLength value="500"/>
                      </xs:restriction>
                    </xs:simpleType>
                  </xs:element>
                  <xs:element name="LoadAbility40HC" msdata:ReadOnly="true" type="xs:int" minOccurs="0"/>
                  <xs:element name="UnitPrice" msdata:ReadOnly="true" type="xs:int" minOccurs="0"/>
                  <xs:element name="RemainingQnt" type="xs:int" minOccurs="0"/>
                  <xs:element name="RemainQnt40HC" msdata:ReadOnly="true" type="xs:decimal" minOccurs="0"/>
                  <xs:element name="RemainAmount" msdata:ReadOnly="true" type="xs:decimal" minOccurs="0"/>
                  <xs:element name="FreeToSaleQnt" type="xs:int" minOccurs="0"/>
                  <xs:element name="FreeToSaleQnt40HC" msdata:ReadOnly="true" type="xs:decimal" minOccurs="0"/>
                  <xs:element name="FTSAmount" msdata:ReadOnly="true" type="xs:decimal" minOccurs="0"/>
                </xs:sequence>
              </xs:complexType>
            </xs:element>
            <xs:element name="ReportHeader">
              <xs:complexType>
                <xs:sequence>
                  <xs:element name="WareHouseUD" type="xs:string" minOccurs="0"/>
                </xs:sequence>
              </xs:complexType>
            </xs:element>
          </xs:sequence>
        </xs:complexType>
      </xs:element>
    </xs:schema>
  </Schema>
  <Map ID="1" Name="ReportDataObject_Map" RootElement="ReportDataObject" SchemaID="Schema1" ShowImportExportValidationErrors="false" AutoFit="false" Append="false" PreserveSortAFLayout="false" PreserveFormat="false"/>
</MapInfo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xmlMaps" Target="xmlMap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6:O7" tableType="xml" insertRow="1" totalsRowShown="0" headerRowDxfId="17" dataDxfId="16" tableBorderDxfId="15">
  <autoFilter ref="A6:O7"/>
  <tableColumns count="15">
    <tableColumn id="1" uniqueName="ns1:WareHouseUD" name="ns1:WareHouseUD" dataDxfId="14">
      <xmlColumnPr mapId="1" xpath="/ns1:ReportDataObject/ns1:Report_StockList_View/ns1:WareHouseUD" xmlDataType="string"/>
    </tableColumn>
    <tableColumn id="2" uniqueName="ns1:ProductStatusNM" name="ns1:ProductStatusNM" dataDxfId="13">
      <xmlColumnPr mapId="1" xpath="/ns1:ReportDataObject/ns1:Report_StockList_View/ns1:ProductStatusNM" xmlDataType="string"/>
    </tableColumn>
    <tableColumn id="3" uniqueName="ns1:AreaCode" name="ns1:AreaCode" dataDxfId="12">
      <xmlColumnPr mapId="1" xpath="/ns1:ReportDataObject/ns1:Report_StockList_View/ns1:AreaCode" xmlDataType="string"/>
    </tableColumn>
    <tableColumn id="4" uniqueName="ns1:BarCode" name="ns1:BarCode" dataDxfId="11">
      <xmlColumnPr mapId="1" xpath="/ns1:ReportDataObject/ns1:Report_StockList_View/ns1:BarCode" xmlDataType="string"/>
    </tableColumn>
    <tableColumn id="5" uniqueName="ns1:ImageFile" name="ns1:ImageFile" dataDxfId="10">
      <xmlColumnPr mapId="1" xpath="/ns1:ReportDataObject/ns1:Report_StockList_View/ns1:ImageFile" xmlDataType="string"/>
    </tableColumn>
    <tableColumn id="6" uniqueName="ns1:ArticleCode" name="ns1:ArticleCode" dataDxfId="9">
      <xmlColumnPr mapId="1" xpath="/ns1:ReportDataObject/ns1:Report_StockList_View/ns1:ArticleCode" xmlDataType="string"/>
    </tableColumn>
    <tableColumn id="7" uniqueName="ns1:Description" name="ns1:Description" dataDxfId="8">
      <xmlColumnPr mapId="1" xpath="/ns1:ReportDataObject/ns1:Report_StockList_View/ns1:Description" xmlDataType="string"/>
    </tableColumn>
    <tableColumn id="8" uniqueName="ns1:LoadAbility40HC" name="ns1:LoadAbility40HC" dataDxfId="7">
      <xmlColumnPr mapId="1" xpath="/ns1:ReportDataObject/ns1:Report_StockList_View/ns1:LoadAbility40HC" xmlDataType="int"/>
    </tableColumn>
    <tableColumn id="9" uniqueName="ns1:UnitPrice" name="ns1:UnitPrice" dataDxfId="6">
      <xmlColumnPr mapId="1" xpath="/ns1:ReportDataObject/ns1:Report_StockList_View/ns1:UnitPrice" xmlDataType="int"/>
    </tableColumn>
    <tableColumn id="10" uniqueName="ns1:RemainingQnt" name="ns1:RemainingQnt" dataDxfId="5">
      <xmlColumnPr mapId="1" xpath="/ns1:ReportDataObject/ns1:Report_StockList_View/ns1:RemainingQnt" xmlDataType="int"/>
    </tableColumn>
    <tableColumn id="11" uniqueName="ns1:RemainQnt40HC" name="ns1:RemainQnt40HC" dataDxfId="4">
      <xmlColumnPr mapId="1" xpath="/ns1:ReportDataObject/ns1:Report_StockList_View/ns1:RemainQnt40HC" xmlDataType="decimal"/>
    </tableColumn>
    <tableColumn id="12" uniqueName="ns1:RemainAmount" name="ns1:RemainAmount" dataDxfId="3">
      <xmlColumnPr mapId="1" xpath="/ns1:ReportDataObject/ns1:Report_StockList_View/ns1:RemainAmount" xmlDataType="decimal"/>
    </tableColumn>
    <tableColumn id="13" uniqueName="ns1:FreeToSaleQnt" name="ns1:FreeToSaleQnt" dataDxfId="2">
      <xmlColumnPr mapId="1" xpath="/ns1:ReportDataObject/ns1:Report_StockList_View/ns1:FreeToSaleQnt" xmlDataType="int"/>
    </tableColumn>
    <tableColumn id="14" uniqueName="ns1:FreeToSaleQnt40HC" name="ns1:FreeToSaleQnt40HC" dataDxfId="1">
      <xmlColumnPr mapId="1" xpath="/ns1:ReportDataObject/ns1:Report_StockList_View/ns1:FreeToSaleQnt40HC" xmlDataType="decimal"/>
    </tableColumn>
    <tableColumn id="15" uniqueName="ns1:FTSAmount" name="ns1:FTSAmount" dataDxfId="0">
      <xmlColumnPr mapId="1" xpath="/ns1:ReportDataObject/ns1:Report_StockList_View/ns1:FTSAmount" xmlDataType="decimal"/>
    </tableColumn>
  </tableColumns>
  <tableStyleInfo showFirstColumn="0" showLastColumn="0" showRowStripes="1" showColumnStripes="0"/>
</table>
</file>

<file path=xl/tables/tableSingleCells1.xml><?xml version="1.0" encoding="utf-8"?>
<singleXmlCells xmlns="http://schemas.openxmlformats.org/spreadsheetml/2006/main">
  <singleXmlCell id="2" r="D2" connectionId="0">
    <xmlCellPr id="1" uniqueName="ns1:WareHouseUD">
      <xmlPr mapId="1" xpath="/ns1:ReportDataObject/ns1:ReportHeader/ns1:WareHouseUD" xmlDataType="string"/>
    </xmlCellPr>
  </singleXmlCell>
</singleXmlCel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tableSingleCells" Target="../tables/tableSingleCells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7"/>
  <sheetViews>
    <sheetView tabSelected="1" workbookViewId="0">
      <pane ySplit="6" topLeftCell="A7" activePane="bottomLeft" state="frozen"/>
      <selection pane="bottomLeft" activeCell="D2" sqref="D2"/>
    </sheetView>
  </sheetViews>
  <sheetFormatPr defaultRowHeight="15"/>
  <cols>
    <col min="1" max="1" width="6" customWidth="1"/>
    <col min="2" max="2" width="7.42578125" customWidth="1"/>
    <col min="3" max="3" width="9.28515625" customWidth="1"/>
    <col min="4" max="4" width="25.7109375" customWidth="1"/>
    <col min="5" max="5" width="19.7109375" customWidth="1"/>
    <col min="6" max="6" width="15.42578125" customWidth="1"/>
    <col min="7" max="7" width="31.85546875" customWidth="1"/>
    <col min="8" max="8" width="6.42578125" customWidth="1"/>
    <col min="9" max="9" width="8.5703125" customWidth="1"/>
    <col min="10" max="11" width="7.5703125" customWidth="1"/>
    <col min="12" max="12" width="12.85546875" customWidth="1"/>
    <col min="13" max="13" width="7.5703125" customWidth="1"/>
    <col min="14" max="14" width="8.5703125" customWidth="1"/>
    <col min="15" max="15" width="12.7109375" customWidth="1"/>
  </cols>
  <sheetData>
    <row r="1" spans="1:15">
      <c r="A1" s="22" t="s">
        <v>0</v>
      </c>
      <c r="B1" s="22"/>
      <c r="C1" s="3" t="s">
        <v>14</v>
      </c>
      <c r="D1" s="4">
        <f ca="1">NOW()</f>
        <v>42716.427843634257</v>
      </c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</row>
    <row r="2" spans="1:15">
      <c r="A2" s="22"/>
      <c r="B2" s="22"/>
      <c r="C2" s="3" t="s">
        <v>15</v>
      </c>
      <c r="D2" s="7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</row>
    <row r="3" spans="1:15" ht="36">
      <c r="A3" s="2" t="s">
        <v>1</v>
      </c>
      <c r="B3" s="2" t="s">
        <v>16</v>
      </c>
      <c r="C3" s="2" t="s">
        <v>17</v>
      </c>
      <c r="D3" s="2" t="s">
        <v>2</v>
      </c>
      <c r="E3" s="2" t="s">
        <v>3</v>
      </c>
      <c r="F3" s="2" t="s">
        <v>4</v>
      </c>
      <c r="G3" s="2" t="s">
        <v>5</v>
      </c>
      <c r="H3" s="2" t="s">
        <v>6</v>
      </c>
      <c r="I3" s="2" t="s">
        <v>7</v>
      </c>
      <c r="J3" s="2" t="s">
        <v>8</v>
      </c>
      <c r="K3" s="2" t="s">
        <v>9</v>
      </c>
      <c r="L3" s="2" t="s">
        <v>10</v>
      </c>
      <c r="M3" s="2" t="s">
        <v>11</v>
      </c>
      <c r="N3" s="2" t="s">
        <v>12</v>
      </c>
      <c r="O3" s="2" t="s">
        <v>13</v>
      </c>
    </row>
    <row r="4" spans="1:15">
      <c r="A4" s="8"/>
      <c r="B4" s="8"/>
      <c r="C4" s="8"/>
      <c r="D4" s="8"/>
      <c r="E4" s="8"/>
      <c r="F4" s="8"/>
      <c r="G4" s="8"/>
      <c r="H4" s="9" t="s">
        <v>33</v>
      </c>
      <c r="I4" s="10"/>
      <c r="J4" s="9">
        <f>SUM(Table1[ns1:RemainingQnt])</f>
        <v>0</v>
      </c>
      <c r="K4" s="12">
        <f>SUM(Table1[ns1:RemainQnt40HC])</f>
        <v>0</v>
      </c>
      <c r="L4" s="10">
        <f>SUM(Table1[ns1:RemainAmount])</f>
        <v>0</v>
      </c>
      <c r="M4" s="9">
        <f>SUM(Table1[ns1:FreeToSaleQnt])</f>
        <v>0</v>
      </c>
      <c r="N4" s="12">
        <f>SUM(Table1[ns1:FreeToSaleQnt40HC])</f>
        <v>0</v>
      </c>
      <c r="O4" s="10">
        <f>SUM(Table1[ns1:FTSAmount])</f>
        <v>0</v>
      </c>
    </row>
    <row r="5" spans="1:15">
      <c r="A5" s="8"/>
      <c r="B5" s="8"/>
      <c r="C5" s="8"/>
      <c r="D5" s="8"/>
      <c r="E5" s="8"/>
      <c r="F5" s="8"/>
      <c r="G5" s="8"/>
      <c r="H5" s="9"/>
      <c r="I5" s="10"/>
      <c r="J5" s="9">
        <f>SUBTOTAL(9,Table1[ns1:RemainingQnt])</f>
        <v>0</v>
      </c>
      <c r="K5" s="12">
        <f>SUBTOTAL(9,Table1[ns1:RemainQnt40HC])</f>
        <v>0</v>
      </c>
      <c r="L5" s="10">
        <f>SUBTOTAL(9,Table1[ns1:RemainAmount])</f>
        <v>0</v>
      </c>
      <c r="M5" s="9">
        <f>SUBTOTAL(9,Table1[ns1:FreeToSaleQnt])</f>
        <v>0</v>
      </c>
      <c r="N5" s="12">
        <f>SUBTOTAL(9,Table1[ns1:FreeToSaleQnt40HC])</f>
        <v>0</v>
      </c>
      <c r="O5" s="10">
        <f>SUBTOTAL(9,Table1[ns1:FTSAmount])</f>
        <v>0</v>
      </c>
    </row>
    <row r="6" spans="1:15" s="6" customFormat="1" ht="12">
      <c r="A6" s="5" t="s">
        <v>18</v>
      </c>
      <c r="B6" s="5" t="s">
        <v>19</v>
      </c>
      <c r="C6" s="5" t="s">
        <v>20</v>
      </c>
      <c r="D6" s="5" t="s">
        <v>21</v>
      </c>
      <c r="E6" s="5" t="s">
        <v>22</v>
      </c>
      <c r="F6" s="5" t="s">
        <v>23</v>
      </c>
      <c r="G6" s="5" t="s">
        <v>24</v>
      </c>
      <c r="H6" s="11" t="s">
        <v>25</v>
      </c>
      <c r="I6" s="11" t="s">
        <v>26</v>
      </c>
      <c r="J6" s="11" t="s">
        <v>27</v>
      </c>
      <c r="K6" s="11" t="s">
        <v>28</v>
      </c>
      <c r="L6" s="11" t="s">
        <v>29</v>
      </c>
      <c r="M6" s="11" t="s">
        <v>30</v>
      </c>
      <c r="N6" s="11" t="s">
        <v>31</v>
      </c>
      <c r="O6" s="11" t="s">
        <v>32</v>
      </c>
    </row>
    <row r="7" spans="1:15" s="1" customFormat="1" ht="14.25" customHeight="1">
      <c r="A7" s="14"/>
      <c r="B7" s="19"/>
      <c r="C7" s="14"/>
      <c r="D7" s="18"/>
      <c r="E7" s="13"/>
      <c r="F7" s="14"/>
      <c r="G7" s="15"/>
      <c r="H7" s="16"/>
      <c r="I7" s="21"/>
      <c r="J7" s="16"/>
      <c r="K7" s="17"/>
      <c r="L7" s="21"/>
      <c r="M7" s="16"/>
      <c r="N7" s="17"/>
      <c r="O7" s="21"/>
    </row>
  </sheetData>
  <mergeCells count="1">
    <mergeCell ref="A1:B2"/>
  </mergeCells>
  <printOptions horizontalCentered="1"/>
  <pageMargins left="0" right="0" top="0" bottom="0" header="0" footer="0"/>
  <pageSetup paperSize="9" scale="76" fitToHeight="2" orientation="landscape" r:id="rId1"/>
  <headerFooter>
    <oddHeader>Page &amp;P of &amp;N</oddHeader>
  </headerFooter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my.nguyen</dc:creator>
  <cp:lastModifiedBy>Quang</cp:lastModifiedBy>
  <cp:lastPrinted>2015-05-13T12:22:58Z</cp:lastPrinted>
  <dcterms:created xsi:type="dcterms:W3CDTF">2015-03-27T06:16:18Z</dcterms:created>
  <dcterms:modified xsi:type="dcterms:W3CDTF">2016-12-12T03:16:18Z</dcterms:modified>
</cp:coreProperties>
</file>