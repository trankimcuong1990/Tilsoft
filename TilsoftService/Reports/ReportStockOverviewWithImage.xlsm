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E:\TILSOFT\SOLUTION\TilsoftService\Reports\"/>
    </mc:Choice>
  </mc:AlternateContent>
  <bookViews>
    <workbookView xWindow="0" yWindow="0" windowWidth="15090" windowHeight="5355" tabRatio="871" activeTab="1"/>
  </bookViews>
  <sheets>
    <sheet name="StockOverview" sheetId="2" r:id="rId1"/>
    <sheet name="Reservation" sheetId="3" r:id="rId2"/>
    <sheet name="Client" sheetId="4" r:id="rId3"/>
    <sheet name="ReservationData" sheetId="5" r:id="rId4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5" i="2" l="1"/>
  <c r="J4" i="2"/>
  <c r="X5" i="2" l="1"/>
  <c r="X4" i="2"/>
  <c r="H7" i="2" l="1"/>
  <c r="K9" i="3" l="1"/>
  <c r="W7" i="2" l="1"/>
  <c r="X7" i="2" s="1"/>
  <c r="U7" i="2"/>
  <c r="W2" i="2" l="1"/>
  <c r="W1" i="2"/>
  <c r="U4" i="2"/>
  <c r="U5" i="2"/>
  <c r="W4" i="2"/>
  <c r="W5" i="2"/>
  <c r="V7" i="2"/>
  <c r="T7" i="2"/>
  <c r="R7" i="2"/>
  <c r="R4" i="2" s="1"/>
  <c r="Q1" i="2" s="1"/>
  <c r="P7" i="2"/>
  <c r="P5" i="2" s="1"/>
  <c r="O2" i="2" s="1"/>
  <c r="N7" i="2"/>
  <c r="N4" i="2" s="1"/>
  <c r="M1" i="2" s="1"/>
  <c r="V5" i="2" l="1"/>
  <c r="U2" i="2" s="1"/>
  <c r="V4" i="2"/>
  <c r="U1" i="2" s="1"/>
  <c r="T5" i="2"/>
  <c r="S2" i="2" s="1"/>
  <c r="T4" i="2"/>
  <c r="S1" i="2" s="1"/>
  <c r="R5" i="2"/>
  <c r="Q2" i="2" s="1"/>
  <c r="P4" i="2"/>
  <c r="O1" i="2" s="1"/>
  <c r="N5" i="2"/>
  <c r="M2" i="2" s="1"/>
  <c r="K7" i="3"/>
  <c r="J7" i="3"/>
  <c r="K6" i="3"/>
  <c r="J6" i="3"/>
  <c r="G1" i="3" l="1"/>
  <c r="G5" i="2" l="1"/>
  <c r="H5" i="2"/>
  <c r="M5" i="2"/>
  <c r="O5" i="2"/>
  <c r="Q5" i="2"/>
  <c r="S5" i="2"/>
  <c r="G4" i="2"/>
  <c r="H4" i="2"/>
  <c r="M4" i="2"/>
  <c r="O4" i="2"/>
  <c r="Q4" i="2"/>
  <c r="S4" i="2"/>
  <c r="D1" i="2"/>
</calcChain>
</file>

<file path=xl/sharedStrings.xml><?xml version="1.0" encoding="utf-8"?>
<sst xmlns="http://schemas.openxmlformats.org/spreadsheetml/2006/main" count="95" uniqueCount="67">
  <si>
    <t>Barcode</t>
  </si>
  <si>
    <t>Picture</t>
  </si>
  <si>
    <t>Art.Code</t>
  </si>
  <si>
    <t>Description</t>
  </si>
  <si>
    <t>Load 40HC</t>
  </si>
  <si>
    <t>Report date</t>
  </si>
  <si>
    <t>Pro Status</t>
  </si>
  <si>
    <t>ns1:ProductStatusNM</t>
  </si>
  <si>
    <t>ns1:BarCode</t>
  </si>
  <si>
    <t>ns1:ImageFile</t>
  </si>
  <si>
    <t>ns1:ArticleCode</t>
  </si>
  <si>
    <t>ns1:Description</t>
  </si>
  <si>
    <t>ns1:Qnt40HC</t>
  </si>
  <si>
    <t>ns1:PhysicalQnt</t>
  </si>
  <si>
    <t>ns1:PhysicalQntIn40HC</t>
  </si>
  <si>
    <t>ns1:OnSeaQnt</t>
  </si>
  <si>
    <t>ns1:TobeShippedQnt</t>
  </si>
  <si>
    <t>ns1:ReservationQnt</t>
  </si>
  <si>
    <t>ns1:FTSQnt</t>
  </si>
  <si>
    <t>Physical Qnt</t>
  </si>
  <si>
    <t>Physical Qnt In 40HC</t>
  </si>
  <si>
    <t>On Sea Qnt</t>
  </si>
  <si>
    <t>To Be Shipped Qnt</t>
  </si>
  <si>
    <t>Reservation Qnt</t>
  </si>
  <si>
    <t>ns1:ClientID</t>
  </si>
  <si>
    <t>ns1:ClientUD</t>
  </si>
  <si>
    <t>ns1:ClientNM</t>
  </si>
  <si>
    <t>ns1:KeyID</t>
  </si>
  <si>
    <t>ns1:ReservationQntIn40HC</t>
  </si>
  <si>
    <t xml:space="preserve">Qnt Reservation </t>
  </si>
  <si>
    <t>Reservation  40HC</t>
  </si>
  <si>
    <t>RESERVATION</t>
  </si>
  <si>
    <t>ProductStatusID</t>
  </si>
  <si>
    <t>ns1:ProductStatusID</t>
  </si>
  <si>
    <t>ns1:ProductID</t>
  </si>
  <si>
    <t>Total</t>
  </si>
  <si>
    <t>Sub Total</t>
  </si>
  <si>
    <t>Column1</t>
  </si>
  <si>
    <t>Column2</t>
  </si>
  <si>
    <t>Client Code</t>
  </si>
  <si>
    <t>Column3</t>
  </si>
  <si>
    <t>Column5</t>
  </si>
  <si>
    <t>Total Cont</t>
  </si>
  <si>
    <t>Sub Total Cont</t>
  </si>
  <si>
    <t>FTS Qnt Physical Stock</t>
  </si>
  <si>
    <t>Column6</t>
  </si>
  <si>
    <t>Column7</t>
  </si>
  <si>
    <t>Column62</t>
  </si>
  <si>
    <t>Column8</t>
  </si>
  <si>
    <t>FTS Qnt Physical Stock + OnSea + TBS</t>
  </si>
  <si>
    <t>FTS Qnt Physical Stock + OnSea</t>
  </si>
  <si>
    <t>GoodsID</t>
  </si>
  <si>
    <t>STOCK OVERVIEW</t>
  </si>
  <si>
    <t>Column4</t>
  </si>
  <si>
    <t>Column9</t>
  </si>
  <si>
    <t>Column10</t>
  </si>
  <si>
    <t>Column11</t>
  </si>
  <si>
    <t>STOCK</t>
  </si>
  <si>
    <t>USD RATE:</t>
  </si>
  <si>
    <t>Total Stock Value In EURO</t>
  </si>
  <si>
    <t>Stock Value In EURO</t>
  </si>
  <si>
    <t>Purchase FOB Price</t>
  </si>
  <si>
    <t>Transport 2500 EURO</t>
  </si>
  <si>
    <t>Column82</t>
  </si>
  <si>
    <t>Column83</t>
  </si>
  <si>
    <t>Product Type</t>
  </si>
  <si>
    <t>Sale Price In Euro ( Ex -Warehouse Tilburg)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</si>
</sst>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3" formatCode="_-* #,##0.00\ _₫_-;\-* #,##0.00\ _₫_-;_-* &quot;-&quot;??\ _₫_-;_-@_-"/>
    <numFmt numFmtId="164" formatCode="_-* #,##0\ _₫_-;\-* #,##0\ _₫_-;_-* &quot;-&quot;??\ _₫_-;_-@_-"/>
    <numFmt numFmtId="165" formatCode="_ [$€-413]\ * #,##0_ ;_ [$€-413]\ * \-#,##0_ ;_ [$€-413]\ * &quot;-&quot;_ ;_ @_ "/>
    <numFmt numFmtId="166" formatCode="_ [$€-413]\ * #,##0.00_ ;_ [$€-413]\ * \-#,##0.00_ ;_ [$€-413]\ * &quot;-&quot;??_ ;_ @_ "/>
    <numFmt numFmtId="167" formatCode="_-[$$-409]* #,##0.00_ ;_-[$$-409]* \-#,##0.00\ ;_-[$$-409]* &quot;-&quot;??_ ;_-@_ "/>
  </numFmts>
  <fonts count="12">
    <font>
      <sz val="11"/>
      <color theme="1"/>
      <name val="Calibri"/>
      <family val="2"/>
      <charset val="163"/>
      <scheme val="minor"/>
    </font>
    <font>
      <sz val="11"/>
      <color theme="0"/>
      <name val="Calibri"/>
      <family val="2"/>
      <charset val="163"/>
      <scheme val="minor"/>
    </font>
    <font>
      <i/>
      <sz val="9"/>
      <color theme="1"/>
      <name val="Calibri"/>
      <family val="2"/>
      <charset val="163"/>
      <scheme val="minor"/>
    </font>
    <font>
      <i/>
      <sz val="9"/>
      <color theme="1"/>
      <name val="Calibri"/>
      <family val="2"/>
      <scheme val="minor"/>
    </font>
    <font>
      <b/>
      <sz val="10"/>
      <color theme="1"/>
      <name val="Calibri"/>
      <family val="2"/>
      <charset val="163"/>
      <scheme val="minor"/>
    </font>
    <font>
      <b/>
      <sz val="15"/>
      <color rgb="FFFF0000"/>
      <name val="Calibri"/>
      <family val="2"/>
      <charset val="163"/>
      <scheme val="minor"/>
    </font>
    <font>
      <sz val="9"/>
      <color theme="1"/>
      <name val="Calibri"/>
      <family val="2"/>
      <charset val="163"/>
      <scheme val="minor"/>
    </font>
    <font>
      <b/>
      <sz val="12"/>
      <color theme="1"/>
      <name val="Calibri"/>
      <family val="2"/>
      <scheme val="minor"/>
    </font>
    <font>
      <sz val="11"/>
      <color theme="1"/>
      <name val="Calibri"/>
      <family val="2"/>
      <charset val="163"/>
      <scheme val="minor"/>
    </font>
    <font>
      <sz val="11"/>
      <color theme="0"/>
      <name val="Calibri"/>
      <family val="2"/>
      <charset val="163"/>
      <scheme val="minor"/>
    </font>
    <font>
      <sz val="25"/>
      <color theme="1"/>
      <name val="Code 128"/>
    </font>
    <font>
      <sz val="5"/>
      <color theme="1"/>
      <name val="Calibri"/>
      <family val="2"/>
      <charset val="163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C000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43" fontId="8" fillId="0" borderId="0" applyFont="0" applyFill="0" applyBorder="0" applyAlignment="0" applyProtection="0"/>
  </cellStyleXfs>
  <cellXfs count="79">
    <xf numFmtId="0" fontId="0" fillId="0" borderId="0" xfId="0"/>
    <xf numFmtId="14" fontId="3" fillId="0" borderId="0" xfId="0" applyNumberFormat="1" applyFont="1" applyAlignment="1">
      <alignment horizontal="center" vertical="center" wrapText="1"/>
    </xf>
    <xf numFmtId="0" fontId="4" fillId="2" borderId="1" xfId="0" applyFont="1" applyFill="1" applyBorder="1" applyAlignment="1">
      <alignment horizontal="center" vertical="center" wrapText="1"/>
    </xf>
    <xf numFmtId="0" fontId="4" fillId="2" borderId="1" xfId="0" applyFont="1" applyFill="1" applyBorder="1" applyAlignment="1">
      <alignment horizontal="left" vertical="center" wrapText="1"/>
    </xf>
    <xf numFmtId="0" fontId="5" fillId="0" borderId="0" xfId="0" applyFont="1"/>
    <xf numFmtId="0" fontId="2" fillId="0" borderId="0" xfId="0" applyFont="1" applyAlignment="1">
      <alignment vertical="center"/>
    </xf>
    <xf numFmtId="49" fontId="0" fillId="0" borderId="0" xfId="0" applyNumberFormat="1"/>
    <xf numFmtId="0" fontId="6" fillId="0" borderId="0" xfId="0" applyFont="1" applyAlignment="1">
      <alignment horizontal="center" vertical="center"/>
    </xf>
    <xf numFmtId="0" fontId="0" fillId="0" borderId="1" xfId="0" applyBorder="1"/>
    <xf numFmtId="49" fontId="0" fillId="0" borderId="1" xfId="0" applyNumberFormat="1" applyBorder="1"/>
    <xf numFmtId="0" fontId="4" fillId="4" borderId="1" xfId="0" applyFont="1" applyFill="1" applyBorder="1" applyAlignment="1">
      <alignment horizontal="center" vertical="center" wrapText="1"/>
    </xf>
    <xf numFmtId="0" fontId="1" fillId="0" borderId="1" xfId="0" applyFont="1" applyBorder="1"/>
    <xf numFmtId="0" fontId="4" fillId="6" borderId="1" xfId="0" applyFont="1" applyFill="1" applyBorder="1" applyAlignment="1">
      <alignment horizontal="center" vertical="center" wrapText="1"/>
    </xf>
    <xf numFmtId="0" fontId="0" fillId="6" borderId="1" xfId="0" applyFill="1" applyBorder="1"/>
    <xf numFmtId="4" fontId="4" fillId="6" borderId="1" xfId="0" applyNumberFormat="1" applyFont="1" applyFill="1" applyBorder="1" applyAlignment="1">
      <alignment horizontal="right" vertical="center" wrapText="1"/>
    </xf>
    <xf numFmtId="3" fontId="4" fillId="6" borderId="1" xfId="0" applyNumberFormat="1" applyFont="1" applyFill="1" applyBorder="1" applyAlignment="1">
      <alignment horizontal="right" vertical="center" wrapText="1"/>
    </xf>
    <xf numFmtId="0" fontId="1" fillId="0" borderId="1" xfId="0" applyFont="1" applyBorder="1" applyAlignment="1">
      <alignment horizontal="right"/>
    </xf>
    <xf numFmtId="43" fontId="0" fillId="0" borderId="0" xfId="1" applyFont="1"/>
    <xf numFmtId="43" fontId="4" fillId="2" borderId="1" xfId="1" applyFont="1" applyFill="1" applyBorder="1" applyAlignment="1">
      <alignment horizontal="center" vertical="center" wrapText="1"/>
    </xf>
    <xf numFmtId="164" fontId="0" fillId="0" borderId="0" xfId="1" applyNumberFormat="1" applyFont="1"/>
    <xf numFmtId="0" fontId="4" fillId="3" borderId="1" xfId="0" applyFont="1" applyFill="1" applyBorder="1" applyAlignment="1">
      <alignment horizontal="center" vertical="center" wrapText="1"/>
    </xf>
    <xf numFmtId="0" fontId="4" fillId="3" borderId="1" xfId="0" applyFont="1" applyFill="1" applyBorder="1" applyAlignment="1">
      <alignment horizontal="left" vertical="center" wrapText="1"/>
    </xf>
    <xf numFmtId="43" fontId="4" fillId="3" borderId="1" xfId="1" applyFont="1" applyFill="1" applyBorder="1" applyAlignment="1">
      <alignment horizontal="right" vertical="center" wrapText="1"/>
    </xf>
    <xf numFmtId="164" fontId="4" fillId="7" borderId="1" xfId="1" applyNumberFormat="1" applyFont="1" applyFill="1" applyBorder="1"/>
    <xf numFmtId="43" fontId="4" fillId="7" borderId="1" xfId="1" applyFont="1" applyFill="1" applyBorder="1"/>
    <xf numFmtId="0" fontId="4" fillId="7" borderId="1" xfId="0" applyFont="1" applyFill="1" applyBorder="1"/>
    <xf numFmtId="4" fontId="4" fillId="7" borderId="1" xfId="0" applyNumberFormat="1" applyFont="1" applyFill="1" applyBorder="1"/>
    <xf numFmtId="0" fontId="4" fillId="8" borderId="1" xfId="0" applyFont="1" applyFill="1" applyBorder="1" applyAlignment="1">
      <alignment horizontal="center" vertical="center" wrapText="1"/>
    </xf>
    <xf numFmtId="0" fontId="0" fillId="8" borderId="1" xfId="0" applyFill="1" applyBorder="1" applyAlignment="1">
      <alignment horizontal="right" vertical="center"/>
    </xf>
    <xf numFmtId="0" fontId="0" fillId="8" borderId="1" xfId="0" applyFill="1" applyBorder="1" applyAlignment="1">
      <alignment horizontal="center" vertical="center"/>
    </xf>
    <xf numFmtId="3" fontId="4" fillId="2" borderId="1" xfId="1" applyNumberFormat="1" applyFont="1" applyFill="1" applyBorder="1" applyAlignment="1">
      <alignment horizontal="center" vertical="center" wrapText="1"/>
    </xf>
    <xf numFmtId="3" fontId="4" fillId="3" borderId="1" xfId="1" applyNumberFormat="1" applyFont="1" applyFill="1" applyBorder="1" applyAlignment="1">
      <alignment horizontal="right" vertical="center" wrapText="1"/>
    </xf>
    <xf numFmtId="4" fontId="4" fillId="7" borderId="1" xfId="1" applyNumberFormat="1" applyFont="1" applyFill="1" applyBorder="1"/>
    <xf numFmtId="4" fontId="4" fillId="2" borderId="1" xfId="1" applyNumberFormat="1" applyFont="1" applyFill="1" applyBorder="1" applyAlignment="1">
      <alignment horizontal="center" vertical="center" wrapText="1"/>
    </xf>
    <xf numFmtId="4" fontId="4" fillId="3" borderId="1" xfId="1" applyNumberFormat="1" applyFont="1" applyFill="1" applyBorder="1" applyAlignment="1">
      <alignment horizontal="right" vertical="center" wrapText="1"/>
    </xf>
    <xf numFmtId="4" fontId="0" fillId="0" borderId="0" xfId="1" applyNumberFormat="1" applyFont="1"/>
    <xf numFmtId="4" fontId="4" fillId="7" borderId="3" xfId="1" applyNumberFormat="1" applyFont="1" applyFill="1" applyBorder="1"/>
    <xf numFmtId="43" fontId="4" fillId="7" borderId="3" xfId="1" applyFont="1" applyFill="1" applyBorder="1"/>
    <xf numFmtId="0" fontId="0" fillId="0" borderId="0" xfId="0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49" fontId="10" fillId="0" borderId="1" xfId="0" applyNumberFormat="1" applyFont="1" applyBorder="1" applyAlignment="1">
      <alignment horizontal="center" vertical="center"/>
    </xf>
    <xf numFmtId="49" fontId="0" fillId="0" borderId="1" xfId="0" applyNumberFormat="1" applyBorder="1" applyAlignment="1">
      <alignment horizontal="left" vertical="center"/>
    </xf>
    <xf numFmtId="0" fontId="0" fillId="0" borderId="1" xfId="0" applyBorder="1" applyAlignment="1">
      <alignment horizontal="right" vertical="center"/>
    </xf>
    <xf numFmtId="3" fontId="0" fillId="0" borderId="1" xfId="0" applyNumberFormat="1" applyBorder="1" applyAlignment="1">
      <alignment horizontal="right" vertical="center"/>
    </xf>
    <xf numFmtId="4" fontId="0" fillId="0" borderId="1" xfId="0" applyNumberFormat="1" applyBorder="1" applyAlignment="1">
      <alignment horizontal="right" vertical="center"/>
    </xf>
    <xf numFmtId="49" fontId="0" fillId="0" borderId="1" xfId="0" applyNumberFormat="1" applyBorder="1" applyAlignment="1">
      <alignment horizontal="left" vertical="center" wrapText="1"/>
    </xf>
    <xf numFmtId="4" fontId="4" fillId="7" borderId="3" xfId="1" applyNumberFormat="1" applyFont="1" applyFill="1" applyBorder="1" applyAlignment="1">
      <alignment horizontal="center" vertical="center"/>
    </xf>
    <xf numFmtId="164" fontId="4" fillId="7" borderId="3" xfId="1" applyNumberFormat="1" applyFont="1" applyFill="1" applyBorder="1" applyAlignment="1">
      <alignment horizontal="left" vertical="center"/>
    </xf>
    <xf numFmtId="165" fontId="4" fillId="7" borderId="3" xfId="1" applyNumberFormat="1" applyFont="1" applyFill="1" applyBorder="1" applyAlignment="1">
      <alignment horizontal="left" vertical="center"/>
    </xf>
    <xf numFmtId="0" fontId="1" fillId="0" borderId="11" xfId="0" applyFont="1" applyBorder="1"/>
    <xf numFmtId="0" fontId="1" fillId="0" borderId="10" xfId="0" applyFont="1" applyBorder="1"/>
    <xf numFmtId="0" fontId="1" fillId="0" borderId="11" xfId="0" applyFont="1" applyBorder="1" applyAlignment="1">
      <alignment horizontal="center" vertical="center"/>
    </xf>
    <xf numFmtId="3" fontId="1" fillId="0" borderId="11" xfId="1" applyNumberFormat="1" applyFont="1" applyBorder="1"/>
    <xf numFmtId="4" fontId="1" fillId="0" borderId="11" xfId="1" applyNumberFormat="1" applyFont="1" applyBorder="1"/>
    <xf numFmtId="43" fontId="1" fillId="0" borderId="11" xfId="1" applyFont="1" applyBorder="1"/>
    <xf numFmtId="0" fontId="9" fillId="0" borderId="11" xfId="0" applyFont="1" applyBorder="1"/>
    <xf numFmtId="0" fontId="1" fillId="0" borderId="8" xfId="0" applyFont="1" applyBorder="1"/>
    <xf numFmtId="49" fontId="0" fillId="0" borderId="9" xfId="0" applyNumberFormat="1" applyBorder="1" applyAlignment="1">
      <alignment horizontal="center" vertical="center"/>
    </xf>
    <xf numFmtId="49" fontId="10" fillId="0" borderId="3" xfId="0" applyNumberFormat="1" applyFont="1" applyBorder="1" applyAlignment="1">
      <alignment horizontal="center" vertical="center"/>
    </xf>
    <xf numFmtId="49" fontId="0" fillId="0" borderId="3" xfId="0" applyNumberFormat="1" applyBorder="1" applyAlignment="1">
      <alignment horizontal="left" vertical="center"/>
    </xf>
    <xf numFmtId="49" fontId="0" fillId="0" borderId="3" xfId="0" applyNumberFormat="1" applyBorder="1" applyAlignment="1">
      <alignment horizontal="left" vertical="center" wrapText="1"/>
    </xf>
    <xf numFmtId="3" fontId="0" fillId="0" borderId="3" xfId="1" applyNumberFormat="1" applyFont="1" applyBorder="1" applyAlignment="1">
      <alignment horizontal="right" vertical="center"/>
    </xf>
    <xf numFmtId="4" fontId="0" fillId="0" borderId="3" xfId="1" applyNumberFormat="1" applyFont="1" applyBorder="1" applyAlignment="1">
      <alignment horizontal="right" vertical="center"/>
    </xf>
    <xf numFmtId="166" fontId="0" fillId="0" borderId="3" xfId="1" applyNumberFormat="1" applyFont="1" applyBorder="1" applyAlignment="1">
      <alignment horizontal="right" vertical="center"/>
    </xf>
    <xf numFmtId="167" fontId="0" fillId="0" borderId="3" xfId="1" applyNumberFormat="1" applyFont="1" applyBorder="1" applyAlignment="1">
      <alignment horizontal="right" vertical="center"/>
    </xf>
    <xf numFmtId="43" fontId="0" fillId="0" borderId="3" xfId="1" applyFont="1" applyBorder="1" applyAlignment="1">
      <alignment horizontal="right" vertical="center"/>
    </xf>
    <xf numFmtId="43" fontId="0" fillId="0" borderId="3" xfId="1" applyFont="1" applyBorder="1"/>
    <xf numFmtId="166" fontId="0" fillId="0" borderId="3" xfId="0" applyNumberFormat="1" applyBorder="1" applyAlignment="1">
      <alignment horizontal="right" vertical="center"/>
    </xf>
    <xf numFmtId="49" fontId="0" fillId="0" borderId="7" xfId="0" applyNumberFormat="1" applyBorder="1" applyAlignment="1">
      <alignment horizontal="center" vertical="center"/>
    </xf>
    <xf numFmtId="0" fontId="4" fillId="6" borderId="1" xfId="0" applyFont="1" applyFill="1" applyBorder="1" applyAlignment="1">
      <alignment horizontal="right" vertical="center" wrapText="1"/>
    </xf>
    <xf numFmtId="49" fontId="11" fillId="0" borderId="3" xfId="0" applyNumberFormat="1" applyFont="1" applyBorder="1" applyAlignment="1">
      <alignment horizontal="center" vertical="center"/>
    </xf>
    <xf numFmtId="49" fontId="11" fillId="0" borderId="1" xfId="0" applyNumberFormat="1" applyFont="1" applyBorder="1" applyAlignment="1">
      <alignment horizontal="center" vertical="center"/>
    </xf>
    <xf numFmtId="166" fontId="4" fillId="3" borderId="1" xfId="1" applyNumberFormat="1" applyFont="1" applyFill="1" applyBorder="1" applyAlignment="1">
      <alignment horizontal="right" vertical="center"/>
    </xf>
    <xf numFmtId="4" fontId="4" fillId="7" borderId="4" xfId="1" applyNumberFormat="1" applyFont="1" applyFill="1" applyBorder="1" applyAlignment="1">
      <alignment horizontal="center"/>
    </xf>
    <xf numFmtId="4" fontId="4" fillId="7" borderId="5" xfId="1" applyNumberFormat="1" applyFont="1" applyFill="1" applyBorder="1" applyAlignment="1">
      <alignment horizontal="center"/>
    </xf>
    <xf numFmtId="4" fontId="4" fillId="7" borderId="6" xfId="1" applyNumberFormat="1" applyFont="1" applyFill="1" applyBorder="1" applyAlignment="1">
      <alignment horizontal="center"/>
    </xf>
    <xf numFmtId="0" fontId="7" fillId="5" borderId="2" xfId="0" applyFont="1" applyFill="1" applyBorder="1" applyAlignment="1">
      <alignment horizontal="center" vertical="center" wrapText="1"/>
    </xf>
    <xf numFmtId="0" fontId="7" fillId="5" borderId="0" xfId="0" applyFont="1" applyFill="1" applyBorder="1" applyAlignment="1">
      <alignment horizontal="center" vertical="center" wrapText="1"/>
    </xf>
  </cellXfs>
  <cellStyles count="2">
    <cellStyle name="Comma" xfId="1" builtinId="3"/>
    <cellStyle name="Normal" xfId="0" builtinId="0"/>
  </cellStyles>
  <dxfs count="75">
    <dxf>
      <numFmt numFmtId="30" formatCode="@"/>
    </dxf>
    <dxf>
      <numFmt numFmtId="3" formatCode="#,##0"/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" formatCode="#,##0"/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4" formatCode="#,##0.00"/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" formatCode="#,##0"/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5"/>
        <color theme="1"/>
        <name val="Arial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5"/>
        <color theme="1"/>
        <name val="Code 128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0"/>
        <name val="Arial"/>
        <scheme val="minor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166" formatCode="_ [$€-413]\ * #,##0.00_ ;_ [$€-413]\ * \-#,##0.00_ ;_ [$€-413]\ * &quot;-&quot;??_ ;_ @_ "/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5" formatCode="_-* #,##0.00\ _₫_-;\-* #,##0.00\ _₫_-;_-* &quot;-&quot;??\ _₫_-;_-@_-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3" formatCode="#,##0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3" formatCode="#,##0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minor"/>
      </font>
      <numFmt numFmtId="0" formatCode="General"/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minor"/>
      </font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3" formatCode="#,##0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minor"/>
      </font>
      <numFmt numFmtId="0" formatCode="General"/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minor"/>
      </font>
      <numFmt numFmtId="3" formatCode="#,##0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3" formatCode="#,##0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minor"/>
      </font>
      <numFmt numFmtId="0" formatCode="General"/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minor"/>
      </font>
      <numFmt numFmtId="3" formatCode="#,##0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3" formatCode="#,##0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minor"/>
      </font>
      <numFmt numFmtId="0" formatCode="General"/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minor"/>
      </font>
      <numFmt numFmtId="3" formatCode="#,##0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3" formatCode="#,##0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minor"/>
      </font>
      <numFmt numFmtId="166" formatCode="_ [$€-413]\ * #,##0.00_ ;_ [$€-413]\ * \-#,##0.00_ ;_ [$€-413]\ * &quot;-&quot;??_ ;_ @_ 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minor"/>
      </font>
      <numFmt numFmtId="167" formatCode="_-[$$-409]* #,##0.00_ ;_-[$$-409]* \-#,##0.00\ ;_-[$$-409]* &quot;-&quot;??_ ;_-@_ 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minor"/>
      </font>
      <numFmt numFmtId="166" formatCode="_ [$€-413]\ * #,##0.00_ ;_ [$€-413]\ * \-#,##0.00_ ;_ [$€-413]\ * &quot;-&quot;??_ ;_ @_ 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minor"/>
      </font>
      <numFmt numFmtId="166" formatCode="_ [$€-413]\ * #,##0.00_ ;_ [$€-413]\ * \-#,##0.00_ ;_ [$€-413]\ * &quot;-&quot;??_ ;_ @_ 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4" formatCode="#,##0.00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3" formatCode="#,##0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3" formatCode="#,##0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5"/>
        <color theme="1"/>
        <name val="Arial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5"/>
        <color theme="1"/>
        <name val="Code 128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25"/>
        <color theme="1"/>
        <name val="Code 128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0"/>
        <name val="Arial"/>
        <scheme val="minor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xmlns:ns1='http://tempuri.org/ReportDataObject.xsd'">
  <Schema ID="Schema2" Namespace="http://tempuri.org/ReportDataObject.xsd">
    <xs:schema xmlns:mstns="http://tempuri.org/ReportDataObject.xsd" xmlns="http://tempuri.org/ReportDataObject.xsd" xmlns:xs="http://www.w3.org/2001/XMLSchema" xmlns:msdata="urn:schemas-microsoft-com:xml-msdata" id="ReportDataObject" targetNamespace="http://tempuri.org/ReportDataObject.xsd" attributeFormDefault="qualified" elementFormDefault="qualified">
      <xs:element name="ReportDataObject" msdata:IsDataSet="true" msdata:UseCurrentLocale="true">
        <xs:complexType>
          <xs:sequence>
            <xs:element name="ReportMng_StockOverview_View" minOccurs="0" maxOccurs="unbounded">
              <xs:complexType>
                <xs:sequence>
                  <xs:element name="ProductStatusNM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BarCode" msdata:ReadOnly="true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ImageFile" msdata:ReadOnly="true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ArticleCode" minOccurs="0">
                    <xs:simpleType>
                      <xs:restriction base="xs:string">
                        <xs:maxLength value="20"/>
                      </xs:restriction>
                    </xs:simpleType>
                  </xs:element>
                  <xs:element name="Description" minOccurs="0">
                    <xs:simpleType>
                      <xs:restriction base="xs:string">
                        <xs:maxLength value="500"/>
                      </xs:restriction>
                    </xs:simpleType>
                  </xs:element>
                  <xs:element name="Qnt40HC" type="xs:int" minOccurs="0"/>
                  <xs:element name="PhysicalQnt" msdata:ReadOnly="true" type="xs:int" minOccurs="0"/>
                  <xs:element name="PhysicalQntIn40HC" msdata:ReadOnly="true" type="xs:decimal" minOccurs="0"/>
                  <xs:element name="StockValueInEuro" msdata:ReadOnly="true" type="xs:decimal" minOccurs="0"/>
                  <xs:element name="TotalStockValueInEuro" msdata:ReadOnly="true" type="xs:decimal" minOccurs="0"/>
                  <xs:element name="PurchaseFobPrice" msdata:ReadOnly="true" type="xs:decimal" minOccurs="0"/>
                  <xs:element name="TransportPerItem" msdata:ReadOnly="true" type="xs:decimal" minOccurs="0"/>
                  <xs:element name="OnSeaQnt" type="xs:int" minOccurs="0"/>
                  <xs:element name="TobeShippedQnt" msdata:ReadOnly="true" type="xs:decimal" minOccurs="0"/>
                  <xs:element name="ReservationQnt" type="xs:int" minOccurs="0"/>
                  <xs:element name="FTSQnt" msdata:ReadOnly="true" type="xs:decimal" minOccurs="0"/>
                  <xs:element name="SalePrice" msdata:ReadOnly="true" type="xs:decimal" minOccurs="0"/>
                  <xs:element name="ProductType" msdata:ReadOnly="true" type="xs:string" minOccurs="0"/>
                </xs:sequence>
              </xs:complexType>
            </xs:element>
            <xs:element name="ReportMng_StockReservationProduct_View" minOccurs="0" maxOccurs="unbounded">
              <xs:complexType>
                <xs:sequence>
                  <xs:element name="ProductStatusID" type="xs:int" minOccurs="0"/>
                  <xs:element name="GoodsID" type="xs:int" minOccurs="0"/>
                  <xs:element name="ProductType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ProductStatusNM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BarCode" msdata:ReadOnly="true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ImageFile" msdata:ReadOnly="true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ArticleCode" minOccurs="0">
                    <xs:simpleType>
                      <xs:restriction base="xs:string">
                        <xs:maxLength value="20"/>
                      </xs:restriction>
                    </xs:simpleType>
                  </xs:element>
                  <xs:element name="Description" minOccurs="0">
                    <xs:simpleType>
                      <xs:restriction base="xs:string">
                        <xs:maxLength value="500"/>
                      </xs:restriction>
                    </xs:simpleType>
                  </xs:element>
                  <xs:element name="Qnt40HC" type="xs:int" minOccurs="0"/>
                  <xs:element name="ReservationQnt" msdata:ReadOnly="true" type="xs:int" minOccurs="0"/>
                  <xs:element name="ReservationQntIn40HC" msdata:ReadOnly="true" type="xs:decimal" minOccurs="0"/>
                </xs:sequence>
              </xs:complexType>
            </xs:element>
            <xs:element name="ReportMng_StockClient_View" minOccurs="0" maxOccurs="unbounded">
              <xs:complexType>
                <xs:sequence>
                  <xs:element name="ClientID" type="xs:int" minOccurs="0"/>
                  <xs:element name="ClientUD" minOccurs="0">
                    <xs:simpleType>
                      <xs:restriction base="xs:string">
                        <xs:maxLength value="8"/>
                      </xs:restriction>
                    </xs:simpleType>
                  </xs:element>
                  <xs:element name="ClientNM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</xs:sequence>
              </xs:complexType>
            </xs:element>
            <xs:element name="ReportMng_StockReservation_View" minOccurs="0" maxOccurs="unbounded">
              <xs:complexType>
                <xs:sequence>
                  <xs:element name="KeyID" msdata:ReadOnly="true" minOccurs="0">
                    <xs:simpleType>
                      <xs:restriction base="xs:string">
                        <xs:maxLength value="92"/>
                      </xs:restriction>
                    </xs:simpleType>
                  </xs:element>
                  <xs:element name="ProductStatusNM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BarCode" msdata:ReadOnly="true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ImageFile" msdata:ReadOnly="true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ArticleCode" minOccurs="0">
                    <xs:simpleType>
                      <xs:restriction base="xs:string">
                        <xs:maxLength value="20"/>
                      </xs:restriction>
                    </xs:simpleType>
                  </xs:element>
                  <xs:element name="Description" minOccurs="0">
                    <xs:simpleType>
                      <xs:restriction base="xs:string">
                        <xs:maxLength value="500"/>
                      </xs:restriction>
                    </xs:simpleType>
                  </xs:element>
                  <xs:element name="Qnt40HC" type="xs:int" minOccurs="0"/>
                  <xs:element name="ReservationQnt" msdata:ReadOnly="true" type="xs:int" minOccurs="0"/>
                  <xs:element name="ReservationQntIn40HC" msdata:ReadOnly="true" type="xs:decimal" minOccurs="0"/>
                </xs:sequence>
              </xs:complexType>
            </xs:element>
            <xs:element name="ReportMng_ImportedOverview_View" minOccurs="0" maxOccurs="unbounded">
              <xs:complexType>
                <xs:sequence>
                  <xs:element name="ReceiptNo" minOccurs="0">
                    <xs:simpleType>
                      <xs:restriction base="xs:string">
                        <xs:maxLength value="20"/>
                      </xs:restriction>
                    </xs:simpleType>
                  </xs:element>
                  <xs:element name="IsConfirmed" msdata:ReadOnly="true" minOccurs="0">
                    <xs:simpleType>
                      <xs:restriction base="xs:string">
                        <xs:maxLength value="3"/>
                      </xs:restriction>
                    </xs:simpleType>
                  </xs:element>
                  <xs:element name="ImportedDate" msdata:ReadOnly="true" minOccurs="0">
                    <xs:simpleType>
                      <xs:restriction base="xs:string">
                        <xs:maxLength value="8000"/>
                      </xs:restriction>
                    </xs:simpleType>
                  </xs:element>
                  <xs:element name="ArticleCode" minOccurs="0">
                    <xs:simpleType>
                      <xs:restriction base="xs:string">
                        <xs:maxLength value="21"/>
                      </xs:restriction>
                    </xs:simpleType>
                  </xs:element>
                  <xs:element name="Description" minOccurs="0">
                    <xs:simpleType>
                      <xs:restriction base="xs:string">
                        <xs:maxLength value="500"/>
                      </xs:restriction>
                    </xs:simpleType>
                  </xs:element>
                  <xs:element name="Quantity" type="xs:int" minOccurs="0"/>
                  <xs:element name="UnitPrice" type="xs:decimal" minOccurs="0"/>
                  <xs:element name="ProductStatusNM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OfferUD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ProformaInvoiceNo" minOccurs="0">
                    <xs:simpleType>
                      <xs:restriction base="xs:string">
                        <xs:maxLength value="20"/>
                      </xs:restriction>
                    </xs:simpleType>
                  </xs:element>
                  <xs:element name="OrderType" minOccurs="0">
                    <xs:simpleType>
                      <xs:restriction base="xs:string">
                        <xs:maxLength value="20"/>
                      </xs:restriction>
                    </xs:simpleType>
                  </xs:element>
                  <xs:element name="ClientUD" minOccurs="0">
                    <xs:simpleType>
                      <xs:restriction base="xs:string">
                        <xs:maxLength value="8"/>
                      </xs:restriction>
                    </xs:simpleType>
                  </xs:element>
                  <xs:element name="ClientNM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</xs:sequence>
              </xs:complexType>
            </xs:element>
            <xs:element name="ReportMng_OrderOverview_View" minOccurs="0" maxOccurs="unbounded">
              <xs:complexType>
                <xs:sequence>
                  <xs:element name="OfferUD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ClientUD" minOccurs="0">
                    <xs:simpleType>
                      <xs:restriction base="xs:string">
                        <xs:maxLength value="8"/>
                      </xs:restriction>
                    </xs:simpleType>
                  </xs:element>
                  <xs:element name="ClientNM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ProformaInvoiceNo" minOccurs="0">
                    <xs:simpleType>
                      <xs:restriction base="xs:string">
                        <xs:maxLength value="20"/>
                      </xs:restriction>
                    </xs:simpleType>
                  </xs:element>
                  <xs:element name="OrderType" minOccurs="0">
                    <xs:simpleType>
                      <xs:restriction base="xs:string">
                        <xs:maxLength value="20"/>
                      </xs:restriction>
                    </xs:simpleType>
                  </xs:element>
                  <xs:element name="ArticleCode" minOccurs="0">
                    <xs:simpleType>
                      <xs:restriction base="xs:string">
                        <xs:maxLength value="21"/>
                      </xs:restriction>
                    </xs:simpleType>
                  </xs:element>
                  <xs:element name="Description" minOccurs="0">
                    <xs:simpleType>
                      <xs:restriction base="xs:string">
                        <xs:maxLength value="500"/>
                      </xs:restriction>
                    </xs:simpleType>
                  </xs:element>
                  <xs:element name="OrderQnt" type="xs:int" minOccurs="0"/>
                  <xs:element name="UnitPrice" type="xs:decimal" minOccurs="0"/>
                  <xs:element name="OrderQntIn40HC" msdata:ReadOnly="true" type="xs:decimal" minOccurs="0"/>
                  <xs:element name="PaymentTermNM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DeliveryTermNM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Season" minOccurs="0">
                    <xs:simpleType>
                      <xs:restriction base="xs:string">
                        <xs:maxLength value="9"/>
                      </xs:restriction>
                    </xs:simpleType>
                  </xs:element>
                </xs:sequence>
              </xs:complexType>
            </xs:element>
            <xs:element name="ReportMng_ReservationOverview_View" minOccurs="0" maxOccurs="unbounded">
              <xs:complexType>
                <xs:sequence>
                  <xs:element name="ReceiptNo" minOccurs="0">
                    <xs:simpleType>
                      <xs:restriction base="xs:string">
                        <xs:maxLength value="20"/>
                      </xs:restriction>
                    </xs:simpleType>
                  </xs:element>
                  <xs:element name="ProcessingStatusNM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ReservedDate" msdata:ReadOnly="true" minOccurs="0">
                    <xs:simpleType>
                      <xs:restriction base="xs:string">
                        <xs:maxLength value="8000"/>
                      </xs:restriction>
                    </xs:simpleType>
                  </xs:element>
                  <xs:element name="OfferUD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ClientUD" minOccurs="0">
                    <xs:simpleType>
                      <xs:restriction base="xs:string">
                        <xs:maxLength value="8"/>
                      </xs:restriction>
                    </xs:simpleType>
                  </xs:element>
                  <xs:element name="ClientNM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ProformaInvoiceNo" minOccurs="0">
                    <xs:simpleType>
                      <xs:restriction base="xs:string">
                        <xs:maxLength value="20"/>
                      </xs:restriction>
                    </xs:simpleType>
                  </xs:element>
                  <xs:element name="OrderType" minOccurs="0">
                    <xs:simpleType>
                      <xs:restriction base="xs:string">
                        <xs:maxLength value="20"/>
                      </xs:restriction>
                    </xs:simpleType>
                  </xs:element>
                  <xs:element name="ArticleCode" minOccurs="0">
                    <xs:simpleType>
                      <xs:restriction base="xs:string">
                        <xs:maxLength value="21"/>
                      </xs:restriction>
                    </xs:simpleType>
                  </xs:element>
                  <xs:element name="Description" minOccurs="0">
                    <xs:simpleType>
                      <xs:restriction base="xs:string">
                        <xs:maxLength value="500"/>
                      </xs:restriction>
                    </xs:simpleType>
                  </xs:element>
                  <xs:element name="Quantity" type="xs:int" minOccurs="0"/>
                  <xs:element name="ProductStatusNM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</xs:sequence>
              </xs:complexType>
            </xs:element>
            <xs:element name="ReportMng_PickingListOverview_View" minOccurs="0" maxOccurs="unbounded">
              <xs:complexType>
                <xs:sequence>
                  <xs:element name="ReceiptNo" minOccurs="0">
                    <xs:simpleType>
                      <xs:restriction base="xs:string">
                        <xs:maxLength value="20"/>
                      </xs:restriction>
                    </xs:simpleType>
                  </xs:element>
                  <xs:element name="CMRNo" minOccurs="0">
                    <xs:simpleType>
                      <xs:restriction base="xs:string">
                        <xs:maxLength value="20"/>
                      </xs:restriction>
                    </xs:simpleType>
                  </xs:element>
                  <xs:element name="ProcessingStatusNM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PlaningDate" msdata:ReadOnly="true" minOccurs="0">
                    <xs:simpleType>
                      <xs:restriction base="xs:string">
                        <xs:maxLength value="8000"/>
                      </xs:restriction>
                    </xs:simpleType>
                  </xs:element>
                  <xs:element name="RealPickingDate" msdata:ReadOnly="true" minOccurs="0">
                    <xs:simpleType>
                      <xs:restriction base="xs:string">
                        <xs:maxLength value="8000"/>
                      </xs:restriction>
                    </xs:simpleType>
                  </xs:element>
                  <xs:element name="PickingClientUD" minOccurs="0">
                    <xs:simpleType>
                      <xs:restriction base="xs:string">
                        <xs:maxLength value="8"/>
                      </xs:restriction>
                    </xs:simpleType>
                  </xs:element>
                  <xs:element name="PickingClientNM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ArticleCode" minOccurs="0">
                    <xs:simpleType>
                      <xs:restriction base="xs:string">
                        <xs:maxLength value="21"/>
                      </xs:restriction>
                    </xs:simpleType>
                  </xs:element>
                  <xs:element name="Description" minOccurs="0">
                    <xs:simpleType>
                      <xs:restriction base="xs:string">
                        <xs:maxLength value="500"/>
                      </xs:restriction>
                    </xs:simpleType>
                  </xs:element>
                  <xs:element name="Quantity" type="xs:int" minOccurs="0"/>
                  <xs:element name="PlaningQuantity" type="xs:int" minOccurs="0"/>
                  <xs:element name="OfferUD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OrderClientUD" minOccurs="0">
                    <xs:simpleType>
                      <xs:restriction base="xs:string">
                        <xs:maxLength value="8"/>
                      </xs:restriction>
                    </xs:simpleType>
                  </xs:element>
                  <xs:element name="OrderClientNM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ProformaInvoiceNo" minOccurs="0">
                    <xs:simpleType>
                      <xs:restriction base="xs:string">
                        <xs:maxLength value="20"/>
                      </xs:restriction>
                    </xs:simpleType>
                  </xs:element>
                  <xs:element name="OrderType" minOccurs="0">
                    <xs:simpleType>
                      <xs:restriction base="xs:string">
                        <xs:maxLength value="20"/>
                      </xs:restriction>
                    </xs:simpleType>
                  </xs:element>
                  <xs:element name="ProductStatusNM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</xs:sequence>
              </xs:complexType>
            </xs:element>
            <xs:element name="ReportMng_ExportedOverview_View" minOccurs="0" maxOccurs="unbounded">
              <xs:complexType>
                <xs:sequence>
                  <xs:element name="ReceiptNo" minOccurs="0">
                    <xs:simpleType>
                      <xs:restriction base="xs:string">
                        <xs:maxLength value="20"/>
                      </xs:restriction>
                    </xs:simpleType>
                  </xs:element>
                  <xs:element name="CMRNo" minOccurs="0">
                    <xs:simpleType>
                      <xs:restriction base="xs:string">
                        <xs:maxLength value="20"/>
                      </xs:restriction>
                    </xs:simpleType>
                  </xs:element>
                  <xs:element name="ProcessingStatusNM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PlaningDate" msdata:ReadOnly="true" minOccurs="0">
                    <xs:simpleType>
                      <xs:restriction base="xs:string">
                        <xs:maxLength value="8000"/>
                      </xs:restriction>
                    </xs:simpleType>
                  </xs:element>
                  <xs:element name="RealPickingDate" msdata:ReadOnly="true" minOccurs="0">
                    <xs:simpleType>
                      <xs:restriction base="xs:string">
                        <xs:maxLength value="8000"/>
                      </xs:restriction>
                    </xs:simpleType>
                  </xs:element>
                  <xs:element name="PickingClientUD" minOccurs="0">
                    <xs:simpleType>
                      <xs:restriction base="xs:string">
                        <xs:maxLength value="8"/>
                      </xs:restriction>
                    </xs:simpleType>
                  </xs:element>
                  <xs:element name="PickingClientNM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ArticleCode" minOccurs="0">
                    <xs:simpleType>
                      <xs:restriction base="xs:string">
                        <xs:maxLength value="21"/>
                      </xs:restriction>
                    </xs:simpleType>
                  </xs:element>
                  <xs:element name="Description" minOccurs="0">
                    <xs:simpleType>
                      <xs:restriction base="xs:string">
                        <xs:maxLength value="500"/>
                      </xs:restriction>
                    </xs:simpleType>
                  </xs:element>
                  <xs:element name="Quantity" type="xs:int" minOccurs="0"/>
                  <xs:element name="UnitPrice" type="xs:decimal" minOccurs="0"/>
                  <xs:element name="OfferUD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OrderClientUD" minOccurs="0">
                    <xs:simpleType>
                      <xs:restriction base="xs:string">
                        <xs:maxLength value="8"/>
                      </xs:restriction>
                    </xs:simpleType>
                  </xs:element>
                  <xs:element name="OrderClientNM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ProformaInvoiceNo" minOccurs="0">
                    <xs:simpleType>
                      <xs:restriction base="xs:string">
                        <xs:maxLength value="20"/>
                      </xs:restriction>
                    </xs:simpleType>
                  </xs:element>
                  <xs:element name="OrderType" minOccurs="0">
                    <xs:simpleType>
                      <xs:restriction base="xs:string">
                        <xs:maxLength value="20"/>
                      </xs:restriction>
                    </xs:simpleType>
                  </xs:element>
                  <xs:element name="ProductStatusNM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</xs:sequence>
              </xs:complexType>
            </xs:element>
          </xs:sequence>
        </xs:complexType>
      </xs:element>
    </xs:schema>
  </Schema>
  <Map ID="2" Name="ReportDataObject_Map" RootElement="ReportDataObject" SchemaID="Schema2" ShowImportExportValidationErrors="false" AutoFit="false" Append="false" PreserveSortAFLayout="false" PreserveFormat="false"/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openxmlformats.org/officeDocument/2006/relationships/xmlMaps" Target="xmlMaps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id="2" name="Table2" displayName="Table2" ref="A6:Z7" tableType="xml" headerRowDxfId="74" totalsRowDxfId="71" headerRowBorderDxfId="73" tableBorderDxfId="72" totalsRowBorderDxfId="70">
  <autoFilter ref="A6:Z7"/>
  <tableColumns count="26">
    <tableColumn id="1" uniqueName="ns1:ProductStatusNM" name="ns1:ProductStatusNM" totalsRowLabel="Total" dataDxfId="69" totalsRowDxfId="68">
      <xmlColumnPr mapId="2" xpath="/ns1:ReportDataObject/ns1:ReportMng_StockOverview_View/ns1:ProductStatusNM" xmlDataType="string"/>
    </tableColumn>
    <tableColumn id="2" uniqueName="ns1:BarCode" name="ns1:BarCode" dataDxfId="67" totalsRowDxfId="66">
      <xmlColumnPr mapId="2" xpath="/ns1:ReportDataObject/ns1:ReportMng_StockOverview_View/ns1:BarCode" xmlDataType="string"/>
    </tableColumn>
    <tableColumn id="3" uniqueName="ns1:ImageFile" name="ns1:ImageFile" dataDxfId="65" totalsRowDxfId="64">
      <xmlColumnPr mapId="2" xpath="/ns1:ReportDataObject/ns1:ReportMng_StockOverview_View/ns1:ImageFile" xmlDataType="string"/>
    </tableColumn>
    <tableColumn id="4" uniqueName="ns1:ArticleCode" name="ns1:ArticleCode" dataDxfId="63" totalsRowDxfId="62">
      <xmlColumnPr mapId="2" xpath="/ns1:ReportDataObject/ns1:ReportMng_StockOverview_View/ns1:ArticleCode" xmlDataType="string"/>
    </tableColumn>
    <tableColumn id="5" uniqueName="ns1:Description" name="ns1:Description" dataDxfId="61" totalsRowDxfId="60">
      <xmlColumnPr mapId="2" xpath="/ns1:ReportDataObject/ns1:ReportMng_StockOverview_View/ns1:Description" xmlDataType="string"/>
    </tableColumn>
    <tableColumn id="6" uniqueName="ns1:Qnt40HC" name="ns1:Qnt40HC" dataDxfId="59" totalsRowDxfId="58" dataCellStyle="Comma">
      <xmlColumnPr mapId="2" xpath="/ns1:ReportDataObject/ns1:ReportMng_StockOverview_View/ns1:Qnt40HC" xmlDataType="int"/>
    </tableColumn>
    <tableColumn id="7" uniqueName="ns1:PhysicalQnt" name="ns1:PhysicalQnt" dataDxfId="57" totalsRowDxfId="56" dataCellStyle="Comma">
      <xmlColumnPr mapId="2" xpath="/ns1:ReportDataObject/ns1:ReportMng_StockOverview_View/ns1:PhysicalQnt" xmlDataType="int"/>
    </tableColumn>
    <tableColumn id="8" uniqueName="ns1:PhysicalQntIn40HC" name="ns1:PhysicalQntIn40HC" dataDxfId="55" totalsRowDxfId="54" dataCellStyle="Comma">
      <calculatedColumnFormula>ROUND(IFERROR(Table2[ns1:PhysicalQnt]/Table2[ns1:Qnt40HC],0),2)</calculatedColumnFormula>
    </tableColumn>
    <tableColumn id="24" uniqueName="ns1:StockValueInEuro" name="Column11" dataDxfId="53" totalsRowDxfId="52" dataCellStyle="Comma">
      <xmlColumnPr mapId="2" xpath="/ns1:ReportDataObject/ns1:ReportMng_StockOverview_View/ns1:StockValueInEuro" xmlDataType="decimal"/>
    </tableColumn>
    <tableColumn id="23" uniqueName="ns1:TotalStockValueInEuro" name="Column10" dataDxfId="51" totalsRowDxfId="50" dataCellStyle="Comma">
      <xmlColumnPr mapId="2" xpath="/ns1:ReportDataObject/ns1:ReportMng_StockOverview_View/ns1:TotalStockValueInEuro" xmlDataType="decimal"/>
    </tableColumn>
    <tableColumn id="22" uniqueName="ns1:PurchaseFobPrice" name="Column9" dataDxfId="49" totalsRowDxfId="48" dataCellStyle="Comma">
      <xmlColumnPr mapId="2" xpath="/ns1:ReportDataObject/ns1:ReportMng_StockOverview_View/ns1:PurchaseFobPrice" xmlDataType="decimal"/>
    </tableColumn>
    <tableColumn id="21" uniqueName="ns1:TransportPerItem" name="Column4" dataDxfId="47" totalsRowDxfId="46" dataCellStyle="Comma">
      <xmlColumnPr mapId="2" xpath="/ns1:ReportDataObject/ns1:ReportMng_StockOverview_View/ns1:TransportPerItem" xmlDataType="decimal"/>
    </tableColumn>
    <tableColumn id="9" uniqueName="ns1:OnSeaQnt" name="ns1:OnSeaQnt" dataDxfId="45" totalsRowDxfId="44" dataCellStyle="Comma">
      <xmlColumnPr mapId="2" xpath="/ns1:ReportDataObject/ns1:ReportMng_StockOverview_View/ns1:OnSeaQnt" xmlDataType="int"/>
    </tableColumn>
    <tableColumn id="13" uniqueName="13" name="Column1" dataDxfId="43" totalsRowDxfId="42" dataCellStyle="Comma">
      <calculatedColumnFormula>IFERROR(Table2[ns1:OnSeaQnt]/Table2[ns1:Qnt40HC],0)</calculatedColumnFormula>
    </tableColumn>
    <tableColumn id="10" uniqueName="ns1:TobeShippedQnt" name="ns1:TobeShippedQnt" dataDxfId="41" totalsRowDxfId="40" dataCellStyle="Comma">
      <xmlColumnPr mapId="2" xpath="/ns1:ReportDataObject/ns1:ReportMng_StockOverview_View/ns1:TobeShippedQnt" xmlDataType="decimal"/>
    </tableColumn>
    <tableColumn id="14" uniqueName="14" name="Column2" dataDxfId="39" totalsRowDxfId="38" dataCellStyle="Comma">
      <calculatedColumnFormula>IFERROR(Table2[ns1:TobeShippedQnt]/Table2[ns1:Qnt40HC],0)</calculatedColumnFormula>
    </tableColumn>
    <tableColumn id="11" uniqueName="ns1:ReservationQnt" name="ns1:ReservationQnt" dataDxfId="37" totalsRowDxfId="36" dataCellStyle="Comma">
      <xmlColumnPr mapId="2" xpath="/ns1:ReportDataObject/ns1:ReportMng_StockOverview_View/ns1:ReservationQnt" xmlDataType="int"/>
    </tableColumn>
    <tableColumn id="15" uniqueName="15" name="Column3" dataDxfId="35" totalsRowDxfId="34" dataCellStyle="Comma">
      <calculatedColumnFormula>IFERROR(Table2[ns1:ReservationQnt]/Table2[ns1:Qnt40HC],0)</calculatedColumnFormula>
    </tableColumn>
    <tableColumn id="12" uniqueName="ns1:FTSQnt" name="ns1:FTSQnt" dataDxfId="33" totalsRowDxfId="32" dataCellStyle="Comma">
      <xmlColumnPr mapId="2" xpath="/ns1:ReportDataObject/ns1:ReportMng_StockOverview_View/ns1:FTSQnt" xmlDataType="decimal"/>
    </tableColumn>
    <tableColumn id="17" uniqueName="17" name="Column5" dataDxfId="31" totalsRowDxfId="30" dataCellStyle="Comma">
      <calculatedColumnFormula>IFERROR(Table2[ns1:FTSQnt]/Table2[ns1:Qnt40HC],0)</calculatedColumnFormula>
    </tableColumn>
    <tableColumn id="16" uniqueName="16" name="Column6" dataDxfId="29" totalsRowDxfId="28" dataCellStyle="Comma">
      <calculatedColumnFormula>Table2[ns1:FTSQnt]+Table2[ns1:OnSeaQnt]</calculatedColumnFormula>
    </tableColumn>
    <tableColumn id="19" uniqueName="19" name="Column62" dataDxfId="27" totalsRowDxfId="26" dataCellStyle="Comma">
      <calculatedColumnFormula>IFERROR(Table2[Column6]/Table2[ns1:Qnt40HC],0)</calculatedColumnFormula>
    </tableColumn>
    <tableColumn id="18" uniqueName="18" name="Column7" dataDxfId="25" totalsRowDxfId="24" dataCellStyle="Comma">
      <calculatedColumnFormula>Table2[ns1:FTSQnt]+Table2[ns1:OnSeaQnt]+Table2[ns1:TobeShippedQnt]</calculatedColumnFormula>
    </tableColumn>
    <tableColumn id="20" uniqueName="20" name="Column8" totalsRowFunction="sum" dataDxfId="23" totalsRowDxfId="22" dataCellStyle="Comma">
      <calculatedColumnFormula>IFERROR(Table2[Column7]/Table2[ns1:Qnt40HC],0)</calculatedColumnFormula>
    </tableColumn>
    <tableColumn id="25" uniqueName="ns1:SalePrice" name="Column82" dataDxfId="21" totalsRowDxfId="20">
      <xmlColumnPr mapId="2" xpath="/ns1:ReportDataObject/ns1:ReportMng_StockOverview_View/ns1:SalePrice" xmlDataType="decimal"/>
    </tableColumn>
    <tableColumn id="26" uniqueName="ns1:ProductType" name="Column83" dataDxfId="19" totalsRowDxfId="18">
      <xmlColumnPr mapId="2" xpath="/ns1:ReportDataObject/ns1:ReportMng_StockOverview_View/ns1:ProductType" xmlDataType="string"/>
    </tableColumn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id="4" name="Table4" displayName="Table4" ref="A8:M9" tableType="xml" totalsRowShown="0" headerRowDxfId="17" headerRowBorderDxfId="16" tableBorderDxfId="15" totalsRowBorderDxfId="14">
  <autoFilter ref="A8:M9"/>
  <tableColumns count="13">
    <tableColumn id="1" uniqueName="ns1:ProductStatusID" name="ns1:ProductStatusID" dataDxfId="13">
      <xmlColumnPr mapId="2" xpath="/ns1:ReportDataObject/ns1:ReportMng_StockReservationProduct_View/ns1:ProductStatusID" xmlDataType="int"/>
    </tableColumn>
    <tableColumn id="2" uniqueName="ns1:GoodsID" name="ns1:ProductID" dataDxfId="12">
      <xmlColumnPr mapId="2" xpath="/ns1:ReportDataObject/ns1:ReportMng_StockReservationProduct_View/ns1:GoodsID" xmlDataType="int"/>
    </tableColumn>
    <tableColumn id="13" uniqueName="ns1:ProductType" name="Column3" dataDxfId="11">
      <xmlColumnPr mapId="2" xpath="/ns1:ReportDataObject/ns1:ReportMng_StockReservationProduct_View/ns1:ProductType" xmlDataType="string"/>
    </tableColumn>
    <tableColumn id="3" uniqueName="ns1:ProductStatusNM" name="ns1:ProductStatusNM" dataDxfId="10">
      <xmlColumnPr mapId="2" xpath="/ns1:ReportDataObject/ns1:ReportMng_StockReservationProduct_View/ns1:ProductStatusNM" xmlDataType="string"/>
    </tableColumn>
    <tableColumn id="4" uniqueName="ns1:BarCode" name="ns1:BarCode" dataDxfId="9">
      <xmlColumnPr mapId="2" xpath="/ns1:ReportDataObject/ns1:ReportMng_StockReservationProduct_View/ns1:BarCode" xmlDataType="string"/>
    </tableColumn>
    <tableColumn id="5" uniqueName="ns1:ImageFile" name="ns1:ImageFile" dataDxfId="8">
      <xmlColumnPr mapId="2" xpath="/ns1:ReportDataObject/ns1:ReportMng_StockReservationProduct_View/ns1:ImageFile" xmlDataType="string"/>
    </tableColumn>
    <tableColumn id="6" uniqueName="ns1:ArticleCode" name="ns1:ArticleCode" dataDxfId="7">
      <xmlColumnPr mapId="2" xpath="/ns1:ReportDataObject/ns1:ReportMng_StockReservationProduct_View/ns1:ArticleCode" xmlDataType="string"/>
    </tableColumn>
    <tableColumn id="7" uniqueName="ns1:Description" name="ns1:Description" dataDxfId="6">
      <xmlColumnPr mapId="2" xpath="/ns1:ReportDataObject/ns1:ReportMng_StockReservationProduct_View/ns1:Description" xmlDataType="string"/>
    </tableColumn>
    <tableColumn id="8" uniqueName="ns1:Qnt40HC" name="ns1:Qnt40HC" dataDxfId="5">
      <xmlColumnPr mapId="2" xpath="/ns1:ReportDataObject/ns1:ReportMng_StockReservationProduct_View/ns1:Qnt40HC" xmlDataType="int"/>
    </tableColumn>
    <tableColumn id="9" uniqueName="ns1:ReservationQnt" name="ns1:ReservationQnt" dataDxfId="4">
      <xmlColumnPr mapId="2" xpath="/ns1:ReportDataObject/ns1:ReportMng_StockReservationProduct_View/ns1:ReservationQnt" xmlDataType="int"/>
    </tableColumn>
    <tableColumn id="10" uniqueName="ns1:ReservationQntIn40HC" name="ns1:ReservationQntIn40HC" dataDxfId="3">
      <calculatedColumnFormula>IFERROR(Table4[ns1:ReservationQnt]/Table4[ns1:Qnt40HC],0)</calculatedColumnFormula>
    </tableColumn>
    <tableColumn id="12" uniqueName="12" name="Column2" dataDxfId="2"/>
    <tableColumn id="11" uniqueName="11" name="Column1" dataDxfId="1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id="1" name="Table1" displayName="Table1" ref="A1:C2" tableType="xml" insertRow="1" totalsRowShown="0">
  <autoFilter ref="A1:C2"/>
  <tableColumns count="3">
    <tableColumn id="1" uniqueName="ns1:ClientID" name="ns1:ClientID">
      <xmlColumnPr mapId="2" xpath="/ns1:ReportDataObject/ns1:ReportMng_StockClient_View/ns1:ClientID" xmlDataType="int"/>
    </tableColumn>
    <tableColumn id="2" uniqueName="ns1:ClientUD" name="ns1:ClientUD" dataDxfId="0">
      <xmlColumnPr mapId="2" xpath="/ns1:ReportDataObject/ns1:ReportMng_StockClient_View/ns1:ClientUD" xmlDataType="string"/>
    </tableColumn>
    <tableColumn id="3" uniqueName="ns1:ClientNM" name="ns1:ClientNM">
      <xmlColumnPr mapId="2" xpath="/ns1:ReportDataObject/ns1:ReportMng_StockClient_View/ns1:ClientNM" xmlDataType="string"/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3" name="Table3" displayName="Table3" ref="A1:I2" tableType="xml" insertRow="1" totalsRowShown="0">
  <autoFilter ref="A1:I2"/>
  <tableColumns count="9">
    <tableColumn id="1" uniqueName="ns1:KeyID" name="ns1:KeyID">
      <xmlColumnPr mapId="2" xpath="/ns1:ReportDataObject/ns1:ReportMng_StockReservation_View/ns1:KeyID" xmlDataType="string"/>
    </tableColumn>
    <tableColumn id="2" uniqueName="ns1:ProductStatusNM" name="ns1:ProductStatusNM">
      <xmlColumnPr mapId="2" xpath="/ns1:ReportDataObject/ns1:ReportMng_StockReservation_View/ns1:ProductStatusNM" xmlDataType="string"/>
    </tableColumn>
    <tableColumn id="3" uniqueName="ns1:BarCode" name="ns1:BarCode">
      <xmlColumnPr mapId="2" xpath="/ns1:ReportDataObject/ns1:ReportMng_StockReservation_View/ns1:BarCode" xmlDataType="string"/>
    </tableColumn>
    <tableColumn id="4" uniqueName="ns1:ImageFile" name="ns1:ImageFile">
      <xmlColumnPr mapId="2" xpath="/ns1:ReportDataObject/ns1:ReportMng_StockReservation_View/ns1:ImageFile" xmlDataType="string"/>
    </tableColumn>
    <tableColumn id="5" uniqueName="ns1:ArticleCode" name="ns1:ArticleCode">
      <xmlColumnPr mapId="2" xpath="/ns1:ReportDataObject/ns1:ReportMng_StockReservation_View/ns1:ArticleCode" xmlDataType="string"/>
    </tableColumn>
    <tableColumn id="6" uniqueName="ns1:Description" name="ns1:Description">
      <xmlColumnPr mapId="2" xpath="/ns1:ReportDataObject/ns1:ReportMng_StockReservation_View/ns1:Description" xmlDataType="string"/>
    </tableColumn>
    <tableColumn id="7" uniqueName="ns1:Qnt40HC" name="ns1:Qnt40HC">
      <xmlColumnPr mapId="2" xpath="/ns1:ReportDataObject/ns1:ReportMng_StockReservation_View/ns1:Qnt40HC" xmlDataType="int"/>
    </tableColumn>
    <tableColumn id="8" uniqueName="ns1:ReservationQnt" name="ns1:ReservationQnt">
      <xmlColumnPr mapId="2" xpath="/ns1:ReportDataObject/ns1:ReportMng_StockReservation_View/ns1:ReservationQnt" xmlDataType="int"/>
    </tableColumn>
    <tableColumn id="9" uniqueName="ns1:ReservationQntIn40HC" name="ns1:ReservationQntIn40HC">
      <xmlColumnPr mapId="2" xpath="/ns1:ReportDataObject/ns1:ReportMng_StockReservation_View/ns1:ReservationQntIn40HC" xmlDataType="decimal"/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Z7"/>
  <sheetViews>
    <sheetView showZeros="0" zoomScale="85" zoomScaleNormal="85" workbookViewId="0">
      <pane xSplit="8" ySplit="6" topLeftCell="I7" activePane="bottomRight" state="frozen"/>
      <selection pane="topRight" activeCell="I1" sqref="I1"/>
      <selection pane="bottomLeft" activeCell="A7" sqref="A7"/>
      <selection pane="bottomRight" activeCell="A7" sqref="A7"/>
    </sheetView>
  </sheetViews>
  <sheetFormatPr defaultRowHeight="15"/>
  <cols>
    <col min="1" max="1" width="10.28515625" customWidth="1"/>
    <col min="2" max="2" width="25.7109375" style="38" customWidth="1"/>
    <col min="3" max="3" width="22.7109375" customWidth="1"/>
    <col min="4" max="4" width="16.5703125" customWidth="1"/>
    <col min="5" max="5" width="51.140625" customWidth="1"/>
    <col min="6" max="6" width="6.85546875" style="19" customWidth="1"/>
    <col min="7" max="7" width="6.28515625" style="19" customWidth="1"/>
    <col min="8" max="9" width="10.42578125" style="35" customWidth="1"/>
    <col min="10" max="10" width="14.42578125" style="35" customWidth="1"/>
    <col min="11" max="12" width="10.42578125" style="35" customWidth="1"/>
    <col min="13" max="13" width="8.5703125" style="19" customWidth="1"/>
    <col min="14" max="14" width="8.5703125" style="17" hidden="1" customWidth="1"/>
    <col min="15" max="15" width="8.5703125" style="19" customWidth="1"/>
    <col min="16" max="16" width="8.5703125" style="17" hidden="1" customWidth="1"/>
    <col min="17" max="17" width="8.5703125" style="19" customWidth="1"/>
    <col min="18" max="18" width="8.5703125" style="17" hidden="1" customWidth="1"/>
    <col min="19" max="19" width="8.5703125" style="19" customWidth="1"/>
    <col min="20" max="20" width="10.140625" style="17" hidden="1" customWidth="1"/>
    <col min="22" max="22" width="0" hidden="1" customWidth="1"/>
    <col min="24" max="24" width="0" hidden="1" customWidth="1"/>
    <col min="25" max="25" width="11" customWidth="1"/>
    <col min="26" max="26" width="0" hidden="1" customWidth="1"/>
  </cols>
  <sheetData>
    <row r="1" spans="1:26" ht="19.5">
      <c r="A1" s="4" t="s">
        <v>52</v>
      </c>
      <c r="C1" s="5" t="s">
        <v>5</v>
      </c>
      <c r="D1" s="1">
        <f ca="1">NOW()</f>
        <v>42716.424762499999</v>
      </c>
      <c r="G1" s="23" t="s">
        <v>42</v>
      </c>
      <c r="H1" s="32"/>
      <c r="I1" s="74" t="s">
        <v>57</v>
      </c>
      <c r="J1" s="75"/>
      <c r="K1" s="75"/>
      <c r="L1" s="76"/>
      <c r="M1" s="24">
        <f>N4</f>
        <v>0</v>
      </c>
      <c r="N1" s="24"/>
      <c r="O1" s="24">
        <f>P4</f>
        <v>0</v>
      </c>
      <c r="P1" s="24"/>
      <c r="Q1" s="24">
        <f>R4</f>
        <v>0</v>
      </c>
      <c r="R1" s="24"/>
      <c r="S1" s="24">
        <f>T4</f>
        <v>0</v>
      </c>
      <c r="T1" s="24"/>
      <c r="U1" s="24">
        <f>V4</f>
        <v>0</v>
      </c>
      <c r="V1" s="24"/>
      <c r="W1" s="24">
        <f>X4</f>
        <v>0</v>
      </c>
      <c r="X1" s="24"/>
    </row>
    <row r="2" spans="1:26">
      <c r="G2" s="48" t="s">
        <v>43</v>
      </c>
      <c r="H2" s="36"/>
      <c r="I2" s="47"/>
      <c r="J2" s="47" t="s">
        <v>58</v>
      </c>
      <c r="K2" s="47">
        <v>1.3</v>
      </c>
      <c r="L2" s="49">
        <v>2500</v>
      </c>
      <c r="M2" s="37">
        <f>N5</f>
        <v>0</v>
      </c>
      <c r="N2" s="37"/>
      <c r="O2" s="37">
        <f>P5</f>
        <v>0</v>
      </c>
      <c r="P2" s="37"/>
      <c r="Q2" s="37">
        <f>R5</f>
        <v>0</v>
      </c>
      <c r="R2" s="37"/>
      <c r="S2" s="37">
        <f>T5</f>
        <v>0</v>
      </c>
      <c r="T2" s="37"/>
      <c r="U2" s="24">
        <f>V5</f>
        <v>0</v>
      </c>
      <c r="V2" s="37"/>
      <c r="W2" s="24">
        <f>X5</f>
        <v>0</v>
      </c>
      <c r="X2" s="37"/>
    </row>
    <row r="3" spans="1:26" ht="63.75">
      <c r="A3" s="2" t="s">
        <v>6</v>
      </c>
      <c r="B3" s="2" t="s">
        <v>0</v>
      </c>
      <c r="C3" s="2" t="s">
        <v>1</v>
      </c>
      <c r="D3" s="2" t="s">
        <v>2</v>
      </c>
      <c r="E3" s="2" t="s">
        <v>3</v>
      </c>
      <c r="F3" s="30" t="s">
        <v>4</v>
      </c>
      <c r="G3" s="30" t="s">
        <v>19</v>
      </c>
      <c r="H3" s="33" t="s">
        <v>20</v>
      </c>
      <c r="I3" s="33" t="s">
        <v>60</v>
      </c>
      <c r="J3" s="33" t="s">
        <v>59</v>
      </c>
      <c r="K3" s="33" t="s">
        <v>61</v>
      </c>
      <c r="L3" s="33" t="s">
        <v>62</v>
      </c>
      <c r="M3" s="30" t="s">
        <v>21</v>
      </c>
      <c r="N3" s="30"/>
      <c r="O3" s="30" t="s">
        <v>22</v>
      </c>
      <c r="P3" s="30"/>
      <c r="Q3" s="30" t="s">
        <v>23</v>
      </c>
      <c r="R3" s="30"/>
      <c r="S3" s="30" t="s">
        <v>44</v>
      </c>
      <c r="T3" s="18"/>
      <c r="U3" s="30" t="s">
        <v>50</v>
      </c>
      <c r="V3" s="18"/>
      <c r="W3" s="18" t="s">
        <v>49</v>
      </c>
      <c r="X3" s="18" t="s">
        <v>49</v>
      </c>
      <c r="Y3" s="18" t="s">
        <v>66</v>
      </c>
      <c r="Z3" s="18" t="s">
        <v>65</v>
      </c>
    </row>
    <row r="4" spans="1:26">
      <c r="A4" s="20"/>
      <c r="B4" s="20"/>
      <c r="C4" s="20"/>
      <c r="D4" s="20"/>
      <c r="E4" s="21"/>
      <c r="F4" s="31"/>
      <c r="G4" s="31">
        <f>SUM(Table2[ns1:PhysicalQnt])</f>
        <v>0</v>
      </c>
      <c r="H4" s="34">
        <f>SUM(Table2[ns1:PhysicalQntIn40HC])</f>
        <v>0</v>
      </c>
      <c r="I4" s="34"/>
      <c r="J4" s="73">
        <f>SUM(Table2[Column10])</f>
        <v>0</v>
      </c>
      <c r="K4" s="34"/>
      <c r="L4" s="34"/>
      <c r="M4" s="31">
        <f>SUM(Table2[ns1:OnSeaQnt])</f>
        <v>0</v>
      </c>
      <c r="N4" s="31">
        <f>SUM(Table2[Column1])</f>
        <v>0</v>
      </c>
      <c r="O4" s="31">
        <f>SUM(Table2[ns1:TobeShippedQnt])</f>
        <v>0</v>
      </c>
      <c r="P4" s="31">
        <f>SUM(Table2[Column2])</f>
        <v>0</v>
      </c>
      <c r="Q4" s="31">
        <f>SUM(Table2[ns1:ReservationQnt])</f>
        <v>0</v>
      </c>
      <c r="R4" s="31">
        <f>SUM(Table2[Column3])</f>
        <v>0</v>
      </c>
      <c r="S4" s="31">
        <f>SUM(Table2[ns1:FTSQnt])</f>
        <v>0</v>
      </c>
      <c r="T4" s="22">
        <f>SUM(Table2[Column5])</f>
        <v>0</v>
      </c>
      <c r="U4" s="31">
        <f>SUM(Table2[Column6])</f>
        <v>0</v>
      </c>
      <c r="V4" s="22">
        <f>SUM(Table2[Column62])</f>
        <v>0</v>
      </c>
      <c r="W4" s="31">
        <f>SUM(Table2[Column7])</f>
        <v>0</v>
      </c>
      <c r="X4" s="31">
        <f>SUM(Table2[Column8])</f>
        <v>0</v>
      </c>
      <c r="Y4" s="31"/>
      <c r="Z4" s="31"/>
    </row>
    <row r="5" spans="1:26">
      <c r="A5" s="20"/>
      <c r="B5" s="20"/>
      <c r="C5" s="20"/>
      <c r="D5" s="20"/>
      <c r="E5" s="21"/>
      <c r="F5" s="31"/>
      <c r="G5" s="31">
        <f>SUBTOTAL(9,Table2[ns1:PhysicalQnt])</f>
        <v>0</v>
      </c>
      <c r="H5" s="34">
        <f>SUBTOTAL(9,Table2[ns1:PhysicalQntIn40HC])</f>
        <v>0</v>
      </c>
      <c r="I5" s="34"/>
      <c r="J5" s="73">
        <f>SUBTOTAL(9,Table2[Column10])</f>
        <v>0</v>
      </c>
      <c r="K5" s="34"/>
      <c r="L5" s="34"/>
      <c r="M5" s="31">
        <f>SUBTOTAL(9,Table2[ns1:OnSeaQnt])</f>
        <v>0</v>
      </c>
      <c r="N5" s="31">
        <f>SUBTOTAL(9,Table2[Column1])</f>
        <v>0</v>
      </c>
      <c r="O5" s="31">
        <f>SUBTOTAL(9,Table2[ns1:TobeShippedQnt])</f>
        <v>0</v>
      </c>
      <c r="P5" s="31">
        <f>SUBTOTAL(9,Table2[Column2])</f>
        <v>0</v>
      </c>
      <c r="Q5" s="31">
        <f>SUBTOTAL(9,Table2[ns1:ReservationQnt])</f>
        <v>0</v>
      </c>
      <c r="R5" s="31">
        <f>SUBTOTAL(9,Table2[Column3])</f>
        <v>0</v>
      </c>
      <c r="S5" s="31">
        <f>SUBTOTAL(9,Table2[ns1:FTSQnt])</f>
        <v>0</v>
      </c>
      <c r="T5" s="22">
        <f>SUBTOTAL(9,Table2[Column5])</f>
        <v>0</v>
      </c>
      <c r="U5" s="31">
        <f>SUBTOTAL(9,Table2[Column6])</f>
        <v>0</v>
      </c>
      <c r="V5" s="22">
        <f>SUBTOTAL(9,Table2[Column62])</f>
        <v>0</v>
      </c>
      <c r="W5" s="31">
        <f>SUBTOTAL(9,Table2[Column7])</f>
        <v>0</v>
      </c>
      <c r="X5" s="31">
        <f>SUBTOTAL(9,Table2[Column8])</f>
        <v>0</v>
      </c>
      <c r="Y5" s="31"/>
      <c r="Z5" s="31"/>
    </row>
    <row r="6" spans="1:26">
      <c r="A6" s="51" t="s">
        <v>7</v>
      </c>
      <c r="B6" s="52" t="s">
        <v>8</v>
      </c>
      <c r="C6" s="50" t="s">
        <v>9</v>
      </c>
      <c r="D6" s="50" t="s">
        <v>10</v>
      </c>
      <c r="E6" s="50" t="s">
        <v>11</v>
      </c>
      <c r="F6" s="53" t="s">
        <v>12</v>
      </c>
      <c r="G6" s="53" t="s">
        <v>13</v>
      </c>
      <c r="H6" s="54" t="s">
        <v>14</v>
      </c>
      <c r="I6" s="54" t="s">
        <v>56</v>
      </c>
      <c r="J6" s="54" t="s">
        <v>55</v>
      </c>
      <c r="K6" s="54" t="s">
        <v>54</v>
      </c>
      <c r="L6" s="54" t="s">
        <v>53</v>
      </c>
      <c r="M6" s="53" t="s">
        <v>15</v>
      </c>
      <c r="N6" s="53" t="s">
        <v>37</v>
      </c>
      <c r="O6" s="53" t="s">
        <v>16</v>
      </c>
      <c r="P6" s="53" t="s">
        <v>38</v>
      </c>
      <c r="Q6" s="53" t="s">
        <v>17</v>
      </c>
      <c r="R6" s="53" t="s">
        <v>40</v>
      </c>
      <c r="S6" s="53" t="s">
        <v>18</v>
      </c>
      <c r="T6" s="55" t="s">
        <v>41</v>
      </c>
      <c r="U6" s="56" t="s">
        <v>45</v>
      </c>
      <c r="V6" s="56" t="s">
        <v>47</v>
      </c>
      <c r="W6" s="56" t="s">
        <v>46</v>
      </c>
      <c r="X6" s="56" t="s">
        <v>48</v>
      </c>
      <c r="Y6" s="50" t="s">
        <v>63</v>
      </c>
      <c r="Z6" s="57" t="s">
        <v>64</v>
      </c>
    </row>
    <row r="7" spans="1:26" ht="80.099999999999994" customHeight="1">
      <c r="A7" s="58"/>
      <c r="B7" s="59"/>
      <c r="C7" s="71"/>
      <c r="D7" s="60"/>
      <c r="E7" s="61"/>
      <c r="F7" s="62"/>
      <c r="G7" s="62"/>
      <c r="H7" s="63">
        <f>ROUND(IFERROR(Table2[ns1:PhysicalQnt]/Table2[ns1:Qnt40HC],0),2)</f>
        <v>0</v>
      </c>
      <c r="I7" s="64"/>
      <c r="J7" s="64"/>
      <c r="K7" s="65"/>
      <c r="L7" s="64"/>
      <c r="M7" s="62"/>
      <c r="N7" s="62">
        <f>IFERROR(Table2[ns1:OnSeaQnt]/Table2[ns1:Qnt40HC],0)</f>
        <v>0</v>
      </c>
      <c r="O7" s="62"/>
      <c r="P7" s="62">
        <f>IFERROR(Table2[ns1:TobeShippedQnt]/Table2[ns1:Qnt40HC],0)</f>
        <v>0</v>
      </c>
      <c r="Q7" s="62"/>
      <c r="R7" s="62">
        <f>IFERROR(Table2[ns1:ReservationQnt]/Table2[ns1:Qnt40HC],0)</f>
        <v>0</v>
      </c>
      <c r="S7" s="62"/>
      <c r="T7" s="66">
        <f>IFERROR(Table2[ns1:FTSQnt]/Table2[ns1:Qnt40HC],0)</f>
        <v>0</v>
      </c>
      <c r="U7" s="62">
        <f>Table2[ns1:FTSQnt]+Table2[ns1:OnSeaQnt]</f>
        <v>0</v>
      </c>
      <c r="V7" s="66">
        <f>IFERROR(Table2[Column6]/Table2[ns1:Qnt40HC],0)</f>
        <v>0</v>
      </c>
      <c r="W7" s="62">
        <f>Table2[ns1:FTSQnt]+Table2[ns1:OnSeaQnt]+Table2[ns1:TobeShippedQnt]</f>
        <v>0</v>
      </c>
      <c r="X7" s="67">
        <f>IFERROR(Table2[Column7]/Table2[ns1:Qnt40HC],0)</f>
        <v>0</v>
      </c>
      <c r="Y7" s="68"/>
      <c r="Z7" s="69"/>
    </row>
  </sheetData>
  <mergeCells count="1">
    <mergeCell ref="I1:L1"/>
  </mergeCells>
  <pageMargins left="0.7" right="0.7" top="0.75" bottom="0.75" header="0.3" footer="0.3"/>
  <pageSetup paperSize="9" orientation="portrait" horizontalDpi="180" verticalDpi="18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9"/>
  <sheetViews>
    <sheetView tabSelected="1" zoomScale="85" zoomScaleNormal="85" workbookViewId="0">
      <pane xSplit="11" ySplit="8" topLeftCell="L9" activePane="bottomRight" state="frozen"/>
      <selection activeCell="C1" sqref="C1"/>
      <selection pane="topRight" activeCell="K1" sqref="K1"/>
      <selection pane="bottomLeft" activeCell="C9" sqref="C9"/>
      <selection pane="bottomRight" activeCell="D9" sqref="D9"/>
    </sheetView>
  </sheetViews>
  <sheetFormatPr defaultRowHeight="15"/>
  <cols>
    <col min="1" max="1" width="14.28515625" hidden="1" customWidth="1"/>
    <col min="2" max="2" width="14.140625" hidden="1" customWidth="1"/>
    <col min="3" max="3" width="11.42578125" hidden="1" customWidth="1"/>
    <col min="4" max="4" width="10.42578125" customWidth="1"/>
    <col min="5" max="5" width="25.7109375" style="38" customWidth="1"/>
    <col min="6" max="6" width="22.7109375" customWidth="1"/>
    <col min="7" max="7" width="16.5703125" customWidth="1"/>
    <col min="8" max="8" width="51.140625" customWidth="1"/>
    <col min="9" max="9" width="6.85546875" customWidth="1"/>
    <col min="10" max="10" width="8" customWidth="1"/>
    <col min="11" max="11" width="10.28515625" customWidth="1"/>
    <col min="12" max="12" width="8.85546875" customWidth="1"/>
    <col min="13" max="13" width="3.42578125" customWidth="1"/>
  </cols>
  <sheetData>
    <row r="1" spans="1:13" ht="14.25" customHeight="1">
      <c r="D1" s="77" t="s">
        <v>31</v>
      </c>
      <c r="E1" s="78"/>
      <c r="F1" s="7" t="s">
        <v>5</v>
      </c>
      <c r="G1" s="1">
        <f ca="1">NOW()</f>
        <v>42716.424762499999</v>
      </c>
      <c r="J1" s="25" t="s">
        <v>42</v>
      </c>
      <c r="K1" s="25"/>
      <c r="L1" s="26"/>
      <c r="M1" s="25"/>
    </row>
    <row r="2" spans="1:13" ht="14.25" customHeight="1">
      <c r="D2" s="77"/>
      <c r="E2" s="78"/>
      <c r="J2" s="25" t="s">
        <v>43</v>
      </c>
      <c r="K2" s="25"/>
      <c r="L2" s="26"/>
      <c r="M2" s="25"/>
    </row>
    <row r="3" spans="1:13" ht="44.25" customHeight="1">
      <c r="A3" s="10" t="s">
        <v>32</v>
      </c>
      <c r="B3" s="10" t="s">
        <v>51</v>
      </c>
      <c r="C3" s="10"/>
      <c r="D3" s="2" t="s">
        <v>6</v>
      </c>
      <c r="E3" s="2" t="s">
        <v>0</v>
      </c>
      <c r="F3" s="2" t="s">
        <v>1</v>
      </c>
      <c r="G3" s="2" t="s">
        <v>2</v>
      </c>
      <c r="H3" s="2" t="s">
        <v>3</v>
      </c>
      <c r="I3" s="2" t="s">
        <v>4</v>
      </c>
      <c r="J3" s="2" t="s">
        <v>29</v>
      </c>
      <c r="K3" s="2" t="s">
        <v>30</v>
      </c>
      <c r="L3" s="2"/>
      <c r="M3" s="3"/>
    </row>
    <row r="4" spans="1:13" hidden="1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3"/>
    </row>
    <row r="5" spans="1:13">
      <c r="A5" s="12"/>
      <c r="B5" s="12"/>
      <c r="C5" s="12"/>
      <c r="D5" s="12"/>
      <c r="E5" s="12"/>
      <c r="F5" s="12"/>
      <c r="G5" s="12"/>
      <c r="H5" s="12"/>
      <c r="I5" s="12"/>
      <c r="J5" s="12"/>
      <c r="K5" s="27" t="s">
        <v>39</v>
      </c>
      <c r="L5" s="28"/>
      <c r="M5" s="29"/>
    </row>
    <row r="6" spans="1:13">
      <c r="A6" s="12"/>
      <c r="B6" s="12"/>
      <c r="C6" s="12"/>
      <c r="D6" s="12"/>
      <c r="E6" s="12"/>
      <c r="F6" s="12"/>
      <c r="G6" s="12"/>
      <c r="H6" s="70" t="s">
        <v>35</v>
      </c>
      <c r="I6" s="12"/>
      <c r="J6" s="15">
        <f>SUM(Table4[ns1:ReservationQnt])</f>
        <v>0</v>
      </c>
      <c r="K6" s="14">
        <f>SUM(Table4[ns1:ReservationQntIn40HC])</f>
        <v>0</v>
      </c>
      <c r="L6" s="15"/>
      <c r="M6" s="14"/>
    </row>
    <row r="7" spans="1:13">
      <c r="A7" s="12"/>
      <c r="B7" s="12"/>
      <c r="C7" s="12"/>
      <c r="D7" s="12"/>
      <c r="E7" s="12"/>
      <c r="F7" s="12"/>
      <c r="G7" s="12"/>
      <c r="H7" s="70" t="s">
        <v>36</v>
      </c>
      <c r="I7" s="12"/>
      <c r="J7" s="15">
        <f>SUBTOTAL(9,Table4[ns1:ReservationQnt])</f>
        <v>0</v>
      </c>
      <c r="K7" s="14">
        <f>SUBTOTAL(9,Table4[ns1:ReservationQntIn40HC])</f>
        <v>0</v>
      </c>
      <c r="L7" s="15"/>
      <c r="M7" s="14"/>
    </row>
    <row r="8" spans="1:13">
      <c r="A8" s="11" t="s">
        <v>33</v>
      </c>
      <c r="B8" s="11" t="s">
        <v>34</v>
      </c>
      <c r="C8" s="11" t="s">
        <v>40</v>
      </c>
      <c r="D8" s="11" t="s">
        <v>7</v>
      </c>
      <c r="E8" s="40" t="s">
        <v>8</v>
      </c>
      <c r="F8" s="11" t="s">
        <v>9</v>
      </c>
      <c r="G8" s="11" t="s">
        <v>10</v>
      </c>
      <c r="H8" s="11" t="s">
        <v>11</v>
      </c>
      <c r="I8" s="11" t="s">
        <v>12</v>
      </c>
      <c r="J8" s="11" t="s">
        <v>17</v>
      </c>
      <c r="K8" s="11" t="s">
        <v>28</v>
      </c>
      <c r="L8" s="16" t="s">
        <v>38</v>
      </c>
      <c r="M8" s="11" t="s">
        <v>37</v>
      </c>
    </row>
    <row r="9" spans="1:13" ht="80.099999999999994" customHeight="1">
      <c r="A9" s="8"/>
      <c r="B9" s="8"/>
      <c r="C9" s="9"/>
      <c r="D9" s="39"/>
      <c r="E9" s="41"/>
      <c r="F9" s="72"/>
      <c r="G9" s="42"/>
      <c r="H9" s="46"/>
      <c r="I9" s="43"/>
      <c r="J9" s="44"/>
      <c r="K9" s="45">
        <f>IFERROR(Table4[ns1:ReservationQnt]/Table4[ns1:Qnt40HC],0)</f>
        <v>0</v>
      </c>
      <c r="L9" s="44"/>
      <c r="M9" s="44"/>
    </row>
  </sheetData>
  <mergeCells count="1">
    <mergeCell ref="D1:E2"/>
  </mergeCells>
  <pageMargins left="0.7" right="0.7" top="0.75" bottom="0.75" header="0.3" footer="0.3"/>
  <pageSetup paperSize="9" orientation="portrait" horizontalDpi="180" verticalDpi="18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2"/>
  <sheetViews>
    <sheetView workbookViewId="0">
      <selection activeCell="B2" sqref="B2"/>
    </sheetView>
  </sheetViews>
  <sheetFormatPr defaultRowHeight="15"/>
  <cols>
    <col min="1" max="1" width="13.5703125" bestFit="1" customWidth="1"/>
    <col min="2" max="2" width="14.42578125" bestFit="1" customWidth="1"/>
    <col min="3" max="3" width="54.28515625" customWidth="1"/>
  </cols>
  <sheetData>
    <row r="1" spans="1:3">
      <c r="A1" t="s">
        <v>24</v>
      </c>
      <c r="B1" t="s">
        <v>25</v>
      </c>
      <c r="C1" t="s">
        <v>26</v>
      </c>
    </row>
    <row r="2" spans="1:3">
      <c r="B2" s="6"/>
      <c r="C2" s="6"/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2"/>
  <sheetViews>
    <sheetView workbookViewId="0">
      <selection activeCell="E20" sqref="E20"/>
    </sheetView>
  </sheetViews>
  <sheetFormatPr defaultRowHeight="15"/>
  <cols>
    <col min="1" max="1" width="14.7109375" customWidth="1"/>
    <col min="2" max="2" width="22.42578125" bestFit="1" customWidth="1"/>
    <col min="3" max="3" width="14" customWidth="1"/>
    <col min="4" max="4" width="15.140625" bestFit="1" customWidth="1"/>
    <col min="5" max="5" width="15.42578125" customWidth="1"/>
    <col min="6" max="6" width="16.85546875" bestFit="1" customWidth="1"/>
    <col min="7" max="7" width="14.42578125" bestFit="1" customWidth="1"/>
    <col min="8" max="8" width="20.85546875" bestFit="1" customWidth="1"/>
    <col min="9" max="9" width="27.42578125" bestFit="1" customWidth="1"/>
  </cols>
  <sheetData>
    <row r="1" spans="1:9">
      <c r="A1" t="s">
        <v>27</v>
      </c>
      <c r="B1" t="s">
        <v>7</v>
      </c>
      <c r="C1" t="s">
        <v>8</v>
      </c>
      <c r="D1" t="s">
        <v>9</v>
      </c>
      <c r="E1" t="s">
        <v>10</v>
      </c>
      <c r="F1" t="s">
        <v>11</v>
      </c>
      <c r="G1" t="s">
        <v>12</v>
      </c>
      <c r="H1" t="s">
        <v>17</v>
      </c>
      <c r="I1" t="s">
        <v>28</v>
      </c>
    </row>
    <row r="2" spans="1:9">
      <c r="A2" s="6"/>
      <c r="B2" s="6"/>
      <c r="C2" s="6"/>
      <c r="D2" s="6"/>
      <c r="E2" s="6"/>
      <c r="F2" s="6"/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StockOverview</vt:lpstr>
      <vt:lpstr>Reservation</vt:lpstr>
      <vt:lpstr>Client</vt:lpstr>
      <vt:lpstr>ReservationData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my.nguyen</dc:creator>
  <cp:lastModifiedBy>Quang</cp:lastModifiedBy>
  <cp:lastPrinted>2015-05-13T12:22:58Z</cp:lastPrinted>
  <dcterms:created xsi:type="dcterms:W3CDTF">2015-03-27T06:16:18Z</dcterms:created>
  <dcterms:modified xsi:type="dcterms:W3CDTF">2016-12-12T03:11:49Z</dcterms:modified>
</cp:coreProperties>
</file>