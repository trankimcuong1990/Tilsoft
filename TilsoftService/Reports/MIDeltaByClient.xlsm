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DeltaByClient" sheetId="1" r:id="rId1"/>
    <sheet name="template" sheetId="3" r:id="rId2"/>
    <sheet name="Data1" sheetId="2" r:id="rId3"/>
    <sheet name="Tmp" sheetId="5" r:id="rId4"/>
  </sheets>
  <definedNames>
    <definedName name="_xlnm._FilterDatabase" localSheetId="0" hidden="1">DeltaByClient!$A$6:$T$6</definedName>
    <definedName name="_xlnm._FilterDatabase" localSheetId="1" hidden="1">template!$A$6:$T$6</definedName>
  </definedNames>
  <calcPr calcId="152511"/>
</workbook>
</file>

<file path=xl/calcChain.xml><?xml version="1.0" encoding="utf-8"?>
<calcChain xmlns="http://schemas.openxmlformats.org/spreadsheetml/2006/main">
  <c r="O5" i="3" l="1"/>
  <c r="O4" i="3"/>
  <c r="O7" i="3"/>
  <c r="N7" i="3"/>
  <c r="N5" i="3" s="1"/>
  <c r="M7" i="3"/>
  <c r="M5" i="3" s="1"/>
  <c r="O5" i="1"/>
  <c r="N4" i="1"/>
  <c r="O7" i="1"/>
  <c r="O4" i="1" s="1"/>
  <c r="N7" i="1"/>
  <c r="N5" i="1" s="1"/>
  <c r="T7" i="3"/>
  <c r="T4" i="3" s="1"/>
  <c r="S7" i="3"/>
  <c r="S4" i="3" s="1"/>
  <c r="R7" i="3"/>
  <c r="R4" i="3" s="1"/>
  <c r="Q7" i="3"/>
  <c r="Q5" i="3" s="1"/>
  <c r="P7" i="3"/>
  <c r="L7" i="3"/>
  <c r="L5" i="3" s="1"/>
  <c r="K7" i="3"/>
  <c r="K4" i="3" s="1"/>
  <c r="J7" i="3"/>
  <c r="J5" i="3" s="1"/>
  <c r="I7" i="3"/>
  <c r="I4" i="3" s="1"/>
  <c r="H7" i="3"/>
  <c r="G7" i="3"/>
  <c r="F7" i="3"/>
  <c r="F4" i="3" s="1"/>
  <c r="E7" i="3"/>
  <c r="D7" i="3"/>
  <c r="C7" i="3"/>
  <c r="B7" i="3"/>
  <c r="A7" i="3"/>
  <c r="R5" i="3"/>
  <c r="P5" i="3"/>
  <c r="E5" i="3"/>
  <c r="P4" i="3"/>
  <c r="G4" i="3"/>
  <c r="E4" i="3"/>
  <c r="I1" i="3"/>
  <c r="T7" i="1"/>
  <c r="T4" i="1" s="1"/>
  <c r="S7" i="1"/>
  <c r="S5" i="1" s="1"/>
  <c r="R7" i="1"/>
  <c r="R5" i="1" s="1"/>
  <c r="Q7" i="1"/>
  <c r="Q5" i="1" s="1"/>
  <c r="P7" i="1"/>
  <c r="P5" i="1" s="1"/>
  <c r="M7" i="1"/>
  <c r="M5" i="1" s="1"/>
  <c r="L7" i="1"/>
  <c r="L4" i="1" s="1"/>
  <c r="K7" i="1"/>
  <c r="K4" i="1" s="1"/>
  <c r="J7" i="1"/>
  <c r="J4" i="1" s="1"/>
  <c r="I7" i="1"/>
  <c r="I4" i="1" s="1"/>
  <c r="H7" i="1"/>
  <c r="G7" i="1"/>
  <c r="F7" i="1"/>
  <c r="F5" i="1" s="1"/>
  <c r="E7" i="1"/>
  <c r="E4" i="1" s="1"/>
  <c r="D7" i="1"/>
  <c r="C7" i="1"/>
  <c r="B7" i="1"/>
  <c r="A7" i="1"/>
  <c r="I5" i="1"/>
  <c r="Q4" i="1"/>
  <c r="M4" i="1"/>
  <c r="G4" i="1"/>
  <c r="I1" i="1"/>
  <c r="E5" i="1" l="1"/>
  <c r="L4" i="3"/>
  <c r="M4" i="3"/>
  <c r="N4" i="3"/>
  <c r="T5" i="3"/>
  <c r="K5" i="3"/>
  <c r="I5" i="3"/>
  <c r="H5" i="3" s="1"/>
  <c r="S5" i="3"/>
  <c r="F5" i="3"/>
  <c r="Q4" i="3"/>
  <c r="J5" i="1"/>
  <c r="H5" i="1" s="1"/>
  <c r="K5" i="1"/>
  <c r="L5" i="1"/>
  <c r="T5" i="1"/>
  <c r="H4" i="1"/>
  <c r="R4" i="1"/>
  <c r="S4" i="1"/>
  <c r="F4" i="1"/>
  <c r="P4" i="1"/>
  <c r="J4" i="3"/>
  <c r="H4" i="3" s="1"/>
</calcChain>
</file>

<file path=xl/sharedStrings.xml><?xml version="1.0" encoding="utf-8"?>
<sst xmlns="http://schemas.openxmlformats.org/spreadsheetml/2006/main" count="54" uniqueCount="27">
  <si>
    <t>Delta by Client (P/I confirm exclude item without purchasing price confirmed)</t>
  </si>
  <si>
    <t>Season</t>
  </si>
  <si>
    <t>#</t>
  </si>
  <si>
    <t>Client</t>
  </si>
  <si>
    <t>Acc Manager</t>
  </si>
  <si>
    <t>Ordered Qnt</t>
  </si>
  <si>
    <t>Ordered Qnt / 40HC</t>
  </si>
  <si>
    <t>Delta / 40HC</t>
  </si>
  <si>
    <t>Gross Margin</t>
  </si>
  <si>
    <t>Purchasing (USD)</t>
  </si>
  <si>
    <t>Sale (USD)</t>
  </si>
  <si>
    <t>Other Cost</t>
  </si>
  <si>
    <t>Code</t>
  </si>
  <si>
    <t>Name</t>
  </si>
  <si>
    <t>%</t>
  </si>
  <si>
    <t>Amount</t>
  </si>
  <si>
    <t>Testing</t>
  </si>
  <si>
    <t>Transport</t>
  </si>
  <si>
    <t>LC</t>
  </si>
  <si>
    <t>Interest</t>
  </si>
  <si>
    <t>Commission</t>
  </si>
  <si>
    <t>Damage</t>
  </si>
  <si>
    <t>TOTAL</t>
  </si>
  <si>
    <t>SUB-TOTAL</t>
  </si>
  <si>
    <t>Sample</t>
  </si>
  <si>
    <t>Sparepart</t>
  </si>
  <si>
    <t>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</si>
</sst>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"/>
    <numFmt numFmtId="165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28">
    <xf numFmtId="0" fontId="0" fillId="0" borderId="0" xfId="0" applyNumberFormat="1" applyFont="1" applyFill="1" applyBorder="1"/>
    <xf numFmtId="0" fontId="2" fillId="3" borderId="1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/>
    <xf numFmtId="0" fontId="3" fillId="0" borderId="1" xfId="0" applyNumberFormat="1" applyFont="1" applyFill="1" applyBorder="1"/>
    <xf numFmtId="0" fontId="3" fillId="0" borderId="1" xfId="0" applyNumberFormat="1" applyFont="1" applyFill="1" applyBorder="1" applyAlignment="1">
      <alignment horizontal="center"/>
    </xf>
    <xf numFmtId="3" fontId="3" fillId="0" borderId="1" xfId="0" applyNumberFormat="1" applyFont="1" applyFill="1" applyBorder="1" applyAlignment="1">
      <alignment horizontal="right"/>
    </xf>
    <xf numFmtId="164" fontId="3" fillId="0" borderId="1" xfId="0" applyNumberFormat="1" applyFont="1" applyFill="1" applyBorder="1" applyAlignment="1">
      <alignment horizontal="right"/>
    </xf>
    <xf numFmtId="165" fontId="3" fillId="0" borderId="1" xfId="0" applyNumberFormat="1" applyFont="1" applyFill="1" applyBorder="1" applyAlignment="1">
      <alignment horizontal="right"/>
    </xf>
    <xf numFmtId="0" fontId="3" fillId="0" borderId="1" xfId="0" applyNumberFormat="1" applyFont="1" applyFill="1" applyBorder="1" applyAlignment="1">
      <alignment horizontal="left"/>
    </xf>
    <xf numFmtId="0" fontId="3" fillId="0" borderId="0" xfId="0" applyNumberFormat="1" applyFont="1" applyFill="1" applyBorder="1"/>
    <xf numFmtId="3" fontId="2" fillId="2" borderId="1" xfId="0" applyNumberFormat="1" applyFont="1" applyFill="1" applyBorder="1"/>
    <xf numFmtId="4" fontId="2" fillId="2" borderId="1" xfId="0" applyNumberFormat="1" applyFont="1" applyFill="1" applyBorder="1"/>
    <xf numFmtId="165" fontId="2" fillId="2" borderId="1" xfId="0" applyNumberFormat="1" applyFont="1" applyFill="1" applyBorder="1"/>
    <xf numFmtId="10" fontId="2" fillId="2" borderId="1" xfId="1" applyNumberFormat="1" applyFont="1" applyFill="1" applyBorder="1"/>
    <xf numFmtId="0" fontId="2" fillId="3" borderId="1" xfId="0" applyNumberFormat="1" applyFont="1" applyFill="1" applyBorder="1" applyAlignment="1">
      <alignment horizontal="center" vertical="center" wrapText="1"/>
    </xf>
    <xf numFmtId="10" fontId="2" fillId="0" borderId="1" xfId="1" applyNumberFormat="1" applyFont="1" applyFill="1" applyBorder="1" applyAlignment="1">
      <alignment horizontal="right"/>
    </xf>
    <xf numFmtId="165" fontId="2" fillId="0" borderId="1" xfId="0" applyNumberFormat="1" applyFont="1" applyFill="1" applyBorder="1" applyAlignment="1">
      <alignment horizontal="right"/>
    </xf>
    <xf numFmtId="0" fontId="4" fillId="0" borderId="0" xfId="0" applyNumberFormat="1" applyFont="1" applyFill="1" applyBorder="1"/>
    <xf numFmtId="0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center" vertical="center" wrapText="1"/>
    </xf>
    <xf numFmtId="0" fontId="2" fillId="3" borderId="2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4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right"/>
    </xf>
    <xf numFmtId="0" fontId="2" fillId="2" borderId="3" xfId="0" applyNumberFormat="1" applyFont="1" applyFill="1" applyBorder="1" applyAlignment="1">
      <alignment horizontal="right"/>
    </xf>
    <xf numFmtId="0" fontId="2" fillId="2" borderId="4" xfId="0" applyNumberFormat="1" applyFont="1" applyFill="1" applyBorder="1" applyAlignment="1">
      <alignment horizontal="right"/>
    </xf>
    <xf numFmtId="0" fontId="2" fillId="3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4.4" x14ac:dyDescent="0.3"/>
  <cols>
    <col min="1" max="1" width="5.109375" customWidth="1"/>
    <col min="3" max="3" width="24.6640625" customWidth="1"/>
    <col min="5" max="5" width="8.88671875" customWidth="1"/>
    <col min="6" max="6" width="9.5546875" customWidth="1"/>
    <col min="7" max="7" width="11.33203125" customWidth="1"/>
    <col min="8" max="8" width="8" customWidth="1"/>
    <col min="9" max="15" width="14.6640625" customWidth="1"/>
    <col min="16" max="20" width="12.6640625" customWidth="1"/>
  </cols>
  <sheetData>
    <row r="1" spans="1:20" x14ac:dyDescent="0.3">
      <c r="A1" s="17" t="s">
        <v>0</v>
      </c>
      <c r="D1" s="9"/>
      <c r="E1" s="9"/>
      <c r="H1" s="9" t="s">
        <v>1</v>
      </c>
      <c r="I1" s="9">
        <f>Data1!F2</f>
        <v>0</v>
      </c>
    </row>
    <row r="2" spans="1:20" x14ac:dyDescent="0.3">
      <c r="A2" s="27" t="s">
        <v>2</v>
      </c>
      <c r="B2" s="27" t="s">
        <v>3</v>
      </c>
      <c r="C2" s="27"/>
      <c r="D2" s="27" t="s">
        <v>4</v>
      </c>
      <c r="E2" s="27" t="s">
        <v>5</v>
      </c>
      <c r="F2" s="27" t="s">
        <v>6</v>
      </c>
      <c r="G2" s="27" t="s">
        <v>7</v>
      </c>
      <c r="H2" s="27" t="s">
        <v>8</v>
      </c>
      <c r="I2" s="27"/>
      <c r="J2" s="27" t="s">
        <v>9</v>
      </c>
      <c r="K2" s="27" t="s">
        <v>10</v>
      </c>
      <c r="L2" s="21" t="s">
        <v>11</v>
      </c>
      <c r="M2" s="22"/>
      <c r="N2" s="22"/>
      <c r="O2" s="22"/>
      <c r="P2" s="22"/>
      <c r="Q2" s="22"/>
      <c r="R2" s="22"/>
      <c r="S2" s="22"/>
      <c r="T2" s="23"/>
    </row>
    <row r="3" spans="1:20" x14ac:dyDescent="0.3">
      <c r="A3" s="27"/>
      <c r="B3" s="1" t="s">
        <v>12</v>
      </c>
      <c r="C3" s="1" t="s">
        <v>13</v>
      </c>
      <c r="D3" s="27"/>
      <c r="E3" s="27"/>
      <c r="F3" s="27"/>
      <c r="G3" s="27"/>
      <c r="H3" s="1" t="s">
        <v>14</v>
      </c>
      <c r="I3" s="1" t="s">
        <v>15</v>
      </c>
      <c r="J3" s="27"/>
      <c r="K3" s="27"/>
      <c r="L3" s="18" t="s">
        <v>16</v>
      </c>
      <c r="M3" s="19" t="s">
        <v>24</v>
      </c>
      <c r="N3" s="20" t="s">
        <v>25</v>
      </c>
      <c r="O3" s="20" t="s">
        <v>26</v>
      </c>
      <c r="P3" s="1" t="s">
        <v>17</v>
      </c>
      <c r="Q3" s="1" t="s">
        <v>18</v>
      </c>
      <c r="R3" s="1" t="s">
        <v>19</v>
      </c>
      <c r="S3" s="1" t="s">
        <v>20</v>
      </c>
      <c r="T3" s="1" t="s">
        <v>21</v>
      </c>
    </row>
    <row r="4" spans="1:20" x14ac:dyDescent="0.3">
      <c r="A4" s="24" t="s">
        <v>22</v>
      </c>
      <c r="B4" s="25"/>
      <c r="C4" s="25"/>
      <c r="D4" s="26"/>
      <c r="E4" s="10">
        <f>SUM(E7:E2000)</f>
        <v>0</v>
      </c>
      <c r="F4" s="11">
        <f>SUM(F7:F2000)</f>
        <v>0</v>
      </c>
      <c r="G4" s="12">
        <f>AVERAGE(G7:G2000)</f>
        <v>0</v>
      </c>
      <c r="H4" s="13" t="e">
        <f>I4/J4</f>
        <v>#DIV/0!</v>
      </c>
      <c r="I4" s="12">
        <f t="shared" ref="I4:T4" si="0">SUM(I7:I2000)</f>
        <v>0</v>
      </c>
      <c r="J4" s="12">
        <f t="shared" si="0"/>
        <v>0</v>
      </c>
      <c r="K4" s="12">
        <f t="shared" si="0"/>
        <v>0</v>
      </c>
      <c r="L4" s="12">
        <f>SUM(L7:L2000)</f>
        <v>0</v>
      </c>
      <c r="M4" s="12">
        <f>SUM(M7:M2000)</f>
        <v>0</v>
      </c>
      <c r="N4" s="12">
        <f t="shared" ref="N4:O4" si="1">SUM(N7:N2000)</f>
        <v>0</v>
      </c>
      <c r="O4" s="12">
        <f t="shared" si="1"/>
        <v>0</v>
      </c>
      <c r="P4" s="12">
        <f t="shared" si="0"/>
        <v>0</v>
      </c>
      <c r="Q4" s="12">
        <f t="shared" si="0"/>
        <v>0</v>
      </c>
      <c r="R4" s="12">
        <f t="shared" si="0"/>
        <v>0</v>
      </c>
      <c r="S4" s="12">
        <f t="shared" si="0"/>
        <v>0</v>
      </c>
      <c r="T4" s="12">
        <f t="shared" si="0"/>
        <v>0</v>
      </c>
    </row>
    <row r="5" spans="1:20" x14ac:dyDescent="0.3">
      <c r="A5" s="24" t="s">
        <v>23</v>
      </c>
      <c r="B5" s="25"/>
      <c r="C5" s="25"/>
      <c r="D5" s="26"/>
      <c r="E5" s="10">
        <f>SUBTOTAL(9,E7:E2000)</f>
        <v>0</v>
      </c>
      <c r="F5" s="11">
        <f>SUBTOTAL(9,F7:F2000)</f>
        <v>0</v>
      </c>
      <c r="G5" s="2"/>
      <c r="H5" s="13" t="e">
        <f>I5/J5</f>
        <v>#DIV/0!</v>
      </c>
      <c r="I5" s="12">
        <f t="shared" ref="I5:T5" si="2">SUBTOTAL(9,I7:I2000)</f>
        <v>0</v>
      </c>
      <c r="J5" s="12">
        <f t="shared" si="2"/>
        <v>0</v>
      </c>
      <c r="K5" s="12">
        <f t="shared" si="2"/>
        <v>0</v>
      </c>
      <c r="L5" s="12">
        <f>SUBTOTAL(9,L7:L2000)</f>
        <v>0</v>
      </c>
      <c r="M5" s="12">
        <f>SUBTOTAL(9,M7:M2000)</f>
        <v>0</v>
      </c>
      <c r="N5" s="12">
        <f t="shared" ref="N5:O5" si="3">SUBTOTAL(9,N7:N2000)</f>
        <v>0</v>
      </c>
      <c r="O5" s="12">
        <f t="shared" si="3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</row>
    <row r="6" spans="1:20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x14ac:dyDescent="0.3">
      <c r="A7" s="3">
        <f>ROW()-6</f>
        <v>1</v>
      </c>
      <c r="B7" s="4">
        <f>Data1!C2</f>
        <v>0</v>
      </c>
      <c r="C7" s="8">
        <f>Data1!D2</f>
        <v>0</v>
      </c>
      <c r="D7" s="4" t="str">
        <f>IF(ISBLANK(Data1!E2), "UNKNOW",Data1!E2)</f>
        <v>UNKNOW</v>
      </c>
      <c r="E7" s="5">
        <f>Data1!G2</f>
        <v>0</v>
      </c>
      <c r="F7" s="6">
        <f>Data1!H2</f>
        <v>0</v>
      </c>
      <c r="G7" s="7">
        <f>Data1!I2</f>
        <v>0</v>
      </c>
      <c r="H7" s="15">
        <f>Data1!R2/100</f>
        <v>0</v>
      </c>
      <c r="I7" s="16">
        <f>Data1!Q2</f>
        <v>0</v>
      </c>
      <c r="J7" s="7">
        <f>Data1!J2</f>
        <v>0</v>
      </c>
      <c r="K7" s="16">
        <f>Data1!K2</f>
        <v>0</v>
      </c>
      <c r="L7" s="7">
        <f>Data1!T2</f>
        <v>0</v>
      </c>
      <c r="M7" s="7">
        <f>Data1!U2</f>
        <v>0</v>
      </c>
      <c r="N7" s="7">
        <f>Data1!W2</f>
        <v>0</v>
      </c>
      <c r="O7" s="7">
        <f>Data1!V2</f>
        <v>0</v>
      </c>
      <c r="P7" s="7">
        <f>Data1!L2</f>
        <v>0</v>
      </c>
      <c r="Q7" s="7">
        <f>Data1!M2</f>
        <v>0</v>
      </c>
      <c r="R7" s="7">
        <f>Data1!N2</f>
        <v>0</v>
      </c>
      <c r="S7" s="7">
        <f>Data1!O2</f>
        <v>0</v>
      </c>
      <c r="T7" s="7">
        <f>Data1!P2</f>
        <v>0</v>
      </c>
    </row>
  </sheetData>
  <autoFilter ref="A6:T6"/>
  <mergeCells count="12">
    <mergeCell ref="L2:T2"/>
    <mergeCell ref="A4:D4"/>
    <mergeCell ref="A5:D5"/>
    <mergeCell ref="B2:C2"/>
    <mergeCell ref="H2:I2"/>
    <mergeCell ref="D2:D3"/>
    <mergeCell ref="A2:A3"/>
    <mergeCell ref="E2:E3"/>
    <mergeCell ref="F2:F3"/>
    <mergeCell ref="G2:G3"/>
    <mergeCell ref="J2:J3"/>
    <mergeCell ref="K2:K3"/>
  </mergeCells>
  <conditionalFormatting sqref="H7:I7">
    <cfRule type="cellIs" dxfId="1" priority="1" operator="lessThan">
      <formula>0</formula>
    </cfRule>
  </conditionalFormatting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7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4.4" x14ac:dyDescent="0.3"/>
  <cols>
    <col min="1" max="1" width="5.109375" customWidth="1"/>
    <col min="3" max="3" width="24.6640625" customWidth="1"/>
    <col min="5" max="5" width="8.88671875" customWidth="1"/>
    <col min="6" max="6" width="9.5546875" customWidth="1"/>
    <col min="7" max="7" width="11.33203125" customWidth="1"/>
    <col min="8" max="8" width="8" customWidth="1"/>
    <col min="9" max="15" width="14.6640625" customWidth="1"/>
    <col min="16" max="20" width="12.6640625" customWidth="1"/>
  </cols>
  <sheetData>
    <row r="1" spans="1:20" x14ac:dyDescent="0.3">
      <c r="A1" s="17" t="s">
        <v>0</v>
      </c>
      <c r="D1" s="9"/>
      <c r="E1" s="9"/>
      <c r="H1" s="9" t="s">
        <v>1</v>
      </c>
      <c r="I1" s="9">
        <f>Data1!F2</f>
        <v>0</v>
      </c>
    </row>
    <row r="2" spans="1:20" x14ac:dyDescent="0.3">
      <c r="A2" s="27" t="s">
        <v>2</v>
      </c>
      <c r="B2" s="27" t="s">
        <v>3</v>
      </c>
      <c r="C2" s="27"/>
      <c r="D2" s="27" t="s">
        <v>4</v>
      </c>
      <c r="E2" s="27" t="s">
        <v>5</v>
      </c>
      <c r="F2" s="27" t="s">
        <v>6</v>
      </c>
      <c r="G2" s="27" t="s">
        <v>7</v>
      </c>
      <c r="H2" s="27" t="s">
        <v>8</v>
      </c>
      <c r="I2" s="27"/>
      <c r="J2" s="27" t="s">
        <v>9</v>
      </c>
      <c r="K2" s="27" t="s">
        <v>10</v>
      </c>
      <c r="L2" s="21" t="s">
        <v>11</v>
      </c>
      <c r="M2" s="22"/>
      <c r="N2" s="22"/>
      <c r="O2" s="22"/>
      <c r="P2" s="22"/>
      <c r="Q2" s="22"/>
      <c r="R2" s="22"/>
      <c r="S2" s="22"/>
      <c r="T2" s="23"/>
    </row>
    <row r="3" spans="1:20" x14ac:dyDescent="0.3">
      <c r="A3" s="27"/>
      <c r="B3" s="14" t="s">
        <v>12</v>
      </c>
      <c r="C3" s="14" t="s">
        <v>13</v>
      </c>
      <c r="D3" s="27"/>
      <c r="E3" s="27"/>
      <c r="F3" s="27"/>
      <c r="G3" s="27"/>
      <c r="H3" s="14" t="s">
        <v>14</v>
      </c>
      <c r="I3" s="14" t="s">
        <v>15</v>
      </c>
      <c r="J3" s="27"/>
      <c r="K3" s="27"/>
      <c r="L3" s="18" t="s">
        <v>16</v>
      </c>
      <c r="M3" s="20" t="s">
        <v>24</v>
      </c>
      <c r="N3" s="20" t="s">
        <v>25</v>
      </c>
      <c r="O3" s="20" t="s">
        <v>26</v>
      </c>
      <c r="P3" s="14" t="s">
        <v>17</v>
      </c>
      <c r="Q3" s="14" t="s">
        <v>18</v>
      </c>
      <c r="R3" s="14" t="s">
        <v>19</v>
      </c>
      <c r="S3" s="14" t="s">
        <v>20</v>
      </c>
      <c r="T3" s="14" t="s">
        <v>21</v>
      </c>
    </row>
    <row r="4" spans="1:20" x14ac:dyDescent="0.3">
      <c r="A4" s="24" t="s">
        <v>22</v>
      </c>
      <c r="B4" s="25"/>
      <c r="C4" s="25"/>
      <c r="D4" s="26"/>
      <c r="E4" s="10">
        <f>SUM(E7:E2000)</f>
        <v>0</v>
      </c>
      <c r="F4" s="11">
        <f>SUM(F7:F2000)</f>
        <v>0</v>
      </c>
      <c r="G4" s="12">
        <f>AVERAGE(G7:G2000)</f>
        <v>0</v>
      </c>
      <c r="H4" s="13" t="e">
        <f>I4/J4</f>
        <v>#DIV/0!</v>
      </c>
      <c r="I4" s="12">
        <f t="shared" ref="I4:T4" si="0">SUM(I7:I2000)</f>
        <v>0</v>
      </c>
      <c r="J4" s="12">
        <f t="shared" si="0"/>
        <v>0</v>
      </c>
      <c r="K4" s="12">
        <f t="shared" si="0"/>
        <v>0</v>
      </c>
      <c r="L4" s="12">
        <f>SUM(L7:L2000)</f>
        <v>0</v>
      </c>
      <c r="M4" s="12">
        <f t="shared" ref="M4:O4" si="1">SUM(M7:M2000)</f>
        <v>0</v>
      </c>
      <c r="N4" s="12">
        <f t="shared" si="1"/>
        <v>0</v>
      </c>
      <c r="O4" s="12">
        <f t="shared" si="1"/>
        <v>0</v>
      </c>
      <c r="P4" s="12">
        <f t="shared" si="0"/>
        <v>0</v>
      </c>
      <c r="Q4" s="12">
        <f t="shared" si="0"/>
        <v>0</v>
      </c>
      <c r="R4" s="12">
        <f t="shared" si="0"/>
        <v>0</v>
      </c>
      <c r="S4" s="12">
        <f t="shared" si="0"/>
        <v>0</v>
      </c>
      <c r="T4" s="12">
        <f t="shared" si="0"/>
        <v>0</v>
      </c>
    </row>
    <row r="5" spans="1:20" x14ac:dyDescent="0.3">
      <c r="A5" s="24" t="s">
        <v>23</v>
      </c>
      <c r="B5" s="25"/>
      <c r="C5" s="25"/>
      <c r="D5" s="26"/>
      <c r="E5" s="10">
        <f>SUBTOTAL(9,E7:E2000)</f>
        <v>0</v>
      </c>
      <c r="F5" s="11">
        <f>SUBTOTAL(9,F7:F2000)</f>
        <v>0</v>
      </c>
      <c r="G5" s="2"/>
      <c r="H5" s="13" t="e">
        <f>I5/J5</f>
        <v>#DIV/0!</v>
      </c>
      <c r="I5" s="12">
        <f t="shared" ref="I5:T5" si="2">SUBTOTAL(9,I7:I2000)</f>
        <v>0</v>
      </c>
      <c r="J5" s="12">
        <f t="shared" si="2"/>
        <v>0</v>
      </c>
      <c r="K5" s="12">
        <f t="shared" si="2"/>
        <v>0</v>
      </c>
      <c r="L5" s="12">
        <f>SUBTOTAL(9,L7:L2000)</f>
        <v>0</v>
      </c>
      <c r="M5" s="12">
        <f t="shared" ref="M5:O5" si="3">SUBTOTAL(9,M7:M2000)</f>
        <v>0</v>
      </c>
      <c r="N5" s="12">
        <f t="shared" si="3"/>
        <v>0</v>
      </c>
      <c r="O5" s="12">
        <f t="shared" si="3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</row>
    <row r="6" spans="1:20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x14ac:dyDescent="0.3">
      <c r="A7" s="3">
        <f>ROW()-6</f>
        <v>1</v>
      </c>
      <c r="B7" s="4">
        <f>Data1!C2</f>
        <v>0</v>
      </c>
      <c r="C7" s="8">
        <f>Data1!D2</f>
        <v>0</v>
      </c>
      <c r="D7" s="4">
        <f>Data1!E2</f>
        <v>0</v>
      </c>
      <c r="E7" s="5">
        <f>Data1!G2</f>
        <v>0</v>
      </c>
      <c r="F7" s="6">
        <f>Data1!H2</f>
        <v>0</v>
      </c>
      <c r="G7" s="7">
        <f>Data1!I2</f>
        <v>0</v>
      </c>
      <c r="H7" s="15">
        <f>Data1!R2/100</f>
        <v>0</v>
      </c>
      <c r="I7" s="16">
        <f>Data1!Q2</f>
        <v>0</v>
      </c>
      <c r="J7" s="7">
        <f>Data1!J2</f>
        <v>0</v>
      </c>
      <c r="K7" s="16">
        <f>Data1!K2</f>
        <v>0</v>
      </c>
      <c r="L7" s="16">
        <f>Data1!T2</f>
        <v>0</v>
      </c>
      <c r="M7" s="16">
        <f>Data1!U2</f>
        <v>0</v>
      </c>
      <c r="N7" s="16">
        <f>Data1!W2</f>
        <v>0</v>
      </c>
      <c r="O7" s="16">
        <f>Data1!V2</f>
        <v>0</v>
      </c>
      <c r="P7" s="7">
        <f>Data1!L2</f>
        <v>0</v>
      </c>
      <c r="Q7" s="7">
        <f>Data1!M2</f>
        <v>0</v>
      </c>
      <c r="R7" s="7">
        <f>Data1!N2</f>
        <v>0</v>
      </c>
      <c r="S7" s="7">
        <f>Data1!O2</f>
        <v>0</v>
      </c>
      <c r="T7" s="7">
        <f>Data1!P2</f>
        <v>0</v>
      </c>
    </row>
  </sheetData>
  <autoFilter ref="A6:T6"/>
  <mergeCells count="12">
    <mergeCell ref="A5:D5"/>
    <mergeCell ref="A2:A3"/>
    <mergeCell ref="B2:C2"/>
    <mergeCell ref="D2:D3"/>
    <mergeCell ref="E2:E3"/>
    <mergeCell ref="L2:T2"/>
    <mergeCell ref="H2:I2"/>
    <mergeCell ref="J2:J3"/>
    <mergeCell ref="K2:K3"/>
    <mergeCell ref="A4:D4"/>
    <mergeCell ref="F2:F3"/>
    <mergeCell ref="G2:G3"/>
  </mergeCells>
  <conditionalFormatting sqref="H7:I7">
    <cfRule type="cellIs" dxfId="0" priority="1" operator="lessThan">
      <formula>0</formula>
    </cfRule>
  </conditionalFormatting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C1" workbookViewId="0">
      <selection activeCell="C1" sqref="A1:XFD1048576"/>
    </sheetView>
  </sheetViews>
  <sheetFormatPr defaultRowHeight="14.4" x14ac:dyDescent="0.3"/>
  <cols>
    <col min="7" max="7" width="14" bestFit="1" customWidth="1"/>
    <col min="8" max="8" width="20.88671875" bestFit="1" customWidth="1"/>
  </cols>
  <sheetData/>
  <sortState ref="A2:S168">
    <sortCondition ref="E2:E16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DeltaByClient</vt:lpstr>
      <vt:lpstr>template</vt:lpstr>
      <vt:lpstr>Data1</vt:lpstr>
      <vt:lpstr>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2019-10-15T08:29:04Z</dcterms:modified>
</cp:coreProperties>
</file>