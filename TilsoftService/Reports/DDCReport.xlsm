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DDC" sheetId="6" r:id="rId1"/>
    <sheet name="UniqueSaleUD" sheetId="7" r:id="rId2"/>
    <sheet name="Data1" sheetId="2" r:id="rId3"/>
    <sheet name="Data2" sheetId="3" r:id="rId4"/>
    <sheet name="Data3" sheetId="4" r:id="rId5"/>
    <sheet name="Data4" sheetId="5" r:id="rId6"/>
  </sheets>
  <definedNames>
    <definedName name="_xlnm._FilterDatabase" localSheetId="0" hidden="1">DDC!$A$17:$BV$17</definedName>
  </definedNames>
  <calcPr calcId="162913"/>
</workbook>
</file>

<file path=xl/calcChain.xml><?xml version="1.0" encoding="utf-8"?>
<calcChain xmlns="http://schemas.openxmlformats.org/spreadsheetml/2006/main">
  <c r="Z18" i="6" l="1"/>
  <c r="Z14" i="6" l="1"/>
  <c r="Z13" i="6"/>
  <c r="B9" i="6" l="1"/>
  <c r="BH18" i="6" l="1"/>
  <c r="BH14" i="6" s="1"/>
  <c r="BG18" i="6"/>
  <c r="BG14" i="6" s="1"/>
  <c r="BO18" i="6"/>
  <c r="BO14" i="6" s="1"/>
  <c r="BN18" i="6"/>
  <c r="BN14" i="6" s="1"/>
  <c r="BM18" i="6"/>
  <c r="BM14" i="6" s="1"/>
  <c r="BL18" i="6"/>
  <c r="BL14" i="6" s="1"/>
  <c r="BK18" i="6"/>
  <c r="BK14" i="6" s="1"/>
  <c r="BJ18" i="6"/>
  <c r="BJ14" i="6" s="1"/>
  <c r="BE18" i="6"/>
  <c r="BE14" i="6" s="1"/>
  <c r="BD18" i="6"/>
  <c r="BD14" i="6" s="1"/>
  <c r="AZ18" i="6"/>
  <c r="AY18" i="6"/>
  <c r="AX18" i="6"/>
  <c r="AW18" i="6"/>
  <c r="AW13" i="6" s="1"/>
  <c r="AV18" i="6"/>
  <c r="AV14" i="6" s="1"/>
  <c r="AU18" i="6"/>
  <c r="AU14" i="6" s="1"/>
  <c r="AO18" i="6"/>
  <c r="BA18" i="6" s="1"/>
  <c r="AN18" i="6"/>
  <c r="AN14" i="6" s="1"/>
  <c r="AM18" i="6"/>
  <c r="AF18" i="6"/>
  <c r="AF13" i="6" s="1"/>
  <c r="AE18" i="6"/>
  <c r="AE14" i="6" s="1"/>
  <c r="AD18" i="6"/>
  <c r="AD14" i="6" s="1"/>
  <c r="AC18" i="6"/>
  <c r="AC14" i="6" s="1"/>
  <c r="AB18" i="6"/>
  <c r="AB14" i="6" s="1"/>
  <c r="AA18" i="6"/>
  <c r="AA13" i="6" s="1"/>
  <c r="W18" i="6"/>
  <c r="W13" i="6" s="1"/>
  <c r="V18" i="6"/>
  <c r="V14" i="6" s="1"/>
  <c r="U18" i="6"/>
  <c r="U14" i="6" s="1"/>
  <c r="T18" i="6"/>
  <c r="T14" i="6" s="1"/>
  <c r="S18" i="6"/>
  <c r="R18" i="6"/>
  <c r="R13" i="6" s="1"/>
  <c r="Q18" i="6"/>
  <c r="Q13" i="6" s="1"/>
  <c r="P18" i="6"/>
  <c r="P14" i="6" s="1"/>
  <c r="O18" i="6"/>
  <c r="O13" i="6" s="1"/>
  <c r="L18" i="6"/>
  <c r="K18" i="6"/>
  <c r="J18" i="6"/>
  <c r="I18" i="6"/>
  <c r="H18" i="6"/>
  <c r="G18" i="6"/>
  <c r="F18" i="6"/>
  <c r="E18" i="6"/>
  <c r="D18" i="6"/>
  <c r="C18" i="6"/>
  <c r="B18" i="6"/>
  <c r="M9" i="6" s="1"/>
  <c r="A18" i="6"/>
  <c r="W16" i="6"/>
  <c r="R16" i="6"/>
  <c r="L16" i="6"/>
  <c r="K16" i="6"/>
  <c r="AY14" i="6"/>
  <c r="AX14" i="6"/>
  <c r="S14" i="6"/>
  <c r="R14" i="6"/>
  <c r="AN13" i="6"/>
  <c r="AM13" i="6"/>
  <c r="AD13" i="6"/>
  <c r="V13" i="6"/>
  <c r="S13" i="6"/>
  <c r="BQ12" i="6"/>
  <c r="T12" i="6"/>
  <c r="I12" i="6"/>
  <c r="A12" i="6"/>
  <c r="AT11" i="6"/>
  <c r="BQ10" i="6"/>
  <c r="BJ10" i="6"/>
  <c r="AT10" i="6"/>
  <c r="AA10" i="6"/>
  <c r="O10" i="6"/>
  <c r="R8" i="6"/>
  <c r="B8" i="6"/>
  <c r="R7" i="6"/>
  <c r="B7" i="6"/>
  <c r="B6" i="6"/>
  <c r="B5" i="6"/>
  <c r="B4" i="6"/>
  <c r="R3" i="6"/>
  <c r="B3" i="6"/>
  <c r="AF14" i="6" l="1"/>
  <c r="BM13" i="6"/>
  <c r="BN13" i="6"/>
  <c r="AT18" i="6"/>
  <c r="AT14" i="6" s="1"/>
  <c r="J5" i="6"/>
  <c r="P13" i="6"/>
  <c r="L9" i="6"/>
  <c r="J9" i="6"/>
  <c r="H9" i="6"/>
  <c r="C9" i="6"/>
  <c r="AV13" i="6"/>
  <c r="AV15" i="6" s="1"/>
  <c r="BI18" i="6"/>
  <c r="BI14" i="6" s="1"/>
  <c r="BE13" i="6"/>
  <c r="U13" i="6"/>
  <c r="BK13" i="6"/>
  <c r="H6" i="6"/>
  <c r="AC13" i="6"/>
  <c r="BH13" i="6"/>
  <c r="BF18" i="6"/>
  <c r="BG13" i="6"/>
  <c r="W14" i="6"/>
  <c r="X14" i="6" s="1"/>
  <c r="Y14" i="6" s="1"/>
  <c r="H5" i="6"/>
  <c r="O14" i="6"/>
  <c r="L5" i="6"/>
  <c r="M3" i="6"/>
  <c r="M7" i="6"/>
  <c r="R4" i="6"/>
  <c r="H4" i="6"/>
  <c r="J8" i="6"/>
  <c r="T13" i="6"/>
  <c r="AT13" i="6"/>
  <c r="AT15" i="6" s="1"/>
  <c r="C5" i="6"/>
  <c r="L8" i="6"/>
  <c r="Q14" i="6"/>
  <c r="AZ14" i="6"/>
  <c r="L14" i="6" s="1"/>
  <c r="BL13" i="6"/>
  <c r="BA14" i="6"/>
  <c r="BA13" i="6"/>
  <c r="R6" i="6"/>
  <c r="AB13" i="6"/>
  <c r="AU13" i="6"/>
  <c r="AW14" i="6"/>
  <c r="BU18" i="6"/>
  <c r="BU13" i="6" s="1"/>
  <c r="BP18" i="6"/>
  <c r="BP13" i="6" s="1"/>
  <c r="C3" i="6"/>
  <c r="AE13" i="6"/>
  <c r="X18" i="6"/>
  <c r="M18" i="6"/>
  <c r="BB18" i="6"/>
  <c r="BB14" i="6" s="1"/>
  <c r="L3" i="6"/>
  <c r="AU15" i="6"/>
  <c r="J4" i="6"/>
  <c r="C7" i="6"/>
  <c r="BO13" i="6"/>
  <c r="AA14" i="6"/>
  <c r="AR18" i="6"/>
  <c r="L4" i="6"/>
  <c r="BD13" i="6"/>
  <c r="Y18" i="6"/>
  <c r="AO13" i="6"/>
  <c r="K13" i="6" s="1"/>
  <c r="AW15" i="6"/>
  <c r="AG18" i="6"/>
  <c r="AG13" i="6" s="1"/>
  <c r="X13" i="6"/>
  <c r="Y13" i="6" s="1"/>
  <c r="J6" i="6"/>
  <c r="C8" i="6"/>
  <c r="AX13" i="6"/>
  <c r="M4" i="6"/>
  <c r="M8" i="6"/>
  <c r="H3" i="6"/>
  <c r="C4" i="6"/>
  <c r="H7" i="6"/>
  <c r="M5" i="6"/>
  <c r="J3" i="6"/>
  <c r="L6" i="6"/>
  <c r="J7" i="6"/>
  <c r="H8" i="6"/>
  <c r="AY13" i="6"/>
  <c r="BJ13" i="6"/>
  <c r="AM14" i="6"/>
  <c r="AO14" i="6" s="1"/>
  <c r="K14" i="6" s="1"/>
  <c r="AH18" i="6"/>
  <c r="AP18" i="6"/>
  <c r="BQ18" i="6"/>
  <c r="C6" i="6"/>
  <c r="L7" i="6"/>
  <c r="AQ18" i="6"/>
  <c r="BR18" i="6"/>
  <c r="BS18" i="6"/>
  <c r="M6" i="6"/>
  <c r="BT18" i="6"/>
  <c r="BP14" i="6" l="1"/>
  <c r="J2" i="6"/>
  <c r="M2" i="6"/>
  <c r="H2" i="6"/>
  <c r="I9" i="6" s="1"/>
  <c r="AG14" i="6"/>
  <c r="K9" i="6"/>
  <c r="C2" i="6"/>
  <c r="G9" i="6" s="1"/>
  <c r="BI13" i="6"/>
  <c r="BU14" i="6"/>
  <c r="BB13" i="6"/>
  <c r="BC13" i="6" s="1"/>
  <c r="BC18" i="6"/>
  <c r="R5" i="6"/>
  <c r="BC14" i="6"/>
  <c r="N18" i="6"/>
  <c r="G7" i="6"/>
  <c r="BF13" i="6"/>
  <c r="BF14" i="6"/>
  <c r="BR14" i="6"/>
  <c r="BR13" i="6"/>
  <c r="AQ14" i="6"/>
  <c r="AQ13" i="6"/>
  <c r="BV18" i="6"/>
  <c r="BQ14" i="6"/>
  <c r="BQ13" i="6"/>
  <c r="BT13" i="6"/>
  <c r="BT14" i="6"/>
  <c r="AS18" i="6"/>
  <c r="AP14" i="6"/>
  <c r="AP13" i="6"/>
  <c r="AZ13" i="6"/>
  <c r="L13" i="6" s="1"/>
  <c r="AL18" i="6"/>
  <c r="AK18" i="6"/>
  <c r="AH14" i="6"/>
  <c r="AI18" i="6"/>
  <c r="AH13" i="6"/>
  <c r="AJ18" i="6" s="1"/>
  <c r="I8" i="6"/>
  <c r="K3" i="6"/>
  <c r="BS14" i="6"/>
  <c r="BS13" i="6"/>
  <c r="I3" i="6" l="1"/>
  <c r="K6" i="6"/>
  <c r="G4" i="6"/>
  <c r="I7" i="6"/>
  <c r="G3" i="6"/>
  <c r="G8" i="6"/>
  <c r="G5" i="6"/>
  <c r="G6" i="6"/>
  <c r="BV13" i="6"/>
  <c r="BV14" i="6"/>
  <c r="K8" i="6"/>
  <c r="K4" i="6"/>
  <c r="K5" i="6"/>
  <c r="M13" i="6"/>
  <c r="AS13" i="6"/>
  <c r="AR13" i="6"/>
  <c r="N13" i="6" s="1"/>
  <c r="AK13" i="6"/>
  <c r="AI13" i="6"/>
  <c r="AS14" i="6"/>
  <c r="AR14" i="6"/>
  <c r="N14" i="6" s="1"/>
  <c r="M14" i="6"/>
  <c r="K7" i="6"/>
  <c r="AK14" i="6"/>
  <c r="AI14" i="6"/>
  <c r="AJ14" i="6"/>
  <c r="AJ13" i="6"/>
  <c r="I5" i="6"/>
  <c r="I6" i="6"/>
  <c r="I4" i="6"/>
  <c r="AL13" i="6"/>
  <c r="AL14" i="6"/>
  <c r="G2" i="6" l="1"/>
  <c r="I2" i="6"/>
</calcChain>
</file>

<file path=xl/sharedStrings.xml><?xml version="1.0" encoding="utf-8"?>
<sst xmlns="http://schemas.openxmlformats.org/spreadsheetml/2006/main" count="101" uniqueCount="81">
  <si>
    <t>CHINA</t>
  </si>
  <si>
    <t>Expected</t>
  </si>
  <si>
    <t>%OF TOTAL</t>
  </si>
  <si>
    <t>Pro Forma
Total</t>
  </si>
  <si>
    <t>% OF
PFT</t>
  </si>
  <si>
    <t>Pro Forma 
Confirmed</t>
  </si>
  <si>
    <t>% OF 
PFC</t>
  </si>
  <si>
    <t>Delta of delta %</t>
  </si>
  <si>
    <t>Diff in Delta</t>
  </si>
  <si>
    <t>TOTAL:</t>
  </si>
  <si>
    <t>Current Exchange Rate</t>
  </si>
  <si>
    <t>Min Total Expected</t>
  </si>
  <si>
    <t>Avg Total expected</t>
  </si>
  <si>
    <t>Max Total expected</t>
  </si>
  <si>
    <t>Value per Dollar Cont</t>
  </si>
  <si>
    <t>Value per Euro Cont</t>
  </si>
  <si>
    <t>Client details</t>
  </si>
  <si>
    <t>PRO FORMAS CONFIRMED</t>
  </si>
  <si>
    <t>PRO FORMAS TOTAL</t>
  </si>
  <si>
    <t>Signed by client</t>
  </si>
  <si>
    <t>FOB in $</t>
  </si>
  <si>
    <t>Franco in €</t>
  </si>
  <si>
    <t>Total FOB+Franco</t>
  </si>
  <si>
    <t>Offer</t>
  </si>
  <si>
    <t>Valid Offer</t>
  </si>
  <si>
    <t>DELTA</t>
  </si>
  <si>
    <t>DELTA (valid for comparison)</t>
  </si>
  <si>
    <t>COMMERCIAL INVOICE</t>
  </si>
  <si>
    <t>VIETNAM</t>
  </si>
  <si>
    <t>INDO</t>
  </si>
  <si>
    <t>TOTAL</t>
  </si>
  <si>
    <t>#</t>
  </si>
  <si>
    <t>Sales</t>
  </si>
  <si>
    <t>Assist</t>
  </si>
  <si>
    <t>VN Ass</t>
  </si>
  <si>
    <t>VN
Ass 2</t>
  </si>
  <si>
    <t>Agent</t>
  </si>
  <si>
    <t>Year of Business</t>
  </si>
  <si>
    <t>Country</t>
  </si>
  <si>
    <t>Client Code</t>
  </si>
  <si>
    <t>Name Client</t>
  </si>
  <si>
    <t>Offer delta % - Delta %</t>
  </si>
  <si>
    <t>C. qnt.</t>
  </si>
  <si>
    <t>FOB IN USD</t>
  </si>
  <si>
    <t>FRANCO HUIS IN EURO</t>
  </si>
  <si>
    <t>% Delta</t>
  </si>
  <si>
    <t>Gap</t>
  </si>
  <si>
    <t>Relative Gap</t>
  </si>
  <si>
    <t>MIN IN $ INCL T.</t>
  </si>
  <si>
    <t>AVG. IN $ INCL. T.</t>
  </si>
  <si>
    <t>MAX IN $ INCL T.</t>
  </si>
  <si>
    <t>MIN IN EURO INCL T.</t>
  </si>
  <si>
    <t>AVG. IN EURO INCL. T.</t>
  </si>
  <si>
    <t>MAX IN EURO INCL T.</t>
  </si>
  <si>
    <t>Total C.qnt</t>
  </si>
  <si>
    <t>TOTAL EXPECTED</t>
  </si>
  <si>
    <t>% Delta turn over last year</t>
  </si>
  <si>
    <t>% of Total</t>
  </si>
  <si>
    <t>Delta turn over</t>
  </si>
  <si>
    <t>GAP: (EXP - PRO FORMA)</t>
  </si>
  <si>
    <t>PURCHASING</t>
  </si>
  <si>
    <t>%</t>
  </si>
  <si>
    <t>TOTAL SALE</t>
  </si>
  <si>
    <t>C. qnt</t>
  </si>
  <si>
    <t>FRANCO IN EUR</t>
  </si>
  <si>
    <t>USD</t>
  </si>
  <si>
    <t>EUR</t>
  </si>
  <si>
    <t>WICKER</t>
  </si>
  <si>
    <t>WICKER Promo</t>
  </si>
  <si>
    <t>WOOD Acacia</t>
  </si>
  <si>
    <t>WOOD Teak</t>
  </si>
  <si>
    <t>All Materials</t>
  </si>
  <si>
    <t>TOTAL CONT. Qnt</t>
  </si>
  <si>
    <t>WOOD:                Acacia</t>
  </si>
  <si>
    <t>WOOD:         Teak</t>
  </si>
  <si>
    <t>ALL Materials</t>
  </si>
  <si>
    <t>ALL materials</t>
  </si>
  <si>
    <t>TOTAL CONT. Qnt.</t>
  </si>
  <si>
    <t>SALES FORCAST</t>
  </si>
  <si>
    <t>Total Converted to EUR</t>
  </si>
  <si>
    <t>P/I-EXP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</si>
</sst>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_-[$€-2]\ * #,##0_-;\-[$€-2]\ * #,##0_-;_-[$€-2]\ * &quot;-&quot;_-;_-@_-"/>
    <numFmt numFmtId="165" formatCode="&quot;€&quot;\ #,##0"/>
    <numFmt numFmtId="166" formatCode="_-[$$-409]* #,##0.00_ ;_-[$$-409]* \-#,##0.00\ ;_-[$$-409]* &quot;-&quot;??_ ;_-@_ "/>
    <numFmt numFmtId="167" formatCode="_-[$€-2]\ * #,##0.00_-;\-[$€-2]\ * #,##0.00_-;_-[$€-2]\ * &quot;-&quot;??_-;_-@_-"/>
    <numFmt numFmtId="168" formatCode="_-[$$-409]* #,##0_ ;_-[$$-409]* \-#,##0\ ;_-[$$-409]* &quot;-&quot;_ ;_-@_ "/>
    <numFmt numFmtId="169" formatCode="[$€-413]\ #,##0"/>
    <numFmt numFmtId="170" formatCode="_-[$€-2]\ * #,##0_-;\-[$€-2]\ * #,##0_-;_-[$€-2]\ * &quot;-&quot;??_-;_-@_-"/>
    <numFmt numFmtId="171" formatCode="0.0"/>
    <numFmt numFmtId="172" formatCode="[$-413]d\ mmmm\ yyyy;@"/>
    <numFmt numFmtId="173" formatCode="[$-409]dd\-mmm\-yy;@"/>
    <numFmt numFmtId="174" formatCode="&quot;$&quot;#,##0.00"/>
    <numFmt numFmtId="175" formatCode="0.0%"/>
    <numFmt numFmtId="176" formatCode="#,##0.0_ ;\-#,##0.0\ "/>
    <numFmt numFmtId="177" formatCode="[$$-409]#,##0"/>
    <numFmt numFmtId="178" formatCode="_-[$$-409]* #,##0_ ;_-[$$-409]* \-#,##0\ ;_-[$$-409]* &quot;-&quot;??_ ;_-@_ "/>
    <numFmt numFmtId="179" formatCode="#,##0.00_ ;\-#,##0.00\ 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sz val="24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0"/>
      <name val="Tahoma"/>
      <family val="2"/>
    </font>
    <font>
      <sz val="22"/>
      <color rgb="FFFF0000"/>
      <name val="Arial"/>
      <family val="2"/>
    </font>
    <font>
      <b/>
      <sz val="16"/>
      <name val="Arial"/>
      <family val="2"/>
    </font>
    <font>
      <b/>
      <sz val="15"/>
      <name val="Arial"/>
      <family val="2"/>
    </font>
    <font>
      <sz val="22"/>
      <name val="Arial"/>
      <family val="2"/>
    </font>
    <font>
      <b/>
      <sz val="18"/>
      <name val="Tahoma"/>
      <family val="2"/>
    </font>
    <font>
      <sz val="18"/>
      <name val="Arial"/>
      <family val="2"/>
    </font>
    <font>
      <b/>
      <sz val="18"/>
      <color indexed="10"/>
      <name val="Tahoma"/>
      <family val="2"/>
    </font>
    <font>
      <b/>
      <sz val="20"/>
      <color theme="1"/>
      <name val="Calibri"/>
      <family val="2"/>
      <scheme val="minor"/>
    </font>
    <font>
      <b/>
      <sz val="11"/>
      <name val="Arial"/>
      <family val="2"/>
    </font>
    <font>
      <sz val="10"/>
      <color theme="1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BBB5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9" fontId="1" fillId="0" borderId="0"/>
    <xf numFmtId="9" fontId="1" fillId="0" borderId="0"/>
  </cellStyleXfs>
  <cellXfs count="444">
    <xf numFmtId="0" fontId="0" fillId="0" borderId="0" xfId="0" applyNumberFormat="1" applyFont="1" applyFill="1" applyBorder="1"/>
    <xf numFmtId="0" fontId="1" fillId="0" borderId="0" xfId="1" applyNumberFormat="1" applyFont="1" applyFill="1" applyBorder="1"/>
    <xf numFmtId="0" fontId="2" fillId="2" borderId="1" xfId="1" applyNumberFormat="1" applyFont="1" applyFill="1" applyBorder="1" applyAlignment="1">
      <alignment horizontal="center" vertical="center"/>
    </xf>
    <xf numFmtId="0" fontId="2" fillId="2" borderId="2" xfId="1" applyNumberFormat="1" applyFont="1" applyFill="1" applyBorder="1"/>
    <xf numFmtId="0" fontId="3" fillId="2" borderId="6" xfId="1" applyNumberFormat="1" applyFont="1" applyFill="1" applyBorder="1" applyAlignment="1">
      <alignment horizontal="center" vertical="center" wrapText="1"/>
    </xf>
    <xf numFmtId="0" fontId="3" fillId="2" borderId="7" xfId="1" applyNumberFormat="1" applyFont="1" applyFill="1" applyBorder="1" applyAlignment="1">
      <alignment horizontal="center" vertical="center" wrapText="1"/>
    </xf>
    <xf numFmtId="0" fontId="3" fillId="2" borderId="8" xfId="1" applyNumberFormat="1" applyFont="1" applyFill="1" applyBorder="1" applyAlignment="1">
      <alignment horizontal="center" vertical="center" wrapText="1"/>
    </xf>
    <xf numFmtId="0" fontId="1" fillId="2" borderId="0" xfId="1" applyNumberFormat="1" applyFont="1" applyFill="1" applyBorder="1"/>
    <xf numFmtId="0" fontId="1" fillId="2" borderId="0" xfId="1" applyNumberFormat="1" applyFont="1" applyFill="1" applyBorder="1"/>
    <xf numFmtId="0" fontId="4" fillId="2" borderId="0" xfId="1" applyNumberFormat="1" applyFont="1" applyFill="1" applyBorder="1" applyAlignment="1">
      <alignment vertical="center" wrapText="1"/>
    </xf>
    <xf numFmtId="49" fontId="4" fillId="2" borderId="2" xfId="1" applyNumberFormat="1" applyFont="1" applyFill="1" applyBorder="1" applyAlignment="1">
      <alignment vertical="center" wrapText="1"/>
    </xf>
    <xf numFmtId="49" fontId="4" fillId="2" borderId="0" xfId="1" applyNumberFormat="1" applyFont="1" applyFill="1" applyBorder="1" applyAlignment="1">
      <alignment vertical="center" wrapText="1"/>
    </xf>
    <xf numFmtId="2" fontId="3" fillId="2" borderId="0" xfId="1" applyNumberFormat="1" applyFont="1" applyFill="1" applyBorder="1" applyAlignment="1">
      <alignment vertical="center"/>
    </xf>
    <xf numFmtId="0" fontId="1" fillId="3" borderId="0" xfId="1" applyNumberFormat="1" applyFont="1" applyFill="1" applyBorder="1"/>
    <xf numFmtId="0" fontId="3" fillId="3" borderId="0" xfId="1" applyNumberFormat="1" applyFont="1" applyFill="1" applyBorder="1" applyAlignment="1">
      <alignment horizontal="center" vertical="center" wrapText="1"/>
    </xf>
    <xf numFmtId="0" fontId="1" fillId="4" borderId="0" xfId="1" applyNumberFormat="1" applyFont="1" applyFill="1" applyBorder="1"/>
    <xf numFmtId="49" fontId="4" fillId="5" borderId="0" xfId="1" applyNumberFormat="1" applyFont="1" applyFill="1" applyBorder="1" applyAlignment="1">
      <alignment vertical="center"/>
    </xf>
    <xf numFmtId="0" fontId="1" fillId="0" borderId="0" xfId="1" applyNumberFormat="1" applyFont="1" applyFill="1" applyBorder="1"/>
    <xf numFmtId="9" fontId="3" fillId="2" borderId="9" xfId="1" applyNumberFormat="1" applyFont="1" applyFill="1" applyBorder="1" applyAlignment="1">
      <alignment horizontal="right" vertical="center"/>
    </xf>
    <xf numFmtId="164" fontId="3" fillId="2" borderId="10" xfId="3" applyNumberFormat="1" applyFont="1" applyFill="1" applyBorder="1" applyAlignment="1">
      <alignment horizontal="right" vertical="center"/>
    </xf>
    <xf numFmtId="164" fontId="3" fillId="2" borderId="3" xfId="1" applyNumberFormat="1" applyFont="1" applyFill="1" applyBorder="1" applyAlignment="1">
      <alignment horizontal="right" vertical="center"/>
    </xf>
    <xf numFmtId="165" fontId="3" fillId="2" borderId="0" xfId="1" applyNumberFormat="1" applyFont="1" applyFill="1" applyBorder="1" applyAlignment="1">
      <alignment vertical="center"/>
    </xf>
    <xf numFmtId="165" fontId="5" fillId="2" borderId="0" xfId="1" applyNumberFormat="1" applyFont="1" applyFill="1" applyBorder="1" applyAlignment="1">
      <alignment vertical="center" wrapText="1"/>
    </xf>
    <xf numFmtId="0" fontId="5" fillId="2" borderId="0" xfId="1" applyNumberFormat="1" applyFont="1" applyFill="1" applyBorder="1" applyAlignment="1">
      <alignment horizontal="center" vertical="center"/>
    </xf>
    <xf numFmtId="165" fontId="6" fillId="2" borderId="0" xfId="1" applyNumberFormat="1" applyFont="1" applyFill="1" applyBorder="1" applyAlignment="1">
      <alignment horizontal="right" vertical="center"/>
    </xf>
    <xf numFmtId="165" fontId="6" fillId="3" borderId="0" xfId="1" applyNumberFormat="1" applyFont="1" applyFill="1" applyBorder="1" applyAlignment="1">
      <alignment horizontal="right" vertical="center"/>
    </xf>
    <xf numFmtId="9" fontId="3" fillId="3" borderId="0" xfId="1" applyNumberFormat="1" applyFont="1" applyFill="1" applyBorder="1" applyAlignment="1">
      <alignment horizontal="right" vertical="center"/>
    </xf>
    <xf numFmtId="0" fontId="7" fillId="2" borderId="11" xfId="1" applyNumberFormat="1" applyFont="1" applyFill="1" applyBorder="1" applyAlignment="1">
      <alignment horizontal="center" vertical="center"/>
    </xf>
    <xf numFmtId="0" fontId="7" fillId="2" borderId="12" xfId="1" applyNumberFormat="1" applyFont="1" applyFill="1" applyBorder="1" applyAlignment="1">
      <alignment horizontal="left" vertical="center"/>
    </xf>
    <xf numFmtId="9" fontId="7" fillId="2" borderId="15" xfId="3" applyNumberFormat="1" applyFont="1" applyFill="1" applyBorder="1" applyAlignment="1">
      <alignment horizontal="right" vertical="center"/>
    </xf>
    <xf numFmtId="164" fontId="7" fillId="2" borderId="16" xfId="1" applyNumberFormat="1" applyFont="1" applyFill="1" applyBorder="1" applyAlignment="1">
      <alignment horizontal="right" vertical="center"/>
    </xf>
    <xf numFmtId="9" fontId="7" fillId="2" borderId="15" xfId="3" applyNumberFormat="1" applyFont="1" applyFill="1" applyBorder="1" applyAlignment="1">
      <alignment horizontal="right" vertical="center"/>
    </xf>
    <xf numFmtId="164" fontId="7" fillId="2" borderId="13" xfId="1" applyNumberFormat="1" applyFont="1" applyFill="1" applyBorder="1" applyAlignment="1">
      <alignment horizontal="right" vertical="center"/>
    </xf>
    <xf numFmtId="9" fontId="7" fillId="3" borderId="0" xfId="3" applyNumberFormat="1" applyFont="1" applyFill="1" applyBorder="1" applyAlignment="1">
      <alignment horizontal="right" vertical="center"/>
    </xf>
    <xf numFmtId="0" fontId="3" fillId="4" borderId="0" xfId="1" applyNumberFormat="1" applyFont="1" applyFill="1" applyBorder="1" applyAlignment="1">
      <alignment horizontal="left" vertical="center"/>
    </xf>
    <xf numFmtId="0" fontId="7" fillId="2" borderId="19" xfId="1" applyNumberFormat="1" applyFont="1" applyFill="1" applyBorder="1" applyAlignment="1">
      <alignment horizontal="center" vertical="center"/>
    </xf>
    <xf numFmtId="0" fontId="7" fillId="2" borderId="20" xfId="1" applyNumberFormat="1" applyFont="1" applyFill="1" applyBorder="1" applyAlignment="1">
      <alignment vertical="center"/>
    </xf>
    <xf numFmtId="9" fontId="7" fillId="2" borderId="24" xfId="3" applyNumberFormat="1" applyFont="1" applyFill="1" applyBorder="1" applyAlignment="1">
      <alignment horizontal="right" vertical="center"/>
    </xf>
    <xf numFmtId="164" fontId="7" fillId="2" borderId="25" xfId="1" applyNumberFormat="1" applyFont="1" applyFill="1" applyBorder="1" applyAlignment="1">
      <alignment horizontal="right" vertical="center"/>
    </xf>
    <xf numFmtId="9" fontId="7" fillId="2" borderId="24" xfId="3" applyNumberFormat="1" applyFont="1" applyFill="1" applyBorder="1" applyAlignment="1">
      <alignment horizontal="right" vertical="center"/>
    </xf>
    <xf numFmtId="164" fontId="7" fillId="2" borderId="26" xfId="1" applyNumberFormat="1" applyFont="1" applyFill="1" applyBorder="1" applyAlignment="1">
      <alignment horizontal="right" vertical="center"/>
    </xf>
    <xf numFmtId="9" fontId="7" fillId="2" borderId="28" xfId="3" applyNumberFormat="1" applyFont="1" applyFill="1" applyBorder="1" applyAlignment="1">
      <alignment horizontal="right" vertical="center"/>
    </xf>
    <xf numFmtId="166" fontId="3" fillId="2" borderId="0" xfId="1" applyNumberFormat="1" applyFont="1" applyFill="1" applyBorder="1" applyAlignment="1">
      <alignment vertical="center"/>
    </xf>
    <xf numFmtId="0" fontId="8" fillId="3" borderId="0" xfId="1" applyNumberFormat="1" applyFont="1" applyFill="1" applyBorder="1" applyAlignment="1">
      <alignment horizontal="left" vertical="center"/>
    </xf>
    <xf numFmtId="0" fontId="8" fillId="4" borderId="0" xfId="1" applyNumberFormat="1" applyFont="1" applyFill="1" applyBorder="1" applyAlignment="1">
      <alignment horizontal="left" vertical="center"/>
    </xf>
    <xf numFmtId="167" fontId="3" fillId="2" borderId="0" xfId="1" applyNumberFormat="1" applyFont="1" applyFill="1" applyBorder="1" applyAlignment="1">
      <alignment vertical="center"/>
    </xf>
    <xf numFmtId="169" fontId="1" fillId="2" borderId="0" xfId="1" applyNumberFormat="1" applyFont="1" applyFill="1" applyBorder="1" applyAlignment="1">
      <alignment vertical="center"/>
    </xf>
    <xf numFmtId="9" fontId="7" fillId="2" borderId="35" xfId="3" applyNumberFormat="1" applyFont="1" applyFill="1" applyBorder="1" applyAlignment="1">
      <alignment horizontal="right" vertical="center"/>
    </xf>
    <xf numFmtId="164" fontId="7" fillId="2" borderId="36" xfId="1" applyNumberFormat="1" applyFont="1" applyFill="1" applyBorder="1" applyAlignment="1">
      <alignment horizontal="right" vertical="center"/>
    </xf>
    <xf numFmtId="9" fontId="7" fillId="2" borderId="0" xfId="1" applyNumberFormat="1" applyFont="1" applyFill="1" applyBorder="1" applyAlignment="1">
      <alignment vertical="center"/>
    </xf>
    <xf numFmtId="0" fontId="9" fillId="2" borderId="0" xfId="1" applyNumberFormat="1" applyFont="1" applyFill="1" applyBorder="1" applyAlignment="1">
      <alignment vertical="center" wrapText="1"/>
    </xf>
    <xf numFmtId="169" fontId="7" fillId="3" borderId="0" xfId="1" applyNumberFormat="1" applyFont="1" applyFill="1" applyBorder="1" applyAlignment="1">
      <alignment vertical="center"/>
    </xf>
    <xf numFmtId="169" fontId="7" fillId="4" borderId="0" xfId="1" applyNumberFormat="1" applyFont="1" applyFill="1" applyBorder="1" applyAlignment="1">
      <alignment vertical="center"/>
    </xf>
    <xf numFmtId="168" fontId="7" fillId="0" borderId="46" xfId="1" applyNumberFormat="1" applyFont="1" applyFill="1" applyBorder="1" applyAlignment="1">
      <alignment horizontal="right" vertical="center"/>
    </xf>
    <xf numFmtId="164" fontId="7" fillId="0" borderId="47" xfId="1" applyNumberFormat="1" applyFont="1" applyFill="1" applyBorder="1" applyAlignment="1">
      <alignment horizontal="right" vertical="center"/>
    </xf>
    <xf numFmtId="164" fontId="3" fillId="6" borderId="47" xfId="1" applyNumberFormat="1" applyFont="1" applyFill="1" applyBorder="1" applyAlignment="1">
      <alignment horizontal="right" vertical="center"/>
    </xf>
    <xf numFmtId="164" fontId="7" fillId="0" borderId="46" xfId="1" applyNumberFormat="1" applyFont="1" applyFill="1" applyBorder="1" applyAlignment="1">
      <alignment horizontal="right" vertical="center"/>
    </xf>
    <xf numFmtId="175" fontId="7" fillId="0" borderId="48" xfId="3" applyNumberFormat="1" applyFont="1" applyFill="1" applyBorder="1" applyAlignment="1">
      <alignment horizontal="right" vertical="center"/>
    </xf>
    <xf numFmtId="168" fontId="7" fillId="0" borderId="45" xfId="1" applyNumberFormat="1" applyFont="1" applyFill="1" applyBorder="1" applyAlignment="1">
      <alignment horizontal="right" vertical="center"/>
    </xf>
    <xf numFmtId="168" fontId="7" fillId="0" borderId="46" xfId="1" applyNumberFormat="1" applyFont="1" applyFill="1" applyBorder="1" applyAlignment="1">
      <alignment horizontal="right" vertical="center"/>
    </xf>
    <xf numFmtId="168" fontId="7" fillId="0" borderId="48" xfId="1" applyNumberFormat="1" applyFont="1" applyFill="1" applyBorder="1" applyAlignment="1">
      <alignment horizontal="right" vertical="center"/>
    </xf>
    <xf numFmtId="164" fontId="7" fillId="0" borderId="12" xfId="1" applyNumberFormat="1" applyFont="1" applyFill="1" applyBorder="1" applyAlignment="1">
      <alignment horizontal="right" vertical="center"/>
    </xf>
    <xf numFmtId="164" fontId="7" fillId="0" borderId="47" xfId="1" applyNumberFormat="1" applyFont="1" applyFill="1" applyBorder="1" applyAlignment="1">
      <alignment horizontal="right" vertical="center"/>
    </xf>
    <xf numFmtId="164" fontId="3" fillId="6" borderId="46" xfId="1" applyNumberFormat="1" applyFont="1" applyFill="1" applyBorder="1" applyAlignment="1">
      <alignment horizontal="right" vertical="center"/>
    </xf>
    <xf numFmtId="175" fontId="7" fillId="0" borderId="49" xfId="1" applyNumberFormat="1" applyFont="1" applyFill="1" applyBorder="1" applyAlignment="1">
      <alignment horizontal="right" vertical="center"/>
    </xf>
    <xf numFmtId="175" fontId="7" fillId="0" borderId="46" xfId="3" applyNumberFormat="1" applyFont="1" applyFill="1" applyBorder="1" applyAlignment="1">
      <alignment horizontal="right" vertical="center"/>
    </xf>
    <xf numFmtId="9" fontId="7" fillId="0" borderId="46" xfId="1" applyNumberFormat="1" applyFont="1" applyFill="1" applyBorder="1" applyAlignment="1">
      <alignment horizontal="right" vertical="center"/>
    </xf>
    <xf numFmtId="164" fontId="3" fillId="6" borderId="45" xfId="1" applyNumberFormat="1" applyFont="1" applyFill="1" applyBorder="1" applyAlignment="1">
      <alignment horizontal="right" vertical="center"/>
    </xf>
    <xf numFmtId="176" fontId="7" fillId="0" borderId="49" xfId="1" applyNumberFormat="1" applyFont="1" applyFill="1" applyBorder="1" applyAlignment="1">
      <alignment horizontal="right" vertical="center"/>
    </xf>
    <xf numFmtId="4" fontId="7" fillId="0" borderId="46" xfId="1" applyNumberFormat="1" applyFont="1" applyFill="1" applyBorder="1" applyAlignment="1">
      <alignment horizontal="right" vertical="center"/>
    </xf>
    <xf numFmtId="4" fontId="7" fillId="0" borderId="48" xfId="1" applyNumberFormat="1" applyFont="1" applyFill="1" applyBorder="1" applyAlignment="1">
      <alignment horizontal="right" vertical="center"/>
    </xf>
    <xf numFmtId="168" fontId="7" fillId="0" borderId="52" xfId="1" applyNumberFormat="1" applyFont="1" applyFill="1" applyBorder="1" applyAlignment="1">
      <alignment horizontal="right" vertical="center"/>
    </xf>
    <xf numFmtId="164" fontId="7" fillId="0" borderId="53" xfId="1" applyNumberFormat="1" applyFont="1" applyFill="1" applyBorder="1" applyAlignment="1">
      <alignment horizontal="right" vertical="center"/>
    </xf>
    <xf numFmtId="164" fontId="3" fillId="6" borderId="53" xfId="1" applyNumberFormat="1" applyFont="1" applyFill="1" applyBorder="1" applyAlignment="1">
      <alignment horizontal="right" vertical="center"/>
    </xf>
    <xf numFmtId="164" fontId="7" fillId="0" borderId="52" xfId="1" applyNumberFormat="1" applyFont="1" applyFill="1" applyBorder="1" applyAlignment="1">
      <alignment horizontal="right" vertical="center"/>
    </xf>
    <xf numFmtId="175" fontId="7" fillId="0" borderId="54" xfId="3" applyNumberFormat="1" applyFont="1" applyFill="1" applyBorder="1" applyAlignment="1">
      <alignment horizontal="right" vertical="center"/>
    </xf>
    <xf numFmtId="168" fontId="7" fillId="0" borderId="51" xfId="1" applyNumberFormat="1" applyFont="1" applyFill="1" applyBorder="1" applyAlignment="1">
      <alignment horizontal="right" vertical="center"/>
    </xf>
    <xf numFmtId="168" fontId="7" fillId="0" borderId="54" xfId="1" applyNumberFormat="1" applyFont="1" applyFill="1" applyBorder="1" applyAlignment="1">
      <alignment horizontal="right" vertical="center"/>
    </xf>
    <xf numFmtId="164" fontId="7" fillId="0" borderId="55" xfId="1" applyNumberFormat="1" applyFont="1" applyFill="1" applyBorder="1" applyAlignment="1">
      <alignment horizontal="right" vertical="center"/>
    </xf>
    <xf numFmtId="164" fontId="3" fillId="6" borderId="52" xfId="1" applyNumberFormat="1" applyFont="1" applyFill="1" applyBorder="1" applyAlignment="1">
      <alignment horizontal="right" vertical="center"/>
    </xf>
    <xf numFmtId="175" fontId="7" fillId="0" borderId="57" xfId="1" applyNumberFormat="1" applyFont="1" applyFill="1" applyBorder="1" applyAlignment="1">
      <alignment horizontal="right" vertical="center"/>
    </xf>
    <xf numFmtId="175" fontId="7" fillId="0" borderId="52" xfId="3" applyNumberFormat="1" applyFont="1" applyFill="1" applyBorder="1" applyAlignment="1">
      <alignment horizontal="right" vertical="center"/>
    </xf>
    <xf numFmtId="9" fontId="7" fillId="0" borderId="52" xfId="1" applyNumberFormat="1" applyFont="1" applyFill="1" applyBorder="1" applyAlignment="1">
      <alignment horizontal="right" vertical="center"/>
    </xf>
    <xf numFmtId="164" fontId="3" fillId="6" borderId="58" xfId="1" applyNumberFormat="1" applyFont="1" applyFill="1" applyBorder="1" applyAlignment="1">
      <alignment horizontal="right" vertical="center"/>
    </xf>
    <xf numFmtId="176" fontId="7" fillId="0" borderId="59" xfId="1" applyNumberFormat="1" applyFont="1" applyFill="1" applyBorder="1" applyAlignment="1">
      <alignment horizontal="right" vertical="center"/>
    </xf>
    <xf numFmtId="4" fontId="7" fillId="0" borderId="60" xfId="1" applyNumberFormat="1" applyFont="1" applyFill="1" applyBorder="1" applyAlignment="1">
      <alignment horizontal="right" vertical="center"/>
    </xf>
    <xf numFmtId="4" fontId="7" fillId="0" borderId="61" xfId="1" applyNumberFormat="1" applyFont="1" applyFill="1" applyBorder="1" applyAlignment="1">
      <alignment horizontal="right" vertical="center"/>
    </xf>
    <xf numFmtId="0" fontId="1" fillId="6" borderId="29" xfId="1" applyNumberFormat="1" applyFont="1" applyFill="1" applyBorder="1" applyAlignment="1">
      <alignment horizontal="center" vertical="center"/>
    </xf>
    <xf numFmtId="0" fontId="1" fillId="6" borderId="30" xfId="1" applyNumberFormat="1" applyFont="1" applyFill="1" applyBorder="1"/>
    <xf numFmtId="0" fontId="1" fillId="6" borderId="0" xfId="1" applyNumberFormat="1" applyFont="1" applyFill="1" applyBorder="1"/>
    <xf numFmtId="0" fontId="1" fillId="6" borderId="50" xfId="1" applyNumberFormat="1" applyFont="1" applyFill="1" applyBorder="1"/>
    <xf numFmtId="177" fontId="7" fillId="0" borderId="40" xfId="1" applyNumberFormat="1" applyFont="1" applyFill="1" applyBorder="1" applyAlignment="1">
      <alignment horizontal="right" vertical="center"/>
    </xf>
    <xf numFmtId="165" fontId="7" fillId="0" borderId="42" xfId="1" applyNumberFormat="1" applyFont="1" applyFill="1" applyBorder="1" applyAlignment="1">
      <alignment horizontal="right" vertical="center"/>
    </xf>
    <xf numFmtId="165" fontId="7" fillId="6" borderId="42" xfId="1" applyNumberFormat="1" applyFont="1" applyFill="1" applyBorder="1" applyAlignment="1">
      <alignment horizontal="right" vertical="center"/>
    </xf>
    <xf numFmtId="165" fontId="7" fillId="0" borderId="40" xfId="1" applyNumberFormat="1" applyFont="1" applyFill="1" applyBorder="1" applyAlignment="1">
      <alignment horizontal="right" vertical="center"/>
    </xf>
    <xf numFmtId="165" fontId="7" fillId="0" borderId="41" xfId="1" applyNumberFormat="1" applyFont="1" applyFill="1" applyBorder="1" applyAlignment="1">
      <alignment horizontal="right" vertical="center"/>
    </xf>
    <xf numFmtId="177" fontId="7" fillId="0" borderId="39" xfId="1" applyNumberFormat="1" applyFont="1" applyFill="1" applyBorder="1" applyAlignment="1">
      <alignment horizontal="right" vertical="center"/>
    </xf>
    <xf numFmtId="177" fontId="3" fillId="0" borderId="62" xfId="1" applyNumberFormat="1" applyFont="1" applyFill="1" applyBorder="1" applyAlignment="1">
      <alignment horizontal="right" vertical="center"/>
    </xf>
    <xf numFmtId="177" fontId="7" fillId="0" borderId="9" xfId="1" applyNumberFormat="1" applyFont="1" applyFill="1" applyBorder="1" applyAlignment="1">
      <alignment horizontal="right" vertical="center"/>
    </xf>
    <xf numFmtId="165" fontId="7" fillId="0" borderId="3" xfId="1" applyNumberFormat="1" applyFont="1" applyFill="1" applyBorder="1" applyAlignment="1">
      <alignment horizontal="right" vertical="center"/>
    </xf>
    <xf numFmtId="165" fontId="3" fillId="0" borderId="40" xfId="1" applyNumberFormat="1" applyFont="1" applyFill="1" applyBorder="1" applyAlignment="1">
      <alignment horizontal="right" vertical="center"/>
    </xf>
    <xf numFmtId="165" fontId="7" fillId="0" borderId="41" xfId="1" applyNumberFormat="1" applyFont="1" applyFill="1" applyBorder="1" applyAlignment="1">
      <alignment horizontal="right" vertical="center"/>
    </xf>
    <xf numFmtId="165" fontId="7" fillId="0" borderId="4" xfId="1" applyNumberFormat="1" applyFont="1" applyFill="1" applyBorder="1" applyAlignment="1">
      <alignment horizontal="right" vertical="center"/>
    </xf>
    <xf numFmtId="165" fontId="7" fillId="6" borderId="40" xfId="1" applyNumberFormat="1" applyFont="1" applyFill="1" applyBorder="1" applyAlignment="1">
      <alignment horizontal="right" vertical="center"/>
    </xf>
    <xf numFmtId="165" fontId="7" fillId="0" borderId="62" xfId="1" applyNumberFormat="1" applyFont="1" applyFill="1" applyBorder="1" applyAlignment="1">
      <alignment horizontal="right" vertical="center"/>
    </xf>
    <xf numFmtId="165" fontId="7" fillId="0" borderId="40" xfId="1" applyNumberFormat="1" applyFont="1" applyFill="1" applyBorder="1" applyAlignment="1">
      <alignment horizontal="right" vertical="center"/>
    </xf>
    <xf numFmtId="165" fontId="7" fillId="0" borderId="42" xfId="1" applyNumberFormat="1" applyFont="1" applyFill="1" applyBorder="1" applyAlignment="1">
      <alignment horizontal="right" vertical="center"/>
    </xf>
    <xf numFmtId="175" fontId="20" fillId="6" borderId="39" xfId="1" applyNumberFormat="1" applyFont="1" applyFill="1" applyBorder="1" applyAlignment="1">
      <alignment horizontal="right" vertical="center"/>
    </xf>
    <xf numFmtId="9" fontId="20" fillId="0" borderId="62" xfId="3" applyNumberFormat="1" applyFont="1" applyFill="1" applyBorder="1" applyAlignment="1">
      <alignment horizontal="right" vertical="center"/>
    </xf>
    <xf numFmtId="9" fontId="20" fillId="0" borderId="40" xfId="3" applyNumberFormat="1" applyFont="1" applyFill="1" applyBorder="1" applyAlignment="1">
      <alignment horizontal="right" vertical="center"/>
    </xf>
    <xf numFmtId="9" fontId="8" fillId="13" borderId="64" xfId="3" applyNumberFormat="1" applyFont="1" applyFill="1" applyBorder="1" applyAlignment="1">
      <alignment horizontal="center" vertical="center"/>
    </xf>
    <xf numFmtId="9" fontId="8" fillId="14" borderId="64" xfId="3" applyNumberFormat="1" applyFont="1" applyFill="1" applyBorder="1" applyAlignment="1">
      <alignment horizontal="center" vertical="center"/>
    </xf>
    <xf numFmtId="9" fontId="8" fillId="15" borderId="65" xfId="3" applyNumberFormat="1" applyFont="1" applyFill="1" applyBorder="1" applyAlignment="1">
      <alignment horizontal="center" vertical="center"/>
    </xf>
    <xf numFmtId="165" fontId="3" fillId="9" borderId="40" xfId="1" applyNumberFormat="1" applyFont="1" applyFill="1" applyBorder="1" applyAlignment="1">
      <alignment horizontal="center"/>
    </xf>
    <xf numFmtId="165" fontId="3" fillId="11" borderId="40" xfId="1" applyNumberFormat="1" applyFont="1" applyFill="1" applyBorder="1" applyAlignment="1">
      <alignment horizontal="center"/>
    </xf>
    <xf numFmtId="165" fontId="3" fillId="5" borderId="41" xfId="1" applyNumberFormat="1" applyFont="1" applyFill="1" applyBorder="1" applyAlignment="1">
      <alignment horizontal="center"/>
    </xf>
    <xf numFmtId="0" fontId="7" fillId="16" borderId="66" xfId="1" applyNumberFormat="1" applyFont="1" applyFill="1" applyBorder="1" applyAlignment="1">
      <alignment horizontal="center" vertical="center"/>
    </xf>
    <xf numFmtId="0" fontId="7" fillId="16" borderId="67" xfId="1" applyNumberFormat="1" applyFont="1" applyFill="1" applyBorder="1" applyAlignment="1">
      <alignment horizontal="center" vertical="center" wrapText="1"/>
    </xf>
    <xf numFmtId="0" fontId="7" fillId="16" borderId="46" xfId="1" applyNumberFormat="1" applyFont="1" applyFill="1" applyBorder="1" applyAlignment="1">
      <alignment horizontal="center" vertical="center" wrapText="1"/>
    </xf>
    <xf numFmtId="0" fontId="7" fillId="16" borderId="68" xfId="1" applyNumberFormat="1" applyFont="1" applyFill="1" applyBorder="1" applyAlignment="1">
      <alignment horizontal="center" vertical="center" wrapText="1"/>
    </xf>
    <xf numFmtId="0" fontId="7" fillId="16" borderId="68" xfId="1" applyNumberFormat="1" applyFont="1" applyFill="1" applyBorder="1" applyAlignment="1">
      <alignment vertical="center" wrapText="1"/>
    </xf>
    <xf numFmtId="0" fontId="7" fillId="17" borderId="67" xfId="1" applyNumberFormat="1" applyFont="1" applyFill="1" applyBorder="1" applyAlignment="1">
      <alignment horizontal="center" vertical="center" wrapText="1"/>
    </xf>
    <xf numFmtId="0" fontId="7" fillId="17" borderId="44" xfId="1" applyNumberFormat="1" applyFont="1" applyFill="1" applyBorder="1" applyAlignment="1">
      <alignment horizontal="center" vertical="center"/>
    </xf>
    <xf numFmtId="0" fontId="7" fillId="7" borderId="68" xfId="1" applyNumberFormat="1" applyFont="1" applyFill="1" applyBorder="1" applyAlignment="1">
      <alignment horizontal="center" vertical="center" wrapText="1" shrinkToFit="1"/>
    </xf>
    <xf numFmtId="0" fontId="7" fillId="3" borderId="43" xfId="1" applyNumberFormat="1" applyFont="1" applyFill="1" applyBorder="1" applyAlignment="1">
      <alignment horizontal="center" vertical="center" wrapText="1" shrinkToFit="1"/>
    </xf>
    <xf numFmtId="2" fontId="7" fillId="7" borderId="70" xfId="1" applyNumberFormat="1" applyFont="1" applyFill="1" applyBorder="1" applyAlignment="1">
      <alignment horizontal="center" vertical="center"/>
    </xf>
    <xf numFmtId="0" fontId="3" fillId="6" borderId="43" xfId="1" applyNumberFormat="1" applyFont="1" applyFill="1" applyBorder="1" applyAlignment="1">
      <alignment horizontal="center" vertical="center" wrapText="1" shrinkToFit="1"/>
    </xf>
    <xf numFmtId="49" fontId="7" fillId="7" borderId="68" xfId="1" applyNumberFormat="1" applyFont="1" applyFill="1" applyBorder="1" applyAlignment="1">
      <alignment horizontal="center" vertical="center" wrapText="1" shrinkToFit="1"/>
    </xf>
    <xf numFmtId="49" fontId="7" fillId="7" borderId="69" xfId="1" applyNumberFormat="1" applyFont="1" applyFill="1" applyBorder="1" applyAlignment="1">
      <alignment horizontal="center" vertical="center" wrapText="1" shrinkToFit="1"/>
    </xf>
    <xf numFmtId="0" fontId="7" fillId="18" borderId="66" xfId="1" applyNumberFormat="1" applyFont="1" applyFill="1" applyBorder="1" applyAlignment="1">
      <alignment horizontal="center" vertical="center" wrapText="1"/>
    </xf>
    <xf numFmtId="0" fontId="7" fillId="18" borderId="67" xfId="1" applyNumberFormat="1" applyFont="1" applyFill="1" applyBorder="1" applyAlignment="1">
      <alignment horizontal="center" vertical="center" wrapText="1"/>
    </xf>
    <xf numFmtId="0" fontId="7" fillId="18" borderId="71" xfId="1" applyNumberFormat="1" applyFont="1" applyFill="1" applyBorder="1" applyAlignment="1">
      <alignment horizontal="center" vertical="center" wrapText="1"/>
    </xf>
    <xf numFmtId="0" fontId="7" fillId="18" borderId="18" xfId="1" applyNumberFormat="1" applyFont="1" applyFill="1" applyBorder="1" applyAlignment="1">
      <alignment horizontal="center" vertical="center" wrapText="1"/>
    </xf>
    <xf numFmtId="0" fontId="7" fillId="18" borderId="46" xfId="1" applyNumberFormat="1" applyFont="1" applyFill="1" applyBorder="1" applyAlignment="1">
      <alignment horizontal="center" vertical="center" wrapText="1"/>
    </xf>
    <xf numFmtId="0" fontId="7" fillId="18" borderId="48" xfId="1" applyNumberFormat="1" applyFont="1" applyFill="1" applyBorder="1" applyAlignment="1">
      <alignment horizontal="center" vertical="center" wrapText="1"/>
    </xf>
    <xf numFmtId="0" fontId="7" fillId="18" borderId="22" xfId="1" applyNumberFormat="1" applyFont="1" applyFill="1" applyBorder="1" applyAlignment="1">
      <alignment horizontal="center" vertical="center" wrapText="1"/>
    </xf>
    <xf numFmtId="0" fontId="3" fillId="6" borderId="72" xfId="1" applyNumberFormat="1" applyFont="1" applyFill="1" applyBorder="1" applyAlignment="1">
      <alignment horizontal="center" vertical="center" wrapText="1"/>
    </xf>
    <xf numFmtId="0" fontId="7" fillId="18" borderId="73" xfId="1" applyNumberFormat="1" applyFont="1" applyFill="1" applyBorder="1" applyAlignment="1">
      <alignment horizontal="center" vertical="center" wrapText="1"/>
    </xf>
    <xf numFmtId="0" fontId="7" fillId="18" borderId="72" xfId="1" applyNumberFormat="1" applyFont="1" applyFill="1" applyBorder="1" applyAlignment="1">
      <alignment horizontal="center" vertical="center" wrapText="1"/>
    </xf>
    <xf numFmtId="0" fontId="7" fillId="18" borderId="74" xfId="1" applyNumberFormat="1" applyFont="1" applyFill="1" applyBorder="1" applyAlignment="1">
      <alignment horizontal="center" vertical="center" wrapText="1"/>
    </xf>
    <xf numFmtId="0" fontId="7" fillId="19" borderId="73" xfId="1" applyNumberFormat="1" applyFont="1" applyFill="1" applyBorder="1" applyAlignment="1">
      <alignment horizontal="center" vertical="center" wrapText="1"/>
    </xf>
    <xf numFmtId="0" fontId="7" fillId="19" borderId="72" xfId="1" applyNumberFormat="1" applyFont="1" applyFill="1" applyBorder="1" applyAlignment="1">
      <alignment horizontal="center" vertical="center" wrapText="1"/>
    </xf>
    <xf numFmtId="0" fontId="7" fillId="3" borderId="74" xfId="1" applyNumberFormat="1" applyFont="1" applyFill="1" applyBorder="1" applyAlignment="1">
      <alignment horizontal="center" vertical="center" wrapText="1"/>
    </xf>
    <xf numFmtId="0" fontId="7" fillId="20" borderId="72" xfId="1" applyNumberFormat="1" applyFont="1" applyFill="1" applyBorder="1" applyAlignment="1">
      <alignment horizontal="center" vertical="center" wrapText="1"/>
    </xf>
    <xf numFmtId="0" fontId="7" fillId="13" borderId="72" xfId="1" applyNumberFormat="1" applyFont="1" applyFill="1" applyBorder="1" applyAlignment="1">
      <alignment horizontal="center" vertical="center" wrapText="1"/>
    </xf>
    <xf numFmtId="0" fontId="7" fillId="14" borderId="72" xfId="1" applyNumberFormat="1" applyFont="1" applyFill="1" applyBorder="1" applyAlignment="1">
      <alignment horizontal="center" vertical="center" wrapText="1"/>
    </xf>
    <xf numFmtId="0" fontId="7" fillId="15" borderId="75" xfId="1" applyNumberFormat="1" applyFont="1" applyFill="1" applyBorder="1" applyAlignment="1">
      <alignment horizontal="center" vertical="center" wrapText="1"/>
    </xf>
    <xf numFmtId="2" fontId="7" fillId="10" borderId="49" xfId="1" applyNumberFormat="1" applyFont="1" applyFill="1" applyBorder="1" applyAlignment="1">
      <alignment horizontal="center" vertical="center"/>
    </xf>
    <xf numFmtId="0" fontId="7" fillId="10" borderId="46" xfId="1" applyNumberFormat="1" applyFont="1" applyFill="1" applyBorder="1" applyAlignment="1">
      <alignment horizontal="center" vertical="center" wrapText="1" shrinkToFit="1"/>
    </xf>
    <xf numFmtId="0" fontId="7" fillId="9" borderId="46" xfId="1" applyNumberFormat="1" applyFont="1" applyFill="1" applyBorder="1" applyAlignment="1">
      <alignment horizontal="center" vertical="center" wrapText="1" shrinkToFit="1"/>
    </xf>
    <xf numFmtId="0" fontId="7" fillId="11" borderId="46" xfId="1" applyNumberFormat="1" applyFont="1" applyFill="1" applyBorder="1" applyAlignment="1">
      <alignment horizontal="center" vertical="center" wrapText="1" shrinkToFit="1"/>
    </xf>
    <xf numFmtId="0" fontId="7" fillId="5" borderId="48" xfId="1" applyNumberFormat="1" applyFont="1" applyFill="1" applyBorder="1" applyAlignment="1">
      <alignment horizontal="center" vertical="center" wrapText="1" shrinkToFit="1"/>
    </xf>
    <xf numFmtId="0" fontId="7" fillId="0" borderId="76" xfId="1" applyNumberFormat="1" applyFont="1" applyFill="1" applyBorder="1" applyAlignment="1">
      <alignment horizontal="center" vertical="center"/>
    </xf>
    <xf numFmtId="0" fontId="7" fillId="0" borderId="76" xfId="1" applyNumberFormat="1" applyFont="1" applyFill="1" applyBorder="1" applyAlignment="1">
      <alignment horizontal="center" vertical="center" wrapText="1"/>
    </xf>
    <xf numFmtId="0" fontId="7" fillId="0" borderId="76" xfId="1" applyNumberFormat="1" applyFont="1" applyFill="1" applyBorder="1" applyAlignment="1">
      <alignment vertical="center" wrapText="1"/>
    </xf>
    <xf numFmtId="0" fontId="7" fillId="0" borderId="77" xfId="1" applyNumberFormat="1" applyFont="1" applyFill="1" applyBorder="1" applyAlignment="1">
      <alignment horizontal="center" vertical="center"/>
    </xf>
    <xf numFmtId="0" fontId="7" fillId="0" borderId="76" xfId="1" applyNumberFormat="1" applyFont="1" applyFill="1" applyBorder="1" applyAlignment="1">
      <alignment horizontal="center" vertical="center" wrapText="1" shrinkToFit="1"/>
    </xf>
    <xf numFmtId="0" fontId="7" fillId="0" borderId="77" xfId="1" applyNumberFormat="1" applyFont="1" applyFill="1" applyBorder="1" applyAlignment="1">
      <alignment horizontal="center" vertical="center" wrapText="1" shrinkToFit="1"/>
    </xf>
    <xf numFmtId="2" fontId="7" fillId="0" borderId="79" xfId="1" applyNumberFormat="1" applyFont="1" applyFill="1" applyBorder="1" applyAlignment="1">
      <alignment horizontal="center" vertical="center"/>
    </xf>
    <xf numFmtId="0" fontId="7" fillId="0" borderId="53" xfId="1" applyNumberFormat="1" applyFont="1" applyFill="1" applyBorder="1" applyAlignment="1">
      <alignment horizontal="center" vertical="center" wrapText="1" shrinkToFit="1"/>
    </xf>
    <xf numFmtId="49" fontId="7" fillId="0" borderId="76" xfId="1" applyNumberFormat="1" applyFont="1" applyFill="1" applyBorder="1" applyAlignment="1">
      <alignment horizontal="center" vertical="center" wrapText="1" shrinkToFit="1"/>
    </xf>
    <xf numFmtId="49" fontId="7" fillId="0" borderId="77" xfId="1" applyNumberFormat="1" applyFont="1" applyFill="1" applyBorder="1" applyAlignment="1">
      <alignment horizontal="center" vertical="center" wrapText="1" shrinkToFit="1"/>
    </xf>
    <xf numFmtId="0" fontId="7" fillId="0" borderId="78" xfId="1" applyNumberFormat="1" applyFont="1" applyFill="1" applyBorder="1" applyAlignment="1">
      <alignment horizontal="center" vertical="center" wrapText="1"/>
    </xf>
    <xf numFmtId="0" fontId="7" fillId="0" borderId="76" xfId="1" applyNumberFormat="1" applyFont="1" applyFill="1" applyBorder="1" applyAlignment="1">
      <alignment horizontal="center" vertical="center" wrapText="1"/>
    </xf>
    <xf numFmtId="0" fontId="7" fillId="0" borderId="80" xfId="1" applyNumberFormat="1" applyFont="1" applyFill="1" applyBorder="1" applyAlignment="1">
      <alignment horizontal="center" vertical="center" wrapText="1"/>
    </xf>
    <xf numFmtId="0" fontId="7" fillId="0" borderId="26" xfId="1" applyNumberFormat="1" applyFont="1" applyFill="1" applyBorder="1" applyAlignment="1">
      <alignment horizontal="center" vertical="center" wrapText="1"/>
    </xf>
    <xf numFmtId="0" fontId="7" fillId="0" borderId="20" xfId="1" applyNumberFormat="1" applyFont="1" applyFill="1" applyBorder="1" applyAlignment="1">
      <alignment horizontal="center" vertical="center" wrapText="1"/>
    </xf>
    <xf numFmtId="0" fontId="7" fillId="0" borderId="52" xfId="1" applyNumberFormat="1" applyFont="1" applyFill="1" applyBorder="1" applyAlignment="1">
      <alignment horizontal="center" vertical="center" wrapText="1"/>
    </xf>
    <xf numFmtId="0" fontId="7" fillId="0" borderId="79" xfId="1" applyNumberFormat="1" applyFont="1" applyFill="1" applyBorder="1" applyAlignment="1">
      <alignment horizontal="center" vertical="center" wrapText="1"/>
    </xf>
    <xf numFmtId="0" fontId="7" fillId="0" borderId="77" xfId="1" applyNumberFormat="1" applyFont="1" applyFill="1" applyBorder="1" applyAlignment="1">
      <alignment horizontal="center" vertical="center" wrapText="1"/>
    </xf>
    <xf numFmtId="0" fontId="7" fillId="0" borderId="80" xfId="1" applyNumberFormat="1" applyFont="1" applyFill="1" applyBorder="1" applyAlignment="1">
      <alignment horizontal="center" vertical="center" wrapText="1" shrinkToFit="1"/>
    </xf>
    <xf numFmtId="168" fontId="7" fillId="0" borderId="76" xfId="1" applyNumberFormat="1" applyFont="1" applyFill="1" applyBorder="1" applyAlignment="1">
      <alignment horizontal="right" vertical="center"/>
    </xf>
    <xf numFmtId="164" fontId="7" fillId="0" borderId="77" xfId="1" applyNumberFormat="1" applyFont="1" applyFill="1" applyBorder="1" applyAlignment="1">
      <alignment horizontal="right" vertical="center"/>
    </xf>
    <xf numFmtId="2" fontId="7" fillId="0" borderId="79" xfId="1" applyNumberFormat="1" applyFont="1" applyFill="1" applyBorder="1" applyAlignment="1">
      <alignment horizontal="right" vertical="center"/>
    </xf>
    <xf numFmtId="164" fontId="3" fillId="0" borderId="77" xfId="1" applyNumberFormat="1" applyFont="1" applyFill="1" applyBorder="1" applyAlignment="1">
      <alignment horizontal="right" vertical="center"/>
    </xf>
    <xf numFmtId="164" fontId="7" fillId="0" borderId="76" xfId="1" applyNumberFormat="1" applyFont="1" applyFill="1" applyBorder="1" applyAlignment="1">
      <alignment horizontal="right" vertical="center"/>
    </xf>
    <xf numFmtId="175" fontId="7" fillId="0" borderId="77" xfId="3" applyNumberFormat="1" applyFont="1" applyFill="1" applyBorder="1" applyAlignment="1">
      <alignment horizontal="right" vertical="center" wrapText="1" shrinkToFit="1"/>
    </xf>
    <xf numFmtId="168" fontId="7" fillId="0" borderId="78" xfId="1" applyNumberFormat="1" applyFont="1" applyFill="1" applyBorder="1" applyAlignment="1">
      <alignment horizontal="right" vertical="center" wrapText="1"/>
    </xf>
    <xf numFmtId="168" fontId="7" fillId="0" borderId="76" xfId="1" applyNumberFormat="1" applyFont="1" applyFill="1" applyBorder="1" applyAlignment="1">
      <alignment horizontal="right" vertical="center" wrapText="1"/>
    </xf>
    <xf numFmtId="168" fontId="7" fillId="0" borderId="80" xfId="1" applyNumberFormat="1" applyFont="1" applyFill="1" applyBorder="1" applyAlignment="1">
      <alignment horizontal="right" vertical="center" wrapText="1"/>
    </xf>
    <xf numFmtId="164" fontId="7" fillId="0" borderId="26" xfId="1" applyNumberFormat="1" applyFont="1" applyFill="1" applyBorder="1" applyAlignment="1">
      <alignment horizontal="right" vertical="center" wrapText="1"/>
    </xf>
    <xf numFmtId="164" fontId="7" fillId="0" borderId="76" xfId="1" applyNumberFormat="1" applyFont="1" applyFill="1" applyBorder="1" applyAlignment="1">
      <alignment horizontal="right" vertical="center" wrapText="1"/>
    </xf>
    <xf numFmtId="164" fontId="7" fillId="0" borderId="80" xfId="1" applyNumberFormat="1" applyFont="1" applyFill="1" applyBorder="1" applyAlignment="1">
      <alignment horizontal="right" vertical="center" wrapText="1"/>
    </xf>
    <xf numFmtId="164" fontId="3" fillId="0" borderId="76" xfId="1" applyNumberFormat="1" applyFont="1" applyFill="1" applyBorder="1" applyAlignment="1">
      <alignment horizontal="right" vertical="center" wrapText="1"/>
    </xf>
    <xf numFmtId="175" fontId="7" fillId="0" borderId="79" xfId="1" applyNumberFormat="1" applyFont="1" applyFill="1" applyBorder="1" applyAlignment="1">
      <alignment horizontal="right" vertical="center" wrapText="1"/>
    </xf>
    <xf numFmtId="175" fontId="7" fillId="0" borderId="76" xfId="3" applyNumberFormat="1" applyFont="1" applyFill="1" applyBorder="1" applyAlignment="1">
      <alignment horizontal="right" vertical="center" wrapText="1"/>
    </xf>
    <xf numFmtId="9" fontId="7" fillId="0" borderId="76" xfId="3" applyNumberFormat="1" applyFont="1" applyFill="1" applyBorder="1" applyAlignment="1">
      <alignment horizontal="right" vertical="center" wrapText="1"/>
    </xf>
    <xf numFmtId="164" fontId="7" fillId="0" borderId="77" xfId="1" applyNumberFormat="1" applyFont="1" applyFill="1" applyBorder="1" applyAlignment="1">
      <alignment horizontal="right" vertical="center" wrapText="1"/>
    </xf>
    <xf numFmtId="0" fontId="7" fillId="0" borderId="79" xfId="1" applyNumberFormat="1" applyFont="1" applyFill="1" applyBorder="1" applyAlignment="1">
      <alignment horizontal="right" vertical="center" wrapText="1"/>
    </xf>
    <xf numFmtId="4" fontId="7" fillId="0" borderId="76" xfId="1" applyNumberFormat="1" applyFont="1" applyFill="1" applyBorder="1" applyAlignment="1">
      <alignment horizontal="right" vertical="center" wrapText="1"/>
    </xf>
    <xf numFmtId="4" fontId="7" fillId="0" borderId="80" xfId="1" applyNumberFormat="1" applyFont="1" applyFill="1" applyBorder="1" applyAlignment="1">
      <alignment horizontal="right" vertical="center" wrapText="1"/>
    </xf>
    <xf numFmtId="4" fontId="7" fillId="0" borderId="79" xfId="1" applyNumberFormat="1" applyFont="1" applyFill="1" applyBorder="1" applyAlignment="1">
      <alignment horizontal="right" vertical="center"/>
    </xf>
    <xf numFmtId="4" fontId="7" fillId="0" borderId="76" xfId="1" applyNumberFormat="1" applyFont="1" applyFill="1" applyBorder="1" applyAlignment="1">
      <alignment horizontal="right" vertical="center"/>
    </xf>
    <xf numFmtId="4" fontId="7" fillId="0" borderId="80" xfId="1" applyNumberFormat="1" applyFont="1" applyFill="1" applyBorder="1" applyAlignment="1">
      <alignment horizontal="right" vertical="center"/>
    </xf>
    <xf numFmtId="178" fontId="7" fillId="0" borderId="0" xfId="1" applyNumberFormat="1" applyFont="1" applyFill="1" applyBorder="1" applyAlignment="1">
      <alignment horizontal="right" vertical="center"/>
    </xf>
    <xf numFmtId="0" fontId="7" fillId="0" borderId="76" xfId="1" applyNumberFormat="1" applyFont="1" applyFill="1" applyBorder="1" applyAlignment="1">
      <alignment horizontal="left" vertical="center"/>
    </xf>
    <xf numFmtId="0" fontId="7" fillId="0" borderId="77" xfId="1" applyNumberFormat="1" applyFont="1" applyFill="1" applyBorder="1" applyAlignment="1">
      <alignment horizontal="left" vertical="center"/>
    </xf>
    <xf numFmtId="2" fontId="3" fillId="0" borderId="4" xfId="1" applyNumberFormat="1" applyFont="1" applyFill="1" applyBorder="1" applyAlignment="1">
      <alignment horizontal="right" vertical="center"/>
    </xf>
    <xf numFmtId="165" fontId="7" fillId="6" borderId="9" xfId="1" applyNumberFormat="1" applyFont="1" applyFill="1" applyBorder="1" applyAlignment="1">
      <alignment horizontal="right" vertical="center"/>
    </xf>
    <xf numFmtId="0" fontId="3" fillId="6" borderId="6" xfId="1" applyNumberFormat="1" applyFont="1" applyFill="1" applyBorder="1" applyAlignment="1">
      <alignment horizontal="center" vertical="center" wrapText="1" shrinkToFit="1"/>
    </xf>
    <xf numFmtId="0" fontId="7" fillId="0" borderId="81" xfId="1" applyNumberFormat="1" applyFont="1" applyFill="1" applyBorder="1" applyAlignment="1">
      <alignment horizontal="center" vertical="center" wrapText="1" shrinkToFit="1"/>
    </xf>
    <xf numFmtId="0" fontId="3" fillId="6" borderId="68" xfId="1" applyNumberFormat="1" applyFont="1" applyFill="1" applyBorder="1" applyAlignment="1">
      <alignment horizontal="center" vertical="center" wrapText="1" shrinkToFit="1"/>
    </xf>
    <xf numFmtId="0" fontId="7" fillId="0" borderId="52" xfId="1" applyNumberFormat="1" applyFont="1" applyFill="1" applyBorder="1" applyAlignment="1">
      <alignment horizontal="center" vertical="center" wrapText="1" shrinkToFit="1"/>
    </xf>
    <xf numFmtId="164" fontId="3" fillId="0" borderId="76" xfId="1" applyNumberFormat="1" applyFont="1" applyFill="1" applyBorder="1" applyAlignment="1">
      <alignment horizontal="right" vertical="center"/>
    </xf>
    <xf numFmtId="4" fontId="7" fillId="0" borderId="49" xfId="1" applyNumberFormat="1" applyFont="1" applyFill="1" applyBorder="1" applyAlignment="1">
      <alignment horizontal="right" vertical="center"/>
    </xf>
    <xf numFmtId="4" fontId="7" fillId="0" borderId="57" xfId="1" applyNumberFormat="1" applyFont="1" applyFill="1" applyBorder="1" applyAlignment="1">
      <alignment horizontal="right" vertical="center"/>
    </xf>
    <xf numFmtId="4" fontId="7" fillId="10" borderId="49" xfId="1" applyNumberFormat="1" applyFont="1" applyFill="1" applyBorder="1" applyAlignment="1">
      <alignment horizontal="right" vertical="center"/>
    </xf>
    <xf numFmtId="4" fontId="7" fillId="10" borderId="46" xfId="1" applyNumberFormat="1" applyFont="1" applyFill="1" applyBorder="1" applyAlignment="1">
      <alignment horizontal="right" vertical="center"/>
    </xf>
    <xf numFmtId="4" fontId="7" fillId="9" borderId="46" xfId="1" applyNumberFormat="1" applyFont="1" applyFill="1" applyBorder="1" applyAlignment="1">
      <alignment horizontal="right" vertical="center"/>
    </xf>
    <xf numFmtId="4" fontId="7" fillId="11" borderId="46" xfId="1" applyNumberFormat="1" applyFont="1" applyFill="1" applyBorder="1" applyAlignment="1">
      <alignment horizontal="right" vertical="center"/>
    </xf>
    <xf numFmtId="4" fontId="7" fillId="5" borderId="48" xfId="1" applyNumberFormat="1" applyFont="1" applyFill="1" applyBorder="1" applyAlignment="1">
      <alignment horizontal="right" vertical="center"/>
    </xf>
    <xf numFmtId="4" fontId="7" fillId="10" borderId="57" xfId="1" applyNumberFormat="1" applyFont="1" applyFill="1" applyBorder="1" applyAlignment="1">
      <alignment horizontal="right" vertical="center"/>
    </xf>
    <xf numFmtId="4" fontId="7" fillId="10" borderId="52" xfId="1" applyNumberFormat="1" applyFont="1" applyFill="1" applyBorder="1" applyAlignment="1">
      <alignment horizontal="right" vertical="center"/>
    </xf>
    <xf numFmtId="4" fontId="7" fillId="9" borderId="52" xfId="1" applyNumberFormat="1" applyFont="1" applyFill="1" applyBorder="1" applyAlignment="1">
      <alignment horizontal="right" vertical="center"/>
    </xf>
    <xf numFmtId="4" fontId="7" fillId="11" borderId="52" xfId="1" applyNumberFormat="1" applyFont="1" applyFill="1" applyBorder="1" applyAlignment="1">
      <alignment horizontal="right" vertical="center"/>
    </xf>
    <xf numFmtId="4" fontId="7" fillId="5" borderId="54" xfId="1" applyNumberFormat="1" applyFont="1" applyFill="1" applyBorder="1" applyAlignment="1">
      <alignment horizontal="right" vertical="center"/>
    </xf>
    <xf numFmtId="175" fontId="3" fillId="6" borderId="15" xfId="1" applyNumberFormat="1" applyFont="1" applyFill="1" applyBorder="1" applyAlignment="1">
      <alignment horizontal="right" vertical="center"/>
    </xf>
    <xf numFmtId="175" fontId="3" fillId="6" borderId="81" xfId="1" applyNumberFormat="1" applyFont="1" applyFill="1" applyBorder="1" applyAlignment="1">
      <alignment horizontal="right" vertical="center"/>
    </xf>
    <xf numFmtId="0" fontId="3" fillId="3" borderId="0" xfId="1" applyNumberFormat="1" applyFont="1" applyFill="1" applyBorder="1" applyAlignment="1">
      <alignment horizontal="left" vertical="center"/>
    </xf>
    <xf numFmtId="4" fontId="7" fillId="0" borderId="59" xfId="1" applyNumberFormat="1" applyFont="1" applyFill="1" applyBorder="1" applyAlignment="1">
      <alignment horizontal="right" vertical="center"/>
    </xf>
    <xf numFmtId="0" fontId="7" fillId="12" borderId="73" xfId="1" applyNumberFormat="1" applyFont="1" applyFill="1" applyBorder="1" applyAlignment="1">
      <alignment horizontal="center" vertical="center" wrapText="1"/>
    </xf>
    <xf numFmtId="4" fontId="7" fillId="0" borderId="79" xfId="1" applyNumberFormat="1" applyFont="1" applyFill="1" applyBorder="1" applyAlignment="1">
      <alignment horizontal="right" vertical="center" wrapText="1"/>
    </xf>
    <xf numFmtId="0" fontId="7" fillId="3" borderId="72" xfId="1" applyNumberFormat="1" applyFont="1" applyFill="1" applyBorder="1" applyAlignment="1">
      <alignment horizontal="center" vertical="center" wrapText="1"/>
    </xf>
    <xf numFmtId="9" fontId="20" fillId="0" borderId="4" xfId="3" applyNumberFormat="1" applyFont="1" applyFill="1" applyBorder="1" applyAlignment="1">
      <alignment horizontal="right" vertical="center"/>
    </xf>
    <xf numFmtId="164" fontId="7" fillId="0" borderId="48" xfId="1" applyNumberFormat="1" applyFont="1" applyFill="1" applyBorder="1" applyAlignment="1">
      <alignment horizontal="right" vertical="center"/>
    </xf>
    <xf numFmtId="164" fontId="7" fillId="0" borderId="61" xfId="1" applyNumberFormat="1" applyFont="1" applyFill="1" applyBorder="1" applyAlignment="1">
      <alignment horizontal="right" vertical="center"/>
    </xf>
    <xf numFmtId="9" fontId="20" fillId="0" borderId="41" xfId="3" applyNumberFormat="1" applyFont="1" applyFill="1" applyBorder="1" applyAlignment="1">
      <alignment horizontal="right" vertical="center"/>
    </xf>
    <xf numFmtId="178" fontId="7" fillId="0" borderId="76" xfId="1" applyNumberFormat="1" applyFont="1" applyFill="1" applyBorder="1" applyAlignment="1">
      <alignment horizontal="right" vertical="center" wrapText="1"/>
    </xf>
    <xf numFmtId="165" fontId="7" fillId="0" borderId="39" xfId="1" applyNumberFormat="1" applyFont="1" applyFill="1" applyBorder="1" applyAlignment="1">
      <alignment horizontal="right" vertical="center"/>
    </xf>
    <xf numFmtId="0" fontId="3" fillId="6" borderId="73" xfId="1" applyNumberFormat="1" applyFont="1" applyFill="1" applyBorder="1" applyAlignment="1">
      <alignment horizontal="center" vertical="center" wrapText="1"/>
    </xf>
    <xf numFmtId="0" fontId="7" fillId="0" borderId="57" xfId="1" applyNumberFormat="1" applyFont="1" applyFill="1" applyBorder="1" applyAlignment="1">
      <alignment horizontal="center" vertical="center" wrapText="1"/>
    </xf>
    <xf numFmtId="164" fontId="3" fillId="0" borderId="79" xfId="1" applyNumberFormat="1" applyFont="1" applyFill="1" applyBorder="1" applyAlignment="1">
      <alignment horizontal="right" vertical="center" wrapText="1"/>
    </xf>
    <xf numFmtId="168" fontId="7" fillId="0" borderId="58" xfId="1" applyNumberFormat="1" applyFont="1" applyFill="1" applyBorder="1" applyAlignment="1">
      <alignment horizontal="right" vertical="center"/>
    </xf>
    <xf numFmtId="0" fontId="3" fillId="3" borderId="0" xfId="1" applyNumberFormat="1" applyFont="1" applyFill="1" applyBorder="1" applyAlignment="1">
      <alignment horizontal="left" vertical="center"/>
    </xf>
    <xf numFmtId="0" fontId="7" fillId="3" borderId="73" xfId="1" applyNumberFormat="1" applyFont="1" applyFill="1" applyBorder="1" applyAlignment="1">
      <alignment horizontal="center" vertical="center" wrapText="1"/>
    </xf>
    <xf numFmtId="170" fontId="7" fillId="0" borderId="46" xfId="1" applyNumberFormat="1" applyFont="1" applyFill="1" applyBorder="1" applyAlignment="1">
      <alignment horizontal="right" vertical="center"/>
    </xf>
    <xf numFmtId="175" fontId="20" fillId="0" borderId="76" xfId="2" applyNumberFormat="1" applyFont="1" applyFill="1" applyBorder="1"/>
    <xf numFmtId="178" fontId="20" fillId="0" borderId="76" xfId="2" applyNumberFormat="1" applyFont="1" applyFill="1" applyBorder="1"/>
    <xf numFmtId="170" fontId="20" fillId="0" borderId="76" xfId="2" applyNumberFormat="1" applyFont="1" applyFill="1" applyBorder="1"/>
    <xf numFmtId="175" fontId="20" fillId="0" borderId="47" xfId="2" applyNumberFormat="1" applyFont="1" applyFill="1" applyBorder="1"/>
    <xf numFmtId="175" fontId="20" fillId="0" borderId="82" xfId="2" applyNumberFormat="1" applyFont="1" applyFill="1" applyBorder="1"/>
    <xf numFmtId="170" fontId="7" fillId="0" borderId="60" xfId="1" applyNumberFormat="1" applyFont="1" applyFill="1" applyBorder="1" applyAlignment="1">
      <alignment horizontal="right" vertical="center"/>
    </xf>
    <xf numFmtId="9" fontId="20" fillId="0" borderId="39" xfId="3" applyNumberFormat="1" applyFont="1" applyFill="1" applyBorder="1" applyAlignment="1">
      <alignment horizontal="right" vertical="center"/>
    </xf>
    <xf numFmtId="0" fontId="1" fillId="21" borderId="0" xfId="1" applyNumberFormat="1" applyFont="1" applyFill="1" applyBorder="1"/>
    <xf numFmtId="165" fontId="6" fillId="21" borderId="0" xfId="1" applyNumberFormat="1" applyFont="1" applyFill="1" applyBorder="1" applyAlignment="1">
      <alignment horizontal="right" vertical="center"/>
    </xf>
    <xf numFmtId="49" fontId="18" fillId="21" borderId="4" xfId="1" applyNumberFormat="1" applyFont="1" applyFill="1" applyBorder="1" applyAlignment="1">
      <alignment horizontal="center" vertical="center" wrapText="1"/>
    </xf>
    <xf numFmtId="175" fontId="20" fillId="21" borderId="11" xfId="2" applyNumberFormat="1" applyFont="1" applyFill="1" applyBorder="1"/>
    <xf numFmtId="175" fontId="20" fillId="21" borderId="32" xfId="2" applyNumberFormat="1" applyFont="1" applyFill="1" applyBorder="1"/>
    <xf numFmtId="165" fontId="7" fillId="21" borderId="4" xfId="1" applyNumberFormat="1" applyFont="1" applyFill="1" applyBorder="1" applyAlignment="1">
      <alignment horizontal="right" vertical="center"/>
    </xf>
    <xf numFmtId="0" fontId="7" fillId="21" borderId="73" xfId="1" applyNumberFormat="1" applyFont="1" applyFill="1" applyBorder="1" applyAlignment="1">
      <alignment horizontal="center" vertical="center" wrapText="1"/>
    </xf>
    <xf numFmtId="0" fontId="7" fillId="21" borderId="76" xfId="1" applyNumberFormat="1" applyFont="1" applyFill="1" applyBorder="1" applyAlignment="1">
      <alignment horizontal="center" vertical="center" wrapText="1"/>
    </xf>
    <xf numFmtId="175" fontId="20" fillId="21" borderId="76" xfId="2" applyNumberFormat="1" applyFont="1" applyFill="1" applyBorder="1"/>
    <xf numFmtId="179" fontId="7" fillId="0" borderId="20" xfId="1" applyNumberFormat="1" applyFont="1" applyFill="1" applyBorder="1" applyAlignment="1">
      <alignment horizontal="right" vertical="center" wrapText="1"/>
    </xf>
    <xf numFmtId="179" fontId="7" fillId="0" borderId="13" xfId="1" applyNumberFormat="1" applyFont="1" applyFill="1" applyBorder="1" applyAlignment="1">
      <alignment horizontal="right" vertical="center"/>
    </xf>
    <xf numFmtId="179" fontId="7" fillId="0" borderId="56" xfId="1" applyNumberFormat="1" applyFont="1" applyFill="1" applyBorder="1" applyAlignment="1">
      <alignment horizontal="right" vertical="center"/>
    </xf>
    <xf numFmtId="0" fontId="10" fillId="6" borderId="2" xfId="1" applyNumberFormat="1" applyFont="1" applyFill="1" applyBorder="1" applyAlignment="1">
      <alignment horizontal="center" vertical="center" wrapText="1"/>
    </xf>
    <xf numFmtId="0" fontId="3" fillId="3" borderId="0" xfId="1" applyNumberFormat="1" applyFont="1" applyFill="1" applyBorder="1" applyAlignment="1">
      <alignment horizontal="left" vertical="center"/>
    </xf>
    <xf numFmtId="175" fontId="20" fillId="0" borderId="76" xfId="2" applyNumberFormat="1" applyFont="1" applyFill="1" applyBorder="1" applyAlignment="1">
      <alignment horizontal="right"/>
    </xf>
    <xf numFmtId="175" fontId="1" fillId="0" borderId="76" xfId="2" applyNumberFormat="1" applyFont="1" applyFill="1" applyBorder="1"/>
    <xf numFmtId="175" fontId="1" fillId="0" borderId="76" xfId="2" applyNumberFormat="1" applyFont="1" applyFill="1" applyBorder="1" applyAlignment="1">
      <alignment horizontal="right"/>
    </xf>
    <xf numFmtId="0" fontId="10" fillId="6" borderId="0" xfId="1" applyNumberFormat="1" applyFont="1" applyFill="1" applyBorder="1" applyAlignment="1">
      <alignment horizontal="center" vertical="center" wrapText="1"/>
    </xf>
    <xf numFmtId="175" fontId="20" fillId="0" borderId="76" xfId="2" applyNumberFormat="1" applyFont="1" applyFill="1" applyBorder="1"/>
    <xf numFmtId="172" fontId="17" fillId="6" borderId="45" xfId="1" applyNumberFormat="1" applyFont="1" applyFill="1" applyBorder="1" applyAlignment="1">
      <alignment vertical="center"/>
    </xf>
    <xf numFmtId="172" fontId="17" fillId="6" borderId="46" xfId="1" applyNumberFormat="1" applyFont="1" applyFill="1" applyBorder="1" applyAlignment="1">
      <alignment vertical="center"/>
    </xf>
    <xf numFmtId="172" fontId="17" fillId="6" borderId="48" xfId="1" applyNumberFormat="1" applyFont="1" applyFill="1" applyBorder="1" applyAlignment="1">
      <alignment vertical="center"/>
    </xf>
    <xf numFmtId="175" fontId="20" fillId="0" borderId="78" xfId="2" applyNumberFormat="1" applyFont="1" applyFill="1" applyBorder="1"/>
    <xf numFmtId="175" fontId="20" fillId="0" borderId="80" xfId="2" applyNumberFormat="1" applyFont="1" applyFill="1" applyBorder="1"/>
    <xf numFmtId="175" fontId="20" fillId="0" borderId="58" xfId="2" applyNumberFormat="1" applyFont="1" applyFill="1" applyBorder="1"/>
    <xf numFmtId="0" fontId="1" fillId="0" borderId="39" xfId="1" applyNumberFormat="1" applyFont="1" applyFill="1" applyBorder="1"/>
    <xf numFmtId="0" fontId="1" fillId="0" borderId="40" xfId="1" applyNumberFormat="1" applyFont="1" applyFill="1" applyBorder="1"/>
    <xf numFmtId="0" fontId="1" fillId="0" borderId="41" xfId="1" applyNumberFormat="1" applyFont="1" applyFill="1" applyBorder="1"/>
    <xf numFmtId="175" fontId="20" fillId="0" borderId="48" xfId="2" applyNumberFormat="1" applyFont="1" applyFill="1" applyBorder="1"/>
    <xf numFmtId="168" fontId="7" fillId="0" borderId="60" xfId="1" applyNumberFormat="1" applyFont="1" applyFill="1" applyBorder="1" applyAlignment="1">
      <alignment horizontal="right" vertical="center"/>
    </xf>
    <xf numFmtId="175" fontId="20" fillId="0" borderId="61" xfId="2" applyNumberFormat="1" applyFont="1" applyFill="1" applyBorder="1"/>
    <xf numFmtId="0" fontId="3" fillId="2" borderId="17" xfId="1" applyNumberFormat="1" applyFont="1" applyFill="1" applyBorder="1" applyAlignment="1">
      <alignment horizontal="right" vertical="center"/>
    </xf>
    <xf numFmtId="170" fontId="3" fillId="2" borderId="27" xfId="1" applyNumberFormat="1" applyFont="1" applyFill="1" applyBorder="1" applyAlignment="1">
      <alignment vertical="center"/>
    </xf>
    <xf numFmtId="170" fontId="8" fillId="2" borderId="83" xfId="1" applyNumberFormat="1" applyFont="1" applyFill="1" applyBorder="1" applyAlignment="1">
      <alignment horizontal="left" vertical="center"/>
    </xf>
    <xf numFmtId="170" fontId="8" fillId="2" borderId="31" xfId="1" applyNumberFormat="1" applyFont="1" applyFill="1" applyBorder="1" applyAlignment="1">
      <alignment horizontal="left" vertical="center"/>
    </xf>
    <xf numFmtId="170" fontId="8" fillId="2" borderId="27" xfId="1" applyNumberFormat="1" applyFont="1" applyFill="1" applyBorder="1" applyAlignment="1">
      <alignment horizontal="left" vertical="center"/>
    </xf>
    <xf numFmtId="0" fontId="3" fillId="2" borderId="0" xfId="1" applyNumberFormat="1" applyFont="1" applyFill="1" applyBorder="1" applyAlignment="1">
      <alignment horizontal="right" vertical="center"/>
    </xf>
    <xf numFmtId="0" fontId="3" fillId="2" borderId="0" xfId="1" applyNumberFormat="1" applyFont="1" applyFill="1" applyBorder="1" applyAlignment="1">
      <alignment vertical="center"/>
    </xf>
    <xf numFmtId="0" fontId="8" fillId="2" borderId="0" xfId="1" applyNumberFormat="1" applyFont="1" applyFill="1" applyBorder="1" applyAlignment="1">
      <alignment horizontal="left" vertical="center"/>
    </xf>
    <xf numFmtId="0" fontId="3" fillId="2" borderId="0" xfId="1" applyNumberFormat="1" applyFont="1" applyFill="1" applyBorder="1" applyAlignment="1">
      <alignment horizontal="center" vertical="center" wrapText="1"/>
    </xf>
    <xf numFmtId="9" fontId="3" fillId="2" borderId="0" xfId="1" applyNumberFormat="1" applyFont="1" applyFill="1" applyBorder="1" applyAlignment="1">
      <alignment horizontal="right" vertical="center"/>
    </xf>
    <xf numFmtId="0" fontId="22" fillId="2" borderId="0" xfId="1" applyNumberFormat="1" applyFont="1" applyFill="1" applyBorder="1"/>
    <xf numFmtId="178" fontId="22" fillId="2" borderId="0" xfId="1" applyNumberFormat="1" applyFont="1" applyFill="1" applyBorder="1"/>
    <xf numFmtId="0" fontId="3" fillId="2" borderId="1" xfId="1" applyNumberFormat="1" applyFont="1" applyFill="1" applyBorder="1" applyAlignment="1">
      <alignment horizontal="center" vertical="center" wrapText="1"/>
    </xf>
    <xf numFmtId="0" fontId="3" fillId="2" borderId="27" xfId="1" applyNumberFormat="1" applyFont="1" applyFill="1" applyBorder="1" applyAlignment="1">
      <alignment horizontal="center" vertical="center" wrapText="1"/>
    </xf>
    <xf numFmtId="164" fontId="3" fillId="2" borderId="40" xfId="1" applyNumberFormat="1" applyFont="1" applyFill="1" applyBorder="1" applyAlignment="1">
      <alignment horizontal="right" vertical="center"/>
    </xf>
    <xf numFmtId="175" fontId="7" fillId="2" borderId="72" xfId="1" applyNumberFormat="1" applyFont="1" applyFill="1" applyBorder="1" applyAlignment="1">
      <alignment horizontal="right" vertical="center"/>
    </xf>
    <xf numFmtId="175" fontId="7" fillId="2" borderId="64" xfId="1" applyNumberFormat="1" applyFont="1" applyFill="1" applyBorder="1" applyAlignment="1">
      <alignment horizontal="right" vertical="center"/>
    </xf>
    <xf numFmtId="168" fontId="7" fillId="2" borderId="24" xfId="1" applyNumberFormat="1" applyFont="1" applyFill="1" applyBorder="1" applyAlignment="1">
      <alignment horizontal="right" vertical="center"/>
    </xf>
    <xf numFmtId="168" fontId="3" fillId="2" borderId="9" xfId="1" applyNumberFormat="1" applyFont="1" applyFill="1" applyBorder="1" applyAlignment="1">
      <alignment horizontal="right" vertical="center"/>
    </xf>
    <xf numFmtId="175" fontId="7" fillId="2" borderId="46" xfId="1" applyNumberFormat="1" applyFont="1" applyFill="1" applyBorder="1" applyAlignment="1">
      <alignment horizontal="right" vertical="center"/>
    </xf>
    <xf numFmtId="168" fontId="7" fillId="2" borderId="15" xfId="1" applyNumberFormat="1" applyFont="1" applyFill="1" applyBorder="1" applyAlignment="1">
      <alignment horizontal="right" vertical="center"/>
    </xf>
    <xf numFmtId="0" fontId="10" fillId="6" borderId="2" xfId="1" applyNumberFormat="1" applyFont="1" applyFill="1" applyBorder="1" applyAlignment="1">
      <alignment horizontal="center" vertical="center" wrapText="1"/>
    </xf>
    <xf numFmtId="168" fontId="3" fillId="2" borderId="0" xfId="1" applyNumberFormat="1" applyFont="1" applyFill="1" applyBorder="1" applyAlignment="1">
      <alignment horizontal="right" vertical="center"/>
    </xf>
    <xf numFmtId="172" fontId="17" fillId="6" borderId="47" xfId="1" applyNumberFormat="1" applyFont="1" applyFill="1" applyBorder="1" applyAlignment="1">
      <alignment vertical="center"/>
    </xf>
    <xf numFmtId="175" fontId="20" fillId="0" borderId="77" xfId="2" applyNumberFormat="1" applyFont="1" applyFill="1" applyBorder="1"/>
    <xf numFmtId="0" fontId="1" fillId="0" borderId="42" xfId="1" applyNumberFormat="1" applyFont="1" applyFill="1" applyBorder="1"/>
    <xf numFmtId="0" fontId="7" fillId="18" borderId="84" xfId="1" applyNumberFormat="1" applyFont="1" applyFill="1" applyBorder="1" applyAlignment="1">
      <alignment horizontal="center" vertical="center" wrapText="1"/>
    </xf>
    <xf numFmtId="0" fontId="7" fillId="21" borderId="74" xfId="1" applyNumberFormat="1" applyFont="1" applyFill="1" applyBorder="1" applyAlignment="1">
      <alignment horizontal="center" vertical="center" wrapText="1"/>
    </xf>
    <xf numFmtId="165" fontId="7" fillId="0" borderId="2" xfId="1" applyNumberFormat="1" applyFont="1" applyFill="1" applyBorder="1" applyAlignment="1">
      <alignment horizontal="right" vertical="center"/>
    </xf>
    <xf numFmtId="0" fontId="7" fillId="18" borderId="76" xfId="1" applyNumberFormat="1" applyFont="1" applyFill="1" applyBorder="1" applyAlignment="1">
      <alignment horizontal="center" vertical="center" wrapText="1"/>
    </xf>
    <xf numFmtId="175" fontId="1" fillId="0" borderId="76" xfId="2" applyNumberFormat="1" applyFont="1" applyFill="1" applyBorder="1"/>
    <xf numFmtId="0" fontId="13" fillId="3" borderId="2" xfId="1" applyNumberFormat="1" applyFont="1" applyFill="1" applyBorder="1" applyAlignment="1">
      <alignment horizontal="center" vertical="center" wrapText="1"/>
    </xf>
    <xf numFmtId="0" fontId="3" fillId="3" borderId="0" xfId="1" applyNumberFormat="1" applyFont="1" applyFill="1" applyBorder="1" applyAlignment="1">
      <alignment horizontal="left" vertical="center"/>
    </xf>
    <xf numFmtId="0" fontId="7" fillId="3" borderId="30" xfId="1" applyNumberFormat="1" applyFont="1" applyFill="1" applyBorder="1" applyAlignment="1">
      <alignment horizontal="center" vertical="center" wrapText="1"/>
    </xf>
    <xf numFmtId="9" fontId="20" fillId="0" borderId="30" xfId="3" applyNumberFormat="1" applyFont="1" applyFill="1" applyBorder="1" applyAlignment="1">
      <alignment horizontal="right" vertical="center"/>
    </xf>
    <xf numFmtId="167" fontId="7" fillId="0" borderId="48" xfId="1" applyNumberFormat="1" applyFont="1" applyFill="1" applyBorder="1" applyAlignment="1">
      <alignment horizontal="right" vertical="center"/>
    </xf>
    <xf numFmtId="167" fontId="7" fillId="0" borderId="61" xfId="1" applyNumberFormat="1" applyFont="1" applyFill="1" applyBorder="1" applyAlignment="1">
      <alignment horizontal="right" vertical="center"/>
    </xf>
    <xf numFmtId="167" fontId="20" fillId="0" borderId="79" xfId="2" applyNumberFormat="1" applyFont="1" applyFill="1" applyBorder="1"/>
    <xf numFmtId="167" fontId="7" fillId="0" borderId="45" xfId="1" applyNumberFormat="1" applyFont="1" applyFill="1" applyBorder="1" applyAlignment="1">
      <alignment horizontal="right" vertical="center"/>
    </xf>
    <xf numFmtId="167" fontId="7" fillId="0" borderId="58" xfId="1" applyNumberFormat="1" applyFont="1" applyFill="1" applyBorder="1" applyAlignment="1">
      <alignment horizontal="right" vertical="center"/>
    </xf>
    <xf numFmtId="166" fontId="20" fillId="0" borderId="79" xfId="2" applyNumberFormat="1" applyFont="1" applyFill="1" applyBorder="1"/>
    <xf numFmtId="167" fontId="7" fillId="0" borderId="11" xfId="1" applyNumberFormat="1" applyFont="1" applyFill="1" applyBorder="1" applyAlignment="1">
      <alignment horizontal="right" vertical="center"/>
    </xf>
    <xf numFmtId="167" fontId="7" fillId="0" borderId="32" xfId="1" applyNumberFormat="1" applyFont="1" applyFill="1" applyBorder="1" applyAlignment="1">
      <alignment horizontal="right" vertical="center"/>
    </xf>
    <xf numFmtId="9" fontId="20" fillId="0" borderId="29" xfId="3" applyNumberFormat="1" applyFont="1" applyFill="1" applyBorder="1" applyAlignment="1">
      <alignment horizontal="right" vertical="center"/>
    </xf>
    <xf numFmtId="9" fontId="20" fillId="0" borderId="35" xfId="3" applyNumberFormat="1" applyFont="1" applyFill="1" applyBorder="1" applyAlignment="1">
      <alignment horizontal="right" vertical="center"/>
    </xf>
    <xf numFmtId="0" fontId="7" fillId="2" borderId="31" xfId="1" applyNumberFormat="1" applyFont="1" applyFill="1" applyBorder="1" applyAlignment="1">
      <alignment horizontal="center" vertical="center"/>
    </xf>
    <xf numFmtId="0" fontId="7" fillId="2" borderId="30" xfId="1" applyNumberFormat="1" applyFont="1" applyFill="1" applyBorder="1" applyAlignment="1">
      <alignment vertical="center"/>
    </xf>
    <xf numFmtId="164" fontId="7" fillId="2" borderId="29" xfId="1" applyNumberFormat="1" applyFont="1" applyFill="1" applyBorder="1" applyAlignment="1">
      <alignment horizontal="right" vertical="center"/>
    </xf>
    <xf numFmtId="168" fontId="7" fillId="2" borderId="35" xfId="1" applyNumberFormat="1" applyFont="1" applyFill="1" applyBorder="1" applyAlignment="1">
      <alignment horizontal="right" vertical="center"/>
    </xf>
    <xf numFmtId="175" fontId="7" fillId="2" borderId="76" xfId="1" applyNumberFormat="1" applyFont="1" applyFill="1" applyBorder="1" applyAlignment="1">
      <alignment horizontal="right" vertical="center"/>
    </xf>
    <xf numFmtId="0" fontId="7" fillId="0" borderId="19" xfId="1" applyNumberFormat="1" applyFont="1" applyFill="1" applyBorder="1" applyAlignment="1">
      <alignment horizontal="center" vertical="center" wrapText="1" shrinkToFit="1"/>
    </xf>
    <xf numFmtId="173" fontId="6" fillId="3" borderId="3" xfId="1" applyNumberFormat="1" applyFont="1" applyFill="1" applyBorder="1" applyAlignment="1">
      <alignment horizontal="center" vertical="center"/>
    </xf>
    <xf numFmtId="173" fontId="6" fillId="3" borderId="4" xfId="1" applyNumberFormat="1" applyFont="1" applyFill="1" applyBorder="1" applyAlignment="1">
      <alignment horizontal="center" vertical="center"/>
    </xf>
    <xf numFmtId="173" fontId="6" fillId="3" borderId="9" xfId="1" applyNumberFormat="1" applyFont="1" applyFill="1" applyBorder="1" applyAlignment="1">
      <alignment horizontal="center" vertical="center"/>
    </xf>
    <xf numFmtId="164" fontId="7" fillId="2" borderId="21" xfId="3" applyNumberFormat="1" applyFont="1" applyFill="1" applyBorder="1" applyAlignment="1">
      <alignment horizontal="center" vertical="center"/>
    </xf>
    <xf numFmtId="164" fontId="7" fillId="2" borderId="22" xfId="3" applyNumberFormat="1" applyFont="1" applyFill="1" applyBorder="1" applyAlignment="1">
      <alignment horizontal="center" vertical="center"/>
    </xf>
    <xf numFmtId="164" fontId="7" fillId="2" borderId="23" xfId="3" applyNumberFormat="1" applyFont="1" applyFill="1" applyBorder="1" applyAlignment="1">
      <alignment horizontal="center" vertical="center"/>
    </xf>
    <xf numFmtId="0" fontId="3" fillId="2" borderId="3" xfId="1" applyNumberFormat="1" applyFont="1" applyFill="1" applyBorder="1" applyAlignment="1">
      <alignment horizontal="center" vertical="center"/>
    </xf>
    <xf numFmtId="0" fontId="3" fillId="2" borderId="4" xfId="1" applyNumberFormat="1" applyFont="1" applyFill="1" applyBorder="1" applyAlignment="1">
      <alignment horizontal="center" vertical="center"/>
    </xf>
    <xf numFmtId="0" fontId="3" fillId="2" borderId="5" xfId="1" applyNumberFormat="1" applyFont="1" applyFill="1" applyBorder="1" applyAlignment="1">
      <alignment horizontal="center" vertical="center"/>
    </xf>
    <xf numFmtId="0" fontId="3" fillId="2" borderId="9" xfId="1" applyNumberFormat="1" applyFont="1" applyFill="1" applyBorder="1" applyAlignment="1">
      <alignment horizontal="center" vertical="center"/>
    </xf>
    <xf numFmtId="164" fontId="3" fillId="2" borderId="3" xfId="3" applyNumberFormat="1" applyFont="1" applyFill="1" applyBorder="1" applyAlignment="1">
      <alignment horizontal="center" vertical="center"/>
    </xf>
    <xf numFmtId="164" fontId="3" fillId="2" borderId="4" xfId="3" applyNumberFormat="1" applyFont="1" applyFill="1" applyBorder="1" applyAlignment="1">
      <alignment horizontal="center" vertical="center"/>
    </xf>
    <xf numFmtId="164" fontId="3" fillId="2" borderId="5" xfId="3" applyNumberFormat="1" applyFont="1" applyFill="1" applyBorder="1" applyAlignment="1">
      <alignment horizontal="center" vertical="center"/>
    </xf>
    <xf numFmtId="164" fontId="7" fillId="2" borderId="13" xfId="3" applyNumberFormat="1" applyFont="1" applyFill="1" applyBorder="1" applyAlignment="1">
      <alignment horizontal="center" vertical="center"/>
    </xf>
    <xf numFmtId="164" fontId="7" fillId="2" borderId="12" xfId="3" applyNumberFormat="1" applyFont="1" applyFill="1" applyBorder="1" applyAlignment="1">
      <alignment horizontal="center" vertical="center"/>
    </xf>
    <xf numFmtId="164" fontId="7" fillId="2" borderId="14" xfId="3" applyNumberFormat="1" applyFont="1" applyFill="1" applyBorder="1" applyAlignment="1">
      <alignment horizontal="center" vertical="center"/>
    </xf>
    <xf numFmtId="164" fontId="7" fillId="2" borderId="26" xfId="3" applyNumberFormat="1" applyFont="1" applyFill="1" applyBorder="1" applyAlignment="1">
      <alignment horizontal="center" vertical="center"/>
    </xf>
    <xf numFmtId="164" fontId="7" fillId="2" borderId="20" xfId="3" applyNumberFormat="1" applyFont="1" applyFill="1" applyBorder="1" applyAlignment="1">
      <alignment horizontal="center" vertical="center"/>
    </xf>
    <xf numFmtId="164" fontId="7" fillId="2" borderId="85" xfId="3" applyNumberFormat="1" applyFont="1" applyFill="1" applyBorder="1" applyAlignment="1">
      <alignment horizontal="center" vertical="center"/>
    </xf>
    <xf numFmtId="164" fontId="7" fillId="2" borderId="29" xfId="3" applyNumberFormat="1" applyFont="1" applyFill="1" applyBorder="1" applyAlignment="1">
      <alignment horizontal="center" vertical="center"/>
    </xf>
    <xf numFmtId="164" fontId="7" fillId="2" borderId="30" xfId="3" applyNumberFormat="1" applyFont="1" applyFill="1" applyBorder="1" applyAlignment="1">
      <alignment horizontal="center" vertical="center"/>
    </xf>
    <xf numFmtId="164" fontId="7" fillId="2" borderId="34" xfId="3" applyNumberFormat="1" applyFont="1" applyFill="1" applyBorder="1" applyAlignment="1">
      <alignment horizontal="center" vertical="center"/>
    </xf>
    <xf numFmtId="0" fontId="10" fillId="6" borderId="1" xfId="1" applyNumberFormat="1" applyFont="1" applyFill="1" applyBorder="1" applyAlignment="1">
      <alignment horizontal="center" vertical="center" wrapText="1"/>
    </xf>
    <xf numFmtId="0" fontId="10" fillId="6" borderId="2" xfId="1" applyNumberFormat="1" applyFont="1" applyFill="1" applyBorder="1" applyAlignment="1">
      <alignment horizontal="center" vertical="center" wrapText="1"/>
    </xf>
    <xf numFmtId="0" fontId="10" fillId="6" borderId="6" xfId="1" applyNumberFormat="1" applyFont="1" applyFill="1" applyBorder="1" applyAlignment="1">
      <alignment horizontal="center" vertical="center" wrapText="1"/>
    </xf>
    <xf numFmtId="0" fontId="10" fillId="6" borderId="29" xfId="1" applyNumberFormat="1" applyFont="1" applyFill="1" applyBorder="1" applyAlignment="1">
      <alignment horizontal="center" vertical="center" wrapText="1"/>
    </xf>
    <xf numFmtId="0" fontId="10" fillId="6" borderId="30" xfId="1" applyNumberFormat="1" applyFont="1" applyFill="1" applyBorder="1" applyAlignment="1">
      <alignment horizontal="center" vertical="center" wrapText="1"/>
    </xf>
    <xf numFmtId="0" fontId="10" fillId="6" borderId="35" xfId="1" applyNumberFormat="1" applyFont="1" applyFill="1" applyBorder="1" applyAlignment="1">
      <alignment horizontal="center" vertical="center" wrapText="1"/>
    </xf>
    <xf numFmtId="0" fontId="11" fillId="7" borderId="3" xfId="1" applyNumberFormat="1" applyFont="1" applyFill="1" applyBorder="1" applyAlignment="1">
      <alignment horizontal="center" vertical="center" wrapText="1"/>
    </xf>
    <xf numFmtId="0" fontId="11" fillId="7" borderId="4" xfId="1" applyNumberFormat="1" applyFont="1" applyFill="1" applyBorder="1" applyAlignment="1">
      <alignment horizontal="center" vertical="center" wrapText="1"/>
    </xf>
    <xf numFmtId="0" fontId="11" fillId="7" borderId="9" xfId="1" applyNumberFormat="1" applyFont="1" applyFill="1" applyBorder="1" applyAlignment="1">
      <alignment horizontal="center" vertical="center" wrapText="1"/>
    </xf>
    <xf numFmtId="9" fontId="12" fillId="7" borderId="3" xfId="2" applyNumberFormat="1" applyFont="1" applyFill="1" applyBorder="1" applyAlignment="1">
      <alignment horizontal="center" vertical="center" wrapText="1"/>
    </xf>
    <xf numFmtId="9" fontId="12" fillId="7" borderId="4" xfId="2" applyNumberFormat="1" applyFont="1" applyFill="1" applyBorder="1" applyAlignment="1">
      <alignment horizontal="center" vertical="center" wrapText="1"/>
    </xf>
    <xf numFmtId="9" fontId="12" fillId="7" borderId="9" xfId="2" applyNumberFormat="1" applyFont="1" applyFill="1" applyBorder="1" applyAlignment="1">
      <alignment horizontal="center" vertical="center" wrapText="1"/>
    </xf>
    <xf numFmtId="170" fontId="3" fillId="2" borderId="0" xfId="1" applyNumberFormat="1" applyFont="1" applyFill="1" applyBorder="1" applyAlignment="1">
      <alignment horizontal="right" vertical="center"/>
    </xf>
    <xf numFmtId="0" fontId="15" fillId="6" borderId="1" xfId="1" applyNumberFormat="1" applyFont="1" applyFill="1" applyBorder="1" applyAlignment="1">
      <alignment horizontal="center" vertical="center"/>
    </xf>
    <xf numFmtId="0" fontId="16" fillId="0" borderId="2" xfId="1" applyNumberFormat="1" applyFont="1" applyFill="1" applyBorder="1" applyAlignment="1">
      <alignment horizontal="center" vertical="center"/>
    </xf>
    <xf numFmtId="0" fontId="16" fillId="0" borderId="18" xfId="1" applyNumberFormat="1" applyFont="1" applyFill="1" applyBorder="1" applyAlignment="1">
      <alignment horizontal="center" vertical="center"/>
    </xf>
    <xf numFmtId="0" fontId="16" fillId="0" borderId="0" xfId="1" applyNumberFormat="1" applyFont="1" applyFill="1" applyBorder="1" applyAlignment="1">
      <alignment horizontal="center" vertical="center"/>
    </xf>
    <xf numFmtId="0" fontId="16" fillId="0" borderId="29" xfId="1" applyNumberFormat="1" applyFont="1" applyFill="1" applyBorder="1" applyAlignment="1">
      <alignment horizontal="center" vertical="center"/>
    </xf>
    <xf numFmtId="0" fontId="16" fillId="0" borderId="30" xfId="1" applyNumberFormat="1" applyFont="1" applyFill="1" applyBorder="1" applyAlignment="1">
      <alignment horizontal="center" vertical="center"/>
    </xf>
    <xf numFmtId="172" fontId="17" fillId="6" borderId="43" xfId="1" applyNumberFormat="1" applyFont="1" applyFill="1" applyBorder="1" applyAlignment="1">
      <alignment horizontal="center" vertical="center"/>
    </xf>
    <xf numFmtId="172" fontId="17" fillId="6" borderId="2" xfId="1" applyNumberFormat="1" applyFont="1" applyFill="1" applyBorder="1" applyAlignment="1">
      <alignment horizontal="center" vertical="center"/>
    </xf>
    <xf numFmtId="172" fontId="17" fillId="6" borderId="44" xfId="1" applyNumberFormat="1" applyFont="1" applyFill="1" applyBorder="1" applyAlignment="1">
      <alignment horizontal="center" vertical="center"/>
    </xf>
    <xf numFmtId="172" fontId="17" fillId="6" borderId="0" xfId="1" applyNumberFormat="1" applyFont="1" applyFill="1" applyBorder="1" applyAlignment="1">
      <alignment horizontal="center" vertical="center"/>
    </xf>
    <xf numFmtId="0" fontId="7" fillId="7" borderId="3" xfId="1" applyNumberFormat="1" applyFont="1" applyFill="1" applyBorder="1" applyAlignment="1">
      <alignment horizontal="center" vertical="center"/>
    </xf>
    <xf numFmtId="0" fontId="7" fillId="7" borderId="4" xfId="1" applyNumberFormat="1" applyFont="1" applyFill="1" applyBorder="1" applyAlignment="1">
      <alignment horizontal="center" vertical="center"/>
    </xf>
    <xf numFmtId="0" fontId="7" fillId="7" borderId="9" xfId="1" applyNumberFormat="1" applyFont="1" applyFill="1" applyBorder="1" applyAlignment="1">
      <alignment horizontal="center" vertical="center"/>
    </xf>
    <xf numFmtId="0" fontId="18" fillId="8" borderId="0" xfId="1" applyNumberFormat="1" applyFont="1" applyFill="1" applyBorder="1" applyAlignment="1">
      <alignment horizontal="center" vertical="center" wrapText="1"/>
    </xf>
    <xf numFmtId="0" fontId="3" fillId="2" borderId="3" xfId="1" applyNumberFormat="1" applyFont="1" applyFill="1" applyBorder="1" applyAlignment="1">
      <alignment horizontal="left" vertical="center"/>
    </xf>
    <xf numFmtId="0" fontId="3" fillId="2" borderId="4" xfId="1" applyNumberFormat="1" applyFont="1" applyFill="1" applyBorder="1" applyAlignment="1">
      <alignment horizontal="left" vertical="center"/>
    </xf>
    <xf numFmtId="0" fontId="3" fillId="2" borderId="9" xfId="1" applyNumberFormat="1" applyFont="1" applyFill="1" applyBorder="1" applyAlignment="1">
      <alignment horizontal="left" vertical="center"/>
    </xf>
    <xf numFmtId="0" fontId="3" fillId="2" borderId="13" xfId="1" applyNumberFormat="1" applyFont="1" applyFill="1" applyBorder="1" applyAlignment="1">
      <alignment horizontal="left" vertical="center"/>
    </xf>
    <xf numFmtId="0" fontId="3" fillId="2" borderId="12" xfId="1" applyNumberFormat="1" applyFont="1" applyFill="1" applyBorder="1" applyAlignment="1">
      <alignment horizontal="left" vertical="center"/>
    </xf>
    <xf numFmtId="0" fontId="3" fillId="2" borderId="15" xfId="1" applyNumberFormat="1" applyFont="1" applyFill="1" applyBorder="1" applyAlignment="1">
      <alignment horizontal="left" vertical="center"/>
    </xf>
    <xf numFmtId="9" fontId="8" fillId="12" borderId="30" xfId="3" applyNumberFormat="1" applyFont="1" applyFill="1" applyBorder="1" applyAlignment="1">
      <alignment horizontal="center" vertical="center"/>
    </xf>
    <xf numFmtId="9" fontId="8" fillId="12" borderId="63" xfId="3" applyNumberFormat="1" applyFont="1" applyFill="1" applyBorder="1" applyAlignment="1">
      <alignment horizontal="center" vertical="center"/>
    </xf>
    <xf numFmtId="2" fontId="3" fillId="10" borderId="4" xfId="1" applyNumberFormat="1" applyFont="1" applyFill="1" applyBorder="1" applyAlignment="1">
      <alignment horizontal="center"/>
    </xf>
    <xf numFmtId="2" fontId="3" fillId="10" borderId="62" xfId="1" applyNumberFormat="1" applyFont="1" applyFill="1" applyBorder="1" applyAlignment="1">
      <alignment horizontal="center"/>
    </xf>
    <xf numFmtId="0" fontId="14" fillId="4" borderId="1" xfId="1" applyNumberFormat="1" applyFont="1" applyFill="1" applyBorder="1" applyAlignment="1">
      <alignment horizontal="center" vertical="center" wrapText="1"/>
    </xf>
    <xf numFmtId="0" fontId="14" fillId="4" borderId="2" xfId="1" applyNumberFormat="1" applyFont="1" applyFill="1" applyBorder="1" applyAlignment="1">
      <alignment horizontal="center" vertical="center" wrapText="1"/>
    </xf>
    <xf numFmtId="0" fontId="14" fillId="4" borderId="6" xfId="1" applyNumberFormat="1" applyFont="1" applyFill="1" applyBorder="1" applyAlignment="1">
      <alignment horizontal="center" vertical="center" wrapText="1"/>
    </xf>
    <xf numFmtId="0" fontId="14" fillId="4" borderId="29" xfId="1" applyNumberFormat="1" applyFont="1" applyFill="1" applyBorder="1" applyAlignment="1">
      <alignment horizontal="center" vertical="center" wrapText="1"/>
    </xf>
    <xf numFmtId="0" fontId="14" fillId="4" borderId="30" xfId="1" applyNumberFormat="1" applyFont="1" applyFill="1" applyBorder="1" applyAlignment="1">
      <alignment horizontal="center" vertical="center" wrapText="1"/>
    </xf>
    <xf numFmtId="0" fontId="14" fillId="4" borderId="35" xfId="1" applyNumberFormat="1" applyFont="1" applyFill="1" applyBorder="1" applyAlignment="1">
      <alignment horizontal="center" vertical="center" wrapText="1"/>
    </xf>
    <xf numFmtId="0" fontId="11" fillId="5" borderId="1" xfId="1" applyNumberFormat="1" applyFont="1" applyFill="1" applyBorder="1" applyAlignment="1">
      <alignment horizontal="center" vertical="center" wrapText="1"/>
    </xf>
    <xf numFmtId="0" fontId="11" fillId="5" borderId="2" xfId="1" applyNumberFormat="1" applyFont="1" applyFill="1" applyBorder="1" applyAlignment="1">
      <alignment horizontal="center" vertical="center"/>
    </xf>
    <xf numFmtId="0" fontId="11" fillId="5" borderId="6" xfId="1" applyNumberFormat="1" applyFont="1" applyFill="1" applyBorder="1" applyAlignment="1">
      <alignment horizontal="center" vertical="center"/>
    </xf>
    <xf numFmtId="0" fontId="11" fillId="5" borderId="29" xfId="1" applyNumberFormat="1" applyFont="1" applyFill="1" applyBorder="1" applyAlignment="1">
      <alignment horizontal="center" vertical="center"/>
    </xf>
    <xf numFmtId="0" fontId="11" fillId="5" borderId="30" xfId="1" applyNumberFormat="1" applyFont="1" applyFill="1" applyBorder="1" applyAlignment="1">
      <alignment horizontal="center" vertical="center"/>
    </xf>
    <xf numFmtId="0" fontId="11" fillId="5" borderId="35" xfId="1" applyNumberFormat="1" applyFont="1" applyFill="1" applyBorder="1" applyAlignment="1">
      <alignment horizontal="center" vertical="center"/>
    </xf>
    <xf numFmtId="171" fontId="12" fillId="7" borderId="39" xfId="1" applyNumberFormat="1" applyFont="1" applyFill="1" applyBorder="1" applyAlignment="1">
      <alignment horizontal="center" vertical="center"/>
    </xf>
    <xf numFmtId="171" fontId="12" fillId="7" borderId="40" xfId="1" applyNumberFormat="1" applyFont="1" applyFill="1" applyBorder="1" applyAlignment="1">
      <alignment horizontal="center" vertical="center"/>
    </xf>
    <xf numFmtId="171" fontId="12" fillId="7" borderId="41" xfId="1" applyNumberFormat="1" applyFont="1" applyFill="1" applyBorder="1" applyAlignment="1">
      <alignment horizontal="center" vertical="center"/>
    </xf>
    <xf numFmtId="49" fontId="18" fillId="8" borderId="3" xfId="1" applyNumberFormat="1" applyFont="1" applyFill="1" applyBorder="1" applyAlignment="1">
      <alignment horizontal="center" vertical="center" wrapText="1"/>
    </xf>
    <xf numFmtId="49" fontId="18" fillId="8" borderId="4" xfId="1" applyNumberFormat="1" applyFont="1" applyFill="1" applyBorder="1" applyAlignment="1">
      <alignment horizontal="center" vertical="center" wrapText="1"/>
    </xf>
    <xf numFmtId="49" fontId="18" fillId="8" borderId="9" xfId="1" applyNumberFormat="1" applyFont="1" applyFill="1" applyBorder="1" applyAlignment="1">
      <alignment horizontal="center" vertical="center" wrapText="1"/>
    </xf>
    <xf numFmtId="173" fontId="6" fillId="4" borderId="3" xfId="1" applyNumberFormat="1" applyFont="1" applyFill="1" applyBorder="1" applyAlignment="1">
      <alignment horizontal="center" vertical="center"/>
    </xf>
    <xf numFmtId="173" fontId="6" fillId="4" borderId="4" xfId="1" applyNumberFormat="1" applyFont="1" applyFill="1" applyBorder="1" applyAlignment="1">
      <alignment horizontal="center" vertical="center"/>
    </xf>
    <xf numFmtId="173" fontId="6" fillId="4" borderId="9" xfId="1" applyNumberFormat="1" applyFont="1" applyFill="1" applyBorder="1" applyAlignment="1">
      <alignment horizontal="center" vertical="center"/>
    </xf>
    <xf numFmtId="174" fontId="19" fillId="9" borderId="3" xfId="1" applyNumberFormat="1" applyFont="1" applyFill="1" applyBorder="1" applyAlignment="1">
      <alignment horizontal="center" shrinkToFit="1"/>
    </xf>
    <xf numFmtId="174" fontId="19" fillId="9" borderId="4" xfId="1" applyNumberFormat="1" applyFont="1" applyFill="1" applyBorder="1" applyAlignment="1">
      <alignment horizontal="center" shrinkToFit="1"/>
    </xf>
    <xf numFmtId="174" fontId="19" fillId="9" borderId="9" xfId="1" applyNumberFormat="1" applyFont="1" applyFill="1" applyBorder="1" applyAlignment="1">
      <alignment horizontal="center" shrinkToFit="1"/>
    </xf>
    <xf numFmtId="0" fontId="12" fillId="8" borderId="1" xfId="1" applyNumberFormat="1" applyFont="1" applyFill="1" applyBorder="1" applyAlignment="1">
      <alignment horizontal="center" vertical="center"/>
    </xf>
    <xf numFmtId="0" fontId="12" fillId="8" borderId="2" xfId="1" applyNumberFormat="1" applyFont="1" applyFill="1" applyBorder="1" applyAlignment="1">
      <alignment horizontal="center" vertical="center"/>
    </xf>
    <xf numFmtId="0" fontId="12" fillId="8" borderId="6" xfId="1" applyNumberFormat="1" applyFont="1" applyFill="1" applyBorder="1" applyAlignment="1">
      <alignment horizontal="center" vertical="center"/>
    </xf>
    <xf numFmtId="0" fontId="12" fillId="8" borderId="29" xfId="1" applyNumberFormat="1" applyFont="1" applyFill="1" applyBorder="1" applyAlignment="1">
      <alignment horizontal="center" vertical="center"/>
    </xf>
    <xf numFmtId="0" fontId="12" fillId="8" borderId="30" xfId="1" applyNumberFormat="1" applyFont="1" applyFill="1" applyBorder="1" applyAlignment="1">
      <alignment horizontal="center" vertical="center"/>
    </xf>
    <xf numFmtId="0" fontId="12" fillId="8" borderId="35" xfId="1" applyNumberFormat="1" applyFont="1" applyFill="1" applyBorder="1" applyAlignment="1">
      <alignment horizontal="center" vertical="center"/>
    </xf>
    <xf numFmtId="173" fontId="6" fillId="3" borderId="1" xfId="1" applyNumberFormat="1" applyFont="1" applyFill="1" applyBorder="1" applyAlignment="1">
      <alignment horizontal="center" vertical="center"/>
    </xf>
    <xf numFmtId="173" fontId="6" fillId="3" borderId="2" xfId="1" applyNumberFormat="1" applyFont="1" applyFill="1" applyBorder="1" applyAlignment="1">
      <alignment horizontal="center" vertical="center"/>
    </xf>
    <xf numFmtId="173" fontId="6" fillId="3" borderId="6" xfId="1" applyNumberFormat="1" applyFont="1" applyFill="1" applyBorder="1" applyAlignment="1">
      <alignment horizontal="center" vertical="center"/>
    </xf>
    <xf numFmtId="0" fontId="13" fillId="3" borderId="1" xfId="1" applyNumberFormat="1" applyFont="1" applyFill="1" applyBorder="1" applyAlignment="1">
      <alignment horizontal="center" vertical="center" wrapText="1"/>
    </xf>
    <xf numFmtId="0" fontId="13" fillId="3" borderId="2" xfId="1" applyNumberFormat="1" applyFont="1" applyFill="1" applyBorder="1" applyAlignment="1">
      <alignment horizontal="center" vertical="center" wrapText="1"/>
    </xf>
    <xf numFmtId="0" fontId="13" fillId="3" borderId="6" xfId="1" applyNumberFormat="1" applyFont="1" applyFill="1" applyBorder="1" applyAlignment="1">
      <alignment horizontal="center" vertical="center" wrapText="1"/>
    </xf>
    <xf numFmtId="173" fontId="6" fillId="3" borderId="3" xfId="1" applyNumberFormat="1" applyFont="1" applyFill="1" applyBorder="1" applyAlignment="1">
      <alignment horizontal="center" vertical="center" wrapText="1"/>
    </xf>
    <xf numFmtId="173" fontId="6" fillId="3" borderId="4" xfId="1" applyNumberFormat="1" applyFont="1" applyFill="1" applyBorder="1" applyAlignment="1">
      <alignment horizontal="center" vertical="center" wrapText="1"/>
    </xf>
    <xf numFmtId="173" fontId="6" fillId="3" borderId="9" xfId="1" applyNumberFormat="1" applyFont="1" applyFill="1" applyBorder="1" applyAlignment="1">
      <alignment horizontal="center" vertical="center" wrapText="1"/>
    </xf>
    <xf numFmtId="0" fontId="21" fillId="21" borderId="27" xfId="1" applyNumberFormat="1" applyFont="1" applyFill="1" applyBorder="1" applyAlignment="1">
      <alignment horizontal="center" vertical="center" wrapText="1"/>
    </xf>
    <xf numFmtId="0" fontId="21" fillId="21" borderId="31" xfId="1" applyNumberFormat="1" applyFont="1" applyFill="1" applyBorder="1" applyAlignment="1">
      <alignment horizontal="center" vertical="center" wrapText="1"/>
    </xf>
    <xf numFmtId="0" fontId="3" fillId="3" borderId="0" xfId="1" applyNumberFormat="1" applyFont="1" applyFill="1" applyBorder="1" applyAlignment="1">
      <alignment horizontal="left" vertical="center"/>
    </xf>
    <xf numFmtId="2" fontId="3" fillId="2" borderId="0" xfId="1" applyNumberFormat="1" applyFont="1" applyFill="1" applyBorder="1" applyAlignment="1">
      <alignment horizontal="right" vertical="center"/>
    </xf>
    <xf numFmtId="178" fontId="3" fillId="2" borderId="0" xfId="1" applyNumberFormat="1" applyFont="1" applyFill="1" applyBorder="1" applyAlignment="1">
      <alignment horizontal="right" vertical="center"/>
    </xf>
    <xf numFmtId="0" fontId="7" fillId="3" borderId="29" xfId="1" applyNumberFormat="1" applyFont="1" applyFill="1" applyBorder="1" applyAlignment="1">
      <alignment horizontal="center" vertical="center" wrapText="1"/>
    </xf>
    <xf numFmtId="0" fontId="7" fillId="3" borderId="30" xfId="1" applyNumberFormat="1" applyFont="1" applyFill="1" applyBorder="1" applyAlignment="1">
      <alignment horizontal="center" vertical="center" wrapText="1"/>
    </xf>
    <xf numFmtId="0" fontId="7" fillId="3" borderId="35" xfId="1" applyNumberFormat="1" applyFont="1" applyFill="1" applyBorder="1" applyAlignment="1">
      <alignment horizontal="center" vertical="center" wrapText="1"/>
    </xf>
    <xf numFmtId="0" fontId="3" fillId="2" borderId="26" xfId="1" applyNumberFormat="1" applyFont="1" applyFill="1" applyBorder="1" applyAlignment="1">
      <alignment horizontal="left" vertical="center"/>
    </xf>
    <xf numFmtId="0" fontId="3" fillId="2" borderId="20" xfId="1" applyNumberFormat="1" applyFont="1" applyFill="1" applyBorder="1" applyAlignment="1">
      <alignment horizontal="left" vertical="center"/>
    </xf>
    <xf numFmtId="0" fontId="3" fillId="2" borderId="24" xfId="1" applyNumberFormat="1" applyFont="1" applyFill="1" applyBorder="1" applyAlignment="1">
      <alignment horizontal="left" vertical="center"/>
    </xf>
    <xf numFmtId="0" fontId="3" fillId="2" borderId="38" xfId="1" applyNumberFormat="1" applyFont="1" applyFill="1" applyBorder="1" applyAlignment="1">
      <alignment horizontal="left" vertical="center"/>
    </xf>
    <xf numFmtId="0" fontId="3" fillId="2" borderId="33" xfId="1" applyNumberFormat="1" applyFont="1" applyFill="1" applyBorder="1" applyAlignment="1">
      <alignment horizontal="left" vertical="center"/>
    </xf>
    <xf numFmtId="0" fontId="3" fillId="2" borderId="37" xfId="1" applyNumberFormat="1" applyFont="1" applyFill="1" applyBorder="1" applyAlignment="1">
      <alignment horizontal="left" vertical="center"/>
    </xf>
    <xf numFmtId="0" fontId="3" fillId="2" borderId="21" xfId="1" applyNumberFormat="1" applyFont="1" applyFill="1" applyBorder="1" applyAlignment="1">
      <alignment horizontal="left" vertical="center"/>
    </xf>
    <xf numFmtId="0" fontId="3" fillId="2" borderId="22" xfId="1" applyNumberFormat="1" applyFont="1" applyFill="1" applyBorder="1" applyAlignment="1">
      <alignment horizontal="left" vertical="center"/>
    </xf>
    <xf numFmtId="0" fontId="3" fillId="2" borderId="28" xfId="1" applyNumberFormat="1" applyFont="1" applyFill="1" applyBorder="1" applyAlignment="1">
      <alignment horizontal="left" vertical="center"/>
    </xf>
    <xf numFmtId="0" fontId="23" fillId="21" borderId="27" xfId="1" applyNumberFormat="1" applyFont="1" applyFill="1" applyBorder="1" applyAlignment="1">
      <alignment horizontal="center" vertical="center"/>
    </xf>
    <xf numFmtId="0" fontId="23" fillId="21" borderId="31" xfId="1" applyNumberFormat="1" applyFont="1" applyFill="1" applyBorder="1" applyAlignment="1">
      <alignment horizontal="center" vertical="center"/>
    </xf>
    <xf numFmtId="0" fontId="7" fillId="21" borderId="17" xfId="1" applyNumberFormat="1" applyFont="1" applyFill="1" applyBorder="1" applyAlignment="1">
      <alignment horizontal="center" vertical="center"/>
    </xf>
    <xf numFmtId="49" fontId="7" fillId="21" borderId="0" xfId="1" applyNumberFormat="1" applyFont="1" applyFill="1" applyBorder="1" applyAlignment="1">
      <alignment horizontal="center" vertical="center" wrapText="1" shrinkToFit="1"/>
    </xf>
  </cellXfs>
  <cellStyles count="4">
    <cellStyle name="Normal" xfId="0" builtinId="0"/>
    <cellStyle name="Normal 2" xfId="1"/>
    <cellStyle name="Percent" xfId="2" builtinId="5"/>
    <cellStyle name="Percent 2" xfId="3"/>
  </cellStyles>
  <dxfs count="7">
    <dxf>
      <font>
        <color rgb="FFFF0000"/>
      </font>
    </dxf>
    <dxf>
      <font>
        <color rgb="FF69A12B"/>
      </font>
    </dxf>
    <dxf>
      <font>
        <b/>
        <i val="0"/>
        <color rgb="FFFF0000"/>
      </font>
    </dxf>
    <dxf>
      <font>
        <color rgb="FFFF0000"/>
      </font>
    </dxf>
    <dxf>
      <font>
        <color rgb="FF69A12B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Medium9"/>
  <colors>
    <mruColors>
      <color rgb="FFCCC0DA"/>
      <color rgb="FF69A12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W19"/>
  <sheetViews>
    <sheetView showZeros="0" tabSelected="1" zoomScale="70" zoomScaleNormal="70" workbookViewId="0">
      <pane xSplit="10" ySplit="17" topLeftCell="K18" activePane="bottomRight" state="frozen"/>
      <selection pane="topRight" activeCell="K1" sqref="K1"/>
      <selection pane="bottomLeft" activeCell="A18" sqref="A18"/>
      <selection pane="bottomRight"/>
    </sheetView>
  </sheetViews>
  <sheetFormatPr defaultColWidth="9.140625" defaultRowHeight="15" x14ac:dyDescent="0.25"/>
  <cols>
    <col min="1" max="1" width="5.5703125" style="17" customWidth="1"/>
    <col min="2" max="5" width="6.28515625" style="17" customWidth="1"/>
    <col min="6" max="6" width="7.28515625" style="17" customWidth="1"/>
    <col min="7" max="7" width="10.7109375" style="17" customWidth="1"/>
    <col min="8" max="8" width="14.28515625" style="17" customWidth="1"/>
    <col min="9" max="9" width="8.7109375" style="17" customWidth="1"/>
    <col min="10" max="10" width="38.5703125" style="17" customWidth="1"/>
    <col min="11" max="11" width="14.7109375" style="17" customWidth="1"/>
    <col min="12" max="12" width="12.5703125" style="17" customWidth="1"/>
    <col min="13" max="13" width="10.42578125" style="17" customWidth="1"/>
    <col min="14" max="14" width="14.7109375" style="17" customWidth="1"/>
    <col min="15" max="15" width="8.28515625" style="17" customWidth="1"/>
    <col min="16" max="16" width="14.28515625" style="17" customWidth="1"/>
    <col min="17" max="17" width="16.5703125" style="17" customWidth="1"/>
    <col min="18" max="18" width="16.28515625" style="17" customWidth="1"/>
    <col min="19" max="19" width="10.140625" style="17" customWidth="1"/>
    <col min="20" max="20" width="8.28515625" style="17" customWidth="1"/>
    <col min="21" max="24" width="14.28515625" style="17" customWidth="1"/>
    <col min="25" max="25" width="7.7109375" style="17" customWidth="1"/>
    <col min="26" max="26" width="14.85546875" style="17" customWidth="1"/>
    <col min="27" max="32" width="14.28515625" style="17" customWidth="1"/>
    <col min="33" max="33" width="9.85546875" style="17" customWidth="1"/>
    <col min="34" max="34" width="14.28515625" style="17" customWidth="1"/>
    <col min="35" max="35" width="9.7109375" style="17" customWidth="1"/>
    <col min="36" max="37" width="7.7109375" style="17" customWidth="1"/>
    <col min="38" max="38" width="14.28515625" style="17" customWidth="1"/>
    <col min="39" max="39" width="13.140625" style="17" customWidth="1"/>
    <col min="40" max="40" width="14.7109375" style="17" customWidth="1"/>
    <col min="41" max="41" width="7.28515625" style="17" customWidth="1"/>
    <col min="42" max="42" width="10.42578125" style="17" hidden="1" customWidth="1"/>
    <col min="43" max="43" width="12" style="17" hidden="1" customWidth="1"/>
    <col min="44" max="44" width="10.42578125" style="17" hidden="1" customWidth="1"/>
    <col min="45" max="45" width="8" style="243" customWidth="1"/>
    <col min="46" max="46" width="14.28515625" style="17" customWidth="1"/>
    <col min="47" max="47" width="7.7109375" style="17" customWidth="1"/>
    <col min="48" max="49" width="14.28515625" style="17" customWidth="1"/>
    <col min="50" max="50" width="13.140625" style="17" customWidth="1"/>
    <col min="51" max="51" width="14.7109375" style="17" customWidth="1"/>
    <col min="52" max="52" width="7.28515625" style="17" customWidth="1"/>
    <col min="53" max="53" width="10.42578125" style="17" hidden="1" customWidth="1"/>
    <col min="54" max="54" width="12" style="17" hidden="1" customWidth="1"/>
    <col min="55" max="55" width="6.7109375" style="17" hidden="1" customWidth="1"/>
    <col min="56" max="57" width="14.28515625" style="17" customWidth="1"/>
    <col min="58" max="58" width="16.85546875" style="17" bestFit="1" customWidth="1"/>
    <col min="59" max="61" width="14.28515625" style="17" customWidth="1"/>
    <col min="62" max="74" width="8.7109375" style="17" customWidth="1"/>
    <col min="75" max="84" width="9.140625" style="17" customWidth="1"/>
    <col min="85" max="16384" width="9.140625" style="17"/>
  </cols>
  <sheetData>
    <row r="1" spans="1:75" ht="51.75" customHeight="1" x14ac:dyDescent="0.25">
      <c r="A1" s="2"/>
      <c r="B1" s="3"/>
      <c r="C1" s="331" t="s">
        <v>1</v>
      </c>
      <c r="D1" s="332"/>
      <c r="E1" s="332"/>
      <c r="F1" s="333"/>
      <c r="G1" s="4" t="s">
        <v>2</v>
      </c>
      <c r="H1" s="5" t="s">
        <v>3</v>
      </c>
      <c r="I1" s="4" t="s">
        <v>4</v>
      </c>
      <c r="J1" s="286" t="s">
        <v>5</v>
      </c>
      <c r="K1" s="287" t="s">
        <v>6</v>
      </c>
      <c r="L1" s="6" t="s">
        <v>7</v>
      </c>
      <c r="M1" s="6" t="s">
        <v>8</v>
      </c>
      <c r="N1" s="282"/>
      <c r="O1" s="282"/>
      <c r="P1" s="282"/>
      <c r="Q1" s="282"/>
      <c r="R1" s="8"/>
      <c r="S1" s="8"/>
      <c r="T1" s="9"/>
      <c r="U1" s="10"/>
      <c r="V1" s="10"/>
      <c r="W1" s="10"/>
      <c r="X1" s="10"/>
      <c r="Y1" s="11"/>
      <c r="Z1" s="11"/>
      <c r="AA1" s="7"/>
      <c r="AB1" s="12"/>
      <c r="AC1" s="8"/>
      <c r="AD1" s="7"/>
      <c r="AE1" s="7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T1" s="13"/>
      <c r="AU1" s="14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5"/>
      <c r="BK1" s="15"/>
      <c r="BL1" s="15"/>
      <c r="BM1" s="15"/>
      <c r="BN1" s="15"/>
      <c r="BO1" s="15"/>
      <c r="BP1" s="15"/>
      <c r="BQ1" s="16"/>
      <c r="BR1" s="16"/>
      <c r="BS1" s="16"/>
      <c r="BT1" s="16"/>
      <c r="BU1" s="16"/>
      <c r="BV1" s="16"/>
      <c r="BW1" s="1"/>
    </row>
    <row r="2" spans="1:75" ht="15.75" customHeight="1" x14ac:dyDescent="0.25">
      <c r="A2" s="331" t="s">
        <v>9</v>
      </c>
      <c r="B2" s="334"/>
      <c r="C2" s="335">
        <f>SUM(C3:C9)</f>
        <v>0</v>
      </c>
      <c r="D2" s="336"/>
      <c r="E2" s="336"/>
      <c r="F2" s="337"/>
      <c r="G2" s="18">
        <f>SUM(G3:G9)</f>
        <v>0</v>
      </c>
      <c r="H2" s="19">
        <f>SUM(H3:H9)</f>
        <v>0</v>
      </c>
      <c r="I2" s="18">
        <f>SUM(I3:I9)</f>
        <v>0</v>
      </c>
      <c r="J2" s="20">
        <f>SUM(J3:J9)</f>
        <v>0</v>
      </c>
      <c r="K2" s="20"/>
      <c r="L2" s="288"/>
      <c r="M2" s="292">
        <f>SUM(M3:M9)</f>
        <v>0</v>
      </c>
      <c r="N2" s="296"/>
      <c r="O2" s="283"/>
      <c r="P2" s="284"/>
      <c r="Q2" s="285"/>
      <c r="R2" s="8"/>
      <c r="S2" s="8"/>
      <c r="T2" s="11"/>
      <c r="U2" s="11"/>
      <c r="V2" s="11"/>
      <c r="W2" s="11"/>
      <c r="X2" s="11"/>
      <c r="Y2" s="11"/>
      <c r="Z2" s="11"/>
      <c r="AA2" s="7"/>
      <c r="AB2" s="21"/>
      <c r="AC2" s="22"/>
      <c r="AD2" s="23"/>
      <c r="AE2" s="23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4"/>
      <c r="AT2" s="25"/>
      <c r="AU2" s="26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5"/>
      <c r="BK2" s="15"/>
      <c r="BL2" s="15"/>
      <c r="BM2" s="15"/>
      <c r="BN2" s="15"/>
      <c r="BO2" s="15"/>
      <c r="BP2" s="15"/>
      <c r="BQ2" s="16"/>
      <c r="BR2" s="16"/>
      <c r="BS2" s="16"/>
      <c r="BT2" s="16"/>
      <c r="BU2" s="16"/>
      <c r="BV2" s="16"/>
      <c r="BW2" s="1"/>
    </row>
    <row r="3" spans="1:75" ht="15.75" customHeight="1" x14ac:dyDescent="0.25">
      <c r="A3" s="27">
        <v>1</v>
      </c>
      <c r="B3" s="28">
        <f>UniqueSaleUD!A1</f>
        <v>0</v>
      </c>
      <c r="C3" s="338">
        <f t="shared" ref="C3:C8" si="0">SUMIF($B$18:$B$10000,B3,$AH$18:$AH$10000)</f>
        <v>0</v>
      </c>
      <c r="D3" s="339"/>
      <c r="E3" s="339"/>
      <c r="F3" s="340"/>
      <c r="G3" s="29" t="str">
        <f t="shared" ref="G3:G9" si="1">IFERROR(C3/$C$2,"")</f>
        <v/>
      </c>
      <c r="H3" s="30">
        <f t="shared" ref="H3:H9" si="2">SUMIF($B$18:$B$10000,B3,$W$18:$W$10000)</f>
        <v>0</v>
      </c>
      <c r="I3" s="31" t="str">
        <f t="shared" ref="I3:I9" si="3">IFERROR(H3/$H$2,"")</f>
        <v/>
      </c>
      <c r="J3" s="32">
        <f t="shared" ref="J3:J9" si="4">SUMIF($B$18:$B$10000,B3,$R$18:$R$10000)</f>
        <v>0</v>
      </c>
      <c r="K3" s="32" t="str">
        <f>IFERROR(J3/$J$2,"")</f>
        <v/>
      </c>
      <c r="L3" s="293">
        <f>IF(SUMIF($B$18:$B$10000,B3,$AX$18:$AX$10000)=0,0,(SUMIF($B$18:$B$10000,B3,$AM$18:$AM$10000)-SUMIF($B$18:$B$10000,B3,$AX$18:$AX$10000))/SUMIF($B$18:$B$10000,B3,$AX$18:$AX$10000))</f>
        <v>0</v>
      </c>
      <c r="M3" s="294">
        <f>SUMIF($B$18:$B$10000,B3,$AM$18:$AM$10000)-SUMIF($B$18:$B$10000,B3,$AX$18:$AX$10000)</f>
        <v>0</v>
      </c>
      <c r="N3" s="374" t="s">
        <v>10</v>
      </c>
      <c r="O3" s="375"/>
      <c r="P3" s="375"/>
      <c r="Q3" s="376"/>
      <c r="R3" s="274">
        <f>Data3!B4</f>
        <v>0</v>
      </c>
      <c r="S3" s="279"/>
      <c r="T3" s="426"/>
      <c r="U3" s="426"/>
      <c r="V3" s="11"/>
      <c r="W3" s="11"/>
      <c r="X3" s="11"/>
      <c r="Y3" s="11"/>
      <c r="Z3" s="11"/>
      <c r="AA3" s="7"/>
      <c r="AB3" s="21"/>
      <c r="AC3" s="8"/>
      <c r="AD3" s="7"/>
      <c r="AE3" s="7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T3" s="13"/>
      <c r="AU3" s="33"/>
      <c r="AV3" s="425"/>
      <c r="AW3" s="425"/>
      <c r="AX3" s="218"/>
      <c r="AY3" s="218"/>
      <c r="AZ3" s="218"/>
      <c r="BA3" s="256"/>
      <c r="BB3" s="256"/>
      <c r="BC3" s="256"/>
      <c r="BD3" s="233"/>
      <c r="BE3" s="233"/>
      <c r="BF3" s="233"/>
      <c r="BG3" s="306"/>
      <c r="BH3" s="306"/>
      <c r="BI3" s="306"/>
      <c r="BJ3" s="34"/>
      <c r="BK3" s="34"/>
      <c r="BL3" s="34"/>
      <c r="BM3" s="34"/>
      <c r="BN3" s="34"/>
      <c r="BO3" s="34"/>
      <c r="BP3" s="34"/>
      <c r="BQ3" s="16"/>
      <c r="BR3" s="16"/>
      <c r="BS3" s="16"/>
      <c r="BT3" s="16"/>
      <c r="BU3" s="16"/>
      <c r="BV3" s="16"/>
      <c r="BW3" s="1"/>
    </row>
    <row r="4" spans="1:75" ht="15.75" customHeight="1" x14ac:dyDescent="0.25">
      <c r="A4" s="35">
        <v>2</v>
      </c>
      <c r="B4" s="36">
        <f>UniqueSaleUD!A2</f>
        <v>0</v>
      </c>
      <c r="C4" s="328">
        <f t="shared" si="0"/>
        <v>0</v>
      </c>
      <c r="D4" s="329"/>
      <c r="E4" s="329"/>
      <c r="F4" s="330"/>
      <c r="G4" s="37" t="str">
        <f t="shared" si="1"/>
        <v/>
      </c>
      <c r="H4" s="38">
        <f t="shared" si="2"/>
        <v>0</v>
      </c>
      <c r="I4" s="39" t="str">
        <f t="shared" si="3"/>
        <v/>
      </c>
      <c r="J4" s="40">
        <f t="shared" si="4"/>
        <v>0</v>
      </c>
      <c r="K4" s="40" t="str">
        <f>IFERROR(J4/$J$2,"")</f>
        <v/>
      </c>
      <c r="L4" s="289">
        <f t="shared" ref="L4:L9" si="5">IF(SUMIF($B$18:$B$10000,B4,$AX$18:$AX$10000)=0,0,(SUMIF($B$18:$B$10000,B4,$AM$18:$AM$10000)-SUMIF($B$18:$B$10000,B4,$AX$18:$AX$10000))/SUMIF($B$18:$B$10000,B4,$AX$18:$AX$10000))</f>
        <v>0</v>
      </c>
      <c r="M4" s="291">
        <f>SUMIF($B$18:$B$10000,B4,$AM$18:$AM$10000)-SUMIF($B$18:$B$10000,B4,$AX$18:$AX$10000)</f>
        <v>0</v>
      </c>
      <c r="N4" s="377" t="s">
        <v>11</v>
      </c>
      <c r="O4" s="378"/>
      <c r="P4" s="378"/>
      <c r="Q4" s="379"/>
      <c r="R4" s="275" t="e">
        <f>AA13/R3+AD13</f>
        <v>#DIV/0!</v>
      </c>
      <c r="S4" s="280"/>
      <c r="T4" s="359"/>
      <c r="U4" s="359"/>
      <c r="V4" s="11"/>
      <c r="W4" s="11"/>
      <c r="X4" s="11"/>
      <c r="Y4" s="11"/>
      <c r="Z4" s="11"/>
      <c r="AA4" s="7"/>
      <c r="AB4" s="21"/>
      <c r="AC4" s="8"/>
      <c r="AD4" s="7"/>
      <c r="AE4" s="7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T4" s="13"/>
      <c r="AU4" s="33"/>
      <c r="AV4" s="425"/>
      <c r="AW4" s="425"/>
      <c r="AX4" s="218"/>
      <c r="AY4" s="218"/>
      <c r="AZ4" s="218"/>
      <c r="BA4" s="256"/>
      <c r="BB4" s="256"/>
      <c r="BC4" s="256"/>
      <c r="BD4" s="233"/>
      <c r="BE4" s="233"/>
      <c r="BF4" s="233"/>
      <c r="BG4" s="306"/>
      <c r="BH4" s="306"/>
      <c r="BI4" s="306"/>
      <c r="BJ4" s="34"/>
      <c r="BK4" s="34"/>
      <c r="BL4" s="34"/>
      <c r="BM4" s="34"/>
      <c r="BN4" s="34"/>
      <c r="BO4" s="34"/>
      <c r="BP4" s="34"/>
      <c r="BQ4" s="16"/>
      <c r="BR4" s="16"/>
      <c r="BS4" s="16"/>
      <c r="BT4" s="16"/>
      <c r="BU4" s="16"/>
      <c r="BV4" s="16"/>
      <c r="BW4" s="1"/>
    </row>
    <row r="5" spans="1:75" ht="15" customHeight="1" x14ac:dyDescent="0.25">
      <c r="A5" s="35">
        <v>3</v>
      </c>
      <c r="B5" s="36">
        <f>UniqueSaleUD!A3</f>
        <v>0</v>
      </c>
      <c r="C5" s="328">
        <f t="shared" si="0"/>
        <v>0</v>
      </c>
      <c r="D5" s="329"/>
      <c r="E5" s="329"/>
      <c r="F5" s="330"/>
      <c r="G5" s="41" t="str">
        <f t="shared" si="1"/>
        <v/>
      </c>
      <c r="H5" s="38">
        <f t="shared" si="2"/>
        <v>0</v>
      </c>
      <c r="I5" s="39" t="str">
        <f t="shared" si="3"/>
        <v/>
      </c>
      <c r="J5" s="40">
        <f t="shared" si="4"/>
        <v>0</v>
      </c>
      <c r="K5" s="40" t="str">
        <f t="shared" ref="K5:K7" si="6">IFERROR(J5/$J$2,"")</f>
        <v/>
      </c>
      <c r="L5" s="289">
        <f t="shared" si="5"/>
        <v>0</v>
      </c>
      <c r="M5" s="291">
        <f t="shared" ref="M5:M7" si="7">SUMIF($B$18:$B$10000,B5,$AM$18:$AM$10000)-SUMIF($B$18:$B$10000,B5,$AX$18:$AX$10000)</f>
        <v>0</v>
      </c>
      <c r="N5" s="431" t="s">
        <v>12</v>
      </c>
      <c r="O5" s="432"/>
      <c r="P5" s="432"/>
      <c r="Q5" s="433"/>
      <c r="R5" s="276" t="e">
        <f>AB13/R3+AE13</f>
        <v>#DIV/0!</v>
      </c>
      <c r="S5" s="281"/>
      <c r="T5" s="359"/>
      <c r="U5" s="359"/>
      <c r="V5" s="11"/>
      <c r="W5" s="11"/>
      <c r="X5" s="11"/>
      <c r="Y5" s="11"/>
      <c r="Z5" s="11"/>
      <c r="AA5" s="7"/>
      <c r="AB5" s="42"/>
      <c r="AC5" s="8"/>
      <c r="AD5" s="7"/>
      <c r="AE5" s="7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T5" s="13"/>
      <c r="AU5" s="3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4"/>
      <c r="BK5" s="44"/>
      <c r="BL5" s="44"/>
      <c r="BM5" s="44"/>
      <c r="BN5" s="44"/>
      <c r="BO5" s="44"/>
      <c r="BP5" s="44"/>
      <c r="BQ5" s="16"/>
      <c r="BR5" s="16"/>
      <c r="BS5" s="16"/>
      <c r="BT5" s="16"/>
      <c r="BU5" s="16"/>
      <c r="BV5" s="16"/>
      <c r="BW5" s="1"/>
    </row>
    <row r="6" spans="1:75" ht="15.75" customHeight="1" x14ac:dyDescent="0.25">
      <c r="A6" s="35">
        <v>4</v>
      </c>
      <c r="B6" s="36">
        <f>UniqueSaleUD!A4</f>
        <v>0</v>
      </c>
      <c r="C6" s="328">
        <f t="shared" si="0"/>
        <v>0</v>
      </c>
      <c r="D6" s="329"/>
      <c r="E6" s="329"/>
      <c r="F6" s="330"/>
      <c r="G6" s="37" t="str">
        <f t="shared" si="1"/>
        <v/>
      </c>
      <c r="H6" s="38">
        <f t="shared" si="2"/>
        <v>0</v>
      </c>
      <c r="I6" s="39" t="str">
        <f t="shared" si="3"/>
        <v/>
      </c>
      <c r="J6" s="40">
        <f t="shared" si="4"/>
        <v>0</v>
      </c>
      <c r="K6" s="40" t="str">
        <f t="shared" si="6"/>
        <v/>
      </c>
      <c r="L6" s="289">
        <f t="shared" si="5"/>
        <v>0</v>
      </c>
      <c r="M6" s="291">
        <f t="shared" si="7"/>
        <v>0</v>
      </c>
      <c r="N6" s="434" t="s">
        <v>13</v>
      </c>
      <c r="O6" s="435"/>
      <c r="P6" s="435"/>
      <c r="Q6" s="436"/>
      <c r="R6" s="277" t="e">
        <f>AC13/R3+AF13</f>
        <v>#DIV/0!</v>
      </c>
      <c r="S6" s="281"/>
      <c r="T6" s="359"/>
      <c r="U6" s="359"/>
      <c r="V6" s="11"/>
      <c r="W6" s="11"/>
      <c r="X6" s="11"/>
      <c r="Y6" s="11"/>
      <c r="Z6" s="11"/>
      <c r="AA6" s="7"/>
      <c r="AB6" s="45"/>
      <c r="AC6" s="8"/>
      <c r="AD6" s="7"/>
      <c r="AE6" s="7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T6" s="13"/>
      <c r="AU6" s="3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4"/>
      <c r="BK6" s="44"/>
      <c r="BL6" s="44"/>
      <c r="BM6" s="44"/>
      <c r="BN6" s="44"/>
      <c r="BO6" s="44"/>
      <c r="BP6" s="44"/>
      <c r="BQ6" s="16"/>
      <c r="BR6" s="16"/>
      <c r="BS6" s="16"/>
      <c r="BT6" s="16"/>
      <c r="BU6" s="16"/>
      <c r="BV6" s="16"/>
      <c r="BW6" s="1"/>
    </row>
    <row r="7" spans="1:75" ht="16.5" customHeight="1" x14ac:dyDescent="0.25">
      <c r="A7" s="35">
        <v>5</v>
      </c>
      <c r="B7" s="36">
        <f>UniqueSaleUD!A5</f>
        <v>0</v>
      </c>
      <c r="C7" s="328">
        <f t="shared" si="0"/>
        <v>0</v>
      </c>
      <c r="D7" s="329"/>
      <c r="E7" s="329"/>
      <c r="F7" s="330"/>
      <c r="G7" s="37" t="str">
        <f t="shared" si="1"/>
        <v/>
      </c>
      <c r="H7" s="38">
        <f t="shared" si="2"/>
        <v>0</v>
      </c>
      <c r="I7" s="39" t="str">
        <f t="shared" si="3"/>
        <v/>
      </c>
      <c r="J7" s="40">
        <f t="shared" si="4"/>
        <v>0</v>
      </c>
      <c r="K7" s="40" t="str">
        <f t="shared" si="6"/>
        <v/>
      </c>
      <c r="L7" s="289">
        <f t="shared" si="5"/>
        <v>0</v>
      </c>
      <c r="M7" s="291">
        <f t="shared" si="7"/>
        <v>0</v>
      </c>
      <c r="N7" s="437" t="s">
        <v>14</v>
      </c>
      <c r="O7" s="438"/>
      <c r="P7" s="438"/>
      <c r="Q7" s="439"/>
      <c r="R7" s="278">
        <f>Data3!B3</f>
        <v>0</v>
      </c>
      <c r="S7" s="281"/>
      <c r="T7" s="427"/>
      <c r="U7" s="427"/>
      <c r="V7" s="11"/>
      <c r="W7" s="11"/>
      <c r="X7" s="11"/>
      <c r="Y7" s="11"/>
      <c r="Z7" s="11"/>
      <c r="AA7" s="8"/>
      <c r="AB7" s="46"/>
      <c r="AC7" s="7"/>
      <c r="AD7" s="7"/>
      <c r="AE7" s="7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T7" s="13"/>
      <c r="AU7" s="3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4"/>
      <c r="BK7" s="44"/>
      <c r="BL7" s="44"/>
      <c r="BM7" s="44"/>
      <c r="BN7" s="44"/>
      <c r="BO7" s="44"/>
      <c r="BP7" s="44"/>
      <c r="BQ7" s="16"/>
      <c r="BR7" s="16"/>
      <c r="BS7" s="16"/>
      <c r="BT7" s="16"/>
      <c r="BU7" s="16"/>
      <c r="BV7" s="16"/>
      <c r="BW7" s="1"/>
    </row>
    <row r="8" spans="1:75" ht="15.75" customHeight="1" thickBot="1" x14ac:dyDescent="0.3">
      <c r="A8" s="35">
        <v>6</v>
      </c>
      <c r="B8" s="36">
        <f>UniqueSaleUD!A6</f>
        <v>0</v>
      </c>
      <c r="C8" s="341">
        <f t="shared" si="0"/>
        <v>0</v>
      </c>
      <c r="D8" s="342"/>
      <c r="E8" s="342"/>
      <c r="F8" s="343"/>
      <c r="G8" s="39" t="str">
        <f t="shared" si="1"/>
        <v/>
      </c>
      <c r="H8" s="38">
        <f t="shared" si="2"/>
        <v>0</v>
      </c>
      <c r="I8" s="39" t="str">
        <f t="shared" si="3"/>
        <v/>
      </c>
      <c r="J8" s="40">
        <f t="shared" si="4"/>
        <v>0</v>
      </c>
      <c r="K8" s="40" t="str">
        <f>IFERROR(J8/$J$2,"")</f>
        <v/>
      </c>
      <c r="L8" s="323">
        <f t="shared" si="5"/>
        <v>0</v>
      </c>
      <c r="M8" s="291">
        <f>SUMIF($B$18:$B$10000,B8,$AM$18:$AM$10000)-SUMIF($B$18:$B$10000,B8,$AX$18:$AX$10000)</f>
        <v>0</v>
      </c>
      <c r="N8" s="434" t="s">
        <v>15</v>
      </c>
      <c r="O8" s="435"/>
      <c r="P8" s="435"/>
      <c r="Q8" s="436"/>
      <c r="R8" s="277">
        <f>Data3!B2</f>
        <v>0</v>
      </c>
      <c r="S8" s="281"/>
      <c r="T8" s="359"/>
      <c r="U8" s="359"/>
      <c r="V8" s="11"/>
      <c r="W8" s="11"/>
      <c r="X8" s="11"/>
      <c r="Y8" s="11"/>
      <c r="Z8" s="11"/>
      <c r="AA8" s="8"/>
      <c r="AB8" s="46"/>
      <c r="AC8" s="7"/>
      <c r="AD8" s="7"/>
      <c r="AE8" s="7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T8" s="13"/>
      <c r="AU8" s="3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4"/>
      <c r="BK8" s="44"/>
      <c r="BL8" s="44"/>
      <c r="BM8" s="44"/>
      <c r="BN8" s="44"/>
      <c r="BO8" s="44"/>
      <c r="BP8" s="44"/>
      <c r="BQ8" s="16"/>
      <c r="BR8" s="16"/>
      <c r="BS8" s="16"/>
      <c r="BT8" s="16"/>
      <c r="BU8" s="16"/>
      <c r="BV8" s="16"/>
      <c r="BW8" s="1"/>
    </row>
    <row r="9" spans="1:75" ht="16.5" customHeight="1" thickBot="1" x14ac:dyDescent="0.3">
      <c r="A9" s="319">
        <v>7</v>
      </c>
      <c r="B9" s="320">
        <f>UniqueSaleUD!A7</f>
        <v>0</v>
      </c>
      <c r="C9" s="344">
        <f t="shared" ref="C9" si="8">SUMIF($B$18:$B$10000,B9,$AH$18:$AH$10000)</f>
        <v>0</v>
      </c>
      <c r="D9" s="345"/>
      <c r="E9" s="345"/>
      <c r="F9" s="346"/>
      <c r="G9" s="47" t="str">
        <f t="shared" si="1"/>
        <v/>
      </c>
      <c r="H9" s="48">
        <f t="shared" si="2"/>
        <v>0</v>
      </c>
      <c r="I9" s="47" t="str">
        <f t="shared" si="3"/>
        <v/>
      </c>
      <c r="J9" s="321">
        <f t="shared" si="4"/>
        <v>0</v>
      </c>
      <c r="K9" s="321" t="str">
        <f>IFERROR(J9/$J$2,"")</f>
        <v/>
      </c>
      <c r="L9" s="290">
        <f t="shared" si="5"/>
        <v>0</v>
      </c>
      <c r="M9" s="322">
        <f>SUMIF($B$18:$B$10000,B9,$AM$18:$AM$10000)-SUMIF($B$18:$B$10000,B9,$AX$18:$AX$10000)</f>
        <v>0</v>
      </c>
      <c r="N9" s="49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50"/>
      <c r="AB9" s="46"/>
      <c r="AC9" s="7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T9" s="13"/>
      <c r="AU9" s="51"/>
      <c r="AV9" s="51"/>
      <c r="AW9" s="51"/>
      <c r="AX9" s="51"/>
      <c r="AY9" s="51"/>
      <c r="AZ9" s="51"/>
      <c r="BA9" s="51"/>
      <c r="BB9" s="51"/>
      <c r="BC9" s="51"/>
      <c r="BD9" s="51"/>
      <c r="BE9" s="51"/>
      <c r="BF9" s="51"/>
      <c r="BG9" s="51"/>
      <c r="BH9" s="51"/>
      <c r="BI9" s="51"/>
      <c r="BJ9" s="52"/>
      <c r="BK9" s="52"/>
      <c r="BL9" s="52"/>
      <c r="BM9" s="52"/>
      <c r="BN9" s="52"/>
      <c r="BO9" s="52"/>
      <c r="BP9" s="52"/>
      <c r="BQ9" s="16"/>
      <c r="BR9" s="16"/>
      <c r="BS9" s="16"/>
      <c r="BT9" s="16"/>
      <c r="BU9" s="16"/>
      <c r="BV9" s="16"/>
      <c r="BW9" s="1"/>
    </row>
    <row r="10" spans="1:75" ht="34.5" customHeight="1" thickBot="1" x14ac:dyDescent="0.3">
      <c r="A10" s="347" t="s">
        <v>16</v>
      </c>
      <c r="B10" s="348"/>
      <c r="C10" s="348"/>
      <c r="D10" s="348"/>
      <c r="E10" s="348"/>
      <c r="F10" s="348"/>
      <c r="G10" s="348"/>
      <c r="H10" s="348"/>
      <c r="I10" s="348"/>
      <c r="J10" s="349"/>
      <c r="K10" s="255"/>
      <c r="L10" s="255"/>
      <c r="M10" s="255"/>
      <c r="N10" s="295"/>
      <c r="O10" s="353" t="str">
        <f>Data4!A2&amp;" SALES"</f>
        <v xml:space="preserve"> SALES</v>
      </c>
      <c r="P10" s="354"/>
      <c r="Q10" s="354"/>
      <c r="R10" s="354"/>
      <c r="S10" s="354"/>
      <c r="T10" s="354"/>
      <c r="U10" s="354"/>
      <c r="V10" s="354"/>
      <c r="W10" s="354"/>
      <c r="X10" s="354"/>
      <c r="Y10" s="355"/>
      <c r="Z10" s="440" t="s">
        <v>80</v>
      </c>
      <c r="AA10" s="408" t="str">
        <f>"EXPECTATIONS SEASON: "&amp;Data4!A2</f>
        <v xml:space="preserve">EXPECTATIONS SEASON: </v>
      </c>
      <c r="AB10" s="409"/>
      <c r="AC10" s="409"/>
      <c r="AD10" s="409"/>
      <c r="AE10" s="409"/>
      <c r="AF10" s="409"/>
      <c r="AG10" s="409"/>
      <c r="AH10" s="409"/>
      <c r="AI10" s="409"/>
      <c r="AJ10" s="409"/>
      <c r="AK10" s="409"/>
      <c r="AL10" s="409"/>
      <c r="AM10" s="409"/>
      <c r="AN10" s="409"/>
      <c r="AO10" s="410"/>
      <c r="AP10" s="408"/>
      <c r="AQ10" s="409"/>
      <c r="AR10" s="410"/>
      <c r="AS10" s="423" t="s">
        <v>7</v>
      </c>
      <c r="AT10" s="417" t="str">
        <f>"LAST SEASON: "&amp;Data4!B2</f>
        <v xml:space="preserve">LAST SEASON: </v>
      </c>
      <c r="AU10" s="418"/>
      <c r="AV10" s="418"/>
      <c r="AW10" s="418"/>
      <c r="AX10" s="418"/>
      <c r="AY10" s="418"/>
      <c r="AZ10" s="418"/>
      <c r="BA10" s="418"/>
      <c r="BB10" s="418"/>
      <c r="BC10" s="418"/>
      <c r="BD10" s="418"/>
      <c r="BE10" s="418"/>
      <c r="BF10" s="419"/>
      <c r="BG10" s="305"/>
      <c r="BH10" s="305"/>
      <c r="BI10" s="305"/>
      <c r="BJ10" s="384" t="str">
        <f>"Container specification manually by accountmanager " &amp;Data4!A2</f>
        <v xml:space="preserve">Container specification manually by accountmanager </v>
      </c>
      <c r="BK10" s="385"/>
      <c r="BL10" s="385"/>
      <c r="BM10" s="385"/>
      <c r="BN10" s="385"/>
      <c r="BO10" s="385"/>
      <c r="BP10" s="386"/>
      <c r="BQ10" s="390" t="str">
        <f>"Container specification suggest"</f>
        <v>Container specification suggest</v>
      </c>
      <c r="BR10" s="391"/>
      <c r="BS10" s="391"/>
      <c r="BT10" s="391"/>
      <c r="BU10" s="391"/>
      <c r="BV10" s="392"/>
    </row>
    <row r="11" spans="1:75" ht="46.5" customHeight="1" thickBot="1" x14ac:dyDescent="0.3">
      <c r="A11" s="350"/>
      <c r="B11" s="351"/>
      <c r="C11" s="351"/>
      <c r="D11" s="351"/>
      <c r="E11" s="351"/>
      <c r="F11" s="351"/>
      <c r="G11" s="351"/>
      <c r="H11" s="351"/>
      <c r="I11" s="351"/>
      <c r="J11" s="352"/>
      <c r="K11" s="260"/>
      <c r="L11" s="260"/>
      <c r="M11" s="260"/>
      <c r="N11" s="260"/>
      <c r="O11" s="356" t="s">
        <v>17</v>
      </c>
      <c r="P11" s="357"/>
      <c r="Q11" s="357"/>
      <c r="R11" s="357"/>
      <c r="S11" s="358"/>
      <c r="T11" s="396" t="s">
        <v>18</v>
      </c>
      <c r="U11" s="397"/>
      <c r="V11" s="397"/>
      <c r="W11" s="397"/>
      <c r="X11" s="397"/>
      <c r="Y11" s="398"/>
      <c r="Z11" s="441"/>
      <c r="AA11" s="411"/>
      <c r="AB11" s="412"/>
      <c r="AC11" s="412"/>
      <c r="AD11" s="412"/>
      <c r="AE11" s="412"/>
      <c r="AF11" s="412"/>
      <c r="AG11" s="412"/>
      <c r="AH11" s="412"/>
      <c r="AI11" s="412"/>
      <c r="AJ11" s="412"/>
      <c r="AK11" s="412"/>
      <c r="AL11" s="412"/>
      <c r="AM11" s="412"/>
      <c r="AN11" s="412"/>
      <c r="AO11" s="413"/>
      <c r="AP11" s="411"/>
      <c r="AQ11" s="412"/>
      <c r="AR11" s="413"/>
      <c r="AS11" s="424"/>
      <c r="AT11" s="428" t="str">
        <f>"Exchange Rate: "&amp;Data3!B5</f>
        <v xml:space="preserve">Exchange Rate: </v>
      </c>
      <c r="AU11" s="429"/>
      <c r="AV11" s="429"/>
      <c r="AW11" s="429"/>
      <c r="AX11" s="429"/>
      <c r="AY11" s="429"/>
      <c r="AZ11" s="429"/>
      <c r="BA11" s="429"/>
      <c r="BB11" s="429"/>
      <c r="BC11" s="429"/>
      <c r="BD11" s="429"/>
      <c r="BE11" s="429"/>
      <c r="BF11" s="430"/>
      <c r="BG11" s="307"/>
      <c r="BH11" s="307"/>
      <c r="BI11" s="307"/>
      <c r="BJ11" s="387"/>
      <c r="BK11" s="388"/>
      <c r="BL11" s="388"/>
      <c r="BM11" s="388"/>
      <c r="BN11" s="388"/>
      <c r="BO11" s="388"/>
      <c r="BP11" s="389"/>
      <c r="BQ11" s="393"/>
      <c r="BR11" s="394"/>
      <c r="BS11" s="394"/>
      <c r="BT11" s="394"/>
      <c r="BU11" s="394"/>
      <c r="BV11" s="395"/>
    </row>
    <row r="12" spans="1:75" ht="27" customHeight="1" thickBot="1" x14ac:dyDescent="0.3">
      <c r="A12" s="360" t="str">
        <f>"DDC Clients "&amp;Data4!A2</f>
        <v xml:space="preserve">DDC Clients </v>
      </c>
      <c r="B12" s="361"/>
      <c r="C12" s="361"/>
      <c r="D12" s="361"/>
      <c r="E12" s="361"/>
      <c r="F12" s="361"/>
      <c r="G12" s="361"/>
      <c r="H12" s="361"/>
      <c r="I12" s="366">
        <f ca="1">NOW()</f>
        <v>43804.476542592594</v>
      </c>
      <c r="J12" s="367"/>
      <c r="K12" s="262"/>
      <c r="L12" s="263"/>
      <c r="M12" s="297"/>
      <c r="N12" s="264"/>
      <c r="O12" s="371" t="s">
        <v>19</v>
      </c>
      <c r="P12" s="371"/>
      <c r="Q12" s="371"/>
      <c r="R12" s="371"/>
      <c r="S12" s="372"/>
      <c r="T12" s="370" t="str">
        <f>"Exchange Rate "&amp;Data4!A2&amp;": "&amp;Data3!B4</f>
        <v xml:space="preserve">Exchange Rate : </v>
      </c>
      <c r="U12" s="371"/>
      <c r="V12" s="371"/>
      <c r="W12" s="371"/>
      <c r="X12" s="371"/>
      <c r="Y12" s="372"/>
      <c r="Z12" s="442"/>
      <c r="AA12" s="373" t="s">
        <v>20</v>
      </c>
      <c r="AB12" s="373"/>
      <c r="AC12" s="373"/>
      <c r="AD12" s="399" t="s">
        <v>21</v>
      </c>
      <c r="AE12" s="400"/>
      <c r="AF12" s="401"/>
      <c r="AG12" s="399" t="s">
        <v>22</v>
      </c>
      <c r="AH12" s="400"/>
      <c r="AI12" s="400"/>
      <c r="AJ12" s="400"/>
      <c r="AK12" s="400"/>
      <c r="AL12" s="401"/>
      <c r="AM12" s="399" t="s">
        <v>23</v>
      </c>
      <c r="AN12" s="400"/>
      <c r="AO12" s="401"/>
      <c r="AP12" s="399" t="s">
        <v>24</v>
      </c>
      <c r="AQ12" s="400"/>
      <c r="AR12" s="401"/>
      <c r="AS12" s="245"/>
      <c r="AT12" s="325" t="s">
        <v>17</v>
      </c>
      <c r="AU12" s="326"/>
      <c r="AV12" s="326"/>
      <c r="AW12" s="327"/>
      <c r="AX12" s="325" t="s">
        <v>25</v>
      </c>
      <c r="AY12" s="326"/>
      <c r="AZ12" s="327"/>
      <c r="BA12" s="420" t="s">
        <v>26</v>
      </c>
      <c r="BB12" s="421"/>
      <c r="BC12" s="422"/>
      <c r="BD12" s="414" t="s">
        <v>27</v>
      </c>
      <c r="BE12" s="415"/>
      <c r="BF12" s="416"/>
      <c r="BG12" s="325" t="s">
        <v>78</v>
      </c>
      <c r="BH12" s="326"/>
      <c r="BI12" s="327"/>
      <c r="BJ12" s="402"/>
      <c r="BK12" s="403"/>
      <c r="BL12" s="403"/>
      <c r="BM12" s="403"/>
      <c r="BN12" s="403"/>
      <c r="BO12" s="403"/>
      <c r="BP12" s="404"/>
      <c r="BQ12" s="405">
        <f>R12</f>
        <v>0</v>
      </c>
      <c r="BR12" s="406"/>
      <c r="BS12" s="406"/>
      <c r="BT12" s="406"/>
      <c r="BU12" s="406"/>
      <c r="BV12" s="407"/>
    </row>
    <row r="13" spans="1:75" ht="14.45" customHeight="1" x14ac:dyDescent="0.25">
      <c r="A13" s="362"/>
      <c r="B13" s="363"/>
      <c r="C13" s="363"/>
      <c r="D13" s="363"/>
      <c r="E13" s="363"/>
      <c r="F13" s="363"/>
      <c r="G13" s="363"/>
      <c r="H13" s="363"/>
      <c r="I13" s="368"/>
      <c r="J13" s="369"/>
      <c r="K13" s="265" t="e">
        <f>AO13</f>
        <v>#DIV/0!</v>
      </c>
      <c r="L13" s="261" t="e">
        <f>AZ13</f>
        <v>#DIV/0!</v>
      </c>
      <c r="M13" s="298">
        <f>IF(OR(AP13=0,BA13=0),0,(AP13-BA13)/BA13)</f>
        <v>0</v>
      </c>
      <c r="N13" s="266" t="e">
        <f>AR13-BC13</f>
        <v>#DIV/0!</v>
      </c>
      <c r="O13" s="204">
        <f t="shared" ref="O13:W13" si="9">SUM(O18:O10000)</f>
        <v>0</v>
      </c>
      <c r="P13" s="53">
        <f t="shared" si="9"/>
        <v>0</v>
      </c>
      <c r="Q13" s="54">
        <f t="shared" si="9"/>
        <v>0</v>
      </c>
      <c r="R13" s="63">
        <f t="shared" si="9"/>
        <v>0</v>
      </c>
      <c r="S13" s="216" t="str">
        <f>IFERROR(SUM(Data1!BG2:'Data1'!BG10000)/SUM(Data1!BH2:'Data1'!BH10000),"")</f>
        <v/>
      </c>
      <c r="T13" s="204">
        <f t="shared" si="9"/>
        <v>0</v>
      </c>
      <c r="U13" s="53">
        <f t="shared" si="9"/>
        <v>0</v>
      </c>
      <c r="V13" s="54">
        <f t="shared" si="9"/>
        <v>0</v>
      </c>
      <c r="W13" s="55">
        <f t="shared" si="9"/>
        <v>0</v>
      </c>
      <c r="X13" s="56">
        <f>W13-R13</f>
        <v>0</v>
      </c>
      <c r="Y13" s="57" t="str">
        <f>IFERROR(X13/W13,"")</f>
        <v/>
      </c>
      <c r="Z13" s="56" t="e">
        <f>W13-AH13</f>
        <v>#DIV/0!</v>
      </c>
      <c r="AA13" s="58">
        <f t="shared" ref="AA13:BV13" si="10">SUM(AA18:AA10000)</f>
        <v>0</v>
      </c>
      <c r="AB13" s="59">
        <f t="shared" si="10"/>
        <v>0</v>
      </c>
      <c r="AC13" s="60">
        <f t="shared" si="10"/>
        <v>0</v>
      </c>
      <c r="AD13" s="61">
        <f t="shared" si="10"/>
        <v>0</v>
      </c>
      <c r="AE13" s="56">
        <f t="shared" si="10"/>
        <v>0</v>
      </c>
      <c r="AF13" s="62">
        <f t="shared" si="10"/>
        <v>0</v>
      </c>
      <c r="AG13" s="253" t="e">
        <f>SUM(AG18:AG10000)</f>
        <v>#DIV/0!</v>
      </c>
      <c r="AH13" s="63" t="e">
        <f>SUM(AH18:AH10000)</f>
        <v>#DIV/0!</v>
      </c>
      <c r="AI13" s="64" t="str">
        <f>IFERROR(AH13/AT13-100%,"")</f>
        <v/>
      </c>
      <c r="AJ13" s="65">
        <f>SUM(AJ18:AJ10000)</f>
        <v>0</v>
      </c>
      <c r="AK13" s="66" t="str">
        <f>IFERROR((AH13-R13)/R13,"")</f>
        <v/>
      </c>
      <c r="AL13" s="54" t="e">
        <f>SUM(AL18:AL10000)</f>
        <v>#DIV/0!</v>
      </c>
      <c r="AM13" s="58">
        <f t="shared" ref="AM13:AN13" si="11">SUM(AM18:AM10000)</f>
        <v>0</v>
      </c>
      <c r="AN13" s="59">
        <f t="shared" si="11"/>
        <v>0</v>
      </c>
      <c r="AO13" s="239" t="e">
        <f>AM13/AN13</f>
        <v>#DIV/0!</v>
      </c>
      <c r="AP13" s="58">
        <f t="shared" ref="AP13:AQ13" si="12">SUM(AP18:AP10000)</f>
        <v>0</v>
      </c>
      <c r="AQ13" s="59">
        <f t="shared" si="12"/>
        <v>0</v>
      </c>
      <c r="AR13" s="239" t="e">
        <f>AP13/AQ13</f>
        <v>#DIV/0!</v>
      </c>
      <c r="AS13" s="246">
        <f>IF(OR(AP13=0,BA13=0),0,(AP13-BA13)/BA13)</f>
        <v>0</v>
      </c>
      <c r="AT13" s="67" t="e">
        <f>SUM(AT18:AT10000)</f>
        <v>#DIV/0!</v>
      </c>
      <c r="AU13" s="68">
        <f t="shared" si="10"/>
        <v>0</v>
      </c>
      <c r="AV13" s="59">
        <f t="shared" si="10"/>
        <v>0</v>
      </c>
      <c r="AW13" s="224">
        <f t="shared" si="10"/>
        <v>0</v>
      </c>
      <c r="AX13" s="59">
        <f t="shared" ref="AX13:AY13" si="13">SUM(AX18:AX10000)</f>
        <v>0</v>
      </c>
      <c r="AY13" s="59">
        <f t="shared" si="13"/>
        <v>0</v>
      </c>
      <c r="AZ13" s="239" t="e">
        <f>AX13/AY13</f>
        <v>#DIV/0!</v>
      </c>
      <c r="BA13" s="58">
        <f t="shared" ref="BA13:BB13" si="14">SUM(BA18:BA10000)</f>
        <v>0</v>
      </c>
      <c r="BB13" s="59">
        <f t="shared" si="14"/>
        <v>0</v>
      </c>
      <c r="BC13" s="271" t="e">
        <f>BA13/BB13</f>
        <v>#DIV/0!</v>
      </c>
      <c r="BD13" s="58">
        <f t="shared" ref="BD13:BE13" si="15">SUM(BD18:BD10000)</f>
        <v>0</v>
      </c>
      <c r="BE13" s="235">
        <f t="shared" si="15"/>
        <v>0</v>
      </c>
      <c r="BF13" s="309" t="e">
        <f>SUM(BF18:BF10000)</f>
        <v>#DIV/0!</v>
      </c>
      <c r="BG13" s="58">
        <f t="shared" ref="BG13:BI13" si="16">SUM(BG18:BG10000)</f>
        <v>0</v>
      </c>
      <c r="BH13" s="312">
        <f t="shared" si="16"/>
        <v>0</v>
      </c>
      <c r="BI13" s="315" t="e">
        <f t="shared" si="16"/>
        <v>#DIV/0!</v>
      </c>
      <c r="BJ13" s="204">
        <f>SUM(BJ18:BJ10000)</f>
        <v>0</v>
      </c>
      <c r="BK13" s="69">
        <f t="shared" ref="BK13:BP13" si="17">SUM(BK18:BK10000)</f>
        <v>0</v>
      </c>
      <c r="BL13" s="69">
        <f t="shared" si="17"/>
        <v>0</v>
      </c>
      <c r="BM13" s="69">
        <f t="shared" si="17"/>
        <v>0</v>
      </c>
      <c r="BN13" s="69">
        <f t="shared" si="17"/>
        <v>0</v>
      </c>
      <c r="BO13" s="69">
        <f t="shared" si="17"/>
        <v>0</v>
      </c>
      <c r="BP13" s="70">
        <f t="shared" si="17"/>
        <v>0</v>
      </c>
      <c r="BQ13" s="206">
        <f t="shared" si="10"/>
        <v>0</v>
      </c>
      <c r="BR13" s="207">
        <f t="shared" si="10"/>
        <v>0</v>
      </c>
      <c r="BS13" s="207">
        <f t="shared" si="10"/>
        <v>0</v>
      </c>
      <c r="BT13" s="208">
        <f t="shared" si="10"/>
        <v>0</v>
      </c>
      <c r="BU13" s="209">
        <f t="shared" si="10"/>
        <v>0</v>
      </c>
      <c r="BV13" s="210">
        <f t="shared" si="10"/>
        <v>0</v>
      </c>
    </row>
    <row r="14" spans="1:75" ht="15" customHeight="1" x14ac:dyDescent="0.25">
      <c r="A14" s="364"/>
      <c r="B14" s="365"/>
      <c r="C14" s="365"/>
      <c r="D14" s="365"/>
      <c r="E14" s="365"/>
      <c r="F14" s="365"/>
      <c r="G14" s="365"/>
      <c r="H14" s="365"/>
      <c r="I14" s="368"/>
      <c r="J14" s="369"/>
      <c r="K14" s="267" t="e">
        <f>AO14</f>
        <v>#DIV/0!</v>
      </c>
      <c r="L14" s="261" t="e">
        <f>AZ14</f>
        <v>#DIV/0!</v>
      </c>
      <c r="M14" s="298">
        <f>IF(OR(AP14=0,BA14=0),0,(AP14-BA14)/BA14)</f>
        <v>0</v>
      </c>
      <c r="N14" s="273" t="e">
        <f>AR14-BC14</f>
        <v>#DIV/0!</v>
      </c>
      <c r="O14" s="205">
        <f t="shared" ref="O14:W14" si="18">SUBTOTAL(9,O18:O10000)</f>
        <v>0</v>
      </c>
      <c r="P14" s="71">
        <f t="shared" si="18"/>
        <v>0</v>
      </c>
      <c r="Q14" s="72">
        <f t="shared" si="18"/>
        <v>0</v>
      </c>
      <c r="R14" s="79">
        <f t="shared" si="18"/>
        <v>0</v>
      </c>
      <c r="S14" s="217" t="str">
        <f>IFERROR(SUM(Data1!BG2:'Data1'!BG10000)/SUM(Data1!BH2:'Data1'!BH10000),"")</f>
        <v/>
      </c>
      <c r="T14" s="205">
        <f t="shared" si="18"/>
        <v>0</v>
      </c>
      <c r="U14" s="71">
        <f t="shared" si="18"/>
        <v>0</v>
      </c>
      <c r="V14" s="72">
        <f t="shared" si="18"/>
        <v>0</v>
      </c>
      <c r="W14" s="73">
        <f t="shared" si="18"/>
        <v>0</v>
      </c>
      <c r="X14" s="74">
        <f>W14-R14</f>
        <v>0</v>
      </c>
      <c r="Y14" s="75" t="str">
        <f>IFERROR(X14/W14,"")</f>
        <v/>
      </c>
      <c r="Z14" s="74" t="e">
        <f>W14-AH14</f>
        <v>#DIV/0!</v>
      </c>
      <c r="AA14" s="76">
        <f t="shared" ref="AA14:BV14" si="19">SUBTOTAL(9,AA18:AA10000)</f>
        <v>0</v>
      </c>
      <c r="AB14" s="71">
        <f t="shared" si="19"/>
        <v>0</v>
      </c>
      <c r="AC14" s="77">
        <f t="shared" si="19"/>
        <v>0</v>
      </c>
      <c r="AD14" s="78">
        <f t="shared" si="19"/>
        <v>0</v>
      </c>
      <c r="AE14" s="74">
        <f t="shared" si="19"/>
        <v>0</v>
      </c>
      <c r="AF14" s="72">
        <f t="shared" si="19"/>
        <v>0</v>
      </c>
      <c r="AG14" s="254" t="e">
        <f>SUBTOTAL(9,AG18:AG10000)</f>
        <v>#DIV/0!</v>
      </c>
      <c r="AH14" s="79" t="e">
        <f>SUBTOTAL(9,AH18:AH10000)</f>
        <v>#DIV/0!</v>
      </c>
      <c r="AI14" s="80" t="str">
        <f>IFERROR(AH14/AT14-100%,"")</f>
        <v/>
      </c>
      <c r="AJ14" s="81">
        <f>SUBTOTAL(9,AJ18:AJ10000)</f>
        <v>0</v>
      </c>
      <c r="AK14" s="82" t="str">
        <f>IFERROR((AH14-R14)/R14,"")</f>
        <v/>
      </c>
      <c r="AL14" s="72" t="e">
        <f>SUBTOTAL(9,AL18:AL10000)</f>
        <v>#DIV/0!</v>
      </c>
      <c r="AM14" s="232">
        <f t="shared" ref="AM14:AN14" si="20">SUBTOTAL(9,AM18:AM10000)</f>
        <v>0</v>
      </c>
      <c r="AN14" s="71">
        <f t="shared" si="20"/>
        <v>0</v>
      </c>
      <c r="AO14" s="240" t="e">
        <f>AM14/AN14</f>
        <v>#DIV/0!</v>
      </c>
      <c r="AP14" s="232">
        <f t="shared" ref="AP14:AQ14" si="21">SUBTOTAL(9,AP18:AP10000)</f>
        <v>0</v>
      </c>
      <c r="AQ14" s="71">
        <f t="shared" si="21"/>
        <v>0</v>
      </c>
      <c r="AR14" s="240" t="e">
        <f>AP14/AQ14</f>
        <v>#DIV/0!</v>
      </c>
      <c r="AS14" s="247">
        <f>IF(OR(AP14=0,BA14=0),0,(AP14-BA14)/BA14)</f>
        <v>0</v>
      </c>
      <c r="AT14" s="83" t="e">
        <f>SUBTOTAL(9,AT18:AT10000)</f>
        <v>#DIV/0!</v>
      </c>
      <c r="AU14" s="84">
        <f t="shared" si="19"/>
        <v>0</v>
      </c>
      <c r="AV14" s="71">
        <f t="shared" si="19"/>
        <v>0</v>
      </c>
      <c r="AW14" s="225">
        <f t="shared" si="19"/>
        <v>0</v>
      </c>
      <c r="AX14" s="71">
        <f t="shared" ref="AX14:AY14" si="22">SUBTOTAL(9,AX18:AX10000)</f>
        <v>0</v>
      </c>
      <c r="AY14" s="71">
        <f t="shared" si="22"/>
        <v>0</v>
      </c>
      <c r="AZ14" s="240" t="e">
        <f>AX14/AY14</f>
        <v>#DIV/0!</v>
      </c>
      <c r="BA14" s="232">
        <f t="shared" ref="BA14:BB14" si="23">SUBTOTAL(9,BA18:BA10000)</f>
        <v>0</v>
      </c>
      <c r="BB14" s="272">
        <f t="shared" si="23"/>
        <v>0</v>
      </c>
      <c r="BC14" s="273" t="e">
        <f>BA14/BB14</f>
        <v>#DIV/0!</v>
      </c>
      <c r="BD14" s="232">
        <f t="shared" ref="BD14:BE14" si="24">SUBTOTAL(9,BD18:BD10000)</f>
        <v>0</v>
      </c>
      <c r="BE14" s="241">
        <f t="shared" si="24"/>
        <v>0</v>
      </c>
      <c r="BF14" s="310" t="e">
        <f>SUBTOTAL(9,BF18:BF10000)</f>
        <v>#DIV/0!</v>
      </c>
      <c r="BG14" s="232">
        <f t="shared" ref="BG14:BI14" si="25">SUBTOTAL(9,BG18:BG10000)</f>
        <v>0</v>
      </c>
      <c r="BH14" s="313">
        <f t="shared" si="25"/>
        <v>0</v>
      </c>
      <c r="BI14" s="316" t="e">
        <f t="shared" si="25"/>
        <v>#DIV/0!</v>
      </c>
      <c r="BJ14" s="219">
        <f>SUBTOTAL(9,BJ18:BJ10000)</f>
        <v>0</v>
      </c>
      <c r="BK14" s="85">
        <f t="shared" ref="BK14:BP14" si="26">SUBTOTAL(9,BK18:BK10000)</f>
        <v>0</v>
      </c>
      <c r="BL14" s="85">
        <f t="shared" si="26"/>
        <v>0</v>
      </c>
      <c r="BM14" s="85">
        <f t="shared" si="26"/>
        <v>0</v>
      </c>
      <c r="BN14" s="85">
        <f t="shared" si="26"/>
        <v>0</v>
      </c>
      <c r="BO14" s="85">
        <f t="shared" si="26"/>
        <v>0</v>
      </c>
      <c r="BP14" s="86">
        <f t="shared" si="26"/>
        <v>0</v>
      </c>
      <c r="BQ14" s="211">
        <f t="shared" si="19"/>
        <v>0</v>
      </c>
      <c r="BR14" s="212">
        <f t="shared" si="19"/>
        <v>0</v>
      </c>
      <c r="BS14" s="212">
        <f t="shared" si="19"/>
        <v>0</v>
      </c>
      <c r="BT14" s="213">
        <f t="shared" si="19"/>
        <v>0</v>
      </c>
      <c r="BU14" s="214">
        <f t="shared" si="19"/>
        <v>0</v>
      </c>
      <c r="BV14" s="215">
        <f t="shared" si="19"/>
        <v>0</v>
      </c>
    </row>
    <row r="15" spans="1:75" x14ac:dyDescent="0.25">
      <c r="A15" s="87"/>
      <c r="B15" s="88"/>
      <c r="C15" s="88"/>
      <c r="D15" s="89"/>
      <c r="E15" s="89"/>
      <c r="F15" s="89"/>
      <c r="G15" s="89"/>
      <c r="H15" s="88"/>
      <c r="I15" s="90"/>
      <c r="J15" s="88"/>
      <c r="K15" s="268"/>
      <c r="L15" s="269"/>
      <c r="M15" s="299"/>
      <c r="N15" s="270"/>
      <c r="O15" s="197"/>
      <c r="P15" s="91"/>
      <c r="Q15" s="92"/>
      <c r="R15" s="103"/>
      <c r="S15" s="198"/>
      <c r="T15" s="197"/>
      <c r="U15" s="91"/>
      <c r="V15" s="92"/>
      <c r="W15" s="93"/>
      <c r="X15" s="94"/>
      <c r="Y15" s="95"/>
      <c r="Z15" s="102"/>
      <c r="AA15" s="96"/>
      <c r="AB15" s="97"/>
      <c r="AC15" s="98"/>
      <c r="AD15" s="99"/>
      <c r="AE15" s="100"/>
      <c r="AF15" s="101"/>
      <c r="AG15" s="102"/>
      <c r="AH15" s="103"/>
      <c r="AI15" s="104"/>
      <c r="AJ15" s="105"/>
      <c r="AK15" s="105"/>
      <c r="AL15" s="106"/>
      <c r="AM15" s="228"/>
      <c r="AN15" s="105"/>
      <c r="AO15" s="101"/>
      <c r="AP15" s="302"/>
      <c r="AQ15" s="302"/>
      <c r="AR15" s="302"/>
      <c r="AS15" s="248"/>
      <c r="AT15" s="107" t="str">
        <f>IFERROR(R13/AT13-100%,"")</f>
        <v/>
      </c>
      <c r="AU15" s="223" t="str">
        <f>IFERROR(O13/AU13-100%,"")</f>
        <v/>
      </c>
      <c r="AV15" s="108" t="str">
        <f>IFERROR(P13/AV13-100%,"")</f>
        <v/>
      </c>
      <c r="AW15" s="226" t="str">
        <f>IFERROR(Q13/AW13-100%,"")</f>
        <v/>
      </c>
      <c r="AX15" s="108"/>
      <c r="AY15" s="109"/>
      <c r="AZ15" s="226"/>
      <c r="BA15" s="223"/>
      <c r="BB15" s="223"/>
      <c r="BC15" s="223"/>
      <c r="BD15" s="242"/>
      <c r="BE15" s="109"/>
      <c r="BF15" s="226"/>
      <c r="BG15" s="317"/>
      <c r="BH15" s="308"/>
      <c r="BI15" s="318"/>
      <c r="BJ15" s="380" t="s">
        <v>28</v>
      </c>
      <c r="BK15" s="380"/>
      <c r="BL15" s="380"/>
      <c r="BM15" s="381"/>
      <c r="BN15" s="110" t="s">
        <v>0</v>
      </c>
      <c r="BO15" s="111" t="s">
        <v>29</v>
      </c>
      <c r="BP15" s="112" t="s">
        <v>30</v>
      </c>
      <c r="BQ15" s="382" t="s">
        <v>28</v>
      </c>
      <c r="BR15" s="382"/>
      <c r="BS15" s="383"/>
      <c r="BT15" s="113" t="s">
        <v>0</v>
      </c>
      <c r="BU15" s="114" t="s">
        <v>29</v>
      </c>
      <c r="BV15" s="115" t="s">
        <v>30</v>
      </c>
    </row>
    <row r="16" spans="1:75" ht="38.25" x14ac:dyDescent="0.25">
      <c r="A16" s="116" t="s">
        <v>31</v>
      </c>
      <c r="B16" s="117" t="s">
        <v>32</v>
      </c>
      <c r="C16" s="117" t="s">
        <v>33</v>
      </c>
      <c r="D16" s="118" t="s">
        <v>34</v>
      </c>
      <c r="E16" s="119" t="s">
        <v>35</v>
      </c>
      <c r="F16" s="120" t="s">
        <v>36</v>
      </c>
      <c r="G16" s="119" t="s">
        <v>37</v>
      </c>
      <c r="H16" s="117" t="s">
        <v>38</v>
      </c>
      <c r="I16" s="121" t="s">
        <v>39</v>
      </c>
      <c r="J16" s="122" t="s">
        <v>40</v>
      </c>
      <c r="K16" s="300" t="str">
        <f>"Offer Delta % ("&amp;Data4!A2&amp;")"</f>
        <v>Offer Delta % ()</v>
      </c>
      <c r="L16" s="222" t="str">
        <f>"Delta % ("&amp;Data4!B2&amp;")"</f>
        <v>Delta % ()</v>
      </c>
      <c r="M16" s="301" t="s">
        <v>7</v>
      </c>
      <c r="N16" s="222" t="s">
        <v>41</v>
      </c>
      <c r="O16" s="125" t="s">
        <v>42</v>
      </c>
      <c r="P16" s="123" t="s">
        <v>43</v>
      </c>
      <c r="Q16" s="124" t="s">
        <v>44</v>
      </c>
      <c r="R16" s="201" t="str">
        <f>"TOTAL SALES "&amp;Data4!A2</f>
        <v xml:space="preserve">TOTAL SALES </v>
      </c>
      <c r="S16" s="199" t="s">
        <v>45</v>
      </c>
      <c r="T16" s="125" t="s">
        <v>42</v>
      </c>
      <c r="U16" s="123" t="s">
        <v>43</v>
      </c>
      <c r="V16" s="124" t="s">
        <v>44</v>
      </c>
      <c r="W16" s="126" t="str">
        <f>"TOTAL SALES "&amp;Data4!A2</f>
        <v xml:space="preserve">TOTAL SALES </v>
      </c>
      <c r="X16" s="127" t="s">
        <v>46</v>
      </c>
      <c r="Y16" s="128" t="s">
        <v>47</v>
      </c>
      <c r="Z16" s="443"/>
      <c r="AA16" s="129" t="s">
        <v>48</v>
      </c>
      <c r="AB16" s="130" t="s">
        <v>49</v>
      </c>
      <c r="AC16" s="131" t="s">
        <v>50</v>
      </c>
      <c r="AD16" s="132" t="s">
        <v>51</v>
      </c>
      <c r="AE16" s="133" t="s">
        <v>52</v>
      </c>
      <c r="AF16" s="134" t="s">
        <v>53</v>
      </c>
      <c r="AG16" s="135" t="s">
        <v>54</v>
      </c>
      <c r="AH16" s="136" t="s">
        <v>55</v>
      </c>
      <c r="AI16" s="137" t="s">
        <v>56</v>
      </c>
      <c r="AJ16" s="138" t="s">
        <v>57</v>
      </c>
      <c r="AK16" s="138" t="s">
        <v>58</v>
      </c>
      <c r="AL16" s="139" t="s">
        <v>59</v>
      </c>
      <c r="AM16" s="138" t="s">
        <v>25</v>
      </c>
      <c r="AN16" s="138" t="s">
        <v>60</v>
      </c>
      <c r="AO16" s="138" t="s">
        <v>61</v>
      </c>
      <c r="AP16" s="303"/>
      <c r="AQ16" s="303"/>
      <c r="AR16" s="303"/>
      <c r="AS16" s="249"/>
      <c r="AT16" s="229" t="s">
        <v>62</v>
      </c>
      <c r="AU16" s="140" t="s">
        <v>63</v>
      </c>
      <c r="AV16" s="141" t="s">
        <v>43</v>
      </c>
      <c r="AW16" s="142" t="s">
        <v>64</v>
      </c>
      <c r="AX16" s="222" t="s">
        <v>25</v>
      </c>
      <c r="AY16" s="222" t="s">
        <v>60</v>
      </c>
      <c r="AZ16" s="222" t="s">
        <v>61</v>
      </c>
      <c r="BA16" s="234"/>
      <c r="BB16" s="234"/>
      <c r="BC16" s="234"/>
      <c r="BD16" s="234" t="s">
        <v>65</v>
      </c>
      <c r="BE16" s="234" t="s">
        <v>66</v>
      </c>
      <c r="BF16" s="234" t="s">
        <v>79</v>
      </c>
      <c r="BG16" s="234" t="s">
        <v>65</v>
      </c>
      <c r="BH16" s="234" t="s">
        <v>66</v>
      </c>
      <c r="BI16" s="234" t="s">
        <v>79</v>
      </c>
      <c r="BJ16" s="220" t="s">
        <v>67</v>
      </c>
      <c r="BK16" s="143" t="s">
        <v>68</v>
      </c>
      <c r="BL16" s="143" t="s">
        <v>69</v>
      </c>
      <c r="BM16" s="143" t="s">
        <v>70</v>
      </c>
      <c r="BN16" s="144" t="s">
        <v>71</v>
      </c>
      <c r="BO16" s="145" t="s">
        <v>71</v>
      </c>
      <c r="BP16" s="146" t="s">
        <v>72</v>
      </c>
      <c r="BQ16" s="147" t="s">
        <v>67</v>
      </c>
      <c r="BR16" s="148" t="s">
        <v>73</v>
      </c>
      <c r="BS16" s="148" t="s">
        <v>74</v>
      </c>
      <c r="BT16" s="149" t="s">
        <v>75</v>
      </c>
      <c r="BU16" s="150" t="s">
        <v>76</v>
      </c>
      <c r="BV16" s="151" t="s">
        <v>77</v>
      </c>
    </row>
    <row r="17" spans="1:74" x14ac:dyDescent="0.25">
      <c r="A17" s="152"/>
      <c r="B17" s="153"/>
      <c r="C17" s="153"/>
      <c r="D17" s="153"/>
      <c r="E17" s="153"/>
      <c r="F17" s="154"/>
      <c r="G17" s="154"/>
      <c r="H17" s="153"/>
      <c r="I17" s="153"/>
      <c r="J17" s="155"/>
      <c r="K17" s="152"/>
      <c r="L17" s="152"/>
      <c r="M17" s="152"/>
      <c r="N17" s="152"/>
      <c r="O17" s="158"/>
      <c r="P17" s="156"/>
      <c r="Q17" s="157"/>
      <c r="R17" s="202"/>
      <c r="S17" s="200"/>
      <c r="T17" s="158"/>
      <c r="U17" s="156"/>
      <c r="V17" s="157"/>
      <c r="W17" s="159"/>
      <c r="X17" s="160"/>
      <c r="Y17" s="161"/>
      <c r="Z17" s="324"/>
      <c r="AA17" s="162"/>
      <c r="AB17" s="163"/>
      <c r="AC17" s="164"/>
      <c r="AD17" s="165"/>
      <c r="AE17" s="163"/>
      <c r="AF17" s="164"/>
      <c r="AG17" s="166"/>
      <c r="AH17" s="167"/>
      <c r="AI17" s="168"/>
      <c r="AJ17" s="163"/>
      <c r="AK17" s="163"/>
      <c r="AL17" s="169"/>
      <c r="AM17" s="163"/>
      <c r="AN17" s="163"/>
      <c r="AO17" s="163"/>
      <c r="AP17" s="163"/>
      <c r="AQ17" s="163"/>
      <c r="AR17" s="163"/>
      <c r="AS17" s="250"/>
      <c r="AT17" s="230"/>
      <c r="AU17" s="168"/>
      <c r="AV17" s="163"/>
      <c r="AW17" s="163"/>
      <c r="AX17" s="163"/>
      <c r="AY17" s="163"/>
      <c r="AZ17" s="163"/>
      <c r="BA17" s="163"/>
      <c r="BB17" s="163"/>
      <c r="BC17" s="163"/>
      <c r="BD17" s="163"/>
      <c r="BE17" s="163"/>
      <c r="BF17" s="168"/>
      <c r="BG17" s="168"/>
      <c r="BH17" s="168"/>
      <c r="BI17" s="168"/>
      <c r="BJ17" s="168"/>
      <c r="BK17" s="163"/>
      <c r="BL17" s="163"/>
      <c r="BM17" s="163"/>
      <c r="BN17" s="163"/>
      <c r="BO17" s="163"/>
      <c r="BP17" s="164"/>
      <c r="BQ17" s="158"/>
      <c r="BR17" s="156"/>
      <c r="BS17" s="156"/>
      <c r="BT17" s="156"/>
      <c r="BU17" s="156"/>
      <c r="BV17" s="170"/>
    </row>
    <row r="18" spans="1:74" ht="15" customHeight="1" x14ac:dyDescent="0.25">
      <c r="A18" s="152">
        <f>ROW()-17</f>
        <v>1</v>
      </c>
      <c r="B18" s="153" t="str">
        <f>Data1!C2&amp;""</f>
        <v/>
      </c>
      <c r="C18" s="153" t="str">
        <f>Data1!D2&amp;""</f>
        <v/>
      </c>
      <c r="D18" s="153" t="str">
        <f>Data1!E2&amp;""</f>
        <v/>
      </c>
      <c r="E18" s="153" t="str">
        <f>Data1!E2&amp;""</f>
        <v/>
      </c>
      <c r="F18" s="154" t="str">
        <f>Data1!G2&amp;""</f>
        <v/>
      </c>
      <c r="G18" s="154" t="str">
        <f>Data1!J2&amp;""</f>
        <v/>
      </c>
      <c r="H18" s="195" t="str">
        <f>Data1!I2&amp;""</f>
        <v/>
      </c>
      <c r="I18" s="152" t="str">
        <f>Data1!L2&amp;""</f>
        <v/>
      </c>
      <c r="J18" s="196" t="str">
        <f>Data1!M2&amp;""</f>
        <v/>
      </c>
      <c r="K18" s="257">
        <f>Data1!BI2/100</f>
        <v>0</v>
      </c>
      <c r="L18" s="258">
        <f>Data1!BF2/100</f>
        <v>0</v>
      </c>
      <c r="M18" s="259">
        <f>IF(OR(AM18=0,AX18=0),0,(AM18-AX18)/AX18)</f>
        <v>0</v>
      </c>
      <c r="N18" s="259">
        <f>AR18-BC18</f>
        <v>0</v>
      </c>
      <c r="O18" s="173">
        <f>Data1!AK2</f>
        <v>0</v>
      </c>
      <c r="P18" s="171">
        <f>Data1!AL2</f>
        <v>0</v>
      </c>
      <c r="Q18" s="172">
        <f>Data1!AM2</f>
        <v>0</v>
      </c>
      <c r="R18" s="203">
        <f>Data1!AO2</f>
        <v>0</v>
      </c>
      <c r="S18" s="184">
        <f>Data1!BF2/100</f>
        <v>0</v>
      </c>
      <c r="T18" s="173">
        <f>Data1!AH2</f>
        <v>0</v>
      </c>
      <c r="U18" s="171">
        <f>Data1!AI2</f>
        <v>0</v>
      </c>
      <c r="V18" s="172">
        <f>Data1!AJ2</f>
        <v>0</v>
      </c>
      <c r="W18" s="174">
        <f>Data1!AN2</f>
        <v>0</v>
      </c>
      <c r="X18" s="175">
        <f>W18-R18</f>
        <v>0</v>
      </c>
      <c r="Y18" s="176" t="str">
        <f>IFERROR((W18-R18)/W18,"")</f>
        <v/>
      </c>
      <c r="Z18" s="172" t="e">
        <f>W18-AH18</f>
        <v>#DIV/0!</v>
      </c>
      <c r="AA18" s="177">
        <f>Data1!N2</f>
        <v>0</v>
      </c>
      <c r="AB18" s="178">
        <f>Data1!O2</f>
        <v>0</v>
      </c>
      <c r="AC18" s="179">
        <f>Data1!P2</f>
        <v>0</v>
      </c>
      <c r="AD18" s="180">
        <f>Data1!Q2</f>
        <v>0</v>
      </c>
      <c r="AE18" s="181">
        <f>Data1!R2</f>
        <v>0</v>
      </c>
      <c r="AF18" s="182">
        <f>Data1!S2</f>
        <v>0</v>
      </c>
      <c r="AG18" s="252" t="e">
        <f>(AB18/$R$3+AE18)/$R$8</f>
        <v>#DIV/0!</v>
      </c>
      <c r="AH18" s="183" t="e">
        <f>AB18/$R$3+AE18</f>
        <v>#DIV/0!</v>
      </c>
      <c r="AI18" s="184" t="str">
        <f>IFERROR(AH18/AT18-100%,"")</f>
        <v/>
      </c>
      <c r="AJ18" s="185" t="str">
        <f>IFERROR(AH18/$AH$13,"")</f>
        <v/>
      </c>
      <c r="AK18" s="186" t="str">
        <f>IFERROR((AH18-R18)/R18,"")</f>
        <v/>
      </c>
      <c r="AL18" s="187" t="e">
        <f>AH18-W18</f>
        <v>#DIV/0!</v>
      </c>
      <c r="AM18" s="227">
        <f>Data1!BJ2</f>
        <v>0</v>
      </c>
      <c r="AN18" s="227">
        <f>Data1!BK2</f>
        <v>0</v>
      </c>
      <c r="AO18" s="236">
        <f>Data1!BI2/100</f>
        <v>0</v>
      </c>
      <c r="AP18" s="237">
        <f>IF(AX18=0,0,AM18)</f>
        <v>0</v>
      </c>
      <c r="AQ18" s="237">
        <f>IF(AX18=0,0,AN18)</f>
        <v>0</v>
      </c>
      <c r="AR18" s="304">
        <f>IF(AX18=0,0,AO18)</f>
        <v>0</v>
      </c>
      <c r="AS18" s="251">
        <f>IF(OR(AP18=0,BA18=0),0,(AP18-BA18)/BA18)</f>
        <v>0</v>
      </c>
      <c r="AT18" s="231" t="e">
        <f>AV18/Data3!$B$5+AW18</f>
        <v>#DIV/0!</v>
      </c>
      <c r="AU18" s="188">
        <f>Data1!Z2+Data1!AA2+Data1!AB2+Data1!AC2+Data1!AD2</f>
        <v>0</v>
      </c>
      <c r="AV18" s="178">
        <f>Data1!AE2</f>
        <v>0</v>
      </c>
      <c r="AW18" s="181">
        <f>Data1!AF2</f>
        <v>0</v>
      </c>
      <c r="AX18" s="227">
        <f>Data1!BG2</f>
        <v>0</v>
      </c>
      <c r="AY18" s="227">
        <f>Data1!BH2</f>
        <v>0</v>
      </c>
      <c r="AZ18" s="236">
        <f>Data1!BF2/100</f>
        <v>0</v>
      </c>
      <c r="BA18" s="227">
        <f>IF(AO18=0,0,AX18)</f>
        <v>0</v>
      </c>
      <c r="BB18" s="227">
        <f>IF(AO18=0,0,AY18)</f>
        <v>0</v>
      </c>
      <c r="BC18" s="236">
        <f>IF(BB18=0,0,BA18/BB18)</f>
        <v>0</v>
      </c>
      <c r="BD18" s="237">
        <f>Data1!BL2</f>
        <v>0</v>
      </c>
      <c r="BE18" s="238">
        <f>Data1!BM2</f>
        <v>0</v>
      </c>
      <c r="BF18" s="311" t="e">
        <f>BE18+BD18/Data3!$B$5</f>
        <v>#DIV/0!</v>
      </c>
      <c r="BG18" s="314">
        <f>Data1!BN2-Data1!BP2</f>
        <v>0</v>
      </c>
      <c r="BH18" s="311">
        <f>Data1!BO2-Data1!BQ2</f>
        <v>0</v>
      </c>
      <c r="BI18" s="311" t="e">
        <f>BH18+BG18/Data3!$B$5</f>
        <v>#DIV/0!</v>
      </c>
      <c r="BJ18" s="221">
        <f>Data1!T2</f>
        <v>0</v>
      </c>
      <c r="BK18" s="189">
        <f>Data1!U2</f>
        <v>0</v>
      </c>
      <c r="BL18" s="189">
        <f>Data1!V2</f>
        <v>0</v>
      </c>
      <c r="BM18" s="189">
        <f>Data1!W2</f>
        <v>0</v>
      </c>
      <c r="BN18" s="189">
        <f>Data1!X2</f>
        <v>0</v>
      </c>
      <c r="BO18" s="189">
        <f>Data1!Y2</f>
        <v>0</v>
      </c>
      <c r="BP18" s="190">
        <f>SUM(BJ18:BO18)</f>
        <v>0</v>
      </c>
      <c r="BQ18" s="191" t="str">
        <f>IFERROR($T18 * Data1!Z2/$AU18,"")</f>
        <v/>
      </c>
      <c r="BR18" s="192" t="str">
        <f>IFERROR($T18 * Data1!AA2/$AU18,"")</f>
        <v/>
      </c>
      <c r="BS18" s="192" t="str">
        <f>IFERROR($T18 * Data1!AB2/$AU18,"")</f>
        <v/>
      </c>
      <c r="BT18" s="192" t="str">
        <f>IFERROR($T18 * Data1!AC2/$AU18,"")</f>
        <v/>
      </c>
      <c r="BU18" s="192" t="str">
        <f>IFERROR($T18 * Data1!AD2/$AU18,"")</f>
        <v/>
      </c>
      <c r="BV18" s="193">
        <f>SUM(BQ18:BU18)</f>
        <v>0</v>
      </c>
    </row>
    <row r="19" spans="1:74" x14ac:dyDescent="0.25">
      <c r="P19" s="194"/>
    </row>
  </sheetData>
  <autoFilter ref="A17:BV17"/>
  <mergeCells count="54">
    <mergeCell ref="AP12:AR12"/>
    <mergeCell ref="AP10:AR11"/>
    <mergeCell ref="N5:Q5"/>
    <mergeCell ref="N6:Q6"/>
    <mergeCell ref="N7:Q7"/>
    <mergeCell ref="N8:Q8"/>
    <mergeCell ref="AS10:AS11"/>
    <mergeCell ref="AV3:AW3"/>
    <mergeCell ref="AV4:AW4"/>
    <mergeCell ref="T3:U3"/>
    <mergeCell ref="T4:U4"/>
    <mergeCell ref="T5:U5"/>
    <mergeCell ref="T6:U6"/>
    <mergeCell ref="T7:U7"/>
    <mergeCell ref="AT11:BF11"/>
    <mergeCell ref="BJ15:BM15"/>
    <mergeCell ref="BQ15:BS15"/>
    <mergeCell ref="BJ10:BP11"/>
    <mergeCell ref="BQ10:BV11"/>
    <mergeCell ref="T11:Y11"/>
    <mergeCell ref="AD12:AF12"/>
    <mergeCell ref="AG12:AL12"/>
    <mergeCell ref="AT12:AW12"/>
    <mergeCell ref="BJ12:BP12"/>
    <mergeCell ref="BQ12:BV12"/>
    <mergeCell ref="AX12:AZ12"/>
    <mergeCell ref="AM12:AO12"/>
    <mergeCell ref="AA10:AO11"/>
    <mergeCell ref="BD12:BF12"/>
    <mergeCell ref="AT10:BF10"/>
    <mergeCell ref="BA12:BC12"/>
    <mergeCell ref="I12:J14"/>
    <mergeCell ref="T12:Y12"/>
    <mergeCell ref="AA12:AC12"/>
    <mergeCell ref="O12:S12"/>
    <mergeCell ref="N3:Q3"/>
    <mergeCell ref="N4:Q4"/>
    <mergeCell ref="Z10:Z11"/>
    <mergeCell ref="BG12:BI12"/>
    <mergeCell ref="C7:F7"/>
    <mergeCell ref="C1:F1"/>
    <mergeCell ref="A2:B2"/>
    <mergeCell ref="C2:F2"/>
    <mergeCell ref="C3:F3"/>
    <mergeCell ref="C4:F4"/>
    <mergeCell ref="C5:F5"/>
    <mergeCell ref="C6:F6"/>
    <mergeCell ref="C8:F8"/>
    <mergeCell ref="C9:F9"/>
    <mergeCell ref="A10:J11"/>
    <mergeCell ref="O10:Y10"/>
    <mergeCell ref="O11:S11"/>
    <mergeCell ref="T8:U8"/>
    <mergeCell ref="A12:H14"/>
  </mergeCells>
  <conditionalFormatting sqref="AU15:AV15">
    <cfRule type="cellIs" dxfId="6" priority="7" operator="lessThan">
      <formula>0</formula>
    </cfRule>
  </conditionalFormatting>
  <conditionalFormatting sqref="AW15:BJ15 BN15:BP15">
    <cfRule type="cellIs" dxfId="5" priority="6" operator="lessThan">
      <formula>0</formula>
    </cfRule>
  </conditionalFormatting>
  <conditionalFormatting sqref="AI18">
    <cfRule type="cellIs" dxfId="4" priority="4" operator="greaterThan">
      <formula>0</formula>
    </cfRule>
    <cfRule type="cellIs" dxfId="3" priority="5" operator="lessThan">
      <formula>0</formula>
    </cfRule>
  </conditionalFormatting>
  <conditionalFormatting sqref="AT15">
    <cfRule type="cellIs" dxfId="2" priority="3" operator="lessThan">
      <formula>0</formula>
    </cfRule>
  </conditionalFormatting>
  <conditionalFormatting sqref="S18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Y1" workbookViewId="0">
      <selection activeCell="AY1" sqref="A1:XFD1048576"/>
    </sheetView>
  </sheetViews>
  <sheetFormatPr defaultRowHeight="15" x14ac:dyDescent="0.25"/>
  <cols>
    <col min="14" max="16" width="9" bestFit="1" customWidth="1"/>
    <col min="17" max="18" width="8" bestFit="1" customWidth="1"/>
    <col min="19" max="19" width="8.140625" bestFit="1" customWidth="1"/>
    <col min="20" max="20" width="14.5703125" bestFit="1" customWidth="1"/>
    <col min="21" max="21" width="20.5703125" bestFit="1" customWidth="1"/>
    <col min="22" max="22" width="19.42578125" bestFit="1" customWidth="1"/>
    <col min="23" max="23" width="18" bestFit="1" customWidth="1"/>
    <col min="24" max="24" width="13.42578125" bestFit="1" customWidth="1"/>
    <col min="25" max="25" width="12.28515625" bestFit="1" customWidth="1"/>
    <col min="26" max="26" width="19" bestFit="1" customWidth="1"/>
    <col min="27" max="27" width="18.140625" bestFit="1" customWidth="1"/>
    <col min="28" max="28" width="18" bestFit="1" customWidth="1"/>
    <col min="29" max="29" width="15.28515625" bestFit="1" customWidth="1"/>
    <col min="30" max="30" width="14.7109375" bestFit="1" customWidth="1"/>
    <col min="31" max="31" width="12" bestFit="1" customWidth="1"/>
    <col min="32" max="32" width="11.85546875" bestFit="1" customWidth="1"/>
    <col min="33" max="33" width="12.5703125" bestFit="1" customWidth="1"/>
    <col min="34" max="34" width="14.85546875" bestFit="1" customWidth="1"/>
    <col min="35" max="35" width="14.28515625" bestFit="1" customWidth="1"/>
    <col min="36" max="36" width="14.140625" bestFit="1" customWidth="1"/>
    <col min="37" max="37" width="19.28515625" bestFit="1" customWidth="1"/>
    <col min="38" max="38" width="18.7109375" bestFit="1" customWidth="1"/>
    <col min="39" max="39" width="18.5703125" bestFit="1" customWidth="1"/>
    <col min="40" max="40" width="22.85546875" bestFit="1" customWidth="1"/>
    <col min="41" max="41" width="28" bestFit="1" customWidth="1"/>
    <col min="42" max="42" width="18.5703125" bestFit="1" customWidth="1"/>
    <col min="43" max="43" width="26.140625" bestFit="1" customWidth="1"/>
    <col min="44" max="44" width="18" bestFit="1" customWidth="1"/>
    <col min="45" max="45" width="13.7109375" bestFit="1" customWidth="1"/>
    <col min="46" max="46" width="21.7109375" bestFit="1" customWidth="1"/>
    <col min="47" max="47" width="16.140625" bestFit="1" customWidth="1"/>
    <col min="58" max="58" width="17.7109375" bestFit="1" customWidth="1"/>
    <col min="66" max="67" width="11" bestFit="1" customWidth="1"/>
    <col min="68" max="69" width="16.855468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sqref="A1:XFD1048576"/>
    </sheetView>
  </sheetViews>
  <sheetFormatPr defaultRowHeight="15" x14ac:dyDescent="0.25"/>
  <cols>
    <col min="1" max="1" width="17.57031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DDC</vt:lpstr>
      <vt:lpstr>UniqueSaleUD</vt:lpstr>
      <vt:lpstr>Data1</vt:lpstr>
      <vt:lpstr>Data2</vt:lpstr>
      <vt:lpstr>Data3</vt:lpstr>
      <vt:lpstr>Data4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2019-12-05T04:28:15Z</dcterms:modified>
</cp:coreProperties>
</file>