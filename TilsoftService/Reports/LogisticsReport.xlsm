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0490" windowHeight="7905" tabRatio="219"/>
  </bookViews>
  <sheets>
    <sheet name="Report" sheetId="1" r:id="rId1"/>
    <sheet name="Data1" sheetId="2" r:id="rId2"/>
  </sheets>
  <definedNames>
    <definedName name="_xlnm._FilterDatabase" localSheetId="0" hidden="1">Report!$A$5:$AF$5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J6" i="1" l="1"/>
  <c r="AF6" i="1"/>
  <c r="F6" i="1" l="1"/>
  <c r="AM6" i="1" l="1"/>
  <c r="AN6" i="1"/>
  <c r="AO6" i="1"/>
  <c r="AL6" i="1" l="1"/>
  <c r="AK6" i="1"/>
  <c r="AJ6" i="1"/>
  <c r="AI6" i="1"/>
  <c r="AH6" i="1"/>
  <c r="AG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M6" i="1"/>
  <c r="N6" i="1"/>
  <c r="L6" i="1"/>
  <c r="L4" i="1" s="1"/>
  <c r="K6" i="1"/>
  <c r="K4" i="1" s="1"/>
  <c r="I6" i="1"/>
  <c r="I4" i="1" s="1"/>
  <c r="H6" i="1"/>
  <c r="B6" i="1"/>
  <c r="E6" i="1"/>
  <c r="D6" i="1"/>
  <c r="A6" i="1" l="1"/>
  <c r="F1" i="1" l="1"/>
  <c r="G6" i="1"/>
  <c r="C6" i="1"/>
</calcChain>
</file>

<file path=xl/sharedStrings.xml><?xml version="1.0" encoding="utf-8"?>
<sst xmlns="http://schemas.openxmlformats.org/spreadsheetml/2006/main" count="45" uniqueCount="44">
  <si>
    <t>#</t>
  </si>
  <si>
    <t>LOGISTICS REPORTS</t>
  </si>
  <si>
    <t>Season</t>
  </si>
  <si>
    <t>ORDER
NO.</t>
  </si>
  <si>
    <t>CLIENT
ORDER
NUMBER</t>
  </si>
  <si>
    <t>CLIENT
CODE</t>
  </si>
  <si>
    <t>COMPANY</t>
  </si>
  <si>
    <t>ART. CODE</t>
  </si>
  <si>
    <t>ART. DESCRIPTION</t>
  </si>
  <si>
    <t>ORDER
QNT</t>
  </si>
  <si>
    <t>SHIPPED
QNT</t>
  </si>
  <si>
    <t>SHIPPED QNT/40HC</t>
  </si>
  <si>
    <t>SUPPLIER</t>
  </si>
  <si>
    <t>SHIPPER</t>
  </si>
  <si>
    <t>ORDER TYPE</t>
  </si>
  <si>
    <t>SHIPMENT TYPE</t>
  </si>
  <si>
    <t>LDS
FACTORY</t>
  </si>
  <si>
    <t>ETD</t>
  </si>
  <si>
    <t>ETA2</t>
  </si>
  <si>
    <t>LOADING
DATE</t>
  </si>
  <si>
    <t>LOADING REF#</t>
  </si>
  <si>
    <t>LOADING PLAN CONFIRMED DATE</t>
  </si>
  <si>
    <t>TILSOFT BOOKING CODE</t>
  </si>
  <si>
    <t>TILSOFT BOOKING CONFIRMED DATE</t>
  </si>
  <si>
    <t xml:space="preserve">BL NO </t>
  </si>
  <si>
    <t>CONTAINER NO</t>
  </si>
  <si>
    <t>SEAL NO</t>
  </si>
  <si>
    <t xml:space="preserve">CONTAINER
TYPE </t>
  </si>
  <si>
    <t>POD</t>
  </si>
  <si>
    <t>FORWARDER</t>
  </si>
  <si>
    <t>FEEDER</t>
  </si>
  <si>
    <t>VESSEL</t>
  </si>
  <si>
    <t>LC Ref No</t>
  </si>
  <si>
    <t>Invoice No</t>
  </si>
  <si>
    <t>Invoice 
Date</t>
  </si>
  <si>
    <t>Factory Invoice No</t>
  </si>
  <si>
    <t>Date Send Doc's 
To Eurofar</t>
  </si>
  <si>
    <t>Reference</t>
  </si>
  <si>
    <t>Date of emailing invoice to client</t>
  </si>
  <si>
    <t>Date of sending doc's to client / Bank</t>
  </si>
  <si>
    <t>GRANT-TOTAL</t>
  </si>
  <si>
    <t>SUB-TOTAL</t>
  </si>
  <si>
    <t>VN Log. Assist</t>
  </si>
  <si>
    <t>PLANNED
QNT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</si>
</sst>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_-* #,##0.00\-;_-* &quot;-&quot;??_-;_-@_-"/>
    <numFmt numFmtId="165" formatCode="_-* #,##0\ _B_F_-;\-* #,##0\ _B_F_-;_-* &quot;-&quot;\ _B_F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FF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6"/>
      <color rgb="FFFF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3" fillId="0" borderId="0" applyFont="0" applyFill="0" applyBorder="0" applyAlignment="0" applyProtection="0"/>
    <xf numFmtId="0" fontId="1" fillId="0" borderId="0"/>
    <xf numFmtId="165" fontId="3" fillId="0" borderId="0"/>
  </cellStyleXfs>
  <cellXfs count="48">
    <xf numFmtId="0" fontId="0" fillId="0" borderId="0" xfId="0"/>
    <xf numFmtId="0" fontId="0" fillId="0" borderId="0" xfId="0" applyNumberFormat="1"/>
    <xf numFmtId="0" fontId="5" fillId="0" borderId="0" xfId="0" applyNumberFormat="1" applyFont="1"/>
    <xf numFmtId="0" fontId="6" fillId="0" borderId="0" xfId="0" applyNumberFormat="1" applyFont="1"/>
    <xf numFmtId="0" fontId="2" fillId="2" borderId="1" xfId="1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3" borderId="1" xfId="1" applyNumberFormat="1" applyFont="1" applyFill="1" applyBorder="1" applyAlignment="1">
      <alignment horizontal="center" vertical="center" wrapText="1"/>
    </xf>
    <xf numFmtId="0" fontId="2" fillId="3" borderId="2" xfId="1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7" fillId="2" borderId="1" xfId="0" applyNumberFormat="1" applyFont="1" applyFill="1" applyBorder="1" applyAlignment="1">
      <alignment horizontal="center" vertical="center" wrapText="1"/>
    </xf>
    <xf numFmtId="0" fontId="2" fillId="6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/>
    <xf numFmtId="0" fontId="9" fillId="0" borderId="0" xfId="0" applyNumberFormat="1" applyFont="1"/>
    <xf numFmtId="0" fontId="10" fillId="0" borderId="0" xfId="0" applyNumberFormat="1" applyFont="1" applyAlignment="1">
      <alignment horizontal="right"/>
    </xf>
    <xf numFmtId="0" fontId="8" fillId="0" borderId="0" xfId="0" applyNumberFormat="1" applyFont="1" applyAlignment="1">
      <alignment horizontal="left"/>
    </xf>
    <xf numFmtId="0" fontId="9" fillId="0" borderId="0" xfId="0" applyNumberFormat="1" applyFont="1" applyAlignment="1">
      <alignment horizontal="left"/>
    </xf>
    <xf numFmtId="0" fontId="11" fillId="0" borderId="0" xfId="0" applyNumberFormat="1" applyFont="1"/>
    <xf numFmtId="0" fontId="8" fillId="0" borderId="0" xfId="0" applyFont="1"/>
    <xf numFmtId="0" fontId="12" fillId="7" borderId="1" xfId="2" applyFont="1" applyFill="1" applyBorder="1" applyAlignment="1">
      <alignment horizontal="center" vertical="center" wrapText="1"/>
    </xf>
    <xf numFmtId="0" fontId="13" fillId="0" borderId="0" xfId="0" applyNumberFormat="1" applyFont="1" applyAlignment="1"/>
    <xf numFmtId="0" fontId="14" fillId="0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/>
    <xf numFmtId="0" fontId="0" fillId="0" borderId="0" xfId="0" applyFont="1"/>
    <xf numFmtId="0" fontId="15" fillId="8" borderId="1" xfId="0" applyNumberFormat="1" applyFont="1" applyFill="1" applyBorder="1" applyAlignment="1">
      <alignment horizontal="center" vertical="center" wrapText="1"/>
    </xf>
    <xf numFmtId="0" fontId="15" fillId="8" borderId="1" xfId="1" applyNumberFormat="1" applyFont="1" applyFill="1" applyBorder="1" applyAlignment="1">
      <alignment horizontal="center" vertical="center" wrapText="1"/>
    </xf>
    <xf numFmtId="0" fontId="15" fillId="8" borderId="1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5" borderId="1" xfId="0" applyNumberFormat="1" applyFont="1" applyFill="1" applyBorder="1" applyAlignment="1">
      <alignment horizontal="center" vertical="center" wrapText="1"/>
    </xf>
    <xf numFmtId="0" fontId="15" fillId="5" borderId="1" xfId="1" applyNumberFormat="1" applyFont="1" applyFill="1" applyBorder="1" applyAlignment="1">
      <alignment horizontal="center" vertical="center" wrapText="1"/>
    </xf>
    <xf numFmtId="0" fontId="15" fillId="5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 wrapText="1"/>
    </xf>
    <xf numFmtId="0" fontId="15" fillId="0" borderId="1" xfId="1" applyNumberFormat="1" applyFont="1" applyFill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horizontal="center" vertical="center"/>
    </xf>
    <xf numFmtId="165" fontId="7" fillId="4" borderId="1" xfId="3" applyNumberFormat="1" applyFont="1" applyFill="1" applyBorder="1" applyAlignment="1">
      <alignment horizontal="center" vertical="center" wrapText="1"/>
    </xf>
    <xf numFmtId="14" fontId="14" fillId="0" borderId="1" xfId="0" applyNumberFormat="1" applyFont="1" applyFill="1" applyBorder="1" applyAlignment="1">
      <alignment horizontal="left" vertical="center" wrapText="1"/>
    </xf>
    <xf numFmtId="14" fontId="16" fillId="0" borderId="1" xfId="0" applyNumberFormat="1" applyFont="1" applyFill="1" applyBorder="1" applyAlignment="1">
      <alignment horizontal="left" vertical="center" wrapText="1"/>
    </xf>
    <xf numFmtId="0" fontId="16" fillId="0" borderId="1" xfId="0" applyNumberFormat="1" applyFont="1" applyFill="1" applyBorder="1" applyAlignment="1">
      <alignment horizontal="left" vertical="center" wrapText="1"/>
    </xf>
    <xf numFmtId="0" fontId="14" fillId="0" borderId="1" xfId="0" applyNumberFormat="1" applyFont="1" applyFill="1" applyBorder="1" applyAlignment="1">
      <alignment horizontal="center" vertical="center" wrapText="1"/>
    </xf>
    <xf numFmtId="0" fontId="14" fillId="0" borderId="1" xfId="0" applyNumberFormat="1" applyFont="1" applyFill="1" applyBorder="1" applyAlignment="1">
      <alignment vertical="center" wrapText="1"/>
    </xf>
    <xf numFmtId="0" fontId="14" fillId="0" borderId="0" xfId="0" applyNumberFormat="1" applyFont="1" applyFill="1" applyBorder="1" applyAlignment="1">
      <alignment vertical="center" wrapText="1"/>
    </xf>
    <xf numFmtId="3" fontId="15" fillId="5" borderId="1" xfId="0" applyNumberFormat="1" applyFont="1" applyFill="1" applyBorder="1" applyAlignment="1">
      <alignment horizontal="right" vertical="center"/>
    </xf>
    <xf numFmtId="3" fontId="15" fillId="8" borderId="1" xfId="0" applyNumberFormat="1" applyFont="1" applyFill="1" applyBorder="1" applyAlignment="1">
      <alignment horizontal="right" vertical="center"/>
    </xf>
    <xf numFmtId="4" fontId="15" fillId="5" borderId="1" xfId="0" applyNumberFormat="1" applyFont="1" applyFill="1" applyBorder="1" applyAlignment="1">
      <alignment horizontal="right" vertical="center"/>
    </xf>
    <xf numFmtId="3" fontId="15" fillId="8" borderId="1" xfId="1" applyNumberFormat="1" applyFont="1" applyFill="1" applyBorder="1" applyAlignment="1">
      <alignment horizontal="right" vertical="center"/>
    </xf>
    <xf numFmtId="4" fontId="15" fillId="8" borderId="1" xfId="1" applyNumberFormat="1" applyFont="1" applyFill="1" applyBorder="1" applyAlignment="1">
      <alignment horizontal="right" vertical="center"/>
    </xf>
    <xf numFmtId="3" fontId="14" fillId="0" borderId="1" xfId="0" applyNumberFormat="1" applyFont="1" applyFill="1" applyBorder="1" applyAlignment="1">
      <alignment horizontal="right" vertical="center"/>
    </xf>
    <xf numFmtId="4" fontId="14" fillId="0" borderId="1" xfId="0" applyNumberFormat="1" applyFont="1" applyFill="1" applyBorder="1" applyAlignment="1">
      <alignment horizontal="right" vertical="center"/>
    </xf>
  </cellXfs>
  <cellStyles count="4">
    <cellStyle name="Comma 2" xfId="1"/>
    <cellStyle name="Normal" xfId="0" builtinId="0"/>
    <cellStyle name="Normal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7"/>
  <sheetViews>
    <sheetView tabSelected="1" zoomScale="85" zoomScaleNormal="85" workbookViewId="0">
      <pane ySplit="5" topLeftCell="A6" activePane="bottomLeft" state="frozen"/>
      <selection activeCell="AD1" sqref="AD1"/>
      <selection pane="bottomLeft"/>
    </sheetView>
  </sheetViews>
  <sheetFormatPr defaultColWidth="9.140625" defaultRowHeight="15" x14ac:dyDescent="0.25"/>
  <cols>
    <col min="1" max="1" width="5.140625" style="1" customWidth="1"/>
    <col min="2" max="2" width="9.7109375" style="1" customWidth="1"/>
    <col min="3" max="3" width="11.7109375" style="3" customWidth="1"/>
    <col min="4" max="4" width="9.42578125" style="1" customWidth="1"/>
    <col min="5" max="5" width="11.5703125" style="1" customWidth="1"/>
    <col min="6" max="6" width="13.7109375" style="1" customWidth="1"/>
    <col min="7" max="7" width="15.7109375" style="3" customWidth="1"/>
    <col min="8" max="8" width="35.42578125" style="2" customWidth="1"/>
    <col min="11" max="11" width="8.7109375" style="1" customWidth="1"/>
    <col min="12" max="12" width="9.42578125" style="1" customWidth="1"/>
    <col min="13" max="13" width="16.42578125" style="1" customWidth="1"/>
    <col min="14" max="14" width="14.85546875" style="1" customWidth="1"/>
    <col min="15" max="15" width="14" style="1" customWidth="1"/>
    <col min="16" max="16" width="18.85546875" style="1" customWidth="1"/>
    <col min="17" max="17" width="11" style="1" customWidth="1"/>
    <col min="18" max="19" width="10.85546875" style="1" customWidth="1"/>
    <col min="20" max="20" width="13" bestFit="1" customWidth="1"/>
    <col min="21" max="21" width="14.42578125" customWidth="1"/>
    <col min="22" max="22" width="17.7109375" customWidth="1"/>
    <col min="23" max="23" width="15.42578125" customWidth="1"/>
    <col min="24" max="24" width="17.42578125" customWidth="1"/>
    <col min="25" max="25" width="18.140625" customWidth="1"/>
    <col min="26" max="26" width="18.28515625" customWidth="1"/>
    <col min="27" max="27" width="20.28515625" customWidth="1"/>
    <col min="28" max="28" width="12.140625" customWidth="1"/>
    <col min="29" max="29" width="24.28515625" customWidth="1"/>
    <col min="30" max="30" width="25.42578125" customWidth="1"/>
    <col min="31" max="31" width="25.5703125" customWidth="1"/>
    <col min="32" max="32" width="28.140625" customWidth="1"/>
    <col min="33" max="33" width="23.5703125" customWidth="1"/>
    <col min="34" max="34" width="13.5703125" customWidth="1"/>
    <col min="35" max="35" width="14.28515625" customWidth="1"/>
    <col min="36" max="36" width="18.85546875" customWidth="1"/>
    <col min="37" max="37" width="14.5703125" customWidth="1"/>
    <col min="38" max="38" width="16.42578125" customWidth="1"/>
    <col min="39" max="39" width="19.85546875" customWidth="1"/>
    <col min="40" max="40" width="17.42578125" customWidth="1"/>
    <col min="41" max="41" width="17.28515625" customWidth="1"/>
  </cols>
  <sheetData>
    <row r="1" spans="1:41" ht="21.75" customHeight="1" x14ac:dyDescent="0.3">
      <c r="A1" s="20" t="s">
        <v>1</v>
      </c>
      <c r="B1" s="12"/>
      <c r="C1" s="13"/>
      <c r="D1" s="12"/>
      <c r="E1" s="14" t="s">
        <v>2</v>
      </c>
      <c r="F1" s="15" t="str">
        <f>IF(Data1!A2&lt;&gt;0,Data1!A2,"")</f>
        <v/>
      </c>
      <c r="G1" s="16"/>
      <c r="H1" s="17"/>
      <c r="I1" s="18"/>
      <c r="J1" s="18"/>
      <c r="K1" s="12"/>
      <c r="L1" s="12"/>
      <c r="M1" s="12"/>
      <c r="N1" s="12"/>
      <c r="O1" s="12"/>
      <c r="P1" s="12"/>
      <c r="Q1" s="12"/>
      <c r="R1" s="12"/>
      <c r="S1" s="12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</row>
    <row r="2" spans="1:41" s="5" customFormat="1" ht="45" customHeight="1" x14ac:dyDescent="0.25">
      <c r="A2" s="6" t="s">
        <v>0</v>
      </c>
      <c r="B2" s="6" t="s">
        <v>3</v>
      </c>
      <c r="C2" s="6" t="s">
        <v>4</v>
      </c>
      <c r="D2" s="6" t="s">
        <v>5</v>
      </c>
      <c r="E2" s="7" t="s">
        <v>6</v>
      </c>
      <c r="F2" s="34" t="s">
        <v>42</v>
      </c>
      <c r="G2" s="6" t="s">
        <v>7</v>
      </c>
      <c r="H2" s="6" t="s">
        <v>8</v>
      </c>
      <c r="I2" s="6" t="s">
        <v>9</v>
      </c>
      <c r="J2" s="6" t="s">
        <v>43</v>
      </c>
      <c r="K2" s="7" t="s">
        <v>10</v>
      </c>
      <c r="L2" s="4" t="s">
        <v>11</v>
      </c>
      <c r="M2" s="7" t="s">
        <v>12</v>
      </c>
      <c r="N2" s="7" t="s">
        <v>13</v>
      </c>
      <c r="O2" s="8" t="s">
        <v>14</v>
      </c>
      <c r="P2" s="8" t="s">
        <v>15</v>
      </c>
      <c r="Q2" s="7" t="s">
        <v>16</v>
      </c>
      <c r="R2" s="4" t="s">
        <v>17</v>
      </c>
      <c r="S2" s="4" t="s">
        <v>18</v>
      </c>
      <c r="T2" s="10" t="s">
        <v>19</v>
      </c>
      <c r="U2" s="10" t="s">
        <v>20</v>
      </c>
      <c r="V2" s="10" t="s">
        <v>21</v>
      </c>
      <c r="W2" s="10" t="s">
        <v>22</v>
      </c>
      <c r="X2" s="10" t="s">
        <v>23</v>
      </c>
      <c r="Y2" s="10" t="s">
        <v>24</v>
      </c>
      <c r="Z2" s="9" t="s">
        <v>25</v>
      </c>
      <c r="AA2" s="9" t="s">
        <v>26</v>
      </c>
      <c r="AB2" s="9" t="s">
        <v>27</v>
      </c>
      <c r="AC2" s="9" t="s">
        <v>28</v>
      </c>
      <c r="AD2" s="10" t="s">
        <v>29</v>
      </c>
      <c r="AE2" s="9" t="s">
        <v>30</v>
      </c>
      <c r="AF2" s="9" t="s">
        <v>31</v>
      </c>
      <c r="AG2" s="11" t="s">
        <v>32</v>
      </c>
      <c r="AH2" s="11" t="s">
        <v>33</v>
      </c>
      <c r="AI2" s="11" t="s">
        <v>34</v>
      </c>
      <c r="AJ2" s="11" t="s">
        <v>35</v>
      </c>
      <c r="AK2" s="19" t="s">
        <v>36</v>
      </c>
      <c r="AL2" s="19" t="s">
        <v>37</v>
      </c>
      <c r="AM2" s="19" t="s">
        <v>38</v>
      </c>
      <c r="AN2" s="19" t="s">
        <v>39</v>
      </c>
      <c r="AO2" s="19" t="s">
        <v>37</v>
      </c>
    </row>
    <row r="3" spans="1:41" s="27" customFormat="1" ht="11.25" x14ac:dyDescent="0.25">
      <c r="A3" s="24"/>
      <c r="B3" s="24"/>
      <c r="C3" s="24"/>
      <c r="D3" s="24"/>
      <c r="E3" s="25"/>
      <c r="F3" s="24"/>
      <c r="G3" s="24"/>
      <c r="H3" s="24" t="s">
        <v>40</v>
      </c>
      <c r="I3" s="42"/>
      <c r="J3" s="42"/>
      <c r="K3" s="44"/>
      <c r="L3" s="45"/>
      <c r="M3" s="25"/>
      <c r="N3" s="25"/>
      <c r="O3" s="25"/>
      <c r="P3" s="25"/>
      <c r="Q3" s="25"/>
      <c r="R3" s="25"/>
      <c r="S3" s="25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</row>
    <row r="4" spans="1:41" s="27" customFormat="1" ht="11.25" customHeight="1" x14ac:dyDescent="0.25">
      <c r="A4" s="28"/>
      <c r="B4" s="28"/>
      <c r="C4" s="28"/>
      <c r="D4" s="28"/>
      <c r="E4" s="29"/>
      <c r="F4" s="28"/>
      <c r="G4" s="28"/>
      <c r="H4" s="28" t="s">
        <v>41</v>
      </c>
      <c r="I4" s="41">
        <f>SUBTOTAL(9,I6:I200000)</f>
        <v>0</v>
      </c>
      <c r="J4" s="41">
        <f>SUBTOTAL(9,J6:J200000)</f>
        <v>0</v>
      </c>
      <c r="K4" s="41">
        <f t="shared" ref="K4:L4" si="0">SUBTOTAL(9,K6:K200000)</f>
        <v>0</v>
      </c>
      <c r="L4" s="43">
        <f t="shared" si="0"/>
        <v>0</v>
      </c>
      <c r="M4" s="29"/>
      <c r="N4" s="29"/>
      <c r="O4" s="29"/>
      <c r="P4" s="29"/>
      <c r="Q4" s="29"/>
      <c r="R4" s="29"/>
      <c r="S4" s="29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 s="27" customFormat="1" ht="11.25" customHeight="1" x14ac:dyDescent="0.25">
      <c r="A5" s="31"/>
      <c r="B5" s="31"/>
      <c r="C5" s="31"/>
      <c r="D5" s="31"/>
      <c r="E5" s="32"/>
      <c r="F5" s="31"/>
      <c r="G5" s="31"/>
      <c r="H5" s="31"/>
      <c r="I5" s="33"/>
      <c r="J5" s="33"/>
      <c r="K5" s="32"/>
      <c r="L5" s="32"/>
      <c r="M5" s="32"/>
      <c r="N5" s="32"/>
      <c r="O5" s="32"/>
      <c r="P5" s="32"/>
      <c r="Q5" s="32"/>
      <c r="R5" s="32"/>
      <c r="S5" s="32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</row>
    <row r="6" spans="1:41" s="40" customFormat="1" ht="11.25" customHeight="1" x14ac:dyDescent="0.25">
      <c r="A6" s="38">
        <f>ROW(A1)</f>
        <v>1</v>
      </c>
      <c r="B6" s="21" t="str">
        <f>IF(Data1!B2&lt;&gt;0,Data1!B2,"")</f>
        <v/>
      </c>
      <c r="C6" s="21" t="str">
        <f>IF(Data1!C2&lt;&gt;0,Data1!C2,"")</f>
        <v/>
      </c>
      <c r="D6" s="21" t="str">
        <f>IF(Data1!AN2&lt;&gt;0,Data1!AN2,"")</f>
        <v/>
      </c>
      <c r="E6" s="21" t="str">
        <f>IF(Data1!G2&lt;&gt;0,Data1!G2,"")</f>
        <v/>
      </c>
      <c r="F6" s="37" t="str">
        <f>IF(Data1!H2&lt;&gt;0,Data1!H2,"")</f>
        <v/>
      </c>
      <c r="G6" s="21" t="str">
        <f>IF(Data1!I2&lt;&gt;0,Data1!I2,"")</f>
        <v/>
      </c>
      <c r="H6" s="21" t="str">
        <f>IF(Data1!J2&lt;&gt;0,Data1!J2,"")</f>
        <v/>
      </c>
      <c r="I6" s="46">
        <f>Data1!C2</f>
        <v>0</v>
      </c>
      <c r="J6" s="46">
        <f>Data1!AO2</f>
        <v>0</v>
      </c>
      <c r="K6" s="46">
        <f>Data1!K2</f>
        <v>0</v>
      </c>
      <c r="L6" s="47">
        <f>Data1!L2</f>
        <v>0</v>
      </c>
      <c r="M6" s="21" t="str">
        <f>IF(Data1!M2&lt;&gt;0,Data1!M2,"")</f>
        <v/>
      </c>
      <c r="N6" s="21" t="str">
        <f>IF(Data1!N2&lt;&gt;0,Data1!N2,"")</f>
        <v/>
      </c>
      <c r="O6" s="39" t="str">
        <f>IF(Data1!O2&lt;&gt;0,Data1!O2,"")</f>
        <v/>
      </c>
      <c r="P6" s="21" t="str">
        <f>IF(Data1!P2&lt;&gt;0,Data1!P2,"")</f>
        <v/>
      </c>
      <c r="Q6" s="35" t="str">
        <f>IF(Data1!Q2&lt;&gt;0,Data1!Q2,"")</f>
        <v/>
      </c>
      <c r="R6" s="35" t="str">
        <f>IF(Data1!R2&lt;&gt;0,Data1!R2,"")</f>
        <v/>
      </c>
      <c r="S6" s="35" t="str">
        <f>IF(Data1!S2&lt;&gt;0,Data1!S2,"")</f>
        <v/>
      </c>
      <c r="T6" s="36" t="str">
        <f>IF(Data1!T2&lt;&gt;0,Data1!T2,"")</f>
        <v/>
      </c>
      <c r="U6" s="37" t="str">
        <f>IF(Data1!U2&lt;&gt;0,Data1!U2,"")</f>
        <v/>
      </c>
      <c r="V6" s="36" t="str">
        <f>IF(Data1!V2&lt;&gt;0,Data1!V2,"")</f>
        <v/>
      </c>
      <c r="W6" s="37" t="str">
        <f>IF(Data1!W2&lt;&gt;0,Data1!W2,"")</f>
        <v/>
      </c>
      <c r="X6" s="36" t="str">
        <f>IF(Data1!X2&lt;&gt;0,Data1!X2,"")</f>
        <v/>
      </c>
      <c r="Y6" s="37" t="str">
        <f>IF(Data1!Y2&lt;&gt;0,Data1!Y2,"")</f>
        <v/>
      </c>
      <c r="Z6" s="21" t="str">
        <f>IF(Data1!Z2&lt;&gt;0,Data1!Z2,"")</f>
        <v/>
      </c>
      <c r="AA6" s="21" t="str">
        <f>IF(Data1!AA2&lt;&gt;0,Data1!AA2,"")</f>
        <v/>
      </c>
      <c r="AB6" s="21" t="str">
        <f>IF(Data1!AB2&lt;&gt;0,Data1!AB2,"")</f>
        <v/>
      </c>
      <c r="AC6" s="21" t="str">
        <f>IF(Data1!D2&lt;&gt;0,Data1!D2,"")</f>
        <v/>
      </c>
      <c r="AD6" s="21" t="str">
        <f>IF(Data1!AC2&lt;&gt;0,Data1!AC2,"")</f>
        <v/>
      </c>
      <c r="AE6" s="21" t="str">
        <f>IF(Data1!AD2&lt;&gt;0,Data1!AD2,"")</f>
        <v/>
      </c>
      <c r="AF6" s="21" t="str">
        <f>IF(Data1!AP2&lt;&gt;0,Data1!AP2,"")</f>
        <v/>
      </c>
      <c r="AG6" s="21" t="str">
        <f>IF(Data1!AE2&lt;&gt;0,Data1!AE2,"")</f>
        <v/>
      </c>
      <c r="AH6" s="21" t="str">
        <f>IF(Data1!AF2&lt;&gt;0,Data1!AF2,"")</f>
        <v/>
      </c>
      <c r="AI6" s="35" t="str">
        <f>IF(Data1!AG2&lt;&gt;0,Data1!AG2,"")</f>
        <v/>
      </c>
      <c r="AJ6" s="21" t="str">
        <f>IF(Data1!AH2&lt;&gt;0,Data1!AH2,"")</f>
        <v/>
      </c>
      <c r="AK6" s="35" t="str">
        <f>IF(Data1!AI2&lt;&gt;0,Data1!AI2,"")</f>
        <v/>
      </c>
      <c r="AL6" s="21" t="str">
        <f>IF(Data1!AJ2&lt;&gt;0,Data1!AJ2,"")</f>
        <v/>
      </c>
      <c r="AM6" s="35" t="str">
        <f>IF(Data1!AK2&lt;&gt;0,Data1!AK2,"")</f>
        <v/>
      </c>
      <c r="AN6" s="35" t="str">
        <f>IF(Data1!AL2&lt;&gt;0,Data1!AL2,"")</f>
        <v/>
      </c>
      <c r="AO6" s="21" t="str">
        <f>IF(Data1!AM2&lt;&gt;0,Data1!AM2,"")</f>
        <v/>
      </c>
    </row>
    <row r="7" spans="1:41" s="23" customFormat="1" x14ac:dyDescent="0.25">
      <c r="A7" s="22"/>
      <c r="B7" s="22"/>
      <c r="C7" s="22"/>
      <c r="D7" s="22"/>
      <c r="E7" s="22"/>
      <c r="F7" s="22"/>
      <c r="G7" s="22"/>
      <c r="H7" s="22"/>
      <c r="K7" s="22"/>
      <c r="L7" s="22"/>
      <c r="M7" s="22"/>
      <c r="N7" s="22"/>
      <c r="O7" s="22"/>
      <c r="P7" s="22"/>
      <c r="Q7" s="22"/>
      <c r="R7" s="22"/>
      <c r="S7" s="22"/>
    </row>
  </sheetData>
  <autoFilter ref="A5:AF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N1" workbookViewId="0">
      <selection activeCell="A2" sqref="A2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Eurofar - Dave van der Linden</dc:creator>
  <cp:lastModifiedBy>AuvietSoft</cp:lastModifiedBy>
  <dcterms:created xsi:type="dcterms:W3CDTF">2017-12-13T15:19:35Z</dcterms:created>
  <dcterms:modified xsi:type="dcterms:W3CDTF">2019-12-12T03:12:34Z</dcterms:modified>
</cp:coreProperties>
</file>