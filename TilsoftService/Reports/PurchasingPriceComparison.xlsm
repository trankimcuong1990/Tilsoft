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120" yWindow="60" windowWidth="11475" windowHeight="6720"/>
  </bookViews>
  <sheets>
    <sheet name="PurchasingPriceComparison" sheetId="1" r:id="rId1"/>
    <sheet name="PurchasingPriceComparisonView" sheetId="4" r:id="rId2"/>
    <sheet name="ReportHeader" sheetId="5" r:id="rId3"/>
  </sheets>
  <definedNames>
    <definedName name="_xlnm._FilterDatabase" localSheetId="0" hidden="1">PurchasingPriceComparison!$A$6:$AO$6</definedName>
    <definedName name="_xlnm.Print_Titles" localSheetId="0">PurchasingPriceComparison!$1:$6</definedName>
  </definedNames>
  <calcPr calcId="152511"/>
</workbook>
</file>

<file path=xl/calcChain.xml><?xml version="1.0" encoding="utf-8"?>
<calcChain xmlns="http://schemas.openxmlformats.org/spreadsheetml/2006/main">
  <c r="AO5" i="1" l="1"/>
  <c r="AF5" i="1"/>
  <c r="AO4" i="1"/>
  <c r="AF4" i="1"/>
  <c r="AO7" i="1"/>
  <c r="AF7" i="1"/>
  <c r="AI7" i="1" l="1"/>
  <c r="AN7" i="1" l="1"/>
  <c r="AM7" i="1" l="1"/>
  <c r="AL7" i="1"/>
  <c r="AC7" i="1"/>
  <c r="AD7" i="1" l="1"/>
  <c r="E2" i="1" l="1"/>
  <c r="H2" i="1"/>
  <c r="AB7" i="1"/>
  <c r="AA7" i="1"/>
  <c r="Z7" i="1"/>
  <c r="Y7" i="1"/>
  <c r="W7" i="1"/>
  <c r="W5" i="1" s="1"/>
  <c r="U7" i="1"/>
  <c r="V7" i="1" s="1"/>
  <c r="T7" i="1"/>
  <c r="S7" i="1"/>
  <c r="R7" i="1"/>
  <c r="Q7" i="1"/>
  <c r="O7" i="1"/>
  <c r="O5" i="1" s="1"/>
  <c r="M7" i="1"/>
  <c r="L7" i="1"/>
  <c r="J7" i="1"/>
  <c r="J5" i="1" s="1"/>
  <c r="I7" i="1"/>
  <c r="K7" i="1" s="1"/>
  <c r="H7" i="1"/>
  <c r="G7" i="1"/>
  <c r="F7" i="1"/>
  <c r="E7" i="1"/>
  <c r="D7" i="1"/>
  <c r="C7" i="1"/>
  <c r="B7" i="1"/>
  <c r="P7" i="1"/>
  <c r="P4" i="1" s="1"/>
  <c r="A7" i="1"/>
  <c r="M5" i="1"/>
  <c r="M4" i="1"/>
  <c r="J4" i="1" l="1"/>
  <c r="N7" i="1"/>
  <c r="AG7" i="1"/>
  <c r="AH7" i="1" s="1"/>
  <c r="AH5" i="1" s="1"/>
  <c r="X7" i="1"/>
  <c r="AE7" i="1"/>
  <c r="U5" i="1"/>
  <c r="O4" i="1"/>
  <c r="P5" i="1"/>
  <c r="V4" i="1"/>
  <c r="V5" i="1"/>
  <c r="K4" i="1"/>
  <c r="K5" i="1"/>
  <c r="AJ7" i="1"/>
  <c r="AH4" i="1" l="1"/>
  <c r="N5" i="1"/>
  <c r="N4" i="1"/>
  <c r="AK7" i="1"/>
  <c r="AJ5" i="1"/>
  <c r="AJ4" i="1"/>
  <c r="AK4" i="1" l="1"/>
  <c r="AK5" i="1"/>
</calcChain>
</file>

<file path=xl/connections.xml><?xml version="1.0" encoding="utf-8"?>
<connections xmlns="http://schemas.openxmlformats.org/spreadsheetml/2006/main">
  <connection id="1" name="EurofarPriceOverview_20152016" type="4" refreshedVersion="0" background="1">
    <webPr xml="1" sourceData="1" url="C:\Users\my.nguyen\AppData\Local\Temp\EurofarPriceOverview_20152016.xml" htmlTables="1" htmlFormat="all"/>
  </connection>
</connections>
</file>

<file path=xl/sharedStrings.xml><?xml version="1.0" encoding="utf-8"?>
<sst xmlns="http://schemas.openxmlformats.org/spreadsheetml/2006/main" count="100" uniqueCount="97">
  <si>
    <t>Season</t>
  </si>
  <si>
    <t>ExRate</t>
  </si>
  <si>
    <t>TotalCont</t>
  </si>
  <si>
    <t>TotalTurnOverEuro</t>
  </si>
  <si>
    <t>SWOverhead</t>
  </si>
  <si>
    <t>ProformaInvoiceNo</t>
  </si>
  <si>
    <t>InvoiceDate</t>
  </si>
  <si>
    <t>ClientUD</t>
  </si>
  <si>
    <t>ClientNM</t>
  </si>
  <si>
    <t>SaleNM</t>
  </si>
  <si>
    <t>ArticleCode</t>
  </si>
  <si>
    <t>Description</t>
  </si>
  <si>
    <t>Qnt40HC</t>
  </si>
  <si>
    <t>OrderQnt</t>
  </si>
  <si>
    <t>ShippedQnt</t>
  </si>
  <si>
    <t>LoadedQnt</t>
  </si>
  <si>
    <t>MaterialNM</t>
  </si>
  <si>
    <t>ProductionStatus</t>
  </si>
  <si>
    <t>FactoryUD</t>
  </si>
  <si>
    <t>LDS</t>
  </si>
  <si>
    <t>QuotationUD</t>
  </si>
  <si>
    <t>ManufacturerCountryNM</t>
  </si>
  <si>
    <t>LocationNM</t>
  </si>
  <si>
    <t>PriceDifferenceCode</t>
  </si>
  <si>
    <t>PurchasingPrice</t>
  </si>
  <si>
    <t>SalePrice</t>
  </si>
  <si>
    <t>TargetPrice</t>
  </si>
  <si>
    <t>BreakDownPrice</t>
  </si>
  <si>
    <t>QuotationStatusNM</t>
  </si>
  <si>
    <t>StatusUpdatedDate</t>
  </si>
  <si>
    <t>Remark</t>
  </si>
  <si>
    <t>Currency</t>
  </si>
  <si>
    <t>UnitPrice</t>
  </si>
  <si>
    <t>Transportation</t>
  </si>
  <si>
    <t>Commission</t>
  </si>
  <si>
    <t>TOTAL IN EUR</t>
  </si>
  <si>
    <t>PROFORMA INVOICES</t>
  </si>
  <si>
    <t>EUR/USD =</t>
  </si>
  <si>
    <t>SUB-TOTAL IN EUR</t>
  </si>
  <si>
    <t>No.</t>
  </si>
  <si>
    <t>P/O. No.</t>
  </si>
  <si>
    <t>Date</t>
  </si>
  <si>
    <t>Customer Code</t>
  </si>
  <si>
    <t>Name Customer</t>
  </si>
  <si>
    <t>Sale</t>
  </si>
  <si>
    <t>Art. Code</t>
  </si>
  <si>
    <t>Art. Description</t>
  </si>
  <si>
    <t>Qnt/40ft</t>
  </si>
  <si>
    <t>Order qnt</t>
  </si>
  <si>
    <t xml:space="preserve"> Order in Cont.</t>
  </si>
  <si>
    <t>Loaded qnt</t>
  </si>
  <si>
    <t>Loaded in Cont.</t>
  </si>
  <si>
    <t>Shipped qnt</t>
  </si>
  <si>
    <t>Shipped in Cont.</t>
  </si>
  <si>
    <t>Main material</t>
  </si>
  <si>
    <t>Status</t>
  </si>
  <si>
    <t>Supplier</t>
  </si>
  <si>
    <t>Total in USD Company</t>
  </si>
  <si>
    <t>Target price</t>
  </si>
  <si>
    <t>FOB USD (BREAKDOWN)</t>
  </si>
  <si>
    <t>Price status</t>
  </si>
  <si>
    <t>Price cfmd date</t>
  </si>
  <si>
    <t>SALES Unitpr EURO</t>
  </si>
  <si>
    <t>SALES Amount EURO</t>
  </si>
  <si>
    <t>SALES Unitpr US$</t>
  </si>
  <si>
    <t>SALES Amount US$</t>
  </si>
  <si>
    <t>TOTAL SALES Amount USD convert into EURO</t>
  </si>
  <si>
    <t>Factory Invoice Price</t>
  </si>
  <si>
    <t>Order Type</t>
  </si>
  <si>
    <t>FOB IN USD (COMPANY)</t>
  </si>
  <si>
    <t>Difference FOB in USD (company) - Target Price</t>
  </si>
  <si>
    <t>Sale2NM</t>
  </si>
  <si>
    <t>SaleVNNM</t>
  </si>
  <si>
    <t>AgentNM</t>
  </si>
  <si>
    <t>OrderTypeNM</t>
  </si>
  <si>
    <t>ClientID</t>
  </si>
  <si>
    <t>OfferID</t>
  </si>
  <si>
    <t>SaleOrderID</t>
  </si>
  <si>
    <t>ModelID</t>
  </si>
  <si>
    <t>FactoryOrderDetailID</t>
  </si>
  <si>
    <t>FactoryOrderSparepartDetailID</t>
  </si>
  <si>
    <t>LCCostAmount</t>
  </si>
  <si>
    <t>InterestAmount</t>
  </si>
  <si>
    <t>QuotationOfferDirectionID</t>
  </si>
  <si>
    <t>FactoryPrice</t>
  </si>
  <si>
    <t>Difference FOB in USD (company) - Factory Invoice Price</t>
  </si>
  <si>
    <t>Factory Invoice No</t>
  </si>
  <si>
    <t>FactoryInvoiceNo</t>
  </si>
  <si>
    <t>FACTORY INVOICE</t>
  </si>
  <si>
    <t>Commrcial Invoice number</t>
  </si>
  <si>
    <t>Sales Invoice price</t>
  </si>
  <si>
    <t>Difference Sales Unitpr  - Sales Invoice price</t>
  </si>
  <si>
    <t>SALE INVOICE</t>
  </si>
  <si>
    <t>CommercialInvoiceNo</t>
  </si>
  <si>
    <t>SaleInvoicePrice</t>
  </si>
  <si>
    <t>Difference FOB in USD (company) - Factory Invoice Price x Loaded Qnt</t>
  </si>
  <si>
    <t>Difference Sales Unitpr  - Sales Invoice price x Loaded Qnt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</si>
</sst>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\ _B_F_-;\-* #,##0\ _B_F_-;_-* &quot;-&quot;\ _B_F_-;_-@_-"/>
    <numFmt numFmtId="165" formatCode="_-[$€-2]\ * #,##0_-;\-[$€-2]\ * #,##0_-;_-[$€-2]\ * &quot;-&quot;??_-;_-@_-"/>
    <numFmt numFmtId="166" formatCode="_([$€-2]\ * #,##0.00_);_([$€-2]\ * \(#,##0.00\);_([$€-2]\ * &quot;-&quot;??_);_(@_)"/>
    <numFmt numFmtId="167" formatCode="_-* #,##0_-;\-* #,##0_-;_-* &quot;-&quot;??_-;_-@_-"/>
    <numFmt numFmtId="168" formatCode="_-[$€-2]\ * #,##0.00_-;\-[$€-2]\ * #,##0.00_-;_-[$€-2]\ * &quot;-&quot;??_-;_-@_-"/>
    <numFmt numFmtId="169" formatCode="_-* #,##0_-;\-* #,##0_-;_-* &quot;-&quot;_-;_-@_-"/>
    <numFmt numFmtId="170" formatCode="_-* #,##0.00_-;_-* #,##0.00\-;_-* &quot;-&quot;??_-;_-@_-"/>
    <numFmt numFmtId="171" formatCode="#,##0\ &quot;DM&quot;;\-#,##0\ &quot;DM&quot;"/>
    <numFmt numFmtId="172" formatCode="0.000%"/>
    <numFmt numFmtId="173" formatCode="&quot;￥&quot;#,##0;&quot;￥&quot;\-#,##0"/>
    <numFmt numFmtId="174" formatCode="00.000"/>
    <numFmt numFmtId="175" formatCode="_-&quot;F&quot;* #,##0_-;\-&quot;F&quot;* #,##0_-;_-&quot;F&quot;* &quot;-&quot;_-;_-@_-"/>
    <numFmt numFmtId="176" formatCode="#,##0\ &quot;F&quot;;[Red]\-#,##0\ &quot;F&quot;"/>
    <numFmt numFmtId="177" formatCode="_-&quot;F&quot;* #,##0.00_-;\-&quot;F&quot;* #,##0.00_-;_-&quot;F&quot;* &quot;-&quot;??_-;_-@_-"/>
    <numFmt numFmtId="178" formatCode="_-[$$-C09]* #,##0.00_-;\-[$$-C09]* #,##0.00_-;_-[$$-C09]* &quot;-&quot;??_-;_-@_-"/>
    <numFmt numFmtId="179" formatCode="_-&quot;€&quot;\ * #,##0.00_-;_-&quot;€&quot;\ * #,##0.00\-;_-&quot;€&quot;\ * &quot;-&quot;??_-;_-@_-"/>
    <numFmt numFmtId="180" formatCode="_ [$€-2]\ * #,##0_ ;_ [$€-2]\ * \-#,##0_ ;_ [$€-2]\ * &quot;-&quot;??_ ;_ @_ "/>
    <numFmt numFmtId="181" formatCode="&quot;$&quot;#,##0.00"/>
    <numFmt numFmtId="182" formatCode="[$€-413]\ #,##0.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宋体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2"/>
      <name val="新細明體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</font>
    <font>
      <sz val="12"/>
      <name val="Times New Roman"/>
      <family val="1"/>
    </font>
    <font>
      <sz val="10"/>
      <color indexed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">
    <xf numFmtId="0" fontId="0" fillId="0" borderId="0"/>
    <xf numFmtId="164" fontId="4" fillId="0" borderId="0"/>
    <xf numFmtId="43" fontId="2" fillId="0" borderId="0"/>
    <xf numFmtId="44" fontId="1" fillId="0" borderId="0"/>
    <xf numFmtId="44" fontId="2" fillId="0" borderId="0"/>
    <xf numFmtId="0" fontId="6" fillId="0" borderId="1">
      <alignment horizontal="left" vertical="center"/>
    </xf>
    <xf numFmtId="0" fontId="6" fillId="0" borderId="2">
      <alignment horizontal="left" vertical="center"/>
    </xf>
    <xf numFmtId="169" fontId="4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43" fontId="3" fillId="0" borderId="0"/>
    <xf numFmtId="170" fontId="3" fillId="0" borderId="0"/>
    <xf numFmtId="0" fontId="3" fillId="0" borderId="0"/>
    <xf numFmtId="43" fontId="3" fillId="0" borderId="0"/>
    <xf numFmtId="0" fontId="7" fillId="0" borderId="0"/>
    <xf numFmtId="164" fontId="2" fillId="0" borderId="0"/>
    <xf numFmtId="9" fontId="2" fillId="0" borderId="0"/>
    <xf numFmtId="9" fontId="3" fillId="0" borderId="0"/>
    <xf numFmtId="9" fontId="3" fillId="0" borderId="0"/>
    <xf numFmtId="9" fontId="3" fillId="0" borderId="0"/>
    <xf numFmtId="9" fontId="3" fillId="0" borderId="0"/>
    <xf numFmtId="164" fontId="3" fillId="0" borderId="0"/>
    <xf numFmtId="164" fontId="3" fillId="0" borderId="0"/>
    <xf numFmtId="164" fontId="3" fillId="0" borderId="0"/>
    <xf numFmtId="0" fontId="1" fillId="0" borderId="0"/>
    <xf numFmtId="0" fontId="3" fillId="0" borderId="0"/>
    <xf numFmtId="0" fontId="3" fillId="0" borderId="0"/>
    <xf numFmtId="179" fontId="3" fillId="0" borderId="0"/>
    <xf numFmtId="0" fontId="15" fillId="0" borderId="0"/>
    <xf numFmtId="0" fontId="15" fillId="0" borderId="0"/>
    <xf numFmtId="0" fontId="16" fillId="0" borderId="0">
      <alignment vertical="center"/>
    </xf>
    <xf numFmtId="40" fontId="8" fillId="0" borderId="0"/>
    <xf numFmtId="38" fontId="8" fillId="0" borderId="0"/>
    <xf numFmtId="0" fontId="8" fillId="0" borderId="0"/>
    <xf numFmtId="0" fontId="8" fillId="0" borderId="0"/>
    <xf numFmtId="9" fontId="9" fillId="0" borderId="0"/>
    <xf numFmtId="0" fontId="10" fillId="0" borderId="0"/>
    <xf numFmtId="171" fontId="13" fillId="0" borderId="0"/>
    <xf numFmtId="172" fontId="13" fillId="0" borderId="0"/>
    <xf numFmtId="173" fontId="13" fillId="0" borderId="0"/>
    <xf numFmtId="174" fontId="13" fillId="0" borderId="0"/>
    <xf numFmtId="0" fontId="14" fillId="0" borderId="0"/>
    <xf numFmtId="0" fontId="5" fillId="0" borderId="0"/>
    <xf numFmtId="169" fontId="11" fillId="0" borderId="0"/>
    <xf numFmtId="40" fontId="12" fillId="0" borderId="0"/>
    <xf numFmtId="175" fontId="11" fillId="0" borderId="0"/>
    <xf numFmtId="176" fontId="12" fillId="0" borderId="0"/>
    <xf numFmtId="177" fontId="11" fillId="0" borderId="0"/>
  </cellStyleXfs>
  <cellXfs count="79">
    <xf numFmtId="0" fontId="0" fillId="0" borderId="0" xfId="0" applyNumberFormat="1" applyFont="1" applyFill="1" applyBorder="1"/>
    <xf numFmtId="43" fontId="17" fillId="0" borderId="0" xfId="2" applyNumberFormat="1" applyFont="1" applyFill="1" applyBorder="1" applyAlignment="1">
      <alignment horizontal="left" vertical="center"/>
    </xf>
    <xf numFmtId="49" fontId="17" fillId="0" borderId="0" xfId="2" applyNumberFormat="1" applyFont="1" applyFill="1" applyBorder="1" applyAlignment="1">
      <alignment horizontal="center" vertical="center"/>
    </xf>
    <xf numFmtId="39" fontId="17" fillId="0" borderId="0" xfId="2" applyNumberFormat="1" applyFont="1" applyFill="1" applyBorder="1" applyAlignment="1">
      <alignment horizontal="center" vertical="center"/>
    </xf>
    <xf numFmtId="0" fontId="17" fillId="0" borderId="0" xfId="2" applyNumberFormat="1" applyFont="1" applyFill="1" applyBorder="1" applyAlignment="1">
      <alignment horizontal="left" vertical="center"/>
    </xf>
    <xf numFmtId="0" fontId="18" fillId="0" borderId="5" xfId="0" applyNumberFormat="1" applyFont="1" applyFill="1" applyBorder="1"/>
    <xf numFmtId="0" fontId="18" fillId="0" borderId="0" xfId="0" applyNumberFormat="1" applyFont="1" applyFill="1" applyBorder="1"/>
    <xf numFmtId="49" fontId="20" fillId="0" borderId="5" xfId="17" applyNumberFormat="1" applyFont="1" applyFill="1" applyBorder="1" applyAlignment="1">
      <alignment horizontal="left" vertical="center"/>
    </xf>
    <xf numFmtId="49" fontId="20" fillId="0" borderId="0" xfId="17" applyNumberFormat="1" applyFont="1" applyFill="1" applyBorder="1" applyAlignment="1">
      <alignment horizontal="left" vertical="center"/>
    </xf>
    <xf numFmtId="165" fontId="19" fillId="0" borderId="0" xfId="2" applyNumberFormat="1" applyFont="1" applyFill="1" applyBorder="1" applyAlignment="1">
      <alignment horizontal="center" vertical="center"/>
    </xf>
    <xf numFmtId="166" fontId="19" fillId="0" borderId="0" xfId="2" applyNumberFormat="1" applyFont="1" applyFill="1" applyBorder="1" applyAlignment="1">
      <alignment horizontal="center" vertical="center"/>
    </xf>
    <xf numFmtId="49" fontId="19" fillId="0" borderId="0" xfId="2" applyNumberFormat="1" applyFont="1" applyFill="1" applyBorder="1" applyAlignment="1">
      <alignment horizontal="center" vertical="center"/>
    </xf>
    <xf numFmtId="43" fontId="19" fillId="0" borderId="0" xfId="2" applyNumberFormat="1" applyFont="1" applyFill="1" applyBorder="1" applyAlignment="1">
      <alignment horizontal="left" vertical="center"/>
    </xf>
    <xf numFmtId="43" fontId="2" fillId="0" borderId="0" xfId="2" applyNumberFormat="1" applyFont="1" applyFill="1" applyBorder="1" applyAlignment="1">
      <alignment vertical="center"/>
    </xf>
    <xf numFmtId="43" fontId="17" fillId="0" borderId="0" xfId="2" applyNumberFormat="1" applyFont="1" applyFill="1" applyBorder="1" applyAlignment="1">
      <alignment vertical="center"/>
    </xf>
    <xf numFmtId="0" fontId="2" fillId="0" borderId="0" xfId="17" applyNumberFormat="1" applyFont="1" applyFill="1" applyBorder="1" applyAlignment="1">
      <alignment horizontal="center" vertical="center"/>
    </xf>
    <xf numFmtId="43" fontId="19" fillId="0" borderId="0" xfId="2" applyNumberFormat="1" applyFont="1" applyFill="1" applyBorder="1"/>
    <xf numFmtId="170" fontId="19" fillId="0" borderId="0" xfId="15" applyNumberFormat="1" applyFont="1" applyFill="1" applyBorder="1" applyAlignment="1">
      <alignment horizontal="center" vertical="center" wrapText="1"/>
    </xf>
    <xf numFmtId="178" fontId="19" fillId="0" borderId="0" xfId="15" applyNumberFormat="1" applyFont="1" applyFill="1" applyBorder="1" applyAlignment="1">
      <alignment horizontal="center" vertical="center" wrapText="1"/>
    </xf>
    <xf numFmtId="180" fontId="19" fillId="0" borderId="0" xfId="15" applyNumberFormat="1" applyFont="1" applyFill="1" applyBorder="1" applyAlignment="1">
      <alignment horizontal="center" vertical="center" wrapText="1"/>
    </xf>
    <xf numFmtId="3" fontId="19" fillId="2" borderId="3" xfId="17" applyNumberFormat="1" applyFont="1" applyFill="1" applyBorder="1" applyAlignment="1">
      <alignment horizontal="center" vertical="center" wrapText="1"/>
    </xf>
    <xf numFmtId="49" fontId="19" fillId="2" borderId="3" xfId="17" applyNumberFormat="1" applyFont="1" applyFill="1" applyBorder="1" applyAlignment="1">
      <alignment horizontal="center" vertical="center" wrapText="1"/>
    </xf>
    <xf numFmtId="168" fontId="19" fillId="2" borderId="3" xfId="17" applyNumberFormat="1" applyFont="1" applyFill="1" applyBorder="1" applyAlignment="1">
      <alignment horizontal="center" vertical="center" wrapText="1"/>
    </xf>
    <xf numFmtId="43" fontId="19" fillId="2" borderId="3" xfId="2" applyNumberFormat="1" applyFont="1" applyFill="1" applyBorder="1" applyAlignment="1">
      <alignment horizontal="center" vertical="center" wrapText="1"/>
    </xf>
    <xf numFmtId="164" fontId="19" fillId="2" borderId="3" xfId="17" applyNumberFormat="1" applyFont="1" applyFill="1" applyBorder="1" applyAlignment="1">
      <alignment horizontal="center" vertical="center" wrapText="1"/>
    </xf>
    <xf numFmtId="167" fontId="19" fillId="2" borderId="3" xfId="2" applyNumberFormat="1" applyFont="1" applyFill="1" applyBorder="1" applyAlignment="1">
      <alignment horizontal="center" vertical="center" wrapText="1"/>
    </xf>
    <xf numFmtId="43" fontId="19" fillId="6" borderId="3" xfId="2" applyNumberFormat="1" applyFont="1" applyFill="1" applyBorder="1" applyAlignment="1">
      <alignment horizontal="center" vertical="center" wrapText="1"/>
    </xf>
    <xf numFmtId="0" fontId="18" fillId="3" borderId="3" xfId="0" applyNumberFormat="1" applyFont="1" applyFill="1" applyBorder="1"/>
    <xf numFmtId="3" fontId="18" fillId="3" borderId="3" xfId="0" applyNumberFormat="1" applyFont="1" applyFill="1" applyBorder="1"/>
    <xf numFmtId="4" fontId="18" fillId="3" borderId="3" xfId="0" applyNumberFormat="1" applyFont="1" applyFill="1" applyBorder="1"/>
    <xf numFmtId="181" fontId="18" fillId="3" borderId="3" xfId="0" applyNumberFormat="1" applyFont="1" applyFill="1" applyBorder="1"/>
    <xf numFmtId="182" fontId="18" fillId="3" borderId="3" xfId="0" applyNumberFormat="1" applyFont="1" applyFill="1" applyBorder="1"/>
    <xf numFmtId="168" fontId="18" fillId="3" borderId="3" xfId="0" applyNumberFormat="1" applyFont="1" applyFill="1" applyBorder="1"/>
    <xf numFmtId="0" fontId="18" fillId="4" borderId="4" xfId="0" applyNumberFormat="1" applyFont="1" applyFill="1" applyBorder="1"/>
    <xf numFmtId="3" fontId="18" fillId="4" borderId="4" xfId="0" applyNumberFormat="1" applyFont="1" applyFill="1" applyBorder="1"/>
    <xf numFmtId="4" fontId="18" fillId="4" borderId="4" xfId="0" applyNumberFormat="1" applyFont="1" applyFill="1" applyBorder="1"/>
    <xf numFmtId="4" fontId="18" fillId="4" borderId="3" xfId="0" applyNumberFormat="1" applyFont="1" applyFill="1" applyBorder="1"/>
    <xf numFmtId="3" fontId="18" fillId="4" borderId="3" xfId="0" applyNumberFormat="1" applyFont="1" applyFill="1" applyBorder="1"/>
    <xf numFmtId="181" fontId="18" fillId="4" borderId="4" xfId="0" applyNumberFormat="1" applyFont="1" applyFill="1" applyBorder="1"/>
    <xf numFmtId="182" fontId="18" fillId="4" borderId="4" xfId="0" applyNumberFormat="1" applyFont="1" applyFill="1" applyBorder="1"/>
    <xf numFmtId="168" fontId="18" fillId="4" borderId="4" xfId="0" applyNumberFormat="1" applyFont="1" applyFill="1" applyBorder="1"/>
    <xf numFmtId="0" fontId="21" fillId="0" borderId="0" xfId="0" applyNumberFormat="1" applyFont="1" applyFill="1" applyBorder="1"/>
    <xf numFmtId="43" fontId="19" fillId="7" borderId="3" xfId="2" applyNumberFormat="1" applyFont="1" applyFill="1" applyBorder="1" applyAlignment="1">
      <alignment horizontal="center" vertical="center" wrapText="1"/>
    </xf>
    <xf numFmtId="43" fontId="19" fillId="2" borderId="12" xfId="2" applyNumberFormat="1" applyFont="1" applyFill="1" applyBorder="1" applyAlignment="1">
      <alignment horizontal="center" vertical="center" wrapText="1"/>
    </xf>
    <xf numFmtId="168" fontId="18" fillId="3" borderId="12" xfId="0" applyNumberFormat="1" applyFont="1" applyFill="1" applyBorder="1"/>
    <xf numFmtId="168" fontId="18" fillId="4" borderId="6" xfId="0" applyNumberFormat="1" applyFont="1" applyFill="1" applyBorder="1"/>
    <xf numFmtId="0" fontId="21" fillId="8" borderId="3" xfId="0" applyNumberFormat="1" applyFont="1" applyFill="1" applyBorder="1" applyAlignment="1">
      <alignment horizontal="center" vertical="center" wrapText="1"/>
    </xf>
    <xf numFmtId="0" fontId="18" fillId="4" borderId="3" xfId="0" applyNumberFormat="1" applyFont="1" applyFill="1" applyBorder="1"/>
    <xf numFmtId="181" fontId="18" fillId="4" borderId="3" xfId="0" applyNumberFormat="1" applyFont="1" applyFill="1" applyBorder="1"/>
    <xf numFmtId="181" fontId="18" fillId="0" borderId="0" xfId="0" applyNumberFormat="1" applyFont="1" applyFill="1" applyBorder="1"/>
    <xf numFmtId="0" fontId="18" fillId="0" borderId="3" xfId="0" applyNumberFormat="1" applyFont="1" applyFill="1" applyBorder="1" applyAlignment="1">
      <alignment vertical="top"/>
    </xf>
    <xf numFmtId="181" fontId="18" fillId="0" borderId="3" xfId="0" applyNumberFormat="1" applyFont="1" applyFill="1" applyBorder="1" applyAlignment="1">
      <alignment vertical="top"/>
    </xf>
    <xf numFmtId="0" fontId="18" fillId="0" borderId="12" xfId="0" applyNumberFormat="1" applyFont="1" applyFill="1" applyBorder="1" applyAlignment="1">
      <alignment vertical="top"/>
    </xf>
    <xf numFmtId="0" fontId="18" fillId="0" borderId="0" xfId="0" applyNumberFormat="1" applyFont="1" applyFill="1" applyBorder="1" applyAlignment="1">
      <alignment vertical="top"/>
    </xf>
    <xf numFmtId="14" fontId="18" fillId="0" borderId="3" xfId="0" applyNumberFormat="1" applyFont="1" applyFill="1" applyBorder="1" applyAlignment="1">
      <alignment vertical="top"/>
    </xf>
    <xf numFmtId="1" fontId="18" fillId="0" borderId="3" xfId="0" applyNumberFormat="1" applyFont="1" applyFill="1" applyBorder="1" applyAlignment="1">
      <alignment horizontal="right" vertical="top"/>
    </xf>
    <xf numFmtId="2" fontId="18" fillId="0" borderId="3" xfId="0" applyNumberFormat="1" applyFont="1" applyFill="1" applyBorder="1" applyAlignment="1">
      <alignment horizontal="right" vertical="top"/>
    </xf>
    <xf numFmtId="2" fontId="18" fillId="0" borderId="3" xfId="0" applyNumberFormat="1" applyFont="1" applyFill="1" applyBorder="1" applyAlignment="1">
      <alignment vertical="top"/>
    </xf>
    <xf numFmtId="0" fontId="18" fillId="0" borderId="3" xfId="0" applyNumberFormat="1" applyFont="1" applyFill="1" applyBorder="1" applyAlignment="1">
      <alignment horizontal="center" vertical="top"/>
    </xf>
    <xf numFmtId="3" fontId="18" fillId="0" borderId="3" xfId="0" applyNumberFormat="1" applyFont="1" applyFill="1" applyBorder="1" applyAlignment="1">
      <alignment horizontal="right" vertical="top"/>
    </xf>
    <xf numFmtId="181" fontId="18" fillId="0" borderId="3" xfId="0" applyNumberFormat="1" applyFont="1" applyFill="1" applyBorder="1" applyAlignment="1">
      <alignment horizontal="right" vertical="top"/>
    </xf>
    <xf numFmtId="168" fontId="18" fillId="0" borderId="3" xfId="0" applyNumberFormat="1" applyFont="1" applyFill="1" applyBorder="1" applyAlignment="1">
      <alignment vertical="top"/>
    </xf>
    <xf numFmtId="168" fontId="18" fillId="0" borderId="12" xfId="3" applyNumberFormat="1" applyFont="1" applyFill="1" applyBorder="1" applyAlignment="1">
      <alignment vertical="top"/>
    </xf>
    <xf numFmtId="0" fontId="18" fillId="0" borderId="3" xfId="0" applyNumberFormat="1" applyFont="1" applyFill="1" applyBorder="1" applyAlignment="1">
      <alignment vertical="top" wrapText="1"/>
    </xf>
    <xf numFmtId="0" fontId="18" fillId="0" borderId="3" xfId="0" applyNumberFormat="1" applyFont="1" applyFill="1" applyBorder="1" applyAlignment="1">
      <alignment vertical="center" wrapText="1"/>
    </xf>
    <xf numFmtId="14" fontId="18" fillId="0" borderId="3" xfId="0" applyNumberFormat="1" applyFont="1" applyFill="1" applyBorder="1" applyAlignment="1">
      <alignment vertical="center" wrapText="1"/>
    </xf>
    <xf numFmtId="49" fontId="19" fillId="5" borderId="3" xfId="17" applyNumberFormat="1" applyFont="1" applyFill="1" applyBorder="1" applyAlignment="1">
      <alignment horizontal="right" vertical="center"/>
    </xf>
    <xf numFmtId="0" fontId="21" fillId="7" borderId="6" xfId="0" applyNumberFormat="1" applyFont="1" applyFill="1" applyBorder="1" applyAlignment="1">
      <alignment horizontal="center" vertical="center"/>
    </xf>
    <xf numFmtId="0" fontId="21" fillId="7" borderId="7" xfId="0" applyNumberFormat="1" applyFont="1" applyFill="1" applyBorder="1" applyAlignment="1">
      <alignment horizontal="center" vertical="center"/>
    </xf>
    <xf numFmtId="0" fontId="21" fillId="7" borderId="8" xfId="0" applyNumberFormat="1" applyFont="1" applyFill="1" applyBorder="1" applyAlignment="1">
      <alignment horizontal="center" vertical="center"/>
    </xf>
    <xf numFmtId="0" fontId="21" fillId="7" borderId="9" xfId="0" applyNumberFormat="1" applyFont="1" applyFill="1" applyBorder="1" applyAlignment="1">
      <alignment horizontal="center" vertical="center"/>
    </xf>
    <xf numFmtId="0" fontId="21" fillId="7" borderId="10" xfId="0" applyNumberFormat="1" applyFont="1" applyFill="1" applyBorder="1" applyAlignment="1">
      <alignment horizontal="center" vertical="center"/>
    </xf>
    <xf numFmtId="0" fontId="21" fillId="7" borderId="11" xfId="0" applyNumberFormat="1" applyFont="1" applyFill="1" applyBorder="1" applyAlignment="1">
      <alignment horizontal="center" vertical="center"/>
    </xf>
    <xf numFmtId="0" fontId="21" fillId="8" borderId="6" xfId="0" applyNumberFormat="1" applyFont="1" applyFill="1" applyBorder="1" applyAlignment="1">
      <alignment horizontal="center" vertical="center"/>
    </xf>
    <xf numFmtId="0" fontId="21" fillId="8" borderId="7" xfId="0" applyNumberFormat="1" applyFont="1" applyFill="1" applyBorder="1" applyAlignment="1">
      <alignment horizontal="center" vertical="center"/>
    </xf>
    <xf numFmtId="0" fontId="21" fillId="8" borderId="8" xfId="0" applyNumberFormat="1" applyFont="1" applyFill="1" applyBorder="1" applyAlignment="1">
      <alignment horizontal="center" vertical="center"/>
    </xf>
    <xf numFmtId="0" fontId="21" fillId="8" borderId="9" xfId="0" applyNumberFormat="1" applyFont="1" applyFill="1" applyBorder="1" applyAlignment="1">
      <alignment horizontal="center" vertical="center"/>
    </xf>
    <xf numFmtId="0" fontId="21" fillId="8" borderId="10" xfId="0" applyNumberFormat="1" applyFont="1" applyFill="1" applyBorder="1" applyAlignment="1">
      <alignment horizontal="center" vertical="center"/>
    </xf>
    <xf numFmtId="0" fontId="21" fillId="8" borderId="11" xfId="0" applyNumberFormat="1" applyFont="1" applyFill="1" applyBorder="1" applyAlignment="1">
      <alignment horizontal="center" vertical="center"/>
    </xf>
  </cellXfs>
  <cellStyles count="50">
    <cellStyle name="_ET_STYLE_NoName_00_" xfId="1"/>
    <cellStyle name="Comma 2" xfId="2"/>
    <cellStyle name="Currency" xfId="3" builtinId="4"/>
    <cellStyle name="Currency 2" xfId="4"/>
    <cellStyle name="Header1" xfId="5"/>
    <cellStyle name="Header2" xfId="6"/>
    <cellStyle name="Komma 2" xfId="7"/>
    <cellStyle name="Komma 2 2" xfId="8"/>
    <cellStyle name="Komma 2 3" xfId="9"/>
    <cellStyle name="Komma 2 4" xfId="10"/>
    <cellStyle name="Komma 3" xfId="11"/>
    <cellStyle name="Komma 3 2" xfId="12"/>
    <cellStyle name="Komma 5" xfId="13"/>
    <cellStyle name="Komma 8" xfId="14"/>
    <cellStyle name="Komma_Kopie van 01  IN PRODUCTION PROFORMA INVOICES AVM 26-09-08 (INGEVULD)" xfId="15"/>
    <cellStyle name="n" xfId="16"/>
    <cellStyle name="Normal" xfId="0" builtinId="0"/>
    <cellStyle name="Normal 2" xfId="17"/>
    <cellStyle name="Percent 2" xfId="18"/>
    <cellStyle name="Procent 2 2" xfId="19"/>
    <cellStyle name="Procent 2 3" xfId="20"/>
    <cellStyle name="Procent 2 4" xfId="21"/>
    <cellStyle name="Procent 4" xfId="22"/>
    <cellStyle name="Standaard 2" xfId="23"/>
    <cellStyle name="Standaard 2 2" xfId="24"/>
    <cellStyle name="Standaard 2 3" xfId="25"/>
    <cellStyle name="Standaard 3" xfId="26"/>
    <cellStyle name="Standaard 3 2" xfId="27"/>
    <cellStyle name="Standaard 3 3" xfId="28"/>
    <cellStyle name="Valuta 2" xfId="29"/>
    <cellStyle name=" [0.00]_ Att. 1- Cover" xfId="30"/>
    <cellStyle name="_ Att. 1- Cover" xfId="31"/>
    <cellStyle name="?_ Att. 1- Cover" xfId="32"/>
    <cellStyle name="똿뗦먛귟 [0.00]_PRODUCT DETAIL Q1" xfId="33"/>
    <cellStyle name="똿뗦먛귟_PRODUCT DETAIL Q1" xfId="34"/>
    <cellStyle name="믅됞 [0.00]_PRODUCT DETAIL Q1" xfId="35"/>
    <cellStyle name="믅됞_PRODUCT DETAIL Q1" xfId="36"/>
    <cellStyle name="백분율_95" xfId="37"/>
    <cellStyle name="뷭?_BOOKSHIP" xfId="38"/>
    <cellStyle name="콤마 [0]_1202" xfId="39"/>
    <cellStyle name="콤마_1202" xfId="40"/>
    <cellStyle name="통화 [0]_1202" xfId="41"/>
    <cellStyle name="통화_1202" xfId="42"/>
    <cellStyle name="표준_(정보부문)월별인원계획" xfId="43"/>
    <cellStyle name="一般_99Q3647-ALL-CAS2" xfId="44"/>
    <cellStyle name="千分位[0]_Book1" xfId="45"/>
    <cellStyle name="千分位_99Q3647-ALL-CAS2" xfId="46"/>
    <cellStyle name="貨幣 [0]_Book1" xfId="47"/>
    <cellStyle name="貨幣[0]_BRE" xfId="48"/>
    <cellStyle name="貨幣_Book1" xfId="4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O12"/>
  <sheetViews>
    <sheetView showZeros="0" tabSelected="1" zoomScale="75" zoomScaleNormal="75" zoomScaleSheetLayoutView="70" workbookViewId="0">
      <pane xSplit="11" ySplit="6" topLeftCell="AG7" activePane="bottomRight" state="frozen"/>
      <selection pane="topRight" activeCell="L1" sqref="L1"/>
      <selection pane="bottomLeft" activeCell="A7" sqref="A7"/>
      <selection pane="bottomRight" activeCell="AO6" sqref="AO6"/>
    </sheetView>
  </sheetViews>
  <sheetFormatPr defaultRowHeight="12.75"/>
  <cols>
    <col min="1" max="1" width="8.28515625" style="6" customWidth="1"/>
    <col min="2" max="2" width="8.85546875" style="6" bestFit="1" customWidth="1"/>
    <col min="3" max="3" width="11.42578125" style="6" customWidth="1"/>
    <col min="4" max="4" width="13" style="6" bestFit="1" customWidth="1"/>
    <col min="5" max="5" width="21.140625" style="6" bestFit="1" customWidth="1"/>
    <col min="6" max="6" width="17.42578125" style="6" bestFit="1" customWidth="1"/>
    <col min="7" max="7" width="28.85546875" style="6" bestFit="1" customWidth="1"/>
    <col min="8" max="8" width="30" style="6" customWidth="1"/>
    <col min="9" max="9" width="11.28515625" style="6" customWidth="1"/>
    <col min="10" max="11" width="12.42578125" style="6" customWidth="1"/>
    <col min="12" max="12" width="11.28515625" style="6" bestFit="1" customWidth="1"/>
    <col min="13" max="13" width="11.28515625" style="6" customWidth="1"/>
    <col min="14" max="20" width="12.42578125" style="6" customWidth="1"/>
    <col min="21" max="21" width="13.7109375" style="6" customWidth="1"/>
    <col min="22" max="22" width="14.5703125" style="6" bestFit="1" customWidth="1"/>
    <col min="23" max="23" width="12.42578125" style="6" customWidth="1"/>
    <col min="24" max="24" width="27.140625" style="6" customWidth="1"/>
    <col min="25" max="25" width="17" style="6" customWidth="1"/>
    <col min="26" max="27" width="12.42578125" style="6" customWidth="1"/>
    <col min="28" max="28" width="9.7109375" style="6" customWidth="1"/>
    <col min="29" max="29" width="20.140625" style="6" customWidth="1"/>
    <col min="30" max="30" width="18.28515625" style="6" customWidth="1"/>
    <col min="31" max="32" width="28.85546875" style="6" customWidth="1"/>
    <col min="33" max="37" width="15.7109375" style="6" customWidth="1"/>
    <col min="38" max="38" width="18.42578125" style="6" customWidth="1"/>
    <col min="39" max="39" width="17.140625" style="6" customWidth="1"/>
    <col min="40" max="40" width="24.42578125" style="6" customWidth="1"/>
    <col min="41" max="41" width="24.85546875" style="6" customWidth="1"/>
    <col min="42" max="16384" width="9.140625" style="6"/>
  </cols>
  <sheetData>
    <row r="1" spans="1:41" ht="18" customHeight="1">
      <c r="A1" s="5"/>
      <c r="I1" s="66" t="s">
        <v>35</v>
      </c>
      <c r="J1" s="66"/>
      <c r="AC1" s="67" t="s">
        <v>88</v>
      </c>
      <c r="AD1" s="68"/>
      <c r="AE1" s="68"/>
      <c r="AF1" s="69"/>
      <c r="AL1" s="73" t="s">
        <v>92</v>
      </c>
      <c r="AM1" s="74"/>
      <c r="AN1" s="74"/>
      <c r="AO1" s="75"/>
    </row>
    <row r="2" spans="1:41">
      <c r="A2" s="7" t="s">
        <v>36</v>
      </c>
      <c r="B2" s="8"/>
      <c r="C2" s="9"/>
      <c r="D2" s="2"/>
      <c r="E2" s="4" t="str">
        <f>ReportHeader!A2&amp;""</f>
        <v/>
      </c>
      <c r="F2" s="1"/>
      <c r="G2" s="1" t="s">
        <v>37</v>
      </c>
      <c r="H2" s="3">
        <f>ReportHeader!B2</f>
        <v>0</v>
      </c>
      <c r="I2" s="66" t="s">
        <v>38</v>
      </c>
      <c r="J2" s="66"/>
      <c r="K2" s="10"/>
      <c r="L2" s="10"/>
      <c r="M2" s="10"/>
      <c r="N2" s="10"/>
      <c r="O2" s="10"/>
      <c r="P2" s="10"/>
      <c r="Q2" s="10"/>
      <c r="R2" s="11"/>
      <c r="S2" s="12"/>
      <c r="T2" s="13"/>
      <c r="U2" s="13"/>
      <c r="V2" s="13"/>
      <c r="W2" s="13"/>
      <c r="X2" s="13"/>
      <c r="Y2" s="13"/>
      <c r="Z2" s="13"/>
      <c r="AA2" s="14"/>
      <c r="AB2" s="15"/>
      <c r="AC2" s="70"/>
      <c r="AD2" s="71"/>
      <c r="AE2" s="71"/>
      <c r="AF2" s="72"/>
      <c r="AG2" s="16"/>
      <c r="AH2" s="17"/>
      <c r="AI2" s="16"/>
      <c r="AJ2" s="18"/>
      <c r="AK2" s="19"/>
      <c r="AL2" s="76"/>
      <c r="AM2" s="77"/>
      <c r="AN2" s="77"/>
      <c r="AO2" s="78"/>
    </row>
    <row r="3" spans="1:41" ht="51">
      <c r="A3" s="20" t="s">
        <v>39</v>
      </c>
      <c r="B3" s="21" t="s">
        <v>40</v>
      </c>
      <c r="C3" s="22" t="s">
        <v>41</v>
      </c>
      <c r="D3" s="21" t="s">
        <v>42</v>
      </c>
      <c r="E3" s="23" t="s">
        <v>43</v>
      </c>
      <c r="F3" s="23" t="s">
        <v>44</v>
      </c>
      <c r="G3" s="23" t="s">
        <v>45</v>
      </c>
      <c r="H3" s="24" t="s">
        <v>46</v>
      </c>
      <c r="I3" s="24" t="s">
        <v>47</v>
      </c>
      <c r="J3" s="25" t="s">
        <v>48</v>
      </c>
      <c r="K3" s="23" t="s">
        <v>49</v>
      </c>
      <c r="L3" s="23" t="s">
        <v>68</v>
      </c>
      <c r="M3" s="23" t="s">
        <v>50</v>
      </c>
      <c r="N3" s="23" t="s">
        <v>51</v>
      </c>
      <c r="O3" s="23" t="s">
        <v>52</v>
      </c>
      <c r="P3" s="23" t="s">
        <v>53</v>
      </c>
      <c r="Q3" s="23" t="s">
        <v>54</v>
      </c>
      <c r="R3" s="23" t="s">
        <v>55</v>
      </c>
      <c r="S3" s="23" t="s">
        <v>56</v>
      </c>
      <c r="T3" s="23" t="s">
        <v>19</v>
      </c>
      <c r="U3" s="23" t="s">
        <v>69</v>
      </c>
      <c r="V3" s="23" t="s">
        <v>57</v>
      </c>
      <c r="W3" s="23" t="s">
        <v>58</v>
      </c>
      <c r="X3" s="26" t="s">
        <v>70</v>
      </c>
      <c r="Y3" s="26" t="s">
        <v>59</v>
      </c>
      <c r="Z3" s="26" t="s">
        <v>60</v>
      </c>
      <c r="AA3" s="26" t="s">
        <v>61</v>
      </c>
      <c r="AB3" s="26" t="s">
        <v>31</v>
      </c>
      <c r="AC3" s="42" t="s">
        <v>86</v>
      </c>
      <c r="AD3" s="42" t="s">
        <v>67</v>
      </c>
      <c r="AE3" s="42" t="s">
        <v>85</v>
      </c>
      <c r="AF3" s="42" t="s">
        <v>95</v>
      </c>
      <c r="AG3" s="23" t="s">
        <v>62</v>
      </c>
      <c r="AH3" s="23" t="s">
        <v>63</v>
      </c>
      <c r="AI3" s="23" t="s">
        <v>64</v>
      </c>
      <c r="AJ3" s="23" t="s">
        <v>65</v>
      </c>
      <c r="AK3" s="43" t="s">
        <v>66</v>
      </c>
      <c r="AL3" s="46" t="s">
        <v>89</v>
      </c>
      <c r="AM3" s="46" t="s">
        <v>90</v>
      </c>
      <c r="AN3" s="46" t="s">
        <v>91</v>
      </c>
      <c r="AO3" s="46" t="s">
        <v>96</v>
      </c>
    </row>
    <row r="4" spans="1:41">
      <c r="A4" s="27"/>
      <c r="B4" s="27"/>
      <c r="C4" s="27"/>
      <c r="D4" s="27"/>
      <c r="E4" s="27"/>
      <c r="F4" s="27"/>
      <c r="G4" s="27"/>
      <c r="H4" s="27"/>
      <c r="I4" s="27"/>
      <c r="J4" s="28">
        <f t="shared" ref="J4:P4" si="0">SUM(J7:J44707)</f>
        <v>0</v>
      </c>
      <c r="K4" s="29">
        <f t="shared" si="0"/>
        <v>0</v>
      </c>
      <c r="L4" s="29"/>
      <c r="M4" s="28">
        <f t="shared" ref="M4" si="1">SUM(M7:M50000)</f>
        <v>0</v>
      </c>
      <c r="N4" s="28">
        <f t="shared" si="0"/>
        <v>0</v>
      </c>
      <c r="O4" s="28">
        <f t="shared" si="0"/>
        <v>0</v>
      </c>
      <c r="P4" s="28">
        <f t="shared" si="0"/>
        <v>0</v>
      </c>
      <c r="Q4" s="27"/>
      <c r="R4" s="27"/>
      <c r="S4" s="27"/>
      <c r="T4" s="27"/>
      <c r="U4" s="30"/>
      <c r="V4" s="30">
        <f>SUM(V7:V44707)</f>
        <v>0</v>
      </c>
      <c r="W4" s="30"/>
      <c r="X4" s="30"/>
      <c r="Y4" s="30"/>
      <c r="Z4" s="27"/>
      <c r="AA4" s="27"/>
      <c r="AB4" s="27"/>
      <c r="AC4" s="27"/>
      <c r="AD4" s="30"/>
      <c r="AE4" s="30"/>
      <c r="AF4" s="30">
        <f>SUM(AF7:AF44707)</f>
        <v>0</v>
      </c>
      <c r="AG4" s="31"/>
      <c r="AH4" s="32">
        <f>SUM(AH7:AH44707)</f>
        <v>0</v>
      </c>
      <c r="AI4" s="30"/>
      <c r="AJ4" s="30">
        <f>SUM(AJ7:AJ44707)</f>
        <v>0</v>
      </c>
      <c r="AK4" s="44" t="e">
        <f>SUM(AK7:AK44707)</f>
        <v>#DIV/0!</v>
      </c>
      <c r="AL4" s="27"/>
      <c r="AM4" s="30"/>
      <c r="AN4" s="30"/>
      <c r="AO4" s="30">
        <f>SUM(AO7:AO44707)</f>
        <v>0</v>
      </c>
    </row>
    <row r="5" spans="1:41">
      <c r="A5" s="33"/>
      <c r="B5" s="33"/>
      <c r="C5" s="33"/>
      <c r="D5" s="33"/>
      <c r="E5" s="33"/>
      <c r="F5" s="33"/>
      <c r="G5" s="33"/>
      <c r="H5" s="33"/>
      <c r="I5" s="33"/>
      <c r="J5" s="34">
        <f t="shared" ref="J5:P5" si="2">SUBTOTAL(9,J7:J44707)</f>
        <v>0</v>
      </c>
      <c r="K5" s="35">
        <f t="shared" si="2"/>
        <v>0</v>
      </c>
      <c r="L5" s="36"/>
      <c r="M5" s="37">
        <f t="shared" ref="M5" si="3">SUBTOTAL(9,M7:M50000)</f>
        <v>0</v>
      </c>
      <c r="N5" s="34">
        <f t="shared" si="2"/>
        <v>0</v>
      </c>
      <c r="O5" s="34">
        <f t="shared" si="2"/>
        <v>0</v>
      </c>
      <c r="P5" s="34">
        <f t="shared" si="2"/>
        <v>0</v>
      </c>
      <c r="Q5" s="33"/>
      <c r="R5" s="33"/>
      <c r="S5" s="33"/>
      <c r="T5" s="33"/>
      <c r="U5" s="38">
        <f>SUBTOTAL(9,U7:U44707)</f>
        <v>0</v>
      </c>
      <c r="V5" s="38">
        <f>SUBTOTAL(9,V7:V44707)</f>
        <v>0</v>
      </c>
      <c r="W5" s="38">
        <f>SUBTOTAL(9,W7:W44707)</f>
        <v>0</v>
      </c>
      <c r="X5" s="38"/>
      <c r="Y5" s="38"/>
      <c r="Z5" s="33"/>
      <c r="AA5" s="33"/>
      <c r="AB5" s="33"/>
      <c r="AC5" s="33"/>
      <c r="AD5" s="38"/>
      <c r="AE5" s="38"/>
      <c r="AF5" s="38">
        <f>SUBTOTAL(9,AF7:AF44707)</f>
        <v>0</v>
      </c>
      <c r="AG5" s="39"/>
      <c r="AH5" s="40">
        <f>SUBTOTAL(9,AH7:AH44707)</f>
        <v>0</v>
      </c>
      <c r="AI5" s="38"/>
      <c r="AJ5" s="38">
        <f>SUBTOTAL(9,AJ7:AJ44707)</f>
        <v>0</v>
      </c>
      <c r="AK5" s="45" t="e">
        <f>SUBTOTAL(9,AK7:AK44707)</f>
        <v>#DIV/0!</v>
      </c>
      <c r="AL5" s="47"/>
      <c r="AM5" s="48"/>
      <c r="AN5" s="48"/>
      <c r="AO5" s="48">
        <f>SUBTOTAL(9,AO7:AO44707)</f>
        <v>0</v>
      </c>
    </row>
    <row r="6" spans="1:41" s="53" customFormat="1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/>
      <c r="V6" s="51"/>
      <c r="W6" s="51"/>
      <c r="X6" s="51"/>
      <c r="Y6" s="51"/>
      <c r="Z6" s="50"/>
      <c r="AA6" s="50"/>
      <c r="AB6" s="50"/>
      <c r="AC6" s="50"/>
      <c r="AD6" s="51"/>
      <c r="AE6" s="51"/>
      <c r="AF6" s="51"/>
      <c r="AG6" s="50"/>
      <c r="AH6" s="50"/>
      <c r="AI6" s="51"/>
      <c r="AJ6" s="51"/>
      <c r="AK6" s="52"/>
      <c r="AL6" s="50"/>
      <c r="AM6" s="51"/>
      <c r="AN6" s="51"/>
      <c r="AO6" s="51"/>
    </row>
    <row r="7" spans="1:41" s="53" customFormat="1">
      <c r="A7" s="58">
        <f>ROW()-6</f>
        <v>1</v>
      </c>
      <c r="B7" s="64" t="str">
        <f>PurchasingPriceComparisonView!B2&amp;""</f>
        <v/>
      </c>
      <c r="C7" s="65">
        <f>PurchasingPriceComparisonView!C2</f>
        <v>0</v>
      </c>
      <c r="D7" s="64" t="str">
        <f>PurchasingPriceComparisonView!D2&amp;""</f>
        <v/>
      </c>
      <c r="E7" s="63" t="str">
        <f>PurchasingPriceComparisonView!E2&amp;""</f>
        <v/>
      </c>
      <c r="F7" s="64" t="str">
        <f>PurchasingPriceComparisonView!F2&amp;""</f>
        <v/>
      </c>
      <c r="G7" s="63" t="str">
        <f>PurchasingPriceComparisonView!J2&amp;""</f>
        <v/>
      </c>
      <c r="H7" s="63" t="str">
        <f>PurchasingPriceComparisonView!K2&amp;""</f>
        <v/>
      </c>
      <c r="I7" s="55">
        <f>PurchasingPriceComparisonView!L2</f>
        <v>0</v>
      </c>
      <c r="J7" s="56">
        <f>PurchasingPriceComparisonView!M2</f>
        <v>0</v>
      </c>
      <c r="K7" s="57">
        <f>IF(OR(ISBLANK(I7),I7=0),0,J7/I7)</f>
        <v>0</v>
      </c>
      <c r="L7" s="58">
        <f>PurchasingPriceComparisonView!N2</f>
        <v>0</v>
      </c>
      <c r="M7" s="59">
        <f>PurchasingPriceComparisonView!P2</f>
        <v>0</v>
      </c>
      <c r="N7" s="57">
        <f>IF(OR(ISBLANK(I7),I7=0),0,M7/I7)</f>
        <v>0</v>
      </c>
      <c r="O7" s="55">
        <f>PurchasingPriceComparisonView!O2</f>
        <v>0</v>
      </c>
      <c r="P7" s="57">
        <f>IF(OR(ISBLANK(I7),I7=0),0,O7/I7)</f>
        <v>0</v>
      </c>
      <c r="Q7" s="50" t="str">
        <f>PurchasingPriceComparisonView!Q2&amp;""</f>
        <v/>
      </c>
      <c r="R7" s="58" t="str">
        <f>PurchasingPriceComparisonView!R2&amp;""</f>
        <v/>
      </c>
      <c r="S7" s="50" t="str">
        <f>PurchasingPriceComparisonView!S2&amp;""</f>
        <v/>
      </c>
      <c r="T7" s="54">
        <f>PurchasingPriceComparisonView!T2</f>
        <v>0</v>
      </c>
      <c r="U7" s="51">
        <f>PurchasingPriceComparisonView!Z2</f>
        <v>0</v>
      </c>
      <c r="V7" s="60">
        <f>IF(U7="",0,U7*J7)</f>
        <v>0</v>
      </c>
      <c r="W7" s="51">
        <f>PurchasingPriceComparisonView!AA2</f>
        <v>0</v>
      </c>
      <c r="X7" s="51">
        <f>U7-W7</f>
        <v>0</v>
      </c>
      <c r="Y7" s="51">
        <f>PurchasingPriceComparisonView!AB2</f>
        <v>0</v>
      </c>
      <c r="Z7" s="50" t="str">
        <f>PurchasingPriceComparisonView!AC2&amp;""</f>
        <v/>
      </c>
      <c r="AA7" s="54">
        <f>PurchasingPriceComparisonView!AD2</f>
        <v>0</v>
      </c>
      <c r="AB7" s="50">
        <f>PurchasingPriceComparisonView!AF2</f>
        <v>0</v>
      </c>
      <c r="AC7" s="50">
        <f>PurchasingPriceComparisonView!AT2</f>
        <v>0</v>
      </c>
      <c r="AD7" s="51">
        <f>PurchasingPriceComparisonView!AS2</f>
        <v>0</v>
      </c>
      <c r="AE7" s="51">
        <f>U7-AD7</f>
        <v>0</v>
      </c>
      <c r="AF7" s="51">
        <f>M7*AE7</f>
        <v>0</v>
      </c>
      <c r="AG7" s="61">
        <f>IF(AB7="EUR",PurchasingPriceComparisonView!AG2,0)</f>
        <v>0</v>
      </c>
      <c r="AH7" s="61">
        <f>AG7*J7</f>
        <v>0</v>
      </c>
      <c r="AI7" s="51">
        <f>IF(AB7="USD",PurchasingPriceComparisonView!AG2,IF(AB7="EUR",PurchasingPriceComparisonView!AG2*$H$2,0))</f>
        <v>0</v>
      </c>
      <c r="AJ7" s="60">
        <f>AI7*J7</f>
        <v>0</v>
      </c>
      <c r="AK7" s="62" t="e">
        <f>AJ7/$H$2</f>
        <v>#DIV/0!</v>
      </c>
      <c r="AL7" s="50">
        <f>PurchasingPriceComparisonView!AU2</f>
        <v>0</v>
      </c>
      <c r="AM7" s="51">
        <f>PurchasingPriceComparisonView!AV2</f>
        <v>0</v>
      </c>
      <c r="AN7" s="51">
        <f>IF(OR(ISBLANK(AM7),AM7=0),0,AI7-AM7)</f>
        <v>0</v>
      </c>
      <c r="AO7" s="51">
        <f>IF(OR(ISBLANK(AM7),AM7=0),0,AN7*M7)</f>
        <v>0</v>
      </c>
    </row>
    <row r="8" spans="1:41">
      <c r="AI8" s="49"/>
      <c r="AJ8" s="49"/>
    </row>
    <row r="9" spans="1:41">
      <c r="AI9" s="49"/>
      <c r="AJ9" s="49"/>
    </row>
    <row r="10" spans="1:41">
      <c r="AI10" s="49"/>
      <c r="AJ10" s="49"/>
    </row>
    <row r="11" spans="1:41">
      <c r="AI11" s="49"/>
      <c r="AJ11" s="49"/>
    </row>
    <row r="12" spans="1:41">
      <c r="AI12" s="49"/>
      <c r="AJ12" s="49"/>
    </row>
  </sheetData>
  <autoFilter ref="A6:AO6"/>
  <mergeCells count="4">
    <mergeCell ref="I1:J1"/>
    <mergeCell ref="I2:J2"/>
    <mergeCell ref="AC1:AF2"/>
    <mergeCell ref="AL1:AO2"/>
  </mergeCells>
  <pageMargins left="0.1" right="0.1" top="0.3" bottom="0.3" header="0.3" footer="0.3"/>
  <pageSetup paperSize="8" scale="30" fitToHeight="0" orientation="landscape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"/>
  <sheetViews>
    <sheetView topLeftCell="N1" zoomScale="75" zoomScaleNormal="75" workbookViewId="0">
      <selection activeCell="AG2" sqref="AG2"/>
    </sheetView>
  </sheetViews>
  <sheetFormatPr defaultRowHeight="12.75"/>
  <cols>
    <col min="1" max="1" width="9.7109375" style="6" bestFit="1" customWidth="1"/>
    <col min="2" max="2" width="22" style="6" bestFit="1" customWidth="1"/>
    <col min="3" max="3" width="14.28515625" style="6" bestFit="1" customWidth="1"/>
    <col min="4" max="4" width="10.85546875" style="6" bestFit="1" customWidth="1"/>
    <col min="5" max="5" width="11" style="6" bestFit="1" customWidth="1"/>
    <col min="6" max="6" width="9.7109375" style="6" bestFit="1" customWidth="1"/>
    <col min="7" max="7" width="11" style="6" bestFit="1" customWidth="1"/>
    <col min="8" max="8" width="12.7109375" style="6" bestFit="1" customWidth="1"/>
    <col min="9" max="9" width="11.140625" style="6" bestFit="1" customWidth="1"/>
    <col min="10" max="10" width="14" style="6" bestFit="1" customWidth="1"/>
    <col min="11" max="11" width="13.7109375" style="6" bestFit="1" customWidth="1"/>
    <col min="12" max="12" width="11.140625" style="6" bestFit="1" customWidth="1"/>
    <col min="13" max="13" width="11.42578125" style="6" bestFit="1" customWidth="1"/>
    <col min="14" max="14" width="16.140625" style="6" bestFit="1" customWidth="1"/>
    <col min="15" max="15" width="14.28515625" style="6" bestFit="1" customWidth="1"/>
    <col min="16" max="16" width="13.42578125" style="6" bestFit="1" customWidth="1"/>
    <col min="17" max="17" width="13.28515625" style="6" bestFit="1" customWidth="1"/>
    <col min="18" max="18" width="20.5703125" style="6" bestFit="1" customWidth="1"/>
    <col min="19" max="19" width="12.7109375" style="6" bestFit="1" customWidth="1"/>
    <col min="20" max="20" width="6" style="6" bestFit="1" customWidth="1"/>
    <col min="21" max="21" width="15.42578125" style="6" bestFit="1" customWidth="1"/>
    <col min="22" max="22" width="27.7109375" style="6" customWidth="1"/>
    <col min="23" max="23" width="14.28515625" style="6" bestFit="1" customWidth="1"/>
    <col min="24" max="24" width="24.140625" style="6" bestFit="1" customWidth="1"/>
    <col min="25" max="25" width="19.42578125" style="6" bestFit="1" customWidth="1"/>
    <col min="26" max="26" width="12" style="6" bestFit="1" customWidth="1"/>
    <col min="27" max="27" width="14" style="6" bestFit="1" customWidth="1"/>
    <col min="28" max="28" width="19.140625" style="6" bestFit="1" customWidth="1"/>
    <col min="29" max="29" width="22.5703125" style="6" bestFit="1" customWidth="1"/>
    <col min="30" max="30" width="22.85546875" style="6" bestFit="1" customWidth="1"/>
    <col min="31" max="31" width="9.42578125" style="6" bestFit="1" customWidth="1"/>
    <col min="32" max="32" width="11.140625" style="6" bestFit="1" customWidth="1"/>
    <col min="33" max="33" width="11.42578125" style="6" bestFit="1" customWidth="1"/>
    <col min="34" max="34" width="17.28515625" style="6" bestFit="1" customWidth="1"/>
    <col min="35" max="35" width="14" style="6" bestFit="1" customWidth="1"/>
    <col min="36" max="36" width="9.85546875" style="6" bestFit="1" customWidth="1"/>
    <col min="37" max="37" width="9.140625" style="6"/>
    <col min="38" max="38" width="14.42578125" style="6" bestFit="1" customWidth="1"/>
    <col min="39" max="39" width="10" style="6" bestFit="1" customWidth="1"/>
    <col min="40" max="40" width="24.140625" style="6" bestFit="1" customWidth="1"/>
    <col min="41" max="41" width="35.140625" style="6" bestFit="1" customWidth="1"/>
    <col min="42" max="42" width="17.42578125" style="6" bestFit="1" customWidth="1"/>
    <col min="43" max="43" width="17.85546875" style="6" bestFit="1" customWidth="1"/>
    <col min="44" max="44" width="29.85546875" style="6" bestFit="1" customWidth="1"/>
    <col min="45" max="45" width="15.42578125" style="6" bestFit="1" customWidth="1"/>
    <col min="46" max="46" width="20.5703125" style="6" bestFit="1" customWidth="1"/>
    <col min="47" max="47" width="24.85546875" style="6" bestFit="1" customWidth="1"/>
    <col min="48" max="48" width="19.7109375" style="6" bestFit="1" customWidth="1"/>
    <col min="49" max="16384" width="9.140625" style="6"/>
  </cols>
  <sheetData>
    <row r="1" spans="1:48" s="41" customFormat="1">
      <c r="A1" s="41" t="s">
        <v>0</v>
      </c>
      <c r="B1" s="41" t="s">
        <v>5</v>
      </c>
      <c r="C1" s="41" t="s">
        <v>6</v>
      </c>
      <c r="D1" s="41" t="s">
        <v>7</v>
      </c>
      <c r="E1" s="41" t="s">
        <v>8</v>
      </c>
      <c r="F1" s="41" t="s">
        <v>9</v>
      </c>
      <c r="G1" s="41" t="s">
        <v>71</v>
      </c>
      <c r="H1" s="41" t="s">
        <v>72</v>
      </c>
      <c r="I1" s="41" t="s">
        <v>73</v>
      </c>
      <c r="J1" s="41" t="s">
        <v>10</v>
      </c>
      <c r="K1" s="41" t="s">
        <v>11</v>
      </c>
      <c r="L1" s="41" t="s">
        <v>12</v>
      </c>
      <c r="M1" s="41" t="s">
        <v>13</v>
      </c>
      <c r="N1" s="41" t="s">
        <v>74</v>
      </c>
      <c r="O1" s="41" t="s">
        <v>14</v>
      </c>
      <c r="P1" s="41" t="s">
        <v>15</v>
      </c>
      <c r="Q1" s="41" t="s">
        <v>16</v>
      </c>
      <c r="R1" s="41" t="s">
        <v>17</v>
      </c>
      <c r="S1" s="41" t="s">
        <v>18</v>
      </c>
      <c r="T1" s="41" t="s">
        <v>19</v>
      </c>
      <c r="U1" s="41" t="s">
        <v>20</v>
      </c>
      <c r="V1" s="41" t="s">
        <v>21</v>
      </c>
      <c r="W1" s="41" t="s">
        <v>22</v>
      </c>
      <c r="X1" s="41" t="s">
        <v>23</v>
      </c>
      <c r="Y1" s="41" t="s">
        <v>24</v>
      </c>
      <c r="Z1" s="41" t="s">
        <v>25</v>
      </c>
      <c r="AA1" s="41" t="s">
        <v>26</v>
      </c>
      <c r="AB1" s="41" t="s">
        <v>27</v>
      </c>
      <c r="AC1" s="41" t="s">
        <v>28</v>
      </c>
      <c r="AD1" s="41" t="s">
        <v>29</v>
      </c>
      <c r="AE1" s="41" t="s">
        <v>30</v>
      </c>
      <c r="AF1" s="41" t="s">
        <v>31</v>
      </c>
      <c r="AG1" s="41" t="s">
        <v>32</v>
      </c>
      <c r="AH1" s="41" t="s">
        <v>33</v>
      </c>
      <c r="AI1" s="41" t="s">
        <v>34</v>
      </c>
      <c r="AJ1" s="41" t="s">
        <v>75</v>
      </c>
      <c r="AK1" s="41" t="s">
        <v>76</v>
      </c>
      <c r="AL1" s="41" t="s">
        <v>77</v>
      </c>
      <c r="AM1" s="41" t="s">
        <v>78</v>
      </c>
      <c r="AN1" s="41" t="s">
        <v>79</v>
      </c>
      <c r="AO1" s="41" t="s">
        <v>80</v>
      </c>
      <c r="AP1" s="41" t="s">
        <v>81</v>
      </c>
      <c r="AQ1" s="41" t="s">
        <v>82</v>
      </c>
      <c r="AR1" s="41" t="s">
        <v>83</v>
      </c>
      <c r="AS1" s="41" t="s">
        <v>84</v>
      </c>
      <c r="AT1" s="41" t="s">
        <v>87</v>
      </c>
      <c r="AU1" s="41" t="s">
        <v>93</v>
      </c>
      <c r="AV1" s="41" t="s">
        <v>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"/>
  <sheetViews>
    <sheetView zoomScale="75" zoomScaleNormal="75" workbookViewId="0">
      <selection activeCell="E7" sqref="E7"/>
    </sheetView>
  </sheetViews>
  <sheetFormatPr defaultRowHeight="12.75"/>
  <cols>
    <col min="1" max="1" width="9.7109375" style="6" bestFit="1" customWidth="1"/>
    <col min="2" max="2" width="9.140625" style="6" bestFit="1" customWidth="1"/>
    <col min="3" max="3" width="12" style="6" bestFit="1" customWidth="1"/>
    <col min="4" max="4" width="21.85546875" style="6" bestFit="1" customWidth="1"/>
    <col min="5" max="5" width="15.5703125" style="6" bestFit="1" customWidth="1"/>
    <col min="6" max="16384" width="9.140625" style="6"/>
  </cols>
  <sheetData>
    <row r="1" spans="1:5" s="41" customFormat="1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PurchasingPriceComparison</vt:lpstr>
      <vt:lpstr>PurchasingPriceComparisonView</vt:lpstr>
      <vt:lpstr>ReportHeader</vt:lpstr>
      <vt:lpstr>PurchasingPriceComparison!Print_Titles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Windows User</cp:lastModifiedBy>
  <cp:lastPrinted>2013-10-03T11:15:29Z</cp:lastPrinted>
  <dcterms:created xsi:type="dcterms:W3CDTF">2011-12-02T07:43:50Z</dcterms:created>
  <dcterms:modified xsi:type="dcterms:W3CDTF">2019-01-16T06:18:31Z</dcterms:modified>
</cp:coreProperties>
</file>