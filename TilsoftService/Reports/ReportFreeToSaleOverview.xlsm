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28800" windowHeight="12585" tabRatio="546"/>
  </bookViews>
  <sheets>
    <sheet name="FTSOverview" sheetId="6" r:id="rId1"/>
    <sheet name="ParamTable" sheetId="7" state="hidden" r:id="rId2"/>
  </sheets>
  <calcPr calcId="152511"/>
</workbook>
</file>

<file path=xl/calcChain.xml><?xml version="1.0" encoding="utf-8"?>
<calcChain xmlns="http://schemas.openxmlformats.org/spreadsheetml/2006/main">
  <c r="G4" i="6" l="1"/>
  <c r="H4" i="6"/>
  <c r="G3" i="6"/>
  <c r="H3" i="6"/>
  <c r="E4" i="6"/>
  <c r="E3" i="6"/>
  <c r="H6" i="6" l="1"/>
</calcChain>
</file>

<file path=xl/sharedStrings.xml><?xml version="1.0" encoding="utf-8"?>
<sst xmlns="http://schemas.openxmlformats.org/spreadsheetml/2006/main" count="21" uniqueCount="21">
  <si>
    <t>DESCRIPTION</t>
  </si>
  <si>
    <t>Eurofar International BV
Beelaerts van Bloklandstraat 14
5042 PM Tilburg
The Netherlands</t>
  </si>
  <si>
    <t>Tel: 0031(0)13-544 61 93
Fax: 0031(0)13-536 81 87
e-mail: info@eurofar.nl</t>
  </si>
  <si>
    <t>PICTURE</t>
  </si>
  <si>
    <t>ART.
CODE</t>
  </si>
  <si>
    <t xml:space="preserve"> STOCK</t>
  </si>
  <si>
    <t xml:space="preserve">PRICE IN EURO
EX WAREHOUSE </t>
  </si>
  <si>
    <t>ORDER
QNT</t>
  </si>
  <si>
    <t>TOTAL
AMOUNT
EX WAREHOUSE</t>
  </si>
  <si>
    <t>Column1</t>
  </si>
  <si>
    <t>ns1:RowIndex</t>
  </si>
  <si>
    <t>ns1:ImageFile</t>
  </si>
  <si>
    <t>ns1:Description</t>
  </si>
  <si>
    <t>ns1:FTSQnt</t>
  </si>
  <si>
    <t>ns1:SalePrice</t>
  </si>
  <si>
    <t>OrderQnt</t>
  </si>
  <si>
    <t>Amount</t>
  </si>
  <si>
    <t>ns1:IsIncludeImage</t>
  </si>
  <si>
    <t>NO.</t>
  </si>
  <si>
    <t>Total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</si>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</sst>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164" formatCode="_(* #,##0.00_);_(* \(#,##0.00\);_(* &quot;-&quot;??_);_(@_)"/>
    <numFmt numFmtId="165" formatCode="_ [$€-413]\ * #,##0.00_ ;_ [$€-413]\ * \-#,##0.00_ ;_ [$€-413]\ * &quot;-&quot;??_ ;_ @_ "/>
    <numFmt numFmtId="166" formatCode="_-* #,##0.00_-;_-* #,##0.00\-;_-* &quot;-&quot;??_-;_-@_-"/>
    <numFmt numFmtId="167" formatCode="_-* #,##0\ _B_F_-;\-* #,##0\ _B_F_-;_-* &quot;- &quot;_B_F_-;_-@_-"/>
    <numFmt numFmtId="168" formatCode="_-* #,##0\ _B_F_-;\-* #,##0\ _B_F_-;_-* &quot;-&quot;\ _B_F_-;_-@_-"/>
    <numFmt numFmtId="169" formatCode="_ * #,##0.00_ ;_ * \-#,##0.00_ ;_ * &quot;-&quot;??_ ;_ @_ "/>
    <numFmt numFmtId="170" formatCode="00.000"/>
    <numFmt numFmtId="171" formatCode="_(* #,##0.00_);_(* \(#,##0.00\);_(* \-??_);_(@_)"/>
    <numFmt numFmtId="172" formatCode="&quot;€&quot;\ #,##0.00_-;[Red]&quot;€&quot;\ #,##0.00\-"/>
    <numFmt numFmtId="173" formatCode="&quot;€&quot;\ #,##0.00_-;&quot;€&quot;\ #,##0.00\-"/>
    <numFmt numFmtId="174" formatCode="0.0"/>
    <numFmt numFmtId="175" formatCode="_([$€]* #,##0.00_);_([$€]* \(#,##0.00\);_([$€]* &quot;-&quot;??_);_(@_)"/>
    <numFmt numFmtId="176" formatCode="[$$-409]#,##0.00"/>
    <numFmt numFmtId="177" formatCode="#,##0\ &quot;DM&quot;;\-#,##0\ &quot;DM&quot;"/>
    <numFmt numFmtId="178" formatCode="0.000%"/>
    <numFmt numFmtId="179" formatCode="&quot;￥&quot;#,##0;&quot;￥&quot;\-#,##0"/>
    <numFmt numFmtId="180" formatCode="_-* #,##0_-;\-* #,##0_-;_-* &quot;-&quot;_-;_-@_-"/>
    <numFmt numFmtId="181" formatCode="_-&quot;F&quot;* #,##0_-;\-&quot;F&quot;* #,##0_-;_-&quot;F&quot;* &quot;-&quot;_-;_-@_-"/>
    <numFmt numFmtId="182" formatCode="#,##0\ &quot;F&quot;;[Red]\-#,##0\ &quot;F&quot;"/>
    <numFmt numFmtId="183" formatCode="_-&quot;F&quot;* #,##0.00_-;\-&quot;F&quot;* #,##0.00_-;_-&quot;F&quot;* &quot;-&quot;??_-;_-@_-"/>
    <numFmt numFmtId="184" formatCode="#,##0_ ;\-#,##0\ 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VNI-Times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宋体"/>
      <charset val="134"/>
    </font>
    <font>
      <b/>
      <sz val="12"/>
      <name val="Arial"/>
      <family val="2"/>
    </font>
    <font>
      <u/>
      <sz val="8.25"/>
      <color theme="10"/>
      <name val="Calibri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0"/>
      <name val=" "/>
      <family val="1"/>
      <charset val="136"/>
    </font>
    <font>
      <sz val="12"/>
      <name val="Times New Roman"/>
      <family val="1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1"/>
      <name val="돋움"/>
      <family val="3"/>
    </font>
    <font>
      <sz val="10"/>
      <name val="굴림체"/>
      <family val="3"/>
    </font>
    <font>
      <b/>
      <sz val="9"/>
      <name val="Arial"/>
      <family val="2"/>
    </font>
    <font>
      <sz val="12"/>
      <name val="新細明體"/>
      <charset val="136"/>
    </font>
    <font>
      <sz val="12"/>
      <name val="Courier"/>
      <family val="3"/>
    </font>
    <font>
      <sz val="10"/>
      <name val="Verdana"/>
      <family val="2"/>
    </font>
    <font>
      <b/>
      <sz val="10"/>
      <name val="Verdana"/>
      <family val="2"/>
    </font>
    <font>
      <b/>
      <sz val="10"/>
      <color indexed="8"/>
      <name val="Verdana"/>
      <family val="2"/>
    </font>
    <font>
      <sz val="10"/>
      <color theme="1"/>
      <name val="Verdana"/>
      <family val="2"/>
      <charset val="163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11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1" fillId="0" borderId="0"/>
    <xf numFmtId="0" fontId="4" fillId="0" borderId="0"/>
    <xf numFmtId="0" fontId="3" fillId="0" borderId="0"/>
    <xf numFmtId="0" fontId="3" fillId="0" borderId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5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1" fontId="3" fillId="0" borderId="0" applyFill="0" applyBorder="0" applyAlignment="0" applyProtection="0"/>
    <xf numFmtId="164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3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3" fontId="1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75" fontId="3" fillId="0" borderId="0" applyFont="0" applyFill="0" applyBorder="0" applyAlignment="0" applyProtection="0"/>
    <xf numFmtId="0" fontId="6" fillId="0" borderId="4" applyNumberFormat="0" applyAlignment="0" applyProtection="0">
      <alignment horizontal="left" vertical="center"/>
    </xf>
    <xf numFmtId="0" fontId="6" fillId="0" borderId="3">
      <alignment horizontal="left"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 applyNumberFormat="0" applyFont="0" applyFill="0" applyAlignment="0"/>
    <xf numFmtId="0" fontId="3" fillId="0" borderId="0"/>
    <xf numFmtId="0" fontId="3" fillId="0" borderId="0"/>
    <xf numFmtId="0" fontId="3" fillId="0" borderId="0"/>
    <xf numFmtId="168" fontId="3" fillId="0" borderId="0" applyFont="0" applyFill="0" applyBorder="0" applyAlignment="0" applyProtection="0"/>
    <xf numFmtId="0" fontId="4" fillId="0" borderId="0"/>
    <xf numFmtId="176" fontId="1" fillId="0" borderId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4" fillId="0" borderId="0"/>
    <xf numFmtId="0" fontId="3" fillId="0" borderId="0"/>
    <xf numFmtId="168" fontId="1" fillId="0" borderId="0" applyFill="0" applyBorder="0" applyAlignment="0" applyProtection="0"/>
    <xf numFmtId="168" fontId="4" fillId="0" borderId="0" applyFill="0" applyBorder="0" applyAlignment="0" applyProtection="0"/>
    <xf numFmtId="0" fontId="3" fillId="0" borderId="0"/>
    <xf numFmtId="0" fontId="1" fillId="0" borderId="0"/>
    <xf numFmtId="0" fontId="3" fillId="0" borderId="0"/>
    <xf numFmtId="168" fontId="1" fillId="0" borderId="0" applyFill="0" applyBorder="0" applyAlignment="0" applyProtection="0"/>
    <xf numFmtId="0" fontId="3" fillId="0" borderId="0"/>
    <xf numFmtId="0" fontId="3" fillId="0" borderId="0"/>
    <xf numFmtId="0" fontId="3" fillId="0" borderId="0"/>
    <xf numFmtId="168" fontId="3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1" fillId="0" borderId="0">
      <alignment vertical="center"/>
    </xf>
    <xf numFmtId="40" fontId="12" fillId="0" borderId="0" applyFont="0" applyFill="0" applyBorder="0" applyAlignment="0" applyProtection="0"/>
    <xf numFmtId="3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4" fillId="0" borderId="0"/>
    <xf numFmtId="177" fontId="15" fillId="0" borderId="0" applyFont="0" applyFill="0" applyBorder="0" applyAlignment="0" applyProtection="0"/>
    <xf numFmtId="178" fontId="15" fillId="0" borderId="0" applyFont="0" applyFill="0" applyBorder="0" applyAlignment="0" applyProtection="0"/>
    <xf numFmtId="179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0" borderId="0"/>
    <xf numFmtId="0" fontId="17" fillId="0" borderId="0" applyProtection="0"/>
    <xf numFmtId="180" fontId="18" fillId="0" borderId="0" applyFont="0" applyFill="0" applyBorder="0" applyAlignment="0" applyProtection="0"/>
    <xf numFmtId="40" fontId="19" fillId="0" borderId="0" applyFont="0" applyFill="0" applyBorder="0" applyAlignment="0" applyProtection="0"/>
    <xf numFmtId="0" fontId="3" fillId="0" borderId="0"/>
    <xf numFmtId="181" fontId="18" fillId="0" borderId="0" applyFont="0" applyFill="0" applyBorder="0" applyAlignment="0" applyProtection="0"/>
    <xf numFmtId="182" fontId="19" fillId="0" borderId="0" applyFont="0" applyFill="0" applyBorder="0" applyAlignment="0" applyProtection="0"/>
    <xf numFmtId="183" fontId="18" fillId="0" borderId="0" applyFont="0" applyFill="0" applyBorder="0" applyAlignment="0" applyProtection="0"/>
  </cellStyleXfs>
  <cellXfs count="22">
    <xf numFmtId="0" fontId="0" fillId="0" borderId="0" xfId="0"/>
    <xf numFmtId="0" fontId="20" fillId="2" borderId="0" xfId="7" applyFont="1" applyFill="1" applyBorder="1" applyAlignment="1">
      <alignment horizontal="left" vertical="center" wrapText="1"/>
    </xf>
    <xf numFmtId="168" fontId="21" fillId="3" borderId="1" xfId="11" applyFont="1" applyFill="1" applyBorder="1" applyAlignment="1">
      <alignment horizontal="center" vertical="center" wrapText="1"/>
    </xf>
    <xf numFmtId="2" fontId="22" fillId="3" borderId="1" xfId="7" applyNumberFormat="1" applyFont="1" applyFill="1" applyBorder="1" applyAlignment="1">
      <alignment horizontal="center" vertical="center" wrapText="1"/>
    </xf>
    <xf numFmtId="165" fontId="21" fillId="3" borderId="1" xfId="10" applyNumberFormat="1" applyFont="1" applyFill="1" applyBorder="1" applyAlignment="1">
      <alignment horizontal="center" vertical="center" wrapText="1"/>
    </xf>
    <xf numFmtId="165" fontId="0" fillId="0" borderId="0" xfId="0" applyNumberFormat="1"/>
    <xf numFmtId="165" fontId="22" fillId="3" borderId="1" xfId="7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4" fillId="0" borderId="1" xfId="0" applyFont="1" applyBorder="1"/>
    <xf numFmtId="0" fontId="24" fillId="0" borderId="1" xfId="0" applyFont="1" applyBorder="1" applyAlignment="1">
      <alignment wrapText="1"/>
    </xf>
    <xf numFmtId="165" fontId="24" fillId="0" borderId="1" xfId="0" applyNumberFormat="1" applyFont="1" applyBorder="1"/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right" vertical="center"/>
    </xf>
    <xf numFmtId="0" fontId="24" fillId="0" borderId="1" xfId="0" applyFont="1" applyBorder="1" applyAlignment="1">
      <alignment horizontal="right"/>
    </xf>
    <xf numFmtId="184" fontId="21" fillId="4" borderId="1" xfId="11" applyNumberFormat="1" applyFont="1" applyFill="1" applyBorder="1" applyAlignment="1">
      <alignment horizontal="right" vertical="center" wrapText="1"/>
    </xf>
    <xf numFmtId="165" fontId="21" fillId="4" borderId="1" xfId="11" applyNumberFormat="1" applyFont="1" applyFill="1" applyBorder="1" applyAlignment="1">
      <alignment horizontal="right" vertical="center" wrapText="1"/>
    </xf>
    <xf numFmtId="0" fontId="23" fillId="0" borderId="2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/>
    </xf>
    <xf numFmtId="0" fontId="0" fillId="0" borderId="2" xfId="0" applyBorder="1" applyAlignment="1">
      <alignment horizontal="left" vertical="center"/>
    </xf>
    <xf numFmtId="168" fontId="21" fillId="4" borderId="1" xfId="11" applyFont="1" applyFill="1" applyBorder="1" applyAlignment="1">
      <alignment horizontal="right" vertical="center" wrapText="1"/>
    </xf>
  </cellXfs>
  <cellStyles count="111">
    <cellStyle name="_ET_STYLE_NoName_00_" xfId="12"/>
    <cellStyle name="Comma 10" xfId="13"/>
    <cellStyle name="Comma 11" xfId="14"/>
    <cellStyle name="Comma 12" xfId="15"/>
    <cellStyle name="Comma 13" xfId="16"/>
    <cellStyle name="Comma 14" xfId="17"/>
    <cellStyle name="Comma 14 2" xfId="18"/>
    <cellStyle name="Comma 15" xfId="19"/>
    <cellStyle name="Comma 16" xfId="20"/>
    <cellStyle name="Comma 17" xfId="21"/>
    <cellStyle name="Comma 18" xfId="22"/>
    <cellStyle name="Comma 19" xfId="23"/>
    <cellStyle name="Comma 2" xfId="3"/>
    <cellStyle name="Comma 2 2" xfId="24"/>
    <cellStyle name="Comma 2 3" xfId="25"/>
    <cellStyle name="Comma 2 4" xfId="4"/>
    <cellStyle name="Comma 20" xfId="26"/>
    <cellStyle name="Comma 21" xfId="27"/>
    <cellStyle name="Comma 22" xfId="28"/>
    <cellStyle name="Comma 23" xfId="29"/>
    <cellStyle name="Comma 24" xfId="30"/>
    <cellStyle name="Comma 25" xfId="31"/>
    <cellStyle name="Comma 26" xfId="32"/>
    <cellStyle name="Comma 27" xfId="33"/>
    <cellStyle name="Comma 28" xfId="34"/>
    <cellStyle name="Comma 29" xfId="35"/>
    <cellStyle name="Comma 3" xfId="36"/>
    <cellStyle name="Comma 3 2" xfId="37"/>
    <cellStyle name="Comma 3 3" xfId="38"/>
    <cellStyle name="Comma 3 4" xfId="39"/>
    <cellStyle name="Comma 4" xfId="40"/>
    <cellStyle name="Comma 4 2" xfId="41"/>
    <cellStyle name="Comma 4 2 2" xfId="42"/>
    <cellStyle name="Comma 4 3" xfId="43"/>
    <cellStyle name="Comma 5" xfId="44"/>
    <cellStyle name="Comma 5 2" xfId="45"/>
    <cellStyle name="Comma 5 2 2" xfId="46"/>
    <cellStyle name="Comma 5 2 3" xfId="47"/>
    <cellStyle name="Comma 5 3" xfId="48"/>
    <cellStyle name="Comma 5 3 2" xfId="49"/>
    <cellStyle name="Comma 5 4" xfId="50"/>
    <cellStyle name="Comma 5 4 2" xfId="51"/>
    <cellStyle name="Comma 5 5" xfId="52"/>
    <cellStyle name="Comma 5 5 2" xfId="53"/>
    <cellStyle name="Comma 5 6" xfId="54"/>
    <cellStyle name="Comma 5 6 2" xfId="55"/>
    <cellStyle name="Comma 5 7" xfId="56"/>
    <cellStyle name="Comma 5 8" xfId="57"/>
    <cellStyle name="Comma 5 9" xfId="58"/>
    <cellStyle name="Comma 6" xfId="59"/>
    <cellStyle name="Comma 6 2" xfId="60"/>
    <cellStyle name="Comma 7" xfId="61"/>
    <cellStyle name="Comma 8" xfId="62"/>
    <cellStyle name="Comma 9" xfId="63"/>
    <cellStyle name="Currency 2" xfId="10"/>
    <cellStyle name="Euro" xfId="64"/>
    <cellStyle name="Excel Built-in Normal" xfId="5"/>
    <cellStyle name="Header1" xfId="65"/>
    <cellStyle name="Header2" xfId="66"/>
    <cellStyle name="Hyperlink 2" xfId="67"/>
    <cellStyle name="Hyperlink 3" xfId="68"/>
    <cellStyle name="Komma 2" xfId="1"/>
    <cellStyle name="n" xfId="69"/>
    <cellStyle name="Normal" xfId="0" builtinId="0"/>
    <cellStyle name="Normal 11" xfId="70"/>
    <cellStyle name="Normal 14" xfId="71"/>
    <cellStyle name="Normal 15" xfId="72"/>
    <cellStyle name="Normal 2" xfId="73"/>
    <cellStyle name="Normal 2 2" xfId="74"/>
    <cellStyle name="Normal 2 3" xfId="6"/>
    <cellStyle name="Normal 2 4" xfId="75"/>
    <cellStyle name="Normal 2_SAPPORO SET 01-10-09" xfId="76"/>
    <cellStyle name="Normal 3" xfId="77"/>
    <cellStyle name="Normal 3 2" xfId="78"/>
    <cellStyle name="Normal 4" xfId="79"/>
    <cellStyle name="Normal 4 2" xfId="80"/>
    <cellStyle name="Normal 4 3" xfId="81"/>
    <cellStyle name="Normal 5" xfId="82"/>
    <cellStyle name="Normal 6" xfId="83"/>
    <cellStyle name="Normal 7" xfId="84"/>
    <cellStyle name="Normal 7 2" xfId="85"/>
    <cellStyle name="Normal 8" xfId="86"/>
    <cellStyle name="Normal 9" xfId="87"/>
    <cellStyle name="Standaard 2" xfId="7"/>
    <cellStyle name="Standaard 2 2" xfId="2"/>
    <cellStyle name="Standaard 3" xfId="88"/>
    <cellStyle name="Standaard_Sheet1" xfId="8"/>
    <cellStyle name="Standaard_STANDAARD LAY-OUT SAMPLES 2009" xfId="11"/>
    <cellStyle name="Stijl 1" xfId="89"/>
    <cellStyle name="Style 1" xfId="9"/>
    <cellStyle name=" [0.00]_ Att. 1- Cover" xfId="90"/>
    <cellStyle name="_ Att. 1- Cover" xfId="91"/>
    <cellStyle name="?_ Att. 1- Cover" xfId="92"/>
    <cellStyle name="똿뗦먛귟 [0.00]_PRODUCT DETAIL Q1" xfId="93"/>
    <cellStyle name="똿뗦먛귟_PRODUCT DETAIL Q1" xfId="94"/>
    <cellStyle name="믅됞 [0.00]_PRODUCT DETAIL Q1" xfId="95"/>
    <cellStyle name="믅됞_PRODUCT DETAIL Q1" xfId="96"/>
    <cellStyle name="백분율_95" xfId="97"/>
    <cellStyle name="뷭?_BOOKSHIP" xfId="98"/>
    <cellStyle name="콤마 [0]_1202" xfId="99"/>
    <cellStyle name="콤마_1202" xfId="100"/>
    <cellStyle name="통화 [0]_1202" xfId="101"/>
    <cellStyle name="통화_1202" xfId="102"/>
    <cellStyle name="표준_(정보부문)월별인원계획" xfId="103"/>
    <cellStyle name="一般_99Q3647-ALL-CAS2" xfId="104"/>
    <cellStyle name="千分位[0]_Book1" xfId="105"/>
    <cellStyle name="千分位_99Q3647-ALL-CAS2" xfId="106"/>
    <cellStyle name="常规_Sheet1" xfId="107"/>
    <cellStyle name="貨幣 [0]_Book1" xfId="108"/>
    <cellStyle name="貨幣[0]_BRE" xfId="109"/>
    <cellStyle name="貨幣_Book1" xfId="110"/>
  </cellStyles>
  <dxfs count="13">
    <dxf>
      <numFmt numFmtId="165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Mng_FreeToSaleOverview_View" minOccurs="0" maxOccurs="unbounded">
              <xs:complexType>
                <xs:sequence>
                  <xs:element name="KeyID" msdata:ReadOnly="true" minOccurs="0">
                    <xs:simpleType>
                      <xs:restriction base="xs:string">
                        <xs:maxLength value="71"/>
                      </xs:restriction>
                    </xs:simpleType>
                  </xs:element>
                  <xs:element name="GoodsID" type="xs:int" minOccurs="0"/>
                  <xs:element name="ProductType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ProductStatusID" type="xs:int" minOccurs="0"/>
                  <xs:element name="RowIndex" type="xs:long" minOccurs="0"/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SelectedThumbnail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electedFullImage" msdata:ReadOnly="true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NM" msdata:ReadOnly="true" minOccurs="0">
                    <xs:simpleType>
                      <xs:restriction base="xs:string">
                        <xs:maxLength value="511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TSQnt" type="xs:int" minOccurs="0"/>
                  <xs:element name="SalePrice" type="xs:decimal" minOccurs="0"/>
                  <xs:element name="IsActiveFreeToSale" type="xs:boolean" minOccurs="0"/>
                  <xs:element name="FreeToSaleCategory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DisplayOrder" type="xs:int" minOccurs="0"/>
                  <xs:element name="ProductThumbnailImage" type="xs:string" minOccurs="0"/>
                  <xs:element name="ProductGardenThumbnailImage" type="xs:string" minOccurs="0"/>
                  <xs:element name="ModelThumbnailImage" type="xs:string" minOccurs="0"/>
                  <xs:element name="ProductFullImage" type="xs:string" minOccurs="0"/>
                  <xs:element name="ProductGardenFullImage" type="xs:string" minOccurs="0"/>
                  <xs:element name="ModelFullImage" type="xs:string" minOccurs="0"/>
                </xs:sequence>
              </xs:complexType>
            </xs:element>
            <xs:element name="ParamTable" minOccurs="0" maxOccurs="unbounded">
              <xs:complexType>
                <xs:sequence>
                  <xs:element name="IsIncludeImage" type="xs:boolean" minOccurs="0"/>
                </xs:sequence>
              </xs:complexType>
            </xs:element>
          </xs:sequence>
        </xs:complexType>
      </xs:element>
    </xs:schema>
  </Schema>
  <Map ID="1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428625</xdr:rowOff>
    </xdr:from>
    <xdr:to>
      <xdr:col>1</xdr:col>
      <xdr:colOff>3771900</xdr:colOff>
      <xdr:row>1</xdr:row>
      <xdr:rowOff>428625</xdr:rowOff>
    </xdr:to>
    <xdr:pic>
      <xdr:nvPicPr>
        <xdr:cNvPr id="2" name="Picture 228"/>
        <xdr:cNvPicPr>
          <a:picLocks/>
        </xdr:cNvPicPr>
      </xdr:nvPicPr>
      <xdr:blipFill>
        <a:blip xmlns:r="http://schemas.openxmlformats.org/officeDocument/2006/relationships" r:embed="rId1"/>
        <a:srcRect t="12755" b="15942"/>
        <a:stretch>
          <a:fillRect/>
        </a:stretch>
      </xdr:blipFill>
      <xdr:spPr bwMode="auto">
        <a:xfrm>
          <a:off x="1600200" y="2981325"/>
          <a:ext cx="37052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133350</xdr:colOff>
      <xdr:row>0</xdr:row>
      <xdr:rowOff>66675</xdr:rowOff>
    </xdr:from>
    <xdr:to>
      <xdr:col>2</xdr:col>
      <xdr:colOff>733425</xdr:colOff>
      <xdr:row>0</xdr:row>
      <xdr:rowOff>682090</xdr:rowOff>
    </xdr:to>
    <xdr:pic>
      <xdr:nvPicPr>
        <xdr:cNvPr id="3" name="Picture 232"/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33350" y="66675"/>
          <a:ext cx="3248025" cy="6154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5" name="Table5" displayName="Table5" ref="A5:H6" tableType="xml" totalsRowShown="0" headerRowDxfId="12" dataDxfId="10" headerRowBorderDxfId="11" tableBorderDxfId="9" totalsRowBorderDxfId="8">
  <autoFilter ref="A5:H6"/>
  <tableColumns count="8">
    <tableColumn id="5" uniqueName="ns1:RowIndex" name="ns1:RowIndex" dataDxfId="7">
      <xmlColumnPr mapId="1" xpath="/ns1:ReportDataObject/ns1:ReportMng_FreeToSaleOverview_View/ns1:RowIndex" xmlDataType="long"/>
    </tableColumn>
    <tableColumn id="7" uniqueName="ns1:SelectedThumbnailImage" name="ns1:ImageFile" dataDxfId="6">
      <xmlColumnPr mapId="1" xpath="/ns1:ReportDataObject/ns1:ReportMng_FreeToSaleOverview_View/ns1:SelectedThumbnailImage" xmlDataType="string"/>
    </tableColumn>
    <tableColumn id="15" uniqueName="ns1:ArticleCode" name="Column1" dataDxfId="5">
      <xmlColumnPr mapId="1" xpath="/ns1:ReportDataObject/ns1:ReportMng_FreeToSaleOverview_View/ns1:ArticleCode" xmlDataType="string"/>
    </tableColumn>
    <tableColumn id="9" uniqueName="ns1:Description" name="ns1:Description" dataDxfId="4">
      <xmlColumnPr mapId="1" xpath="/ns1:ReportDataObject/ns1:ReportMng_FreeToSaleOverview_View/ns1:Description" xmlDataType="string"/>
    </tableColumn>
    <tableColumn id="10" uniqueName="ns1:FTSQnt" name="ns1:FTSQnt" dataDxfId="3">
      <xmlColumnPr mapId="1" xpath="/ns1:ReportDataObject/ns1:ReportMng_FreeToSaleOverview_View/ns1:FTSQnt" xmlDataType="int"/>
    </tableColumn>
    <tableColumn id="11" uniqueName="ns1:SalePrice" name="ns1:SalePrice" dataDxfId="2">
      <xmlColumnPr mapId="1" xpath="/ns1:ReportDataObject/ns1:ReportMng_FreeToSaleOverview_View/ns1:SalePrice" xmlDataType="decimal"/>
    </tableColumn>
    <tableColumn id="16" uniqueName="ns1:IsActiveFreeToSale" name="OrderQnt" dataDxfId="1"/>
    <tableColumn id="17" uniqueName="ns1:FreeToSaleCategoryNM" name="Amount" dataDxfId="0">
      <calculatedColumnFormula>Table5[OrderQnt]*Table5[ns1:SalePrice]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A1:A2" tableType="xml" insertRow="1" totalsRowShown="0">
  <autoFilter ref="A1:A2"/>
  <tableColumns count="1">
    <tableColumn id="1" uniqueName="ns1:IsIncludeImage" name="ns1:IsIncludeImage">
      <xmlColumnPr mapId="1" xpath="/ns1:ReportDataObject/ns1:ParamTable/ns1:IsIncludeImage" xmlDataType="boolean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showZeros="0" tabSelected="1" view="pageBreakPreview" zoomScaleNormal="100" zoomScaleSheetLayoutView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6" sqref="D6"/>
    </sheetView>
  </sheetViews>
  <sheetFormatPr defaultRowHeight="15"/>
  <cols>
    <col min="1" max="1" width="5.42578125" customWidth="1"/>
    <col min="2" max="2" width="29.42578125" customWidth="1"/>
    <col min="3" max="3" width="11.5703125" style="7" customWidth="1"/>
    <col min="4" max="4" width="48.28515625" customWidth="1"/>
    <col min="5" max="5" width="12.85546875" customWidth="1"/>
    <col min="6" max="6" width="15.5703125" style="5" customWidth="1"/>
    <col min="7" max="7" width="14.7109375" customWidth="1"/>
    <col min="8" max="8" width="21.42578125" style="5" customWidth="1"/>
    <col min="9" max="9" width="4.28515625" customWidth="1"/>
    <col min="10" max="10" width="2.28515625" customWidth="1"/>
  </cols>
  <sheetData>
    <row r="1" spans="1:8" ht="57" customHeight="1">
      <c r="A1" s="20"/>
      <c r="B1" s="20"/>
      <c r="C1" s="20"/>
      <c r="D1" s="1" t="s">
        <v>1</v>
      </c>
      <c r="E1" s="18" t="s">
        <v>2</v>
      </c>
      <c r="F1" s="19"/>
      <c r="G1" s="19"/>
      <c r="H1" s="19"/>
    </row>
    <row r="2" spans="1:8" ht="45" customHeight="1">
      <c r="A2" s="2" t="s">
        <v>18</v>
      </c>
      <c r="B2" s="2" t="s">
        <v>3</v>
      </c>
      <c r="C2" s="2" t="s">
        <v>4</v>
      </c>
      <c r="D2" s="2" t="s">
        <v>0</v>
      </c>
      <c r="E2" s="2" t="s">
        <v>5</v>
      </c>
      <c r="F2" s="4" t="s">
        <v>6</v>
      </c>
      <c r="G2" s="3" t="s">
        <v>7</v>
      </c>
      <c r="H2" s="6" t="s">
        <v>8</v>
      </c>
    </row>
    <row r="3" spans="1:8" ht="14.25" customHeight="1">
      <c r="A3" s="21" t="s">
        <v>19</v>
      </c>
      <c r="B3" s="21"/>
      <c r="C3" s="21"/>
      <c r="D3" s="21"/>
      <c r="E3" s="16">
        <f>SUM(Table5[ns1:FTSQnt])</f>
        <v>0</v>
      </c>
      <c r="F3" s="16"/>
      <c r="G3" s="16">
        <f>SUM(Table5[OrderQnt])</f>
        <v>0</v>
      </c>
      <c r="H3" s="17">
        <f>SUM(Table5[Amount])</f>
        <v>0</v>
      </c>
    </row>
    <row r="4" spans="1:8" ht="14.25" customHeight="1">
      <c r="A4" s="21" t="s">
        <v>20</v>
      </c>
      <c r="B4" s="21"/>
      <c r="C4" s="21"/>
      <c r="D4" s="21"/>
      <c r="E4" s="16">
        <f>SUBTOTAL(9,Table5[ns1:FTSQnt])</f>
        <v>0</v>
      </c>
      <c r="F4" s="16"/>
      <c r="G4" s="16">
        <f>SUBTOTAL(9,Table5[OrderQnt])</f>
        <v>0</v>
      </c>
      <c r="H4" s="17">
        <f>SUBTOTAL(9,Table5[Amount])</f>
        <v>0</v>
      </c>
    </row>
    <row r="5" spans="1:8">
      <c r="A5" s="8" t="s">
        <v>10</v>
      </c>
      <c r="B5" s="8" t="s">
        <v>11</v>
      </c>
      <c r="C5" s="9" t="s">
        <v>9</v>
      </c>
      <c r="D5" s="15" t="s">
        <v>12</v>
      </c>
      <c r="E5" s="8" t="s">
        <v>13</v>
      </c>
      <c r="F5" s="10" t="s">
        <v>14</v>
      </c>
      <c r="G5" s="8" t="s">
        <v>15</v>
      </c>
      <c r="H5" s="10" t="s">
        <v>16</v>
      </c>
    </row>
    <row r="6" spans="1:8" ht="88.5" customHeight="1">
      <c r="A6" s="13"/>
      <c r="B6" s="11"/>
      <c r="C6" s="12"/>
      <c r="D6" s="12"/>
      <c r="E6" s="13"/>
      <c r="F6" s="14"/>
      <c r="G6" s="13"/>
      <c r="H6" s="14">
        <f>Table5[OrderQnt]*Table5[ns1:SalePrice]</f>
        <v>0</v>
      </c>
    </row>
  </sheetData>
  <mergeCells count="4">
    <mergeCell ref="E1:H1"/>
    <mergeCell ref="A1:C1"/>
    <mergeCell ref="A3:D3"/>
    <mergeCell ref="A4:D4"/>
  </mergeCells>
  <pageMargins left="0.70866141732283472" right="0.70866141732283472" top="0.74803149606299213" bottom="0.74803149606299213" header="0.31496062992125984" footer="0.31496062992125984"/>
  <pageSetup paperSize="9" scale="49" orientation="portrait" r:id="rId1"/>
  <headerFooter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11" sqref="C11"/>
    </sheetView>
  </sheetViews>
  <sheetFormatPr defaultRowHeight="15"/>
  <cols>
    <col min="1" max="1" width="20" bestFit="1" customWidth="1"/>
  </cols>
  <sheetData>
    <row r="1" spans="1:1">
      <c r="A1" t="s">
        <v>17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FTSOverview</vt:lpstr>
      <vt:lpstr>ParamTable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tranbaluc@outlook.com</dc:creator>
  <cp:lastModifiedBy>Quang</cp:lastModifiedBy>
  <dcterms:created xsi:type="dcterms:W3CDTF">2016-04-13T14:12:20Z</dcterms:created>
  <dcterms:modified xsi:type="dcterms:W3CDTF">2016-12-12T03:09:01Z</dcterms:modified>
</cp:coreProperties>
</file>