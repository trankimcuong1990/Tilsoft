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FURNINDO\VSGIT\SOLUTION\TilsoftService\Reports\"/>
    </mc:Choice>
  </mc:AlternateContent>
  <bookViews>
    <workbookView xWindow="0" yWindow="0" windowWidth="16725" windowHeight="7755" tabRatio="415"/>
  </bookViews>
  <sheets>
    <sheet name="TOTAL" sheetId="4" r:id="rId1"/>
    <sheet name="EURO_LTD" sheetId="5" r:id="rId2"/>
  </sheets>
  <definedNames>
    <definedName name="_xlnm._FilterDatabase" localSheetId="1" hidden="1">EURO_LTD!$A$5:$S$6</definedName>
    <definedName name="_xlnm._FilterDatabase" localSheetId="0" hidden="1">TOTAL!$A$6:$P$6</definedName>
    <definedName name="_xlnm.Print_Area" localSheetId="0">TOTAL!#REF!</definedName>
    <definedName name="_xlnm.Print_Titles" localSheetId="0">TOTAL!$1:$6</definedName>
  </definedNames>
  <calcPr calcId="152511"/>
</workbook>
</file>

<file path=xl/calcChain.xml><?xml version="1.0" encoding="utf-8"?>
<calcChain xmlns="http://schemas.openxmlformats.org/spreadsheetml/2006/main">
  <c r="U6" i="5" l="1"/>
  <c r="W4" i="5" l="1"/>
  <c r="X4" i="5"/>
  <c r="V4" i="5"/>
  <c r="W3" i="5"/>
  <c r="X3" i="5"/>
  <c r="V3" i="5"/>
  <c r="S4" i="4"/>
  <c r="R4" i="4"/>
  <c r="Q4" i="4"/>
  <c r="S3" i="4"/>
  <c r="R3" i="4"/>
  <c r="Q3" i="4"/>
  <c r="J4" i="4" l="1"/>
  <c r="J3" i="4"/>
  <c r="H4" i="4"/>
  <c r="H3" i="4"/>
  <c r="L4" i="4" l="1"/>
  <c r="L3" i="4"/>
  <c r="R4" i="5" l="1"/>
  <c r="R3" i="5"/>
  <c r="Q4" i="5"/>
  <c r="Q3" i="5"/>
  <c r="O4" i="5"/>
  <c r="O3" i="5"/>
  <c r="L4" i="5"/>
  <c r="L3" i="5"/>
  <c r="K4" i="5" l="1"/>
  <c r="K3" i="5" l="1"/>
  <c r="M4" i="4" l="1"/>
  <c r="M3" i="4" l="1"/>
  <c r="S4" i="5"/>
  <c r="S3" i="5"/>
</calcChain>
</file>

<file path=xl/sharedStrings.xml><?xml version="1.0" encoding="utf-8"?>
<sst xmlns="http://schemas.openxmlformats.org/spreadsheetml/2006/main" count="99" uniqueCount="71">
  <si>
    <t>EUROFURNINDO LTD</t>
  </si>
  <si>
    <t>DELTA</t>
  </si>
  <si>
    <t>COMPANY</t>
  </si>
  <si>
    <t>NO.</t>
  </si>
  <si>
    <t>DATE</t>
  </si>
  <si>
    <t>AMOUNT</t>
  </si>
  <si>
    <t>%</t>
  </si>
  <si>
    <t>FACTORY'S INVOICE</t>
  </si>
  <si>
    <t>INVOICE NO.</t>
  </si>
  <si>
    <t>FACTORY</t>
  </si>
  <si>
    <t>UNIT PRICE</t>
  </si>
  <si>
    <t>GRAND TOTAL TOTAL:</t>
  </si>
  <si>
    <t>TOTAL:</t>
  </si>
  <si>
    <t>C/O</t>
  </si>
  <si>
    <t>SHIPPER</t>
  </si>
  <si>
    <t>PO</t>
  </si>
  <si>
    <t>ns1:BLNo</t>
  </si>
  <si>
    <t>ns1:ProformaInvoiceNo</t>
  </si>
  <si>
    <t>ns1:BuyerUD</t>
  </si>
  <si>
    <t>ns1:FactoryUD</t>
  </si>
  <si>
    <t>ns1:FactoryInvoiceUD</t>
  </si>
  <si>
    <t>ns1:FactoryInvoiceAmount</t>
  </si>
  <si>
    <t>ns1:InvoiceNo</t>
  </si>
  <si>
    <t>ns1:CommercialInvoiceAmount</t>
  </si>
  <si>
    <t>ns1:CommercialInvoiceDate</t>
  </si>
  <si>
    <t>ns1:RowIndex</t>
  </si>
  <si>
    <t>ns1:BLDate</t>
  </si>
  <si>
    <t>ns1:DeltaAmount</t>
  </si>
  <si>
    <t>ns1:DeltaAmountPercent</t>
  </si>
  <si>
    <t>ns1:Country</t>
  </si>
  <si>
    <t>ns1:Company</t>
  </si>
  <si>
    <t>ns1:SupplierUD</t>
  </si>
  <si>
    <t>ns1:OrderDate</t>
  </si>
  <si>
    <t>ns1:ArticleCode</t>
  </si>
  <si>
    <t>ns1:Description</t>
  </si>
  <si>
    <t>ns1:DeliveryQnt</t>
  </si>
  <si>
    <t>ns1:DeliveryInCont</t>
  </si>
  <si>
    <t>ns1:FactoryInvoicePrice</t>
  </si>
  <si>
    <t>ns1:CommercialInvoicePrice</t>
  </si>
  <si>
    <t>SUB -TOTAL :</t>
  </si>
  <si>
    <t xml:space="preserve">SUB TOTAL:  </t>
  </si>
  <si>
    <t>ns1:Season</t>
  </si>
  <si>
    <t>Column1</t>
  </si>
  <si>
    <t>ISSUED BY</t>
  </si>
  <si>
    <t>CLIENT CODE</t>
  </si>
  <si>
    <t>BL DATE</t>
  </si>
  <si>
    <t>FAC. INVOICE</t>
  </si>
  <si>
    <t>NO</t>
  </si>
  <si>
    <t>SUPPLIER</t>
  </si>
  <si>
    <t>ORDER NO</t>
  </si>
  <si>
    <t>DESCRIPTION</t>
  </si>
  <si>
    <t>DELIVERY QNT</t>
  </si>
  <si>
    <t>DELIVERY CONT</t>
  </si>
  <si>
    <t>ARTICLE CODE</t>
  </si>
  <si>
    <t>ns1:QuotationSalePrice</t>
  </si>
  <si>
    <t>QUOTATION SALE PRICE</t>
  </si>
  <si>
    <t>BL No</t>
  </si>
  <si>
    <t>Column2</t>
  </si>
  <si>
    <t>Column3</t>
  </si>
  <si>
    <t>Column4</t>
  </si>
  <si>
    <t>DELTA CHECK</t>
  </si>
  <si>
    <t>DEALTA</t>
  </si>
  <si>
    <t xml:space="preserve"> DELTA CHECK</t>
  </si>
  <si>
    <t>(</t>
  </si>
  <si>
    <t>Column5</t>
  </si>
  <si>
    <t>CHECKING FACTORY PRICE</t>
  </si>
  <si>
    <t>DELTA1 (6%)</t>
  </si>
  <si>
    <t>DELTA2 (4%)</t>
  </si>
  <si>
    <t>DELTA1(6%)</t>
  </si>
  <si>
    <t>DELTA2(4%)</t>
  </si>
  <si>
    <t>AVT'S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</si>
</sst>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_-;\-* #,##0_-;_-* &quot;-&quot;_-;_-@_-"/>
    <numFmt numFmtId="167" formatCode="_ * #,##0.00_ ;_ * \-#,##0.00_ ;_ * &quot;-&quot;??_ ;_ @_ "/>
    <numFmt numFmtId="168" formatCode="_-* #,##0\ _B_F_-;\-* #,##0\ _B_F_-;_-* &quot;-&quot;\ _B_F_-;_-@_-"/>
    <numFmt numFmtId="169" formatCode="_(* #,##0_);_(* \(#,##0\);_(* &quot;-&quot;??_);_(@_)"/>
    <numFmt numFmtId="170" formatCode="#,##0\ &quot;DM&quot;;\-#,##0\ &quot;DM&quot;"/>
    <numFmt numFmtId="171" formatCode="0.000%"/>
    <numFmt numFmtId="172" formatCode="&quot;￥&quot;#,##0;&quot;￥&quot;\-#,##0"/>
    <numFmt numFmtId="173" formatCode="00.000"/>
    <numFmt numFmtId="174" formatCode="_-&quot;F&quot;* #,##0_-;\-&quot;F&quot;* #,##0_-;_-&quot;F&quot;* &quot;-&quot;_-;_-@_-"/>
    <numFmt numFmtId="175" formatCode="#,##0\ &quot;F&quot;;[Red]\-#,##0\ &quot;F&quot;"/>
    <numFmt numFmtId="176" formatCode="_-&quot;F&quot;* #,##0.00_-;\-&quot;F&quot;* #,##0.00_-;_-&quot;F&quot;* &quot;-&quot;??_-;_-@_-"/>
    <numFmt numFmtId="177" formatCode="00000000"/>
    <numFmt numFmtId="178" formatCode="000000"/>
    <numFmt numFmtId="179" formatCode="_-[$$-409]* #,##0.00_ ;_-[$$-409]* \-#,##0.00\ ;_-[$$-409]* &quot;-&quot;??_ ;_-@_ "/>
    <numFmt numFmtId="180" formatCode="dd/mm/yy;@"/>
    <numFmt numFmtId="181" formatCode="dd/mm/yy"/>
  </numFmts>
  <fonts count="2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宋体"/>
      <charset val="134"/>
    </font>
    <font>
      <sz val="8"/>
      <name val="VNI-Times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charset val="163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4FC5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2">
    <xf numFmtId="168" fontId="0" fillId="0" borderId="0" applyFont="0" applyFill="0" applyBorder="0" applyAlignment="0" applyProtection="0"/>
    <xf numFmtId="168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7" fillId="0" borderId="0" applyNumberFormat="0" applyFont="0" applyFill="0" applyAlignment="0"/>
    <xf numFmtId="9" fontId="1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7" fillId="0" borderId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6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/>
    <xf numFmtId="170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4" fillId="0" borderId="0"/>
    <xf numFmtId="0" fontId="5" fillId="0" borderId="0" applyProtection="0"/>
    <xf numFmtId="166" fontId="11" fillId="0" borderId="0" applyFont="0" applyFill="0" applyBorder="0" applyAlignment="0" applyProtection="0"/>
    <xf numFmtId="40" fontId="12" fillId="0" borderId="0" applyFont="0" applyFill="0" applyBorder="0" applyAlignment="0" applyProtection="0"/>
    <xf numFmtId="174" fontId="11" fillId="0" borderId="0" applyFont="0" applyFill="0" applyBorder="0" applyAlignment="0" applyProtection="0"/>
    <xf numFmtId="175" fontId="12" fillId="0" borderId="0" applyFont="0" applyFill="0" applyBorder="0" applyAlignment="0" applyProtection="0"/>
    <xf numFmtId="176" fontId="11" fillId="0" borderId="0" applyFont="0" applyFill="0" applyBorder="0" applyAlignment="0" applyProtection="0"/>
  </cellStyleXfs>
  <cellXfs count="143">
    <xf numFmtId="0" fontId="0" fillId="0" borderId="0" xfId="0" applyNumberFormat="1"/>
    <xf numFmtId="165" fontId="18" fillId="0" borderId="0" xfId="2" applyFont="1" applyFill="1" applyAlignment="1">
      <alignment vertical="center" wrapText="1"/>
    </xf>
    <xf numFmtId="0" fontId="18" fillId="0" borderId="0" xfId="0" applyNumberFormat="1" applyFont="1" applyFill="1" applyAlignment="1">
      <alignment vertical="center" wrapText="1"/>
    </xf>
    <xf numFmtId="165" fontId="18" fillId="4" borderId="3" xfId="2" applyFont="1" applyFill="1" applyBorder="1" applyAlignment="1">
      <alignment vertical="center"/>
    </xf>
    <xf numFmtId="49" fontId="18" fillId="4" borderId="3" xfId="2" applyNumberFormat="1" applyFont="1" applyFill="1" applyBorder="1" applyAlignment="1">
      <alignment vertical="center"/>
    </xf>
    <xf numFmtId="14" fontId="18" fillId="4" borderId="3" xfId="2" applyNumberFormat="1" applyFont="1" applyFill="1" applyBorder="1" applyAlignment="1">
      <alignment vertical="center"/>
    </xf>
    <xf numFmtId="169" fontId="18" fillId="4" borderId="3" xfId="2" applyNumberFormat="1" applyFont="1" applyFill="1" applyBorder="1" applyAlignment="1">
      <alignment vertical="center"/>
    </xf>
    <xf numFmtId="165" fontId="18" fillId="0" borderId="0" xfId="2" applyFont="1" applyFill="1" applyAlignment="1">
      <alignment vertical="center"/>
    </xf>
    <xf numFmtId="0" fontId="18" fillId="0" borderId="0" xfId="0" applyNumberFormat="1" applyFont="1" applyFill="1" applyAlignment="1">
      <alignment vertical="center"/>
    </xf>
    <xf numFmtId="165" fontId="18" fillId="5" borderId="3" xfId="2" applyFont="1" applyFill="1" applyBorder="1" applyAlignment="1">
      <alignment vertical="center"/>
    </xf>
    <xf numFmtId="49" fontId="18" fillId="5" borderId="3" xfId="2" applyNumberFormat="1" applyFont="1" applyFill="1" applyBorder="1" applyAlignment="1">
      <alignment vertical="center"/>
    </xf>
    <xf numFmtId="14" fontId="18" fillId="5" borderId="3" xfId="2" applyNumberFormat="1" applyFont="1" applyFill="1" applyBorder="1" applyAlignment="1">
      <alignment vertical="center"/>
    </xf>
    <xf numFmtId="169" fontId="18" fillId="5" borderId="3" xfId="2" applyNumberFormat="1" applyFont="1" applyFill="1" applyBorder="1" applyAlignment="1">
      <alignment vertical="center"/>
    </xf>
    <xf numFmtId="165" fontId="19" fillId="0" borderId="0" xfId="2" applyFont="1" applyFill="1" applyAlignment="1">
      <alignment vertical="center"/>
    </xf>
    <xf numFmtId="0" fontId="19" fillId="0" borderId="0" xfId="0" applyNumberFormat="1" applyFont="1" applyFill="1" applyAlignment="1">
      <alignment vertical="center"/>
    </xf>
    <xf numFmtId="49" fontId="19" fillId="0" borderId="0" xfId="0" applyNumberFormat="1" applyFont="1" applyFill="1" applyAlignment="1">
      <alignment vertical="center"/>
    </xf>
    <xf numFmtId="14" fontId="19" fillId="0" borderId="0" xfId="0" applyNumberFormat="1" applyFont="1" applyFill="1" applyAlignment="1">
      <alignment vertical="center"/>
    </xf>
    <xf numFmtId="169" fontId="19" fillId="0" borderId="0" xfId="2" applyNumberFormat="1" applyFont="1" applyFill="1" applyAlignment="1">
      <alignment vertical="center"/>
    </xf>
    <xf numFmtId="10" fontId="19" fillId="0" borderId="0" xfId="9" applyNumberFormat="1" applyFont="1" applyFill="1" applyAlignment="1">
      <alignment vertical="center"/>
    </xf>
    <xf numFmtId="169" fontId="19" fillId="0" borderId="0" xfId="2" applyNumberFormat="1" applyFont="1" applyFill="1" applyBorder="1" applyAlignment="1">
      <alignment vertical="center"/>
    </xf>
    <xf numFmtId="0" fontId="20" fillId="0" borderId="0" xfId="0" applyNumberFormat="1" applyFont="1" applyFill="1" applyAlignment="1">
      <alignment horizontal="left" vertical="center"/>
    </xf>
    <xf numFmtId="0" fontId="20" fillId="5" borderId="3" xfId="0" applyNumberFormat="1" applyFont="1" applyFill="1" applyBorder="1" applyAlignment="1">
      <alignment horizontal="left" vertical="center"/>
    </xf>
    <xf numFmtId="180" fontId="20" fillId="5" borderId="3" xfId="0" applyNumberFormat="1" applyFont="1" applyFill="1" applyBorder="1" applyAlignment="1">
      <alignment horizontal="left" vertical="center"/>
    </xf>
    <xf numFmtId="165" fontId="20" fillId="5" borderId="3" xfId="2" applyFont="1" applyFill="1" applyBorder="1" applyAlignment="1">
      <alignment horizontal="left" vertical="center"/>
    </xf>
    <xf numFmtId="165" fontId="21" fillId="0" borderId="0" xfId="2" applyFont="1" applyFill="1" applyAlignment="1">
      <alignment horizontal="left" vertical="center"/>
    </xf>
    <xf numFmtId="0" fontId="21" fillId="0" borderId="0" xfId="0" applyNumberFormat="1" applyFont="1" applyFill="1" applyAlignment="1">
      <alignment horizontal="left" vertical="center"/>
    </xf>
    <xf numFmtId="180" fontId="21" fillId="0" borderId="0" xfId="0" applyNumberFormat="1" applyFont="1" applyFill="1" applyAlignment="1">
      <alignment horizontal="left" vertical="center"/>
    </xf>
    <xf numFmtId="177" fontId="21" fillId="0" borderId="0" xfId="0" applyNumberFormat="1" applyFont="1" applyFill="1" applyAlignment="1">
      <alignment horizontal="left" vertical="center"/>
    </xf>
    <xf numFmtId="178" fontId="21" fillId="0" borderId="0" xfId="0" applyNumberFormat="1" applyFont="1" applyFill="1" applyAlignment="1">
      <alignment horizontal="left" vertical="center"/>
    </xf>
    <xf numFmtId="179" fontId="21" fillId="0" borderId="0" xfId="0" applyNumberFormat="1" applyFont="1" applyFill="1" applyAlignment="1">
      <alignment horizontal="left" vertical="center"/>
    </xf>
    <xf numFmtId="165" fontId="21" fillId="0" borderId="0" xfId="0" applyNumberFormat="1" applyFont="1" applyFill="1" applyAlignment="1">
      <alignment horizontal="left" vertical="center"/>
    </xf>
    <xf numFmtId="179" fontId="21" fillId="0" borderId="0" xfId="2" applyNumberFormat="1" applyFont="1" applyFill="1" applyAlignment="1">
      <alignment horizontal="left" vertical="center"/>
    </xf>
    <xf numFmtId="0" fontId="20" fillId="9" borderId="3" xfId="0" applyNumberFormat="1" applyFont="1" applyFill="1" applyBorder="1" applyAlignment="1">
      <alignment horizontal="left" vertical="center"/>
    </xf>
    <xf numFmtId="179" fontId="20" fillId="9" borderId="3" xfId="2" applyNumberFormat="1" applyFont="1" applyFill="1" applyBorder="1" applyAlignment="1">
      <alignment horizontal="left" vertical="center"/>
    </xf>
    <xf numFmtId="180" fontId="20" fillId="9" borderId="3" xfId="0" applyNumberFormat="1" applyFont="1" applyFill="1" applyBorder="1" applyAlignment="1">
      <alignment horizontal="left" vertical="center"/>
    </xf>
    <xf numFmtId="0" fontId="20" fillId="8" borderId="3" xfId="0" applyNumberFormat="1" applyFont="1" applyFill="1" applyBorder="1" applyAlignment="1">
      <alignment horizontal="left" vertical="center"/>
    </xf>
    <xf numFmtId="165" fontId="20" fillId="8" borderId="3" xfId="2" applyFont="1" applyFill="1" applyBorder="1" applyAlignment="1">
      <alignment horizontal="left" vertical="center"/>
    </xf>
    <xf numFmtId="179" fontId="20" fillId="10" borderId="3" xfId="0" applyNumberFormat="1" applyFont="1" applyFill="1" applyBorder="1" applyAlignment="1">
      <alignment horizontal="left" vertical="center"/>
    </xf>
    <xf numFmtId="179" fontId="20" fillId="10" borderId="3" xfId="2" applyNumberFormat="1" applyFont="1" applyFill="1" applyBorder="1" applyAlignment="1">
      <alignment horizontal="left" vertical="center"/>
    </xf>
    <xf numFmtId="10" fontId="20" fillId="10" borderId="3" xfId="9" applyNumberFormat="1" applyFont="1" applyFill="1" applyBorder="1" applyAlignment="1">
      <alignment horizontal="left" vertical="center"/>
    </xf>
    <xf numFmtId="165" fontId="20" fillId="10" borderId="3" xfId="2" applyFont="1" applyFill="1" applyBorder="1" applyAlignment="1">
      <alignment horizontal="left" vertical="center"/>
    </xf>
    <xf numFmtId="167" fontId="20" fillId="10" borderId="3" xfId="9" applyNumberFormat="1" applyFont="1" applyFill="1" applyBorder="1" applyAlignment="1">
      <alignment horizontal="left" vertical="center"/>
    </xf>
    <xf numFmtId="165" fontId="20" fillId="9" borderId="3" xfId="0" applyNumberFormat="1" applyFont="1" applyFill="1" applyBorder="1" applyAlignment="1">
      <alignment horizontal="left" vertical="center"/>
    </xf>
    <xf numFmtId="165" fontId="20" fillId="8" borderId="3" xfId="2" applyFont="1" applyFill="1" applyBorder="1" applyAlignment="1">
      <alignment vertical="center"/>
    </xf>
    <xf numFmtId="165" fontId="0" fillId="8" borderId="3" xfId="2" applyFont="1" applyFill="1" applyBorder="1" applyAlignment="1">
      <alignment horizontal="left" vertical="center"/>
    </xf>
    <xf numFmtId="180" fontId="23" fillId="0" borderId="3" xfId="0" applyNumberFormat="1" applyFont="1" applyFill="1" applyBorder="1" applyAlignment="1">
      <alignment horizontal="left" vertical="center"/>
    </xf>
    <xf numFmtId="0" fontId="22" fillId="0" borderId="3" xfId="0" applyNumberFormat="1" applyFont="1" applyFill="1" applyBorder="1" applyAlignment="1">
      <alignment horizontal="left" vertical="center"/>
    </xf>
    <xf numFmtId="177" fontId="22" fillId="0" borderId="3" xfId="0" applyNumberFormat="1" applyFont="1" applyFill="1" applyBorder="1" applyAlignment="1">
      <alignment horizontal="left" vertical="center"/>
    </xf>
    <xf numFmtId="178" fontId="22" fillId="0" borderId="3" xfId="0" applyNumberFormat="1" applyFont="1" applyFill="1" applyBorder="1" applyAlignment="1">
      <alignment horizontal="left" vertical="center"/>
    </xf>
    <xf numFmtId="165" fontId="18" fillId="0" borderId="0" xfId="2" applyFont="1" applyFill="1" applyBorder="1" applyAlignment="1">
      <alignment vertical="center"/>
    </xf>
    <xf numFmtId="49" fontId="21" fillId="0" borderId="0" xfId="0" applyNumberFormat="1" applyFont="1" applyFill="1" applyAlignment="1">
      <alignment horizontal="left" vertical="center"/>
    </xf>
    <xf numFmtId="49" fontId="17" fillId="0" borderId="3" xfId="0" applyNumberFormat="1" applyFont="1" applyFill="1" applyBorder="1" applyAlignment="1">
      <alignment horizontal="left" vertical="center"/>
    </xf>
    <xf numFmtId="49" fontId="17" fillId="0" borderId="3" xfId="2" applyNumberFormat="1" applyFont="1" applyFill="1" applyBorder="1" applyAlignment="1">
      <alignment horizontal="left" vertical="center"/>
    </xf>
    <xf numFmtId="0" fontId="17" fillId="0" borderId="3" xfId="0" applyNumberFormat="1" applyFont="1" applyFill="1" applyBorder="1" applyAlignment="1">
      <alignment horizontal="left" vertical="center"/>
    </xf>
    <xf numFmtId="0" fontId="23" fillId="0" borderId="3" xfId="0" applyNumberFormat="1" applyFont="1" applyFill="1" applyBorder="1" applyAlignment="1">
      <alignment horizontal="left" vertical="center"/>
    </xf>
    <xf numFmtId="0" fontId="20" fillId="8" borderId="3" xfId="0" applyNumberFormat="1" applyFont="1" applyFill="1" applyBorder="1" applyAlignment="1">
      <alignment horizontal="center" vertical="center"/>
    </xf>
    <xf numFmtId="165" fontId="20" fillId="8" borderId="3" xfId="2" applyFont="1" applyFill="1" applyBorder="1" applyAlignment="1">
      <alignment horizontal="center" vertical="center"/>
    </xf>
    <xf numFmtId="0" fontId="20" fillId="9" borderId="3" xfId="0" applyNumberFormat="1" applyFont="1" applyFill="1" applyBorder="1" applyAlignment="1">
      <alignment horizontal="center" vertical="center"/>
    </xf>
    <xf numFmtId="179" fontId="20" fillId="9" borderId="3" xfId="2" applyNumberFormat="1" applyFont="1" applyFill="1" applyBorder="1" applyAlignment="1">
      <alignment horizontal="center" vertical="center"/>
    </xf>
    <xf numFmtId="180" fontId="20" fillId="9" borderId="3" xfId="0" applyNumberFormat="1" applyFont="1" applyFill="1" applyBorder="1" applyAlignment="1">
      <alignment horizontal="center" vertical="center"/>
    </xf>
    <xf numFmtId="0" fontId="20" fillId="0" borderId="3" xfId="0" applyNumberFormat="1" applyFont="1" applyFill="1" applyBorder="1" applyAlignment="1">
      <alignment horizontal="left" vertical="center"/>
    </xf>
    <xf numFmtId="180" fontId="20" fillId="0" borderId="3" xfId="0" applyNumberFormat="1" applyFont="1" applyFill="1" applyBorder="1" applyAlignment="1">
      <alignment horizontal="left" vertical="center"/>
    </xf>
    <xf numFmtId="177" fontId="20" fillId="0" borderId="3" xfId="0" applyNumberFormat="1" applyFont="1" applyFill="1" applyBorder="1" applyAlignment="1">
      <alignment horizontal="left" vertical="center"/>
    </xf>
    <xf numFmtId="178" fontId="20" fillId="0" borderId="3" xfId="0" applyNumberFormat="1" applyFont="1" applyFill="1" applyBorder="1" applyAlignment="1">
      <alignment horizontal="left" vertical="center"/>
    </xf>
    <xf numFmtId="0" fontId="20" fillId="0" borderId="3" xfId="0" applyNumberFormat="1" applyFont="1" applyFill="1" applyBorder="1" applyAlignment="1">
      <alignment horizontal="right" vertical="center"/>
    </xf>
    <xf numFmtId="165" fontId="17" fillId="0" borderId="3" xfId="2" applyNumberFormat="1" applyFont="1" applyFill="1" applyBorder="1" applyAlignment="1">
      <alignment horizontal="left" vertical="center"/>
    </xf>
    <xf numFmtId="179" fontId="17" fillId="0" borderId="3" xfId="2" applyNumberFormat="1" applyFont="1" applyFill="1" applyBorder="1" applyAlignment="1">
      <alignment horizontal="left" vertical="center"/>
    </xf>
    <xf numFmtId="179" fontId="17" fillId="0" borderId="3" xfId="0" applyNumberFormat="1" applyFont="1" applyFill="1" applyBorder="1" applyAlignment="1">
      <alignment horizontal="left" vertical="center"/>
    </xf>
    <xf numFmtId="10" fontId="17" fillId="0" borderId="3" xfId="9" applyNumberFormat="1" applyFont="1" applyFill="1" applyBorder="1" applyAlignment="1">
      <alignment horizontal="left" vertical="center"/>
    </xf>
    <xf numFmtId="49" fontId="17" fillId="0" borderId="3" xfId="9" applyNumberFormat="1" applyFont="1" applyFill="1" applyBorder="1" applyAlignment="1">
      <alignment horizontal="left" vertical="center"/>
    </xf>
    <xf numFmtId="165" fontId="22" fillId="0" borderId="3" xfId="2" applyNumberFormat="1" applyFont="1" applyFill="1" applyBorder="1" applyAlignment="1">
      <alignment horizontal="left" vertical="center"/>
    </xf>
    <xf numFmtId="179" fontId="22" fillId="0" borderId="3" xfId="2" applyNumberFormat="1" applyFont="1" applyFill="1" applyBorder="1" applyAlignment="1">
      <alignment horizontal="left" vertical="center"/>
    </xf>
    <xf numFmtId="180" fontId="22" fillId="0" borderId="3" xfId="0" applyNumberFormat="1" applyFont="1" applyFill="1" applyBorder="1" applyAlignment="1">
      <alignment horizontal="left" vertical="center"/>
    </xf>
    <xf numFmtId="179" fontId="23" fillId="0" borderId="3" xfId="0" applyNumberFormat="1" applyFont="1" applyFill="1" applyBorder="1" applyAlignment="1">
      <alignment horizontal="left" vertical="center"/>
    </xf>
    <xf numFmtId="165" fontId="23" fillId="0" borderId="3" xfId="2" applyFont="1" applyFill="1" applyBorder="1" applyAlignment="1">
      <alignment horizontal="left" vertical="center"/>
    </xf>
    <xf numFmtId="10" fontId="20" fillId="7" borderId="3" xfId="9" applyNumberFormat="1" applyFont="1" applyFill="1" applyBorder="1" applyAlignment="1">
      <alignment horizontal="left" vertical="center"/>
    </xf>
    <xf numFmtId="181" fontId="17" fillId="0" borderId="3" xfId="2" applyNumberFormat="1" applyFont="1" applyFill="1" applyBorder="1" applyAlignment="1">
      <alignment horizontal="left" vertical="center"/>
    </xf>
    <xf numFmtId="181" fontId="17" fillId="0" borderId="3" xfId="0" applyNumberFormat="1" applyFont="1" applyFill="1" applyBorder="1" applyAlignment="1">
      <alignment horizontal="left" vertical="center"/>
    </xf>
    <xf numFmtId="169" fontId="18" fillId="2" borderId="3" xfId="2" applyNumberFormat="1" applyFont="1" applyFill="1" applyBorder="1" applyAlignment="1">
      <alignment horizontal="center" vertical="center" wrapText="1"/>
    </xf>
    <xf numFmtId="49" fontId="18" fillId="2" borderId="3" xfId="2" applyNumberFormat="1" applyFont="1" applyFill="1" applyBorder="1" applyAlignment="1">
      <alignment horizontal="center" vertical="center" wrapText="1"/>
    </xf>
    <xf numFmtId="14" fontId="18" fillId="2" borderId="3" xfId="2" applyNumberFormat="1" applyFont="1" applyFill="1" applyBorder="1" applyAlignment="1">
      <alignment horizontal="center" vertical="center" wrapText="1"/>
    </xf>
    <xf numFmtId="168" fontId="18" fillId="2" borderId="3" xfId="0" applyFont="1" applyFill="1" applyBorder="1" applyAlignment="1">
      <alignment horizontal="center" vertical="center" wrapText="1"/>
    </xf>
    <xf numFmtId="169" fontId="18" fillId="7" borderId="3" xfId="2" applyNumberFormat="1" applyFont="1" applyFill="1" applyBorder="1" applyAlignment="1">
      <alignment horizontal="center" vertical="center" wrapText="1"/>
    </xf>
    <xf numFmtId="165" fontId="18" fillId="6" borderId="3" xfId="2" applyFont="1" applyFill="1" applyBorder="1" applyAlignment="1">
      <alignment horizontal="center" vertical="center" wrapText="1"/>
    </xf>
    <xf numFmtId="165" fontId="18" fillId="3" borderId="3" xfId="2" applyFont="1" applyFill="1" applyBorder="1" applyAlignment="1">
      <alignment horizontal="center" vertical="center" wrapText="1"/>
    </xf>
    <xf numFmtId="10" fontId="18" fillId="3" borderId="3" xfId="9" applyNumberFormat="1" applyFont="1" applyFill="1" applyBorder="1" applyAlignment="1">
      <alignment horizontal="center" vertical="center" wrapText="1"/>
    </xf>
    <xf numFmtId="165" fontId="18" fillId="12" borderId="3" xfId="2" applyFont="1" applyFill="1" applyBorder="1" applyAlignment="1">
      <alignment vertical="center"/>
    </xf>
    <xf numFmtId="165" fontId="19" fillId="0" borderId="0" xfId="2" applyFont="1" applyFill="1" applyAlignment="1">
      <alignment horizontal="center" vertical="center"/>
    </xf>
    <xf numFmtId="165" fontId="18" fillId="7" borderId="3" xfId="2" applyFont="1" applyFill="1" applyBorder="1" applyAlignment="1">
      <alignment horizontal="center" vertical="center" wrapText="1"/>
    </xf>
    <xf numFmtId="165" fontId="18" fillId="7" borderId="3" xfId="2" applyFont="1" applyFill="1" applyBorder="1" applyAlignment="1">
      <alignment vertical="center" wrapText="1"/>
    </xf>
    <xf numFmtId="10" fontId="18" fillId="12" borderId="3" xfId="9" applyNumberFormat="1" applyFont="1" applyFill="1" applyBorder="1" applyAlignment="1">
      <alignment vertical="center"/>
    </xf>
    <xf numFmtId="10" fontId="18" fillId="13" borderId="3" xfId="9" applyNumberFormat="1" applyFont="1" applyFill="1" applyBorder="1" applyAlignment="1">
      <alignment vertical="center"/>
    </xf>
    <xf numFmtId="165" fontId="18" fillId="13" borderId="3" xfId="2" applyFont="1" applyFill="1" applyBorder="1" applyAlignment="1">
      <alignment vertical="center"/>
    </xf>
    <xf numFmtId="169" fontId="24" fillId="0" borderId="3" xfId="2" applyNumberFormat="1" applyFont="1" applyFill="1" applyBorder="1" applyAlignment="1">
      <alignment vertical="center"/>
    </xf>
    <xf numFmtId="165" fontId="24" fillId="0" borderId="3" xfId="2" applyFont="1" applyFill="1" applyBorder="1" applyAlignment="1">
      <alignment vertical="center"/>
    </xf>
    <xf numFmtId="49" fontId="24" fillId="0" borderId="3" xfId="2" applyNumberFormat="1" applyFont="1" applyFill="1" applyBorder="1" applyAlignment="1">
      <alignment vertical="center"/>
    </xf>
    <xf numFmtId="14" fontId="24" fillId="0" borderId="3" xfId="2" applyNumberFormat="1" applyFont="1" applyFill="1" applyBorder="1" applyAlignment="1">
      <alignment vertical="center"/>
    </xf>
    <xf numFmtId="10" fontId="24" fillId="0" borderId="3" xfId="9" applyNumberFormat="1" applyFont="1" applyFill="1" applyBorder="1" applyAlignment="1">
      <alignment vertical="center"/>
    </xf>
    <xf numFmtId="165" fontId="25" fillId="0" borderId="3" xfId="2" applyFont="1" applyFill="1" applyBorder="1" applyAlignment="1">
      <alignment vertical="center"/>
    </xf>
    <xf numFmtId="49" fontId="19" fillId="0" borderId="3" xfId="2" applyNumberFormat="1" applyFont="1" applyFill="1" applyBorder="1" applyAlignment="1">
      <alignment vertical="center"/>
    </xf>
    <xf numFmtId="181" fontId="19" fillId="0" borderId="3" xfId="2" applyNumberFormat="1" applyFont="1" applyFill="1" applyBorder="1" applyAlignment="1">
      <alignment horizontal="center" vertical="center"/>
    </xf>
    <xf numFmtId="169" fontId="19" fillId="0" borderId="3" xfId="2" applyNumberFormat="1" applyFont="1" applyFill="1" applyBorder="1" applyAlignment="1">
      <alignment vertical="center"/>
    </xf>
    <xf numFmtId="165" fontId="19" fillId="0" borderId="3" xfId="2" applyFont="1" applyFill="1" applyBorder="1" applyAlignment="1">
      <alignment vertical="center"/>
    </xf>
    <xf numFmtId="10" fontId="19" fillId="0" borderId="3" xfId="9" applyNumberFormat="1" applyFont="1" applyFill="1" applyBorder="1" applyAlignment="1">
      <alignment vertical="center"/>
    </xf>
    <xf numFmtId="165" fontId="20" fillId="7" borderId="3" xfId="2" applyFont="1" applyFill="1" applyBorder="1" applyAlignment="1">
      <alignment horizontal="left" vertical="center"/>
    </xf>
    <xf numFmtId="165" fontId="18" fillId="2" borderId="3" xfId="2" applyFont="1" applyFill="1" applyBorder="1" applyAlignment="1">
      <alignment horizontal="center" vertical="center" wrapText="1"/>
    </xf>
    <xf numFmtId="179" fontId="20" fillId="10" borderId="5" xfId="0" applyNumberFormat="1" applyFont="1" applyFill="1" applyBorder="1" applyAlignment="1">
      <alignment horizontal="center" vertical="center"/>
    </xf>
    <xf numFmtId="0" fontId="20" fillId="10" borderId="5" xfId="0" applyNumberFormat="1" applyFont="1" applyFill="1" applyBorder="1" applyAlignment="1">
      <alignment horizontal="center" vertical="center"/>
    </xf>
    <xf numFmtId="165" fontId="20" fillId="14" borderId="3" xfId="2" applyFont="1" applyFill="1" applyBorder="1" applyAlignment="1">
      <alignment horizontal="left" vertical="center"/>
    </xf>
    <xf numFmtId="0" fontId="18" fillId="14" borderId="3" xfId="0" applyNumberFormat="1" applyFont="1" applyFill="1" applyBorder="1" applyAlignment="1">
      <alignment horizontal="center" vertical="center" wrapText="1"/>
    </xf>
    <xf numFmtId="165" fontId="18" fillId="14" borderId="3" xfId="2" applyFont="1" applyFill="1" applyBorder="1" applyAlignment="1">
      <alignment horizontal="center" vertical="center" wrapText="1"/>
    </xf>
    <xf numFmtId="165" fontId="20" fillId="14" borderId="3" xfId="2" applyFont="1" applyFill="1" applyBorder="1" applyAlignment="1">
      <alignment horizontal="center" vertical="center"/>
    </xf>
    <xf numFmtId="4" fontId="19" fillId="0" borderId="3" xfId="2" applyNumberFormat="1" applyFont="1" applyFill="1" applyBorder="1" applyAlignment="1">
      <alignment vertical="center"/>
    </xf>
    <xf numFmtId="2" fontId="19" fillId="0" borderId="3" xfId="9" applyNumberFormat="1" applyFont="1" applyFill="1" applyBorder="1" applyAlignment="1">
      <alignment vertical="center"/>
    </xf>
    <xf numFmtId="165" fontId="18" fillId="7" borderId="4" xfId="2" applyFont="1" applyFill="1" applyBorder="1" applyAlignment="1">
      <alignment horizontal="center" vertical="center" wrapText="1"/>
    </xf>
    <xf numFmtId="165" fontId="20" fillId="14" borderId="4" xfId="2" applyFont="1" applyFill="1" applyBorder="1" applyAlignment="1">
      <alignment horizontal="center" vertical="center"/>
    </xf>
    <xf numFmtId="165" fontId="20" fillId="14" borderId="2" xfId="2" applyFont="1" applyFill="1" applyBorder="1" applyAlignment="1">
      <alignment horizontal="center" vertical="center"/>
    </xf>
    <xf numFmtId="165" fontId="20" fillId="14" borderId="7" xfId="2" applyFont="1" applyFill="1" applyBorder="1" applyAlignment="1">
      <alignment horizontal="center" vertical="center"/>
    </xf>
    <xf numFmtId="165" fontId="20" fillId="7" borderId="3" xfId="2" applyFont="1" applyFill="1" applyBorder="1" applyAlignment="1">
      <alignment horizontal="left" vertical="center"/>
    </xf>
    <xf numFmtId="0" fontId="20" fillId="10" borderId="3" xfId="0" applyNumberFormat="1" applyFont="1" applyFill="1" applyBorder="1" applyAlignment="1">
      <alignment horizontal="center" vertical="center"/>
    </xf>
    <xf numFmtId="0" fontId="20" fillId="9" borderId="3" xfId="0" applyNumberFormat="1" applyFont="1" applyFill="1" applyBorder="1" applyAlignment="1">
      <alignment horizontal="center" vertical="center"/>
    </xf>
    <xf numFmtId="179" fontId="20" fillId="9" borderId="3" xfId="0" applyNumberFormat="1" applyFont="1" applyFill="1" applyBorder="1" applyAlignment="1">
      <alignment horizontal="center" vertical="center"/>
    </xf>
    <xf numFmtId="180" fontId="20" fillId="9" borderId="3" xfId="0" applyNumberFormat="1" applyFont="1" applyFill="1" applyBorder="1" applyAlignment="1">
      <alignment horizontal="center" vertical="center"/>
    </xf>
    <xf numFmtId="0" fontId="20" fillId="8" borderId="3" xfId="0" applyNumberFormat="1" applyFont="1" applyFill="1" applyBorder="1" applyAlignment="1">
      <alignment horizontal="center" vertical="center"/>
    </xf>
    <xf numFmtId="179" fontId="20" fillId="8" borderId="3" xfId="0" applyNumberFormat="1" applyFont="1" applyFill="1" applyBorder="1" applyAlignment="1">
      <alignment horizontal="center" vertical="center"/>
    </xf>
    <xf numFmtId="165" fontId="20" fillId="0" borderId="4" xfId="2" applyFont="1" applyFill="1" applyBorder="1" applyAlignment="1">
      <alignment horizontal="right" vertical="center"/>
    </xf>
    <xf numFmtId="165" fontId="20" fillId="0" borderId="2" xfId="2" applyFont="1" applyFill="1" applyBorder="1" applyAlignment="1">
      <alignment horizontal="right" vertical="center"/>
    </xf>
    <xf numFmtId="165" fontId="20" fillId="5" borderId="4" xfId="2" applyFont="1" applyFill="1" applyBorder="1" applyAlignment="1">
      <alignment horizontal="center" vertical="center"/>
    </xf>
    <xf numFmtId="165" fontId="20" fillId="5" borderId="2" xfId="2" applyFont="1" applyFill="1" applyBorder="1" applyAlignment="1">
      <alignment horizontal="center" vertical="center"/>
    </xf>
    <xf numFmtId="165" fontId="20" fillId="7" borderId="3" xfId="2" applyFont="1" applyFill="1" applyBorder="1" applyAlignment="1">
      <alignment horizontal="left" vertical="center" wrapText="1"/>
    </xf>
    <xf numFmtId="165" fontId="20" fillId="7" borderId="5" xfId="2" applyFont="1" applyFill="1" applyBorder="1" applyAlignment="1">
      <alignment horizontal="left" vertical="center" wrapText="1"/>
    </xf>
    <xf numFmtId="0" fontId="20" fillId="2" borderId="3" xfId="0" applyNumberFormat="1" applyFont="1" applyFill="1" applyBorder="1" applyAlignment="1">
      <alignment horizontal="center" vertical="center"/>
    </xf>
    <xf numFmtId="180" fontId="20" fillId="2" borderId="3" xfId="0" applyNumberFormat="1" applyFont="1" applyFill="1" applyBorder="1" applyAlignment="1">
      <alignment horizontal="center" vertical="center"/>
    </xf>
    <xf numFmtId="178" fontId="20" fillId="2" borderId="3" xfId="0" applyNumberFormat="1" applyFont="1" applyFill="1" applyBorder="1" applyAlignment="1">
      <alignment horizontal="center" vertical="center"/>
    </xf>
    <xf numFmtId="177" fontId="20" fillId="2" borderId="3" xfId="0" applyNumberFormat="1" applyFont="1" applyFill="1" applyBorder="1" applyAlignment="1">
      <alignment horizontal="center" vertical="center"/>
    </xf>
    <xf numFmtId="0" fontId="20" fillId="7" borderId="5" xfId="0" applyNumberFormat="1" applyFont="1" applyFill="1" applyBorder="1" applyAlignment="1">
      <alignment horizontal="center" vertical="center"/>
    </xf>
    <xf numFmtId="0" fontId="20" fillId="7" borderId="6" xfId="0" applyNumberFormat="1" applyFont="1" applyFill="1" applyBorder="1" applyAlignment="1">
      <alignment horizontal="center" vertical="center"/>
    </xf>
    <xf numFmtId="165" fontId="18" fillId="11" borderId="3" xfId="2" applyFont="1" applyFill="1" applyBorder="1" applyAlignment="1">
      <alignment horizontal="center" vertical="center" wrapText="1"/>
    </xf>
    <xf numFmtId="165" fontId="18" fillId="2" borderId="3" xfId="2" applyFont="1" applyFill="1" applyBorder="1" applyAlignment="1">
      <alignment horizontal="center" vertical="center" wrapText="1"/>
    </xf>
    <xf numFmtId="0" fontId="18" fillId="3" borderId="3" xfId="0" applyNumberFormat="1" applyFont="1" applyFill="1" applyBorder="1" applyAlignment="1">
      <alignment horizontal="center" vertical="center" wrapText="1"/>
    </xf>
    <xf numFmtId="0" fontId="18" fillId="14" borderId="4" xfId="0" applyNumberFormat="1" applyFont="1" applyFill="1" applyBorder="1" applyAlignment="1">
      <alignment horizontal="center" vertical="center" wrapText="1"/>
    </xf>
    <xf numFmtId="0" fontId="18" fillId="14" borderId="2" xfId="0" applyNumberFormat="1" applyFont="1" applyFill="1" applyBorder="1" applyAlignment="1">
      <alignment horizontal="center" vertical="center" wrapText="1"/>
    </xf>
    <xf numFmtId="0" fontId="18" fillId="14" borderId="7" xfId="0" applyNumberFormat="1" applyFont="1" applyFill="1" applyBorder="1" applyAlignment="1">
      <alignment horizontal="center" vertical="center" wrapText="1"/>
    </xf>
  </cellXfs>
  <cellStyles count="32">
    <cellStyle name="_ET_STYLE_NoName_00_" xfId="1"/>
    <cellStyle name="Comma" xfId="2" builtinId="3"/>
    <cellStyle name="Currency 11" xfId="3"/>
    <cellStyle name="Header1" xfId="4"/>
    <cellStyle name="Header2" xfId="5"/>
    <cellStyle name="Komma 2" xfId="6"/>
    <cellStyle name="Komma 2 2" xfId="7"/>
    <cellStyle name="n" xfId="8"/>
    <cellStyle name="Normal" xfId="0" builtinId="0"/>
    <cellStyle name="Percent" xfId="9" builtinId="5"/>
    <cellStyle name="Standaard 2" xfId="10"/>
    <cellStyle name="Standaard 3" xfId="11"/>
    <cellStyle name=" [0.00]_ Att. 1- Cover" xfId="12"/>
    <cellStyle name="_ Att. 1- Cover" xfId="13"/>
    <cellStyle name="?_ Att. 1- Cover" xfId="14"/>
    <cellStyle name="똿뗦먛귟 [0.00]_PRODUCT DETAIL Q1" xfId="15"/>
    <cellStyle name="똿뗦먛귟_PRODUCT DETAIL Q1" xfId="16"/>
    <cellStyle name="믅됞 [0.00]_PRODUCT DETAIL Q1" xfId="17"/>
    <cellStyle name="믅됞_PRODUCT DETAIL Q1" xfId="18"/>
    <cellStyle name="백분율_95" xfId="19"/>
    <cellStyle name="뷭?_BOOKSHIP" xfId="20"/>
    <cellStyle name="콤마 [0]_1202" xfId="21"/>
    <cellStyle name="콤마_1202" xfId="22"/>
    <cellStyle name="통화 [0]_1202" xfId="23"/>
    <cellStyle name="통화_1202" xfId="24"/>
    <cellStyle name="표준_(정보부문)월별인원계획" xfId="25"/>
    <cellStyle name="一般_99Q3647-ALL-CAS2" xfId="26"/>
    <cellStyle name="千分位[0]_Book1" xfId="27"/>
    <cellStyle name="千分位_99Q3647-ALL-CAS2" xfId="28"/>
    <cellStyle name="貨幣 [0]_Book1" xfId="29"/>
    <cellStyle name="貨幣[0]_BRE" xfId="30"/>
    <cellStyle name="貨幣_Book1" xfId="31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1" formatCode="dd/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0_);_(* \(#,##0.0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1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</border>
    </dxf>
  </dxfs>
  <tableStyles count="0" defaultTableStyle="TableStyleMedium9" defaultPivotStyle="PivotStyleLight16"/>
  <colors>
    <mruColors>
      <color rgb="FF00FF00"/>
      <color rgb="FF00FFFF"/>
      <color rgb="FF24FC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hipmentAmountVN_View" minOccurs="0" maxOccurs="unbounded">
              <xs:complexType>
                <xs:sequence>
                  <xs:element name="PurchasingInvoice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BookingID" type="xs:int" minOccurs="0"/>
                  <xs:element name="RowIndex" type="xs:int" minOccurs="0"/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hipedDate" type="xs:date" minOccurs="0"/>
                  <xs:element name="ProformaInvoiceNo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ClientUDs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actoryInvoiceAmount" type="xs:decimal" minOccurs="0"/>
                  <xs:element name="Purchasing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urchasingInvoiceAmount" type="xs:decimal" minOccurs="0"/>
                  <xs:element name="InvoiceDate" type="xs:date" minOccurs="0"/>
                  <xs:element name="DeltaAmount" type="xs:decimal" minOccurs="0"/>
                  <xs:element name="DeltaAmountPercent" type="xs:decimal" minOccurs="0"/>
                  <xs:element name="IssuedBy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Countr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Company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taPercent" type="xs:decimal" minOccurs="0"/>
                  <xs:element name="DeltaPercent1" type="xs:decimal" minOccurs="0"/>
                  <xs:element name="DeltaPercent2" type="xs:decimal" minOccurs="0"/>
                </xs:sequence>
              </xs:complexType>
            </xs:element>
            <xs:element name="Report_ShipmentAmountVN_Detail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FactoryInvoiceNo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formaInvoiceNos" type="xs:string" minOccurs="0"/>
                  <xs:element name="InvoiceDate" type="xs:date" minOccurs="0"/>
                  <xs:element name="ClientUDs" type="xs:string" minOccurs="0"/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QntIn40HC" msdata:ReadOnly="true" type="xs:decimal" minOccurs="0"/>
                  <xs:element name="Country" msdata:ReadOnly="true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PurchasingPrice" type="xs:decimal" minOccurs="0"/>
                  <xs:element name="FactoryInvoiceAmount" msdata:ReadOnly="true" type="xs:decimal" minOccurs="0"/>
                  <xs:element name="UnitPrice" type="xs:decimal" minOccurs="0"/>
                  <xs:element name="PurchasingInvoiceAmount" msdata:ReadOnly="true" type="xs:decimal" minOccurs="0"/>
                  <xs:element name="DeltaAmount" msdata:ReadOnly="true" type="xs:decimal" minOccurs="0"/>
                  <xs:element name="DeltaAmountPercent" msdata:ReadOnly="true" type="xs:decimal" minOccurs="0"/>
                  <xs:element name="QuotationSalePrice" msdata:ReadOnly="true" type="xs:decimal" minOccurs="0"/>
                  <xs:element name="DeltaPercent" type="xs:decimal" minOccurs="0"/>
                  <xs:element name="DeltaPercent1" type="xs:decimal" minOccurs="0"/>
                  <xs:element name="DeltaPercent2" type="xs:decimal" minOccurs="0"/>
                </xs:sequence>
              </xs:complexType>
            </xs:element>
          </xs:sequence>
        </xs:complexType>
      </xs:element>
    </xs:schema>
  </Schema>
  <Map ID="4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6:T7" tableType="xml" insertRow="1" totalsRowShown="0" tableBorderDxfId="49">
  <autoFilter ref="A6:T7"/>
  <tableColumns count="20">
    <tableColumn id="1" uniqueName="ns1:RowIndex" name="ns1:RowIndex" dataDxfId="48">
      <xmlColumnPr mapId="4" xpath="/ns1:ReportDataObject/ns1:Report_ShipmentAmountVN_View/ns1:RowIndex" xmlDataType="int"/>
    </tableColumn>
    <tableColumn id="2" uniqueName="ns1:BLNo" name="ns1:BLDate" dataDxfId="47">
      <xmlColumnPr mapId="4" xpath="/ns1:ReportDataObject/ns1:Report_ShipmentAmountVN_View/ns1:BLNo" xmlDataType="string"/>
    </tableColumn>
    <tableColumn id="3" uniqueName="ns1:ShipedDate" name="ns1:BLNo" dataDxfId="46" dataCellStyle="Comma">
      <xmlColumnPr mapId="4" xpath="/ns1:ReportDataObject/ns1:Report_ShipmentAmountVN_View/ns1:ShipedDate" xmlDataType="date"/>
    </tableColumn>
    <tableColumn id="4" uniqueName="ns1:ProformaInvoiceNos" name="ns1:ProformaInvoiceNo" dataDxfId="45">
      <xmlColumnPr mapId="4" xpath="/ns1:ReportDataObject/ns1:Report_ShipmentAmountVN_View/ns1:ProformaInvoiceNos" xmlDataType="string"/>
    </tableColumn>
    <tableColumn id="5" uniqueName="ns1:ClientUDs" name="ns1:BuyerUD" dataDxfId="44" dataCellStyle="Comma">
      <xmlColumnPr mapId="4" xpath="/ns1:ReportDataObject/ns1:Report_ShipmentAmountVN_View/ns1:ClientUDs" xmlDataType="string"/>
    </tableColumn>
    <tableColumn id="6" uniqueName="ns1:FactoryUD" name="ns1:SupplierUD" dataDxfId="43" dataCellStyle="Comma">
      <xmlColumnPr mapId="4" xpath="/ns1:ReportDataObject/ns1:Report_ShipmentAmountVN_View/ns1:FactoryUD" xmlDataType="string"/>
    </tableColumn>
    <tableColumn id="7" uniqueName="ns1:FactoryInvoiceNo" name="ns1:FactoryInvoiceUD" dataDxfId="42" dataCellStyle="Comma">
      <xmlColumnPr mapId="4" xpath="/ns1:ReportDataObject/ns1:Report_ShipmentAmountVN_View/ns1:FactoryInvoiceNo" xmlDataType="string"/>
    </tableColumn>
    <tableColumn id="8" uniqueName="ns1:FactoryInvoiceAmount" name="ns1:FactoryInvoiceAmount" dataDxfId="41" dataCellStyle="Comma">
      <xmlColumnPr mapId="4" xpath="/ns1:ReportDataObject/ns1:Report_ShipmentAmountVN_View/ns1:FactoryInvoiceAmount" xmlDataType="decimal"/>
    </tableColumn>
    <tableColumn id="10" uniqueName="ns1:PurchasingInvoiceNo" name="ns1:InvoiceNo" dataDxfId="40" dataCellStyle="Comma">
      <xmlColumnPr mapId="4" xpath="/ns1:ReportDataObject/ns1:Report_ShipmentAmountVN_View/ns1:PurchasingInvoiceNo" xmlDataType="string"/>
    </tableColumn>
    <tableColumn id="11" uniqueName="ns1:PurchasingInvoiceAmount" name="ns1:CommercialInvoiceAmount" dataDxfId="39" dataCellStyle="Comma">
      <xmlColumnPr mapId="4" xpath="/ns1:ReportDataObject/ns1:Report_ShipmentAmountVN_View/ns1:PurchasingInvoiceAmount" xmlDataType="decimal"/>
    </tableColumn>
    <tableColumn id="12" uniqueName="ns1:InvoiceDate" name="ns1:CommercialInvoiceDate" dataDxfId="38">
      <xmlColumnPr mapId="4" xpath="/ns1:ReportDataObject/ns1:Report_ShipmentAmountVN_View/ns1:InvoiceDate" xmlDataType="date"/>
    </tableColumn>
    <tableColumn id="13" uniqueName="ns1:DeltaAmount" name="ns1:DeltaAmount" dataDxfId="37">
      <xmlColumnPr mapId="4" xpath="/ns1:ReportDataObject/ns1:Report_ShipmentAmountVN_View/ns1:DeltaAmount" xmlDataType="decimal"/>
    </tableColumn>
    <tableColumn id="14" uniqueName="ns1:DeltaAmountPercent" name="ns1:DeltaAmountPercent" dataDxfId="36" dataCellStyle="Percent">
      <xmlColumnPr mapId="4" xpath="/ns1:ReportDataObject/ns1:Report_ShipmentAmountVN_View/ns1:DeltaAmountPercent" xmlDataType="decimal"/>
    </tableColumn>
    <tableColumn id="18" uniqueName="ns1:IssuedBy" name="Column1" dataDxfId="35" dataCellStyle="Percent">
      <xmlColumnPr mapId="4" xpath="/ns1:ReportDataObject/ns1:Report_ShipmentAmountVN_View/ns1:IssuedBy" xmlDataType="string"/>
    </tableColumn>
    <tableColumn id="15" uniqueName="ns1:Country" name="ns1:Country" dataDxfId="34" dataCellStyle="Comma">
      <xmlColumnPr mapId="4" xpath="/ns1:ReportDataObject/ns1:Report_ShipmentAmountVN_View/ns1:Country" xmlDataType="string"/>
    </tableColumn>
    <tableColumn id="16" uniqueName="ns1:Company" name="ns1:Company" dataDxfId="33" dataCellStyle="Comma">
      <xmlColumnPr mapId="4" xpath="/ns1:ReportDataObject/ns1:Report_ShipmentAmountVN_View/ns1:Company" xmlDataType="string"/>
    </tableColumn>
    <tableColumn id="20" uniqueName="ns1:DeltaPercent" name="Column4" dataDxfId="32" dataCellStyle="Comma">
      <xmlColumnPr mapId="4" xpath="/ns1:ReportDataObject/ns1:Report_ShipmentAmountVN_View/ns1:DeltaPercent" xmlDataType="decimal"/>
    </tableColumn>
    <tableColumn id="19" uniqueName="ns1:DeltaPercent1" name="(" dataDxfId="31" dataCellStyle="Comma">
      <xmlColumnPr mapId="4" xpath="/ns1:ReportDataObject/ns1:Report_ShipmentAmountVN_View/ns1:DeltaPercent1" xmlDataType="decimal"/>
    </tableColumn>
    <tableColumn id="9" uniqueName="ns1:DeltaPercent2" name="Column2" dataDxfId="30" dataCellStyle="Comma">
      <xmlColumnPr mapId="4" xpath="/ns1:ReportDataObject/ns1:Report_ShipmentAmountVN_View/ns1:DeltaPercent2" xmlDataType="decimal"/>
    </tableColumn>
    <tableColumn id="17" uniqueName="ns1:Season" name="ns1:Season" dataDxfId="2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5:X6" tableType="xml" insertRowShift="1" totalsRowShown="0" headerRowDxfId="28" dataDxfId="26" headerRowBorderDxfId="27" tableBorderDxfId="25" totalsRowBorderDxfId="24" headerRowCellStyle="Comma" dataCellStyle="Comma">
  <autoFilter ref="A5:X6"/>
  <tableColumns count="24">
    <tableColumn id="1" uniqueName="ns1:BLNo" name="ns1:SupplierUD" dataDxfId="23" dataCellStyle="Comma">
      <xmlColumnPr mapId="4" xpath="/ns1:ReportDataObject/ns1:Report_ShipmentAmountVN_Detail_View/ns1:BLNo" xmlDataType="string"/>
    </tableColumn>
    <tableColumn id="21" uniqueName="ns1:SupplierUD" name="Column1" dataDxfId="22" dataCellStyle="Comma">
      <xmlColumnPr mapId="4" xpath="/ns1:ReportDataObject/ns1:Report_ShipmentAmountVN_Detail_View/ns1:SupplierUD" xmlDataType="string"/>
    </tableColumn>
    <tableColumn id="2" uniqueName="ns1:FactoryUD" name="ns1:FactoryUD" dataDxfId="21" dataCellStyle="Comma">
      <xmlColumnPr mapId="4" xpath="/ns1:ReportDataObject/ns1:Report_ShipmentAmountVN_Detail_View/ns1:FactoryUD" xmlDataType="string"/>
    </tableColumn>
    <tableColumn id="3" uniqueName="ns1:FactoryInvoiceNo" name="ns1:FactoryInvoiceUD" dataDxfId="20" dataCellStyle="Comma">
      <xmlColumnPr mapId="4" xpath="/ns1:ReportDataObject/ns1:Report_ShipmentAmountVN_Detail_View/ns1:FactoryInvoiceNo" xmlDataType="string"/>
    </tableColumn>
    <tableColumn id="4" uniqueName="ns1:InvoiceNo" name="ns1:InvoiceNo" dataDxfId="19" dataCellStyle="Comma">
      <xmlColumnPr mapId="4" xpath="/ns1:ReportDataObject/ns1:Report_ShipmentAmountVN_Detail_View/ns1:InvoiceNo" xmlDataType="string"/>
    </tableColumn>
    <tableColumn id="5" uniqueName="ns1:ProformaInvoiceNos" name="ns1:ProformaInvoiceNo" dataDxfId="18" dataCellStyle="Comma">
      <xmlColumnPr mapId="4" xpath="/ns1:ReportDataObject/ns1:Report_ShipmentAmountVN_Detail_View/ns1:ProformaInvoiceNos" xmlDataType="string"/>
    </tableColumn>
    <tableColumn id="6" uniqueName="ns1:InvoiceDate" name="ns1:OrderDate" dataDxfId="17" dataCellStyle="Comma">
      <xmlColumnPr mapId="4" xpath="/ns1:ReportDataObject/ns1:Report_ShipmentAmountVN_Detail_View/ns1:InvoiceDate" xmlDataType="date"/>
    </tableColumn>
    <tableColumn id="7" uniqueName="ns1:ClientUDs" name="ns1:BuyerUD" dataDxfId="16" dataCellStyle="Comma">
      <xmlColumnPr mapId="4" xpath="/ns1:ReportDataObject/ns1:Report_ShipmentAmountVN_Detail_View/ns1:ClientUDs" xmlDataType="string"/>
    </tableColumn>
    <tableColumn id="8" uniqueName="ns1:ArticleCode" name="ns1:ArticleCode" dataDxfId="15" dataCellStyle="Comma">
      <xmlColumnPr mapId="4" xpath="/ns1:ReportDataObject/ns1:Report_ShipmentAmountVN_Detail_View/ns1:ArticleCode" xmlDataType="string"/>
    </tableColumn>
    <tableColumn id="9" uniqueName="ns1:Description" name="ns1:Description" dataDxfId="14" dataCellStyle="Comma">
      <xmlColumnPr mapId="4" xpath="/ns1:ReportDataObject/ns1:Report_ShipmentAmountVN_Detail_View/ns1:Description" xmlDataType="string"/>
    </tableColumn>
    <tableColumn id="10" uniqueName="ns1:Quantity" name="ns1:DeliveryQnt" dataDxfId="13" dataCellStyle="Comma">
      <xmlColumnPr mapId="4" xpath="/ns1:ReportDataObject/ns1:Report_ShipmentAmountVN_Detail_View/ns1:Quantity" xmlDataType="int"/>
    </tableColumn>
    <tableColumn id="11" uniqueName="ns1:QntIn40HC" name="ns1:DeliveryInCont" dataDxfId="12" dataCellStyle="Comma">
      <xmlColumnPr mapId="4" xpath="/ns1:ReportDataObject/ns1:Report_ShipmentAmountVN_Detail_View/ns1:QntIn40HC" xmlDataType="decimal"/>
    </tableColumn>
    <tableColumn id="12" uniqueName="ns1:Country" name="ns1:Country" dataDxfId="11" dataCellStyle="Comma">
      <xmlColumnPr mapId="4" xpath="/ns1:ReportDataObject/ns1:Report_ShipmentAmountVN_Detail_View/ns1:Country" xmlDataType="string"/>
    </tableColumn>
    <tableColumn id="13" uniqueName="ns1:PurchasingPrice" name="ns1:FactoryInvoicePrice" dataDxfId="10" dataCellStyle="Comma">
      <xmlColumnPr mapId="4" xpath="/ns1:ReportDataObject/ns1:Report_ShipmentAmountVN_Detail_View/ns1:PurchasingPrice" xmlDataType="decimal"/>
    </tableColumn>
    <tableColumn id="14" uniqueName="ns1:FactoryInvoiceAmount" name="ns1:FactoryInvoiceAmount" dataDxfId="9" dataCellStyle="Comma">
      <xmlColumnPr mapId="4" xpath="/ns1:ReportDataObject/ns1:Report_ShipmentAmountVN_Detail_View/ns1:FactoryInvoiceAmount" xmlDataType="decimal"/>
    </tableColumn>
    <tableColumn id="15" uniqueName="ns1:UnitPrice" name="ns1:CommercialInvoicePrice" dataDxfId="8" dataCellStyle="Comma">
      <xmlColumnPr mapId="4" xpath="/ns1:ReportDataObject/ns1:Report_ShipmentAmountVN_Detail_View/ns1:UnitPrice" xmlDataType="decimal"/>
    </tableColumn>
    <tableColumn id="16" uniqueName="ns1:PurchasingInvoiceAmount" name="ns1:CommercialInvoiceAmount" dataDxfId="7" dataCellStyle="Comma">
      <xmlColumnPr mapId="4" xpath="/ns1:ReportDataObject/ns1:Report_ShipmentAmountVN_Detail_View/ns1:PurchasingInvoiceAmount" xmlDataType="decimal"/>
    </tableColumn>
    <tableColumn id="17" uniqueName="ns1:DeltaAmount" name="ns1:DeltaAmount" dataDxfId="6" dataCellStyle="Comma">
      <xmlColumnPr mapId="4" xpath="/ns1:ReportDataObject/ns1:Report_ShipmentAmountVN_Detail_View/ns1:DeltaAmount" xmlDataType="decimal"/>
    </tableColumn>
    <tableColumn id="18" uniqueName="ns1:DeltaAmountPercent" name="ns1:DeltaAmountPercent" dataDxfId="5" dataCellStyle="Percent">
      <xmlColumnPr mapId="4" xpath="/ns1:ReportDataObject/ns1:Report_ShipmentAmountVN_Detail_View/ns1:DeltaAmountPercent" xmlDataType="decimal"/>
    </tableColumn>
    <tableColumn id="23" uniqueName="ns1:QuotationSalePrice" name="Column4" dataDxfId="4" dataCellStyle="Percent">
      <xmlColumnPr mapId="4" xpath="/ns1:ReportDataObject/ns1:Report_ShipmentAmountVN_Detail_View/ns1:QuotationSalePrice" xmlDataType="decimal"/>
    </tableColumn>
    <tableColumn id="24" uniqueName="24" name="Column5" dataDxfId="3" dataCellStyle="Percent">
      <calculatedColumnFormula>Table7[Column4]-Table7[ns1:FactoryInvoicePrice]</calculatedColumnFormula>
    </tableColumn>
    <tableColumn id="22" uniqueName="ns1:DeltaPercent" name="Column3" dataDxfId="2" dataCellStyle="Comma">
      <xmlColumnPr mapId="4" xpath="/ns1:ReportDataObject/ns1:Report_ShipmentAmountVN_Detail_View/ns1:DeltaPercent" xmlDataType="decimal"/>
    </tableColumn>
    <tableColumn id="20" uniqueName="ns1:DeltaPercent1" name="Column2" dataDxfId="1" dataCellStyle="Comma">
      <xmlColumnPr mapId="4" xpath="/ns1:ReportDataObject/ns1:Report_ShipmentAmountVN_Detail_View/ns1:DeltaPercent1" xmlDataType="decimal"/>
    </tableColumn>
    <tableColumn id="19" uniqueName="ns1:DeltaPercent2" name="ns1:QuotationSalePrice" dataDxfId="0" dataCellStyle="Comma">
      <xmlColumnPr mapId="4" xpath="/ns1:ReportDataObject/ns1:Report_ShipmentAmountVN_Detail_View/ns1:DeltaPercent2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22"/>
  <sheetViews>
    <sheetView tabSelected="1" zoomScale="85" zoomScaleNormal="85" workbookViewId="0">
      <pane ySplit="6" topLeftCell="A7" activePane="bottomLeft" state="frozen"/>
      <selection pane="bottomLeft" sqref="A1:A2"/>
    </sheetView>
  </sheetViews>
  <sheetFormatPr defaultRowHeight="15"/>
  <cols>
    <col min="1" max="1" width="6.42578125" style="25" customWidth="1"/>
    <col min="2" max="2" width="21.140625" style="26" customWidth="1"/>
    <col min="3" max="3" width="10.7109375" style="25" customWidth="1"/>
    <col min="4" max="4" width="20" style="27" customWidth="1"/>
    <col min="5" max="5" width="15.5703125" style="28" customWidth="1"/>
    <col min="6" max="6" width="14.28515625" style="25" customWidth="1"/>
    <col min="7" max="7" width="23.140625" style="25" customWidth="1"/>
    <col min="8" max="8" width="18" style="24" customWidth="1"/>
    <col min="9" max="9" width="17.28515625" style="25" customWidth="1"/>
    <col min="10" max="10" width="15.7109375" style="31" customWidth="1"/>
    <col min="11" max="11" width="13.42578125" style="26" customWidth="1"/>
    <col min="12" max="12" width="19.140625" style="29" customWidth="1"/>
    <col min="13" max="13" width="10.85546875" style="25" customWidth="1"/>
    <col min="14" max="14" width="13.7109375" style="25" customWidth="1"/>
    <col min="15" max="15" width="8.140625" style="24" customWidth="1"/>
    <col min="16" max="19" width="16.140625" style="24" customWidth="1"/>
    <col min="20" max="20" width="14.28515625" style="25" bestFit="1" customWidth="1"/>
    <col min="21" max="16384" width="9.140625" style="25"/>
  </cols>
  <sheetData>
    <row r="1" spans="1:20" s="20" customFormat="1">
      <c r="A1" s="131" t="s">
        <v>47</v>
      </c>
      <c r="B1" s="132" t="s">
        <v>56</v>
      </c>
      <c r="C1" s="131" t="s">
        <v>45</v>
      </c>
      <c r="D1" s="134" t="s">
        <v>15</v>
      </c>
      <c r="E1" s="133" t="s">
        <v>44</v>
      </c>
      <c r="F1" s="131" t="s">
        <v>14</v>
      </c>
      <c r="G1" s="123" t="s">
        <v>7</v>
      </c>
      <c r="H1" s="124"/>
      <c r="I1" s="120" t="s">
        <v>70</v>
      </c>
      <c r="J1" s="121"/>
      <c r="K1" s="122"/>
      <c r="L1" s="119" t="s">
        <v>1</v>
      </c>
      <c r="M1" s="119"/>
      <c r="N1" s="135" t="s">
        <v>43</v>
      </c>
      <c r="O1" s="129" t="s">
        <v>13</v>
      </c>
      <c r="P1" s="118" t="s">
        <v>2</v>
      </c>
      <c r="Q1" s="115" t="s">
        <v>60</v>
      </c>
      <c r="R1" s="116"/>
      <c r="S1" s="117"/>
    </row>
    <row r="2" spans="1:20" s="20" customFormat="1">
      <c r="A2" s="131"/>
      <c r="B2" s="132"/>
      <c r="C2" s="131"/>
      <c r="D2" s="134"/>
      <c r="E2" s="133"/>
      <c r="F2" s="131"/>
      <c r="G2" s="55" t="s">
        <v>3</v>
      </c>
      <c r="H2" s="56" t="s">
        <v>5</v>
      </c>
      <c r="I2" s="57" t="s">
        <v>3</v>
      </c>
      <c r="J2" s="58" t="s">
        <v>5</v>
      </c>
      <c r="K2" s="59" t="s">
        <v>4</v>
      </c>
      <c r="L2" s="106" t="s">
        <v>5</v>
      </c>
      <c r="M2" s="107" t="s">
        <v>6</v>
      </c>
      <c r="N2" s="136"/>
      <c r="O2" s="130"/>
      <c r="P2" s="118"/>
      <c r="Q2" s="111" t="s">
        <v>1</v>
      </c>
      <c r="R2" s="111" t="s">
        <v>66</v>
      </c>
      <c r="S2" s="111" t="s">
        <v>67</v>
      </c>
    </row>
    <row r="3" spans="1:20" s="20" customFormat="1">
      <c r="A3" s="60"/>
      <c r="B3" s="61"/>
      <c r="C3" s="60"/>
      <c r="D3" s="62"/>
      <c r="E3" s="63"/>
      <c r="F3" s="64" t="s">
        <v>12</v>
      </c>
      <c r="G3" s="35"/>
      <c r="H3" s="36">
        <f>SUM(H7:H7)</f>
        <v>0</v>
      </c>
      <c r="I3" s="32"/>
      <c r="J3" s="33">
        <f>SUM(J7:J7)</f>
        <v>0</v>
      </c>
      <c r="K3" s="34"/>
      <c r="L3" s="38">
        <f>J3-H3</f>
        <v>0</v>
      </c>
      <c r="M3" s="39" t="e">
        <f>+L3/H3</f>
        <v>#DIV/0!</v>
      </c>
      <c r="N3" s="75"/>
      <c r="O3" s="104"/>
      <c r="P3" s="104"/>
      <c r="Q3" s="108">
        <f>SUM(Table1[Column4])</f>
        <v>0</v>
      </c>
      <c r="R3" s="108">
        <f>SUM(Table1[(])</f>
        <v>0</v>
      </c>
      <c r="S3" s="108">
        <f>SUM(Table1[Column2])</f>
        <v>0</v>
      </c>
    </row>
    <row r="4" spans="1:20" s="20" customFormat="1">
      <c r="A4" s="60"/>
      <c r="B4" s="61"/>
      <c r="C4" s="60"/>
      <c r="D4" s="125" t="s">
        <v>39</v>
      </c>
      <c r="E4" s="126"/>
      <c r="F4" s="126"/>
      <c r="G4" s="43"/>
      <c r="H4" s="44">
        <f>SUBTOTAL(9,H7:H7)</f>
        <v>0</v>
      </c>
      <c r="I4" s="42"/>
      <c r="J4" s="33">
        <f>SUBTOTAL(9,J7:J7)</f>
        <v>0</v>
      </c>
      <c r="K4" s="34"/>
      <c r="L4" s="37">
        <f>J4-H4</f>
        <v>0</v>
      </c>
      <c r="M4" s="39" t="e">
        <f>+L4/H4</f>
        <v>#DIV/0!</v>
      </c>
      <c r="N4" s="75"/>
      <c r="O4" s="104"/>
      <c r="P4" s="104"/>
      <c r="Q4" s="108">
        <f>SUBTOTAL(9,Table1[Column4])</f>
        <v>0</v>
      </c>
      <c r="R4" s="108">
        <f>SUBTOTAL(9,Table1[(])</f>
        <v>0</v>
      </c>
      <c r="S4" s="108">
        <f>SUBTOTAL(9,Table1[Column2])</f>
        <v>0</v>
      </c>
    </row>
    <row r="5" spans="1:20" s="20" customFormat="1" hidden="1">
      <c r="A5" s="21"/>
      <c r="B5" s="22"/>
      <c r="C5" s="21"/>
      <c r="D5" s="127"/>
      <c r="E5" s="128"/>
      <c r="F5" s="128"/>
      <c r="G5" s="43"/>
      <c r="H5" s="36"/>
      <c r="I5" s="32"/>
      <c r="J5" s="33"/>
      <c r="K5" s="34"/>
      <c r="L5" s="38"/>
      <c r="M5" s="41"/>
      <c r="N5" s="41"/>
      <c r="O5" s="40"/>
      <c r="P5" s="23"/>
      <c r="Q5" s="23"/>
      <c r="R5" s="23"/>
      <c r="S5" s="23"/>
    </row>
    <row r="6" spans="1:20">
      <c r="A6" s="54" t="s">
        <v>25</v>
      </c>
      <c r="B6" s="45" t="s">
        <v>26</v>
      </c>
      <c r="C6" s="46" t="s">
        <v>16</v>
      </c>
      <c r="D6" s="47" t="s">
        <v>17</v>
      </c>
      <c r="E6" s="48" t="s">
        <v>18</v>
      </c>
      <c r="F6" s="46" t="s">
        <v>31</v>
      </c>
      <c r="G6" s="46" t="s">
        <v>20</v>
      </c>
      <c r="H6" s="70" t="s">
        <v>21</v>
      </c>
      <c r="I6" s="46" t="s">
        <v>22</v>
      </c>
      <c r="J6" s="71" t="s">
        <v>23</v>
      </c>
      <c r="K6" s="72" t="s">
        <v>24</v>
      </c>
      <c r="L6" s="73" t="s">
        <v>27</v>
      </c>
      <c r="M6" s="54" t="s">
        <v>28</v>
      </c>
      <c r="N6" s="54" t="s">
        <v>42</v>
      </c>
      <c r="O6" s="74" t="s">
        <v>29</v>
      </c>
      <c r="P6" s="74" t="s">
        <v>30</v>
      </c>
      <c r="Q6" s="74" t="s">
        <v>59</v>
      </c>
      <c r="R6" s="74" t="s">
        <v>63</v>
      </c>
      <c r="S6" s="74" t="s">
        <v>57</v>
      </c>
      <c r="T6" s="25" t="s">
        <v>41</v>
      </c>
    </row>
    <row r="7" spans="1:20">
      <c r="A7" s="53"/>
      <c r="B7" s="51"/>
      <c r="C7" s="76"/>
      <c r="D7" s="51"/>
      <c r="E7" s="52"/>
      <c r="F7" s="52"/>
      <c r="G7" s="52"/>
      <c r="H7" s="65"/>
      <c r="I7" s="52"/>
      <c r="J7" s="66"/>
      <c r="K7" s="77"/>
      <c r="L7" s="67"/>
      <c r="M7" s="68"/>
      <c r="N7" s="69"/>
      <c r="O7" s="52"/>
      <c r="P7" s="52"/>
      <c r="Q7" s="67"/>
      <c r="R7" s="67"/>
      <c r="S7" s="67"/>
      <c r="T7" s="50"/>
    </row>
    <row r="8" spans="1:20">
      <c r="O8" s="25"/>
    </row>
    <row r="9" spans="1:20">
      <c r="I9" s="30"/>
      <c r="O9" s="25"/>
    </row>
    <row r="10" spans="1:20">
      <c r="E10" s="31"/>
      <c r="F10" s="26"/>
      <c r="G10" s="29"/>
      <c r="H10" s="25"/>
      <c r="I10" s="24"/>
      <c r="J10" s="24"/>
      <c r="K10" s="25"/>
      <c r="L10" s="25"/>
      <c r="O10" s="25"/>
      <c r="P10" s="25"/>
      <c r="Q10" s="25"/>
      <c r="R10" s="25"/>
      <c r="S10" s="25"/>
    </row>
    <row r="11" spans="1:20">
      <c r="E11" s="31"/>
      <c r="F11" s="26"/>
      <c r="G11" s="29"/>
      <c r="H11" s="25"/>
      <c r="I11" s="24"/>
      <c r="J11" s="24"/>
      <c r="K11" s="25"/>
      <c r="L11" s="25"/>
      <c r="O11" s="25"/>
      <c r="P11" s="25"/>
      <c r="Q11" s="25"/>
      <c r="R11" s="25"/>
      <c r="S11" s="25"/>
    </row>
    <row r="12" spans="1:20">
      <c r="E12" s="31"/>
      <c r="F12" s="26"/>
      <c r="G12" s="29"/>
      <c r="H12" s="25"/>
      <c r="I12" s="24"/>
      <c r="J12" s="24"/>
      <c r="K12" s="25"/>
      <c r="L12" s="25"/>
      <c r="O12" s="25"/>
      <c r="P12" s="25"/>
      <c r="Q12" s="25"/>
      <c r="R12" s="25"/>
      <c r="S12" s="25"/>
    </row>
    <row r="13" spans="1:20">
      <c r="E13" s="31"/>
      <c r="F13" s="26"/>
      <c r="G13" s="29"/>
      <c r="H13" s="25"/>
      <c r="I13" s="24"/>
      <c r="J13" s="24"/>
      <c r="K13" s="25"/>
      <c r="L13" s="25"/>
      <c r="O13" s="25"/>
      <c r="P13" s="25"/>
      <c r="Q13" s="25"/>
      <c r="R13" s="25"/>
      <c r="S13" s="25"/>
    </row>
    <row r="14" spans="1:20">
      <c r="E14" s="31"/>
      <c r="F14" s="26"/>
      <c r="G14" s="29"/>
      <c r="H14" s="25"/>
      <c r="I14" s="24"/>
      <c r="J14" s="24"/>
      <c r="K14" s="25"/>
      <c r="L14" s="25"/>
      <c r="O14" s="25"/>
      <c r="P14" s="25"/>
      <c r="Q14" s="25"/>
      <c r="R14" s="25"/>
      <c r="S14" s="25"/>
    </row>
    <row r="15" spans="1:20">
      <c r="E15" s="31"/>
      <c r="F15" s="26"/>
      <c r="G15" s="29"/>
      <c r="H15" s="25"/>
      <c r="I15" s="24"/>
      <c r="J15" s="24"/>
      <c r="K15" s="25"/>
      <c r="L15" s="25"/>
      <c r="O15" s="25"/>
      <c r="P15" s="25"/>
      <c r="Q15" s="25"/>
      <c r="R15" s="25"/>
      <c r="S15" s="25"/>
    </row>
    <row r="16" spans="1:20">
      <c r="E16" s="31"/>
      <c r="F16" s="26"/>
      <c r="G16" s="29"/>
      <c r="H16" s="25"/>
      <c r="I16" s="24"/>
      <c r="J16" s="24"/>
      <c r="K16" s="25"/>
      <c r="L16" s="25"/>
      <c r="O16" s="25"/>
      <c r="P16" s="25"/>
      <c r="Q16" s="25"/>
      <c r="R16" s="25"/>
      <c r="S16" s="25"/>
    </row>
    <row r="17" spans="5:19">
      <c r="E17" s="31"/>
      <c r="F17" s="26"/>
      <c r="G17" s="29"/>
      <c r="H17" s="25"/>
      <c r="I17" s="24"/>
      <c r="J17" s="24"/>
      <c r="K17" s="25"/>
      <c r="L17" s="25"/>
      <c r="O17" s="25"/>
      <c r="P17" s="25"/>
      <c r="Q17" s="25"/>
      <c r="R17" s="25"/>
      <c r="S17" s="25"/>
    </row>
    <row r="18" spans="5:19">
      <c r="E18" s="31"/>
      <c r="F18" s="26"/>
      <c r="G18" s="29"/>
      <c r="H18" s="25"/>
      <c r="I18" s="24"/>
      <c r="J18" s="24"/>
      <c r="K18" s="25"/>
      <c r="L18" s="25"/>
      <c r="O18" s="25"/>
      <c r="P18" s="25"/>
      <c r="Q18" s="25"/>
      <c r="R18" s="25"/>
      <c r="S18" s="25"/>
    </row>
    <row r="19" spans="5:19">
      <c r="E19" s="31"/>
      <c r="F19" s="26"/>
      <c r="G19" s="29"/>
      <c r="H19" s="25"/>
      <c r="I19" s="24"/>
      <c r="J19" s="24"/>
      <c r="K19" s="25"/>
      <c r="L19" s="25"/>
      <c r="O19" s="25"/>
      <c r="P19" s="25"/>
      <c r="Q19" s="25"/>
      <c r="R19" s="25"/>
      <c r="S19" s="25"/>
    </row>
    <row r="20" spans="5:19">
      <c r="E20" s="31"/>
      <c r="F20" s="26"/>
      <c r="G20" s="29"/>
      <c r="H20" s="25"/>
      <c r="I20" s="24"/>
      <c r="J20" s="24"/>
      <c r="K20" s="25"/>
      <c r="L20" s="25"/>
      <c r="O20" s="25"/>
      <c r="P20" s="25"/>
      <c r="Q20" s="25"/>
      <c r="R20" s="25"/>
      <c r="S20" s="25"/>
    </row>
    <row r="21" spans="5:19">
      <c r="E21" s="31"/>
      <c r="F21" s="26"/>
      <c r="G21" s="29"/>
      <c r="H21" s="25"/>
      <c r="I21" s="24"/>
      <c r="J21" s="24"/>
      <c r="K21" s="25"/>
      <c r="L21" s="25"/>
      <c r="O21" s="25"/>
      <c r="P21" s="25"/>
      <c r="Q21" s="25"/>
      <c r="R21" s="25"/>
      <c r="S21" s="25"/>
    </row>
    <row r="22" spans="5:19">
      <c r="E22" s="31"/>
      <c r="F22" s="26"/>
      <c r="G22" s="29"/>
      <c r="H22" s="25"/>
      <c r="I22" s="24"/>
      <c r="J22" s="24"/>
      <c r="K22" s="25"/>
      <c r="L22" s="25"/>
      <c r="O22" s="25"/>
      <c r="P22" s="25"/>
      <c r="Q22" s="25"/>
      <c r="R22" s="25"/>
      <c r="S22" s="25"/>
    </row>
  </sheetData>
  <mergeCells count="15">
    <mergeCell ref="D4:F4"/>
    <mergeCell ref="D5:F5"/>
    <mergeCell ref="O1:O2"/>
    <mergeCell ref="A1:A2"/>
    <mergeCell ref="C1:C2"/>
    <mergeCell ref="B1:B2"/>
    <mergeCell ref="E1:E2"/>
    <mergeCell ref="F1:F2"/>
    <mergeCell ref="D1:D2"/>
    <mergeCell ref="N1:N2"/>
    <mergeCell ref="Q1:S1"/>
    <mergeCell ref="P1:P2"/>
    <mergeCell ref="L1:M1"/>
    <mergeCell ref="I1:K1"/>
    <mergeCell ref="G1:H1"/>
  </mergeCells>
  <phoneticPr fontId="4" type="noConversion"/>
  <printOptions horizontalCentered="1"/>
  <pageMargins left="0.25" right="0.25" top="1" bottom="1" header="0.5" footer="0.5"/>
  <pageSetup scale="11" fitToHeight="3" orientation="portrait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4"/>
  <sheetViews>
    <sheetView showZeros="0" topLeftCell="F1" zoomScale="85" zoomScaleNormal="85" workbookViewId="0">
      <pane ySplit="5" topLeftCell="A6" activePane="bottomLeft" state="frozen"/>
      <selection pane="bottomLeft" activeCell="V2" sqref="V2"/>
    </sheetView>
  </sheetViews>
  <sheetFormatPr defaultRowHeight="12.75"/>
  <cols>
    <col min="1" max="1" width="21.5703125" style="17" customWidth="1"/>
    <col min="2" max="2" width="7.7109375" style="17" customWidth="1"/>
    <col min="3" max="3" width="12.28515625" style="17" customWidth="1"/>
    <col min="4" max="4" width="22.7109375" style="14" customWidth="1"/>
    <col min="5" max="5" width="14.140625" style="14" customWidth="1"/>
    <col min="6" max="6" width="10.7109375" style="15" customWidth="1"/>
    <col min="7" max="7" width="10.42578125" style="16" customWidth="1"/>
    <col min="8" max="8" width="8.7109375" style="15" customWidth="1"/>
    <col min="9" max="9" width="17.5703125" style="13" customWidth="1"/>
    <col min="10" max="10" width="47.140625" style="14" customWidth="1"/>
    <col min="11" max="11" width="10.140625" style="17" customWidth="1"/>
    <col min="12" max="12" width="10.42578125" style="13" customWidth="1"/>
    <col min="13" max="13" width="7.42578125" style="17" customWidth="1"/>
    <col min="14" max="14" width="12.5703125" style="13" customWidth="1"/>
    <col min="15" max="15" width="15.85546875" style="13" customWidth="1"/>
    <col min="16" max="16" width="12.5703125" style="13" customWidth="1"/>
    <col min="17" max="17" width="15.140625" style="13" bestFit="1" customWidth="1"/>
    <col min="18" max="18" width="13.85546875" style="13" customWidth="1"/>
    <col min="19" max="19" width="9.85546875" style="18" customWidth="1"/>
    <col min="20" max="23" width="13.85546875" style="18" customWidth="1"/>
    <col min="24" max="24" width="13.85546875" style="13" customWidth="1"/>
    <col min="25" max="25" width="11.28515625" style="13" customWidth="1"/>
    <col min="26" max="26" width="24.140625" style="13" bestFit="1" customWidth="1"/>
    <col min="27" max="16384" width="9.140625" style="14"/>
  </cols>
  <sheetData>
    <row r="1" spans="1:26" s="2" customFormat="1" ht="39.75" customHeight="1">
      <c r="A1" s="78" t="s">
        <v>56</v>
      </c>
      <c r="B1" s="78" t="s">
        <v>14</v>
      </c>
      <c r="C1" s="78" t="s">
        <v>48</v>
      </c>
      <c r="D1" s="105" t="s">
        <v>46</v>
      </c>
      <c r="E1" s="105" t="s">
        <v>8</v>
      </c>
      <c r="F1" s="79" t="s">
        <v>49</v>
      </c>
      <c r="G1" s="80" t="s">
        <v>4</v>
      </c>
      <c r="H1" s="79" t="s">
        <v>44</v>
      </c>
      <c r="I1" s="105" t="s">
        <v>53</v>
      </c>
      <c r="J1" s="81" t="s">
        <v>50</v>
      </c>
      <c r="K1" s="78" t="s">
        <v>51</v>
      </c>
      <c r="L1" s="105" t="s">
        <v>52</v>
      </c>
      <c r="M1" s="105" t="s">
        <v>13</v>
      </c>
      <c r="N1" s="137" t="s">
        <v>9</v>
      </c>
      <c r="O1" s="137"/>
      <c r="P1" s="138" t="s">
        <v>0</v>
      </c>
      <c r="Q1" s="138"/>
      <c r="R1" s="139" t="s">
        <v>1</v>
      </c>
      <c r="S1" s="139"/>
      <c r="T1" s="88" t="s">
        <v>55</v>
      </c>
      <c r="U1" s="114" t="s">
        <v>65</v>
      </c>
      <c r="V1" s="140" t="s">
        <v>62</v>
      </c>
      <c r="W1" s="141"/>
      <c r="X1" s="142"/>
      <c r="Y1" s="1"/>
      <c r="Z1" s="1"/>
    </row>
    <row r="2" spans="1:26" s="2" customFormat="1">
      <c r="A2" s="78"/>
      <c r="B2" s="78"/>
      <c r="C2" s="82"/>
      <c r="D2" s="105"/>
      <c r="E2" s="105"/>
      <c r="F2" s="79"/>
      <c r="G2" s="80"/>
      <c r="H2" s="79"/>
      <c r="I2" s="81"/>
      <c r="J2" s="105"/>
      <c r="K2" s="78"/>
      <c r="L2" s="105"/>
      <c r="M2" s="78"/>
      <c r="N2" s="83" t="s">
        <v>10</v>
      </c>
      <c r="O2" s="83" t="s">
        <v>5</v>
      </c>
      <c r="P2" s="105" t="s">
        <v>10</v>
      </c>
      <c r="Q2" s="105" t="s">
        <v>5</v>
      </c>
      <c r="R2" s="84" t="s">
        <v>5</v>
      </c>
      <c r="S2" s="85" t="s">
        <v>6</v>
      </c>
      <c r="T2" s="89"/>
      <c r="U2" s="89"/>
      <c r="V2" s="109" t="s">
        <v>61</v>
      </c>
      <c r="W2" s="109" t="s">
        <v>68</v>
      </c>
      <c r="X2" s="110" t="s">
        <v>69</v>
      </c>
      <c r="Y2" s="1"/>
      <c r="Z2" s="1"/>
    </row>
    <row r="3" spans="1:26" s="8" customFormat="1">
      <c r="A3" s="6"/>
      <c r="B3" s="6"/>
      <c r="C3" s="6"/>
      <c r="D3" s="3"/>
      <c r="E3" s="3"/>
      <c r="F3" s="4"/>
      <c r="G3" s="5"/>
      <c r="H3" s="4"/>
      <c r="I3" s="3"/>
      <c r="J3" s="3" t="s">
        <v>11</v>
      </c>
      <c r="K3" s="6">
        <f>SUM(K6:K6)</f>
        <v>0</v>
      </c>
      <c r="L3" s="3">
        <f>SUM(L6:L6)</f>
        <v>0</v>
      </c>
      <c r="M3" s="6"/>
      <c r="N3" s="3"/>
      <c r="O3" s="3">
        <f>SUM(O6:O6)</f>
        <v>0</v>
      </c>
      <c r="P3" s="86"/>
      <c r="Q3" s="86">
        <f>SUM(Q6:Q6)</f>
        <v>0</v>
      </c>
      <c r="R3" s="3">
        <f>SUM(R6:R6)</f>
        <v>0</v>
      </c>
      <c r="S3" s="90" t="e">
        <f>R3/O3</f>
        <v>#DIV/0!</v>
      </c>
      <c r="T3" s="90"/>
      <c r="U3" s="90"/>
      <c r="V3" s="86">
        <f>SUM(Table7[Column3])</f>
        <v>0</v>
      </c>
      <c r="W3" s="86">
        <f>SUM(Table7[Column2])</f>
        <v>0</v>
      </c>
      <c r="X3" s="86">
        <f>SUM(Table7[ns1:QuotationSalePrice])</f>
        <v>0</v>
      </c>
      <c r="Y3" s="7"/>
      <c r="Z3" s="7"/>
    </row>
    <row r="4" spans="1:26" s="8" customFormat="1">
      <c r="A4" s="12"/>
      <c r="B4" s="12"/>
      <c r="C4" s="12"/>
      <c r="D4" s="9"/>
      <c r="E4" s="9"/>
      <c r="F4" s="10"/>
      <c r="G4" s="11"/>
      <c r="H4" s="10"/>
      <c r="I4" s="9"/>
      <c r="J4" s="9" t="s">
        <v>40</v>
      </c>
      <c r="K4" s="12">
        <f>SUBTOTAL(9,K6:K6)</f>
        <v>0</v>
      </c>
      <c r="L4" s="9">
        <f>SUBTOTAL(9,L6:L6)</f>
        <v>0</v>
      </c>
      <c r="M4" s="12"/>
      <c r="N4" s="9"/>
      <c r="O4" s="9">
        <f>SUBTOTAL(9,O6:O6)</f>
        <v>0</v>
      </c>
      <c r="P4" s="9"/>
      <c r="Q4" s="9">
        <f>SUBTOTAL(9,Q6:Q6)</f>
        <v>0</v>
      </c>
      <c r="R4" s="9">
        <f>SUBTOTAL(9,R6:R6)</f>
        <v>0</v>
      </c>
      <c r="S4" s="91" t="e">
        <f>R4/O4</f>
        <v>#DIV/0!</v>
      </c>
      <c r="T4" s="91"/>
      <c r="U4" s="91"/>
      <c r="V4" s="92">
        <f>SUBTOTAL(9,Table7[Column3])</f>
        <v>0</v>
      </c>
      <c r="W4" s="92">
        <f>SUBTOTAL(9,Table7[Column2])</f>
        <v>0</v>
      </c>
      <c r="X4" s="92">
        <f>SUBTOTAL(9,Table7[ns1:QuotationSalePrice])</f>
        <v>0</v>
      </c>
      <c r="Y4" s="7"/>
      <c r="Z4" s="49"/>
    </row>
    <row r="5" spans="1:26">
      <c r="A5" s="93" t="s">
        <v>31</v>
      </c>
      <c r="B5" s="93" t="s">
        <v>42</v>
      </c>
      <c r="C5" s="93" t="s">
        <v>19</v>
      </c>
      <c r="D5" s="94" t="s">
        <v>20</v>
      </c>
      <c r="E5" s="94" t="s">
        <v>22</v>
      </c>
      <c r="F5" s="95" t="s">
        <v>17</v>
      </c>
      <c r="G5" s="96" t="s">
        <v>32</v>
      </c>
      <c r="H5" s="95" t="s">
        <v>18</v>
      </c>
      <c r="I5" s="94" t="s">
        <v>33</v>
      </c>
      <c r="J5" s="94" t="s">
        <v>34</v>
      </c>
      <c r="K5" s="93" t="s">
        <v>35</v>
      </c>
      <c r="L5" s="94" t="s">
        <v>36</v>
      </c>
      <c r="M5" s="93" t="s">
        <v>29</v>
      </c>
      <c r="N5" s="94" t="s">
        <v>37</v>
      </c>
      <c r="O5" s="94" t="s">
        <v>21</v>
      </c>
      <c r="P5" s="94" t="s">
        <v>38</v>
      </c>
      <c r="Q5" s="94" t="s">
        <v>23</v>
      </c>
      <c r="R5" s="94" t="s">
        <v>27</v>
      </c>
      <c r="S5" s="97" t="s">
        <v>28</v>
      </c>
      <c r="T5" s="97" t="s">
        <v>59</v>
      </c>
      <c r="U5" s="97" t="s">
        <v>64</v>
      </c>
      <c r="V5" s="97" t="s">
        <v>58</v>
      </c>
      <c r="W5" s="97" t="s">
        <v>57</v>
      </c>
      <c r="X5" s="98" t="s">
        <v>54</v>
      </c>
    </row>
    <row r="6" spans="1:26" ht="13.5" customHeight="1">
      <c r="A6" s="99"/>
      <c r="B6" s="99"/>
      <c r="C6" s="99"/>
      <c r="D6" s="99"/>
      <c r="E6" s="99"/>
      <c r="F6" s="99"/>
      <c r="G6" s="100"/>
      <c r="H6" s="99"/>
      <c r="I6" s="99"/>
      <c r="J6" s="99"/>
      <c r="K6" s="101"/>
      <c r="L6" s="102"/>
      <c r="M6" s="99"/>
      <c r="N6" s="102"/>
      <c r="O6" s="102"/>
      <c r="P6" s="102"/>
      <c r="Q6" s="102"/>
      <c r="R6" s="102"/>
      <c r="S6" s="103"/>
      <c r="T6" s="113"/>
      <c r="U6" s="113">
        <f>Table7[Column4]-Table7[ns1:FactoryInvoicePrice]</f>
        <v>0</v>
      </c>
      <c r="V6" s="112"/>
      <c r="W6" s="112"/>
      <c r="X6" s="102"/>
    </row>
    <row r="7" spans="1:26">
      <c r="J7" s="13"/>
    </row>
    <row r="10" spans="1:26">
      <c r="A10" s="13"/>
      <c r="B10" s="13"/>
      <c r="K10" s="19"/>
    </row>
    <row r="11" spans="1:26">
      <c r="G11" s="87"/>
      <c r="K11" s="19"/>
    </row>
    <row r="12" spans="1:26">
      <c r="K12" s="19"/>
    </row>
    <row r="13" spans="1:26">
      <c r="K13" s="19"/>
    </row>
    <row r="14" spans="1:26">
      <c r="K14" s="19"/>
    </row>
  </sheetData>
  <mergeCells count="4">
    <mergeCell ref="N1:O1"/>
    <mergeCell ref="P1:Q1"/>
    <mergeCell ref="R1:S1"/>
    <mergeCell ref="V1:X1"/>
  </mergeCells>
  <phoneticPr fontId="4" type="noConversion"/>
  <pageMargins left="0.39" right="0.33" top="0.38541666666666702" bottom="0.75" header="0.3" footer="0.3"/>
  <pageSetup paperSize="9" orientation="landscape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TOTAL</vt:lpstr>
      <vt:lpstr>EURO_LTD</vt:lpstr>
      <vt:lpstr>TOTAL!Print_Titles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ltran</dc:creator>
  <cp:lastModifiedBy>my</cp:lastModifiedBy>
  <cp:lastPrinted>2014-05-15T20:08:34Z</cp:lastPrinted>
  <dcterms:created xsi:type="dcterms:W3CDTF">2008-09-10T13:55:08Z</dcterms:created>
  <dcterms:modified xsi:type="dcterms:W3CDTF">2018-08-08T07:18:55Z</dcterms:modified>
</cp:coreProperties>
</file>