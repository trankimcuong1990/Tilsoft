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REPORTS\PurchasingPriceOverview\"/>
    </mc:Choice>
  </mc:AlternateContent>
  <bookViews>
    <workbookView xWindow="0" yWindow="0" windowWidth="15315" windowHeight="5205"/>
  </bookViews>
  <sheets>
    <sheet name="PurchasingPriceOverview" sheetId="1" r:id="rId1"/>
    <sheet name="Data1" sheetId="2" r:id="rId2"/>
    <sheet name="Data2" sheetId="3" r:id="rId3"/>
  </sheets>
  <definedNames>
    <definedName name="_xlnm._FilterDatabase" localSheetId="0" hidden="1">PurchasingPriceOverview!$A$5:$AO$5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6" i="1" l="1"/>
  <c r="C6" i="1" l="1"/>
  <c r="W6" i="1"/>
  <c r="AM6" i="1"/>
  <c r="AO6" i="1"/>
  <c r="AN6" i="1"/>
  <c r="AK6" i="1"/>
  <c r="AJ6" i="1"/>
  <c r="AH6" i="1"/>
  <c r="AG6" i="1"/>
  <c r="AF6" i="1"/>
  <c r="AE6" i="1"/>
  <c r="AD6" i="1"/>
  <c r="AC6" i="1"/>
  <c r="AB6" i="1"/>
  <c r="AA6" i="1"/>
  <c r="Z6" i="1"/>
  <c r="Y6" i="1"/>
  <c r="X6" i="1"/>
  <c r="V6" i="1"/>
  <c r="U6" i="1"/>
  <c r="T6" i="1"/>
  <c r="S6" i="1"/>
  <c r="S3" i="1" s="1"/>
  <c r="R6" i="1"/>
  <c r="R3" i="1" s="1"/>
  <c r="Q6" i="1"/>
  <c r="P6" i="1"/>
  <c r="P3" i="1" s="1"/>
  <c r="O6" i="1"/>
  <c r="O3" i="1" s="1"/>
  <c r="N6" i="1"/>
  <c r="M6" i="1"/>
  <c r="L6" i="1"/>
  <c r="L3" i="1" s="1"/>
  <c r="K6" i="1"/>
  <c r="J6" i="1"/>
  <c r="I6" i="1"/>
  <c r="H6" i="1"/>
  <c r="G6" i="1"/>
  <c r="F6" i="1"/>
  <c r="E6" i="1"/>
  <c r="D6" i="1"/>
  <c r="B6" i="1"/>
  <c r="A6" i="1"/>
  <c r="S4" i="1"/>
  <c r="R4" i="1"/>
  <c r="Q4" i="1"/>
  <c r="N4" i="1"/>
  <c r="M4" i="1"/>
  <c r="Q3" i="1"/>
  <c r="N3" i="1"/>
  <c r="M3" i="1"/>
  <c r="G1" i="1"/>
  <c r="Q1" i="1" l="1"/>
  <c r="S1" i="1"/>
  <c r="O4" i="1"/>
  <c r="P4" i="1"/>
  <c r="AI6" i="1"/>
  <c r="AI3" i="1" s="1"/>
  <c r="L4" i="1"/>
  <c r="AI4" i="1" l="1"/>
</calcChain>
</file>

<file path=xl/sharedStrings.xml><?xml version="1.0" encoding="utf-8"?>
<sst xmlns="http://schemas.openxmlformats.org/spreadsheetml/2006/main" count="42" uniqueCount="42">
  <si>
    <t>LDS</t>
  </si>
  <si>
    <t>PURCHASING PRICE OVERVIEW</t>
  </si>
  <si>
    <t>No.</t>
  </si>
  <si>
    <t>P/O. No.</t>
  </si>
  <si>
    <t>Date</t>
  </si>
  <si>
    <t>Customer Code</t>
  </si>
  <si>
    <t>VN-monitored by</t>
  </si>
  <si>
    <t>NL-monitored by</t>
  </si>
  <si>
    <t>Agented By</t>
  </si>
  <si>
    <t>Sale</t>
  </si>
  <si>
    <t>Art. Code</t>
  </si>
  <si>
    <t>Art. Description</t>
  </si>
  <si>
    <t>Qnt/40ft</t>
  </si>
  <si>
    <t>Order qnt</t>
  </si>
  <si>
    <t xml:space="preserve"> Order in Cont.</t>
  </si>
  <si>
    <t>Loaded qnt</t>
  </si>
  <si>
    <t>Loaded in Cont.</t>
  </si>
  <si>
    <t>Shipped qnt</t>
  </si>
  <si>
    <t>Shipped in Cont.</t>
  </si>
  <si>
    <t>To Be Shipped qnt</t>
  </si>
  <si>
    <t>To Be Shipped in Cont.</t>
  </si>
  <si>
    <t>Main material</t>
  </si>
  <si>
    <t>Status</t>
  </si>
  <si>
    <t>Supplier</t>
  </si>
  <si>
    <t>S/C</t>
  </si>
  <si>
    <t>PRICE QUOTE</t>
  </si>
  <si>
    <t>CO</t>
  </si>
  <si>
    <t>PLACE</t>
  </si>
  <si>
    <t>QUALITY</t>
  </si>
  <si>
    <t>PURCHASING INVOICE PRICE</t>
  </si>
  <si>
    <t>FOD IN USD (COMPANY)</t>
  </si>
  <si>
    <t>Total in USD Company</t>
  </si>
  <si>
    <t>Target price</t>
  </si>
  <si>
    <t>FOB USD (BREAKDOWN)</t>
  </si>
  <si>
    <t>Price status</t>
  </si>
  <si>
    <t>Price cfmd date</t>
  </si>
  <si>
    <t>Proforma invoice</t>
  </si>
  <si>
    <t>RMK</t>
  </si>
  <si>
    <t>MIN PRICE IN USD LAST 2 YEAR 2015-2016</t>
  </si>
  <si>
    <t>MAX PRICE IN USD LAST 2 YEAR 2015-2016</t>
  </si>
  <si>
    <t>MIN PRICE IN USD LAST YEAR 2016-2017</t>
  </si>
  <si>
    <t>MAX PRICE IN USD LAST YEAR 2016-2017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</si>
</sst>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\ _₫_-;\-* #,##0.00\ _₫_-;_-* &quot;-&quot;??\ _₫_-;_-@_-"/>
    <numFmt numFmtId="164" formatCode="_-* #,##0\ _B_F_-;\-* #,##0\ _B_F_-;_-* &quot;-&quot;\ _B_F_-;_-@_-"/>
    <numFmt numFmtId="165" formatCode="_-[$€-2]\ * #,##0.00_-;\-[$€-2]\ * #,##0.00_-;_-[$€-2]\ * &quot;-&quot;??_-;_-@_-"/>
    <numFmt numFmtId="166" formatCode="_(* #,##0.00_);_(* \(#,##0.00\);_(* &quot;-&quot;??_);_(@_)"/>
    <numFmt numFmtId="167" formatCode="_-* #,##0_-;\-* #,##0_-;_-* &quot;-&quot;??_-;_-@_-"/>
    <numFmt numFmtId="168" formatCode="_-[$$-409]* #,##0.00_ ;_-[$$-409]* \-#,##0.00\ ;_-[$$-409]* &quot;-&quot;??_ ;_-@_ 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color theme="1"/>
      <name val="Arial"/>
      <family val="2"/>
    </font>
    <font>
      <b/>
      <sz val="8"/>
      <name val="Arial"/>
      <family val="2"/>
    </font>
    <font>
      <sz val="16"/>
      <color theme="1"/>
      <name val="Arial"/>
      <family val="2"/>
    </font>
    <font>
      <sz val="9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/>
    <xf numFmtId="166" fontId="2" fillId="0" borderId="0"/>
    <xf numFmtId="164" fontId="2" fillId="0" borderId="0"/>
    <xf numFmtId="9" fontId="1" fillId="0" borderId="0"/>
  </cellStyleXfs>
  <cellXfs count="30">
    <xf numFmtId="0" fontId="0" fillId="0" borderId="0" xfId="0" applyNumberFormat="1" applyFont="1" applyFill="1" applyBorder="1"/>
    <xf numFmtId="0" fontId="3" fillId="0" borderId="0" xfId="0" applyNumberFormat="1" applyFont="1" applyFill="1" applyBorder="1"/>
    <xf numFmtId="3" fontId="4" fillId="2" borderId="1" xfId="3" applyNumberFormat="1" applyFont="1" applyFill="1" applyBorder="1" applyAlignment="1">
      <alignment horizontal="center" vertical="center" wrapText="1"/>
    </xf>
    <xf numFmtId="49" fontId="4" fillId="2" borderId="1" xfId="3" applyNumberFormat="1" applyFont="1" applyFill="1" applyBorder="1" applyAlignment="1">
      <alignment horizontal="center" vertical="center" wrapText="1"/>
    </xf>
    <xf numFmtId="165" fontId="4" fillId="2" borderId="1" xfId="3" applyNumberFormat="1" applyFont="1" applyFill="1" applyBorder="1" applyAlignment="1">
      <alignment horizontal="center" vertical="center" wrapText="1"/>
    </xf>
    <xf numFmtId="166" fontId="4" fillId="2" borderId="1" xfId="2" applyNumberFormat="1" applyFont="1" applyFill="1" applyBorder="1" applyAlignment="1">
      <alignment horizontal="center" vertical="center" wrapText="1"/>
    </xf>
    <xf numFmtId="164" fontId="4" fillId="2" borderId="1" xfId="3" applyNumberFormat="1" applyFont="1" applyFill="1" applyBorder="1" applyAlignment="1">
      <alignment horizontal="center" vertical="center" wrapText="1"/>
    </xf>
    <xf numFmtId="167" fontId="4" fillId="2" borderId="1" xfId="2" applyNumberFormat="1" applyFont="1" applyFill="1" applyBorder="1" applyAlignment="1">
      <alignment horizontal="center" vertical="center" wrapText="1"/>
    </xf>
    <xf numFmtId="43" fontId="4" fillId="2" borderId="1" xfId="1" applyNumberFormat="1" applyFont="1" applyFill="1" applyBorder="1" applyAlignment="1">
      <alignment horizontal="center" vertical="center" wrapText="1"/>
    </xf>
    <xf numFmtId="166" fontId="4" fillId="3" borderId="1" xfId="2" applyNumberFormat="1" applyFont="1" applyFill="1" applyBorder="1" applyAlignment="1">
      <alignment horizontal="center" vertical="center" wrapText="1"/>
    </xf>
    <xf numFmtId="0" fontId="3" fillId="4" borderId="1" xfId="0" applyNumberFormat="1" applyFont="1" applyFill="1" applyBorder="1"/>
    <xf numFmtId="0" fontId="3" fillId="5" borderId="1" xfId="0" applyNumberFormat="1" applyFont="1" applyFill="1" applyBorder="1"/>
    <xf numFmtId="0" fontId="3" fillId="0" borderId="1" xfId="0" applyNumberFormat="1" applyFont="1" applyFill="1" applyBorder="1"/>
    <xf numFmtId="0" fontId="5" fillId="0" borderId="0" xfId="0" applyNumberFormat="1" applyFont="1" applyFill="1" applyBorder="1"/>
    <xf numFmtId="0" fontId="6" fillId="0" borderId="0" xfId="0" applyNumberFormat="1" applyFont="1" applyFill="1" applyBorder="1"/>
    <xf numFmtId="0" fontId="3" fillId="0" borderId="1" xfId="0" applyNumberFormat="1" applyFont="1" applyFill="1" applyBorder="1" applyAlignment="1">
      <alignment vertical="top"/>
    </xf>
    <xf numFmtId="0" fontId="3" fillId="0" borderId="1" xfId="0" applyNumberFormat="1" applyFont="1" applyFill="1" applyBorder="1" applyAlignment="1">
      <alignment horizontal="center" vertical="top"/>
    </xf>
    <xf numFmtId="14" fontId="3" fillId="0" borderId="1" xfId="0" applyNumberFormat="1" applyFont="1" applyFill="1" applyBorder="1" applyAlignment="1">
      <alignment horizontal="center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right" vertical="top"/>
    </xf>
    <xf numFmtId="3" fontId="3" fillId="0" borderId="1" xfId="0" applyNumberFormat="1" applyFont="1" applyFill="1" applyBorder="1" applyAlignment="1">
      <alignment horizontal="right" vertical="top"/>
    </xf>
    <xf numFmtId="4" fontId="3" fillId="0" borderId="1" xfId="0" applyNumberFormat="1" applyFont="1" applyFill="1" applyBorder="1" applyAlignment="1">
      <alignment horizontal="right" vertical="top"/>
    </xf>
    <xf numFmtId="168" fontId="3" fillId="0" borderId="1" xfId="0" applyNumberFormat="1" applyFont="1" applyFill="1" applyBorder="1" applyAlignment="1">
      <alignment horizontal="right" vertical="top"/>
    </xf>
    <xf numFmtId="3" fontId="3" fillId="4" borderId="1" xfId="0" applyNumberFormat="1" applyFont="1" applyFill="1" applyBorder="1" applyAlignment="1">
      <alignment horizontal="right" vertical="top"/>
    </xf>
    <xf numFmtId="4" fontId="3" fillId="4" borderId="1" xfId="0" applyNumberFormat="1" applyFont="1" applyFill="1" applyBorder="1" applyAlignment="1">
      <alignment horizontal="right" vertical="top"/>
    </xf>
    <xf numFmtId="3" fontId="3" fillId="5" borderId="1" xfId="0" applyNumberFormat="1" applyFont="1" applyFill="1" applyBorder="1" applyAlignment="1">
      <alignment horizontal="right" vertical="top"/>
    </xf>
    <xf numFmtId="4" fontId="3" fillId="5" borderId="1" xfId="0" applyNumberFormat="1" applyFont="1" applyFill="1" applyBorder="1" applyAlignment="1">
      <alignment horizontal="right" vertical="top"/>
    </xf>
    <xf numFmtId="168" fontId="3" fillId="4" borderId="1" xfId="0" applyNumberFormat="1" applyFont="1" applyFill="1" applyBorder="1" applyAlignment="1">
      <alignment horizontal="right" vertical="top"/>
    </xf>
    <xf numFmtId="168" fontId="3" fillId="5" borderId="1" xfId="0" applyNumberFormat="1" applyFont="1" applyFill="1" applyBorder="1" applyAlignment="1">
      <alignment horizontal="right" vertical="top"/>
    </xf>
    <xf numFmtId="10" fontId="3" fillId="0" borderId="0" xfId="4" applyNumberFormat="1" applyFont="1" applyFill="1" applyBorder="1"/>
  </cellXfs>
  <cellStyles count="5">
    <cellStyle name="Comma" xfId="1" builtinId="3"/>
    <cellStyle name="Comma 2" xfId="2"/>
    <cellStyle name="Normal" xfId="0" builtinId="0"/>
    <cellStyle name="Normal 2" xfId="3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6"/>
  <sheetViews>
    <sheetView tabSelected="1" workbookViewId="0">
      <pane xSplit="10" ySplit="5" topLeftCell="K6" activePane="bottomRight" state="frozen"/>
      <selection pane="topRight" activeCell="K1" sqref="K1"/>
      <selection pane="bottomLeft" activeCell="A6" sqref="A6"/>
      <selection pane="bottomRight"/>
    </sheetView>
  </sheetViews>
  <sheetFormatPr defaultRowHeight="11.25" x14ac:dyDescent="0.2"/>
  <cols>
    <col min="1" max="1" width="4.85546875" style="1" customWidth="1"/>
    <col min="2" max="9" width="9.140625" style="1" customWidth="1"/>
    <col min="10" max="10" width="38.7109375" style="1" customWidth="1"/>
    <col min="11" max="32" width="9.140625" style="1" customWidth="1"/>
    <col min="33" max="33" width="12.7109375" style="1" customWidth="1"/>
    <col min="34" max="34" width="9.140625" style="1" customWidth="1"/>
    <col min="35" max="16384" width="9.140625" style="1"/>
  </cols>
  <sheetData>
    <row r="1" spans="1:41" ht="20.25" x14ac:dyDescent="0.3">
      <c r="A1" s="13" t="s">
        <v>1</v>
      </c>
      <c r="F1" s="14"/>
      <c r="G1" s="14" t="str">
        <f>Data2!A2&amp;""</f>
        <v/>
      </c>
      <c r="Q1" s="29" t="e">
        <f>Q3/M3</f>
        <v>#DIV/0!</v>
      </c>
      <c r="S1" s="29" t="e">
        <f>S3/M3</f>
        <v>#DIV/0!</v>
      </c>
    </row>
    <row r="2" spans="1:41" ht="61.5" customHeight="1" x14ac:dyDescent="0.2">
      <c r="A2" s="2" t="s">
        <v>2</v>
      </c>
      <c r="B2" s="3" t="s">
        <v>3</v>
      </c>
      <c r="C2" s="4" t="s">
        <v>4</v>
      </c>
      <c r="D2" s="3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10</v>
      </c>
      <c r="J2" s="6" t="s">
        <v>11</v>
      </c>
      <c r="K2" s="6" t="s">
        <v>12</v>
      </c>
      <c r="L2" s="7" t="s">
        <v>13</v>
      </c>
      <c r="M2" s="5" t="s">
        <v>14</v>
      </c>
      <c r="N2" s="5" t="s">
        <v>15</v>
      </c>
      <c r="O2" s="8" t="s">
        <v>16</v>
      </c>
      <c r="P2" s="5" t="s">
        <v>17</v>
      </c>
      <c r="Q2" s="8" t="s">
        <v>18</v>
      </c>
      <c r="R2" s="5" t="s">
        <v>19</v>
      </c>
      <c r="S2" s="8" t="s">
        <v>20</v>
      </c>
      <c r="T2" s="5" t="s">
        <v>21</v>
      </c>
      <c r="U2" s="5" t="s">
        <v>22</v>
      </c>
      <c r="V2" s="5" t="s">
        <v>23</v>
      </c>
      <c r="W2" s="5" t="s">
        <v>0</v>
      </c>
      <c r="X2" s="5" t="s">
        <v>24</v>
      </c>
      <c r="Y2" s="5" t="s">
        <v>25</v>
      </c>
      <c r="Z2" s="5" t="s">
        <v>26</v>
      </c>
      <c r="AA2" s="5" t="s">
        <v>27</v>
      </c>
      <c r="AB2" s="5" t="s">
        <v>28</v>
      </c>
      <c r="AC2" s="9" t="s">
        <v>38</v>
      </c>
      <c r="AD2" s="9" t="s">
        <v>39</v>
      </c>
      <c r="AE2" s="9" t="s">
        <v>40</v>
      </c>
      <c r="AF2" s="9" t="s">
        <v>41</v>
      </c>
      <c r="AG2" s="9" t="s">
        <v>29</v>
      </c>
      <c r="AH2" s="5" t="s">
        <v>30</v>
      </c>
      <c r="AI2" s="5" t="s">
        <v>31</v>
      </c>
      <c r="AJ2" s="5" t="s">
        <v>32</v>
      </c>
      <c r="AK2" s="5" t="s">
        <v>33</v>
      </c>
      <c r="AL2" s="5" t="s">
        <v>34</v>
      </c>
      <c r="AM2" s="5" t="s">
        <v>35</v>
      </c>
      <c r="AN2" s="5" t="s">
        <v>36</v>
      </c>
      <c r="AO2" s="5" t="s">
        <v>37</v>
      </c>
    </row>
    <row r="3" spans="1:41" x14ac:dyDescent="0.2">
      <c r="A3" s="10"/>
      <c r="B3" s="10"/>
      <c r="C3" s="10"/>
      <c r="D3" s="10"/>
      <c r="E3" s="10"/>
      <c r="F3" s="10"/>
      <c r="G3" s="10"/>
      <c r="H3" s="10"/>
      <c r="I3" s="10"/>
      <c r="J3" s="10"/>
      <c r="K3" s="23"/>
      <c r="L3" s="23">
        <f>SUM(L6:L49885)</f>
        <v>0</v>
      </c>
      <c r="M3" s="24">
        <f t="shared" ref="M3:S3" si="0">SUM(M6:M49885)</f>
        <v>0</v>
      </c>
      <c r="N3" s="23">
        <f t="shared" si="0"/>
        <v>0</v>
      </c>
      <c r="O3" s="24">
        <f t="shared" si="0"/>
        <v>0</v>
      </c>
      <c r="P3" s="23">
        <f t="shared" si="0"/>
        <v>0</v>
      </c>
      <c r="Q3" s="24">
        <f t="shared" si="0"/>
        <v>0</v>
      </c>
      <c r="R3" s="23">
        <f t="shared" si="0"/>
        <v>0</v>
      </c>
      <c r="S3" s="24">
        <f t="shared" si="0"/>
        <v>0</v>
      </c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27">
        <f>SUM(AI6:AI49885)</f>
        <v>0</v>
      </c>
      <c r="AJ3" s="10"/>
      <c r="AK3" s="10"/>
      <c r="AL3" s="10"/>
      <c r="AM3" s="10"/>
      <c r="AN3" s="10"/>
      <c r="AO3" s="10"/>
    </row>
    <row r="4" spans="1:41" x14ac:dyDescent="0.2">
      <c r="A4" s="11"/>
      <c r="B4" s="11"/>
      <c r="C4" s="11"/>
      <c r="D4" s="11"/>
      <c r="E4" s="11"/>
      <c r="F4" s="11"/>
      <c r="G4" s="11"/>
      <c r="H4" s="11"/>
      <c r="I4" s="11"/>
      <c r="J4" s="11"/>
      <c r="K4" s="25"/>
      <c r="L4" s="25">
        <f t="shared" ref="L4:S4" si="1">SUBTOTAL(9,L6:L49885)</f>
        <v>0</v>
      </c>
      <c r="M4" s="26">
        <f t="shared" si="1"/>
        <v>0</v>
      </c>
      <c r="N4" s="25">
        <f t="shared" si="1"/>
        <v>0</v>
      </c>
      <c r="O4" s="26">
        <f t="shared" si="1"/>
        <v>0</v>
      </c>
      <c r="P4" s="25">
        <f t="shared" si="1"/>
        <v>0</v>
      </c>
      <c r="Q4" s="26">
        <f t="shared" si="1"/>
        <v>0</v>
      </c>
      <c r="R4" s="25">
        <f t="shared" si="1"/>
        <v>0</v>
      </c>
      <c r="S4" s="26">
        <f t="shared" si="1"/>
        <v>0</v>
      </c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28">
        <f>SUBTOTAL(9,AI6:AI49885)</f>
        <v>0</v>
      </c>
      <c r="AJ4" s="11"/>
      <c r="AK4" s="11"/>
      <c r="AL4" s="11"/>
      <c r="AM4" s="11"/>
      <c r="AN4" s="11"/>
      <c r="AO4" s="11"/>
    </row>
    <row r="5" spans="1:41" x14ac:dyDescent="0.2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x14ac:dyDescent="0.2">
      <c r="A6" s="19">
        <f>ROW()-5</f>
        <v>1</v>
      </c>
      <c r="B6" s="16" t="str">
        <f>Data1!A2&amp;""</f>
        <v/>
      </c>
      <c r="C6" s="17" t="str">
        <f>IF(ISBLANK(Data1!B2)=FALSE,DATEVALUE(Data1!B2&amp;""),"")</f>
        <v/>
      </c>
      <c r="D6" s="16" t="str">
        <f>Data1!C2&amp;""</f>
        <v/>
      </c>
      <c r="E6" s="18" t="str">
        <f>Data1!E2&amp;""</f>
        <v/>
      </c>
      <c r="F6" s="18" t="str">
        <f>Data1!F2&amp;""</f>
        <v/>
      </c>
      <c r="G6" s="18" t="str">
        <f>Data1!G2&amp;""</f>
        <v/>
      </c>
      <c r="H6" s="18" t="str">
        <f>Data1!H2&amp;""</f>
        <v/>
      </c>
      <c r="I6" s="16" t="str">
        <f>Data1!I2&amp;""</f>
        <v/>
      </c>
      <c r="J6" s="18" t="str">
        <f>Data1!J2&amp;""</f>
        <v/>
      </c>
      <c r="K6" s="20">
        <f>Data1!K2</f>
        <v>0</v>
      </c>
      <c r="L6" s="20">
        <f>Data1!L2</f>
        <v>0</v>
      </c>
      <c r="M6" s="21">
        <f>Data1!M2</f>
        <v>0</v>
      </c>
      <c r="N6" s="20">
        <f>Data1!N2</f>
        <v>0</v>
      </c>
      <c r="O6" s="21">
        <f>Data1!O2</f>
        <v>0</v>
      </c>
      <c r="P6" s="20">
        <f>Data1!P2</f>
        <v>0</v>
      </c>
      <c r="Q6" s="21">
        <f>Data1!Q2</f>
        <v>0</v>
      </c>
      <c r="R6" s="20">
        <f>Data1!R2</f>
        <v>0</v>
      </c>
      <c r="S6" s="21">
        <f>Data1!S2</f>
        <v>0</v>
      </c>
      <c r="T6" s="16" t="str">
        <f>Data1!T2&amp;""</f>
        <v/>
      </c>
      <c r="U6" s="16" t="str">
        <f>Data1!U2&amp;""</f>
        <v/>
      </c>
      <c r="V6" s="16" t="str">
        <f>Data1!V2&amp;""</f>
        <v/>
      </c>
      <c r="W6" s="17" t="str">
        <f>IF(ISBLANK(Data1!W2)=FALSE,DATEVALUE(Data1!W2&amp;""),"")</f>
        <v/>
      </c>
      <c r="X6" s="16" t="str">
        <f>Data1!X2&amp;""</f>
        <v/>
      </c>
      <c r="Y6" s="16" t="str">
        <f>Data1!Y2&amp;""</f>
        <v/>
      </c>
      <c r="Z6" s="16" t="str">
        <f>Data1!Z2&amp;""</f>
        <v/>
      </c>
      <c r="AA6" s="16" t="str">
        <f>Data1!AA2&amp;""</f>
        <v/>
      </c>
      <c r="AB6" s="16" t="str">
        <f>Data1!AB2&amp;""</f>
        <v/>
      </c>
      <c r="AC6" s="22">
        <f>Data1!AC2</f>
        <v>0</v>
      </c>
      <c r="AD6" s="22">
        <f>Data1!AD2</f>
        <v>0</v>
      </c>
      <c r="AE6" s="22">
        <f>Data1!AE2</f>
        <v>0</v>
      </c>
      <c r="AF6" s="22">
        <f>Data1!AF2</f>
        <v>0</v>
      </c>
      <c r="AG6" s="22">
        <f>Data1!AG2</f>
        <v>0</v>
      </c>
      <c r="AH6" s="22">
        <f>Data1!AH2</f>
        <v>0</v>
      </c>
      <c r="AI6" s="22">
        <f>AH6*L6</f>
        <v>0</v>
      </c>
      <c r="AJ6" s="22">
        <f>Data1!AI2</f>
        <v>0</v>
      </c>
      <c r="AK6" s="22">
        <f>Data1!AJ2</f>
        <v>0</v>
      </c>
      <c r="AL6" s="16" t="str">
        <f>Data1!AK2&amp;""</f>
        <v/>
      </c>
      <c r="AM6" s="17" t="str">
        <f>IF(ISBLANK(Data1!AL2)=FALSE,DATEVALUE(Data1!AL2&amp;""),"")</f>
        <v/>
      </c>
      <c r="AN6" s="16" t="str">
        <f>Data1!AM2&amp;""</f>
        <v/>
      </c>
      <c r="AO6" s="15" t="str">
        <f>Data1!AN2&amp;""</f>
        <v/>
      </c>
    </row>
  </sheetData>
  <autoFilter ref="A5:AO5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Q1" workbookViewId="0">
      <selection activeCell="U8" sqref="U8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G17" sqref="G1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PurchasingPriceOverview</vt:lpstr>
      <vt:lpstr>Data1</vt:lpstr>
      <vt:lpstr>Data2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my</cp:lastModifiedBy>
  <dcterms:created xsi:type="dcterms:W3CDTF">2017-08-04T09:38:53Z</dcterms:created>
  <dcterms:modified xsi:type="dcterms:W3CDTF">2017-08-11T03:45:49Z</dcterms:modified>
</cp:coreProperties>
</file>