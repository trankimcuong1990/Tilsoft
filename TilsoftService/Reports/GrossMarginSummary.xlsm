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240" yWindow="105" windowWidth="14805" windowHeight="8010"/>
  </bookViews>
  <sheets>
    <sheet name="Report" sheetId="1" r:id="rId1"/>
    <sheet name="Data1" sheetId="2" state="hidden" r:id="rId2"/>
    <sheet name="Data2" sheetId="3" state="hidden" r:id="rId3"/>
  </sheets>
  <calcPr calcId="162913"/>
</workbook>
</file>

<file path=xl/calcChain.xml><?xml version="1.0" encoding="utf-8"?>
<calcChain xmlns="http://schemas.openxmlformats.org/spreadsheetml/2006/main">
  <c r="M5" i="1" l="1"/>
  <c r="K5" i="1"/>
  <c r="I5" i="1"/>
  <c r="J5" i="1" l="1"/>
  <c r="H5" i="1"/>
  <c r="F5" i="1"/>
  <c r="E5" i="1"/>
  <c r="D5" i="1"/>
  <c r="C5" i="1"/>
  <c r="B5" i="1"/>
  <c r="A5" i="1"/>
  <c r="L5" i="1"/>
  <c r="L3" i="1" s="1"/>
  <c r="L4" i="1"/>
  <c r="G5" i="1"/>
  <c r="G4" i="1" s="1"/>
  <c r="G3" i="1" l="1"/>
  <c r="H1" i="1"/>
  <c r="F3" i="1" s="1"/>
  <c r="D1" i="1"/>
  <c r="E3" i="1" l="1"/>
  <c r="E4" i="1"/>
  <c r="F4" i="1"/>
  <c r="J4" i="1" l="1"/>
  <c r="D4" i="1"/>
  <c r="M4" i="1" s="1"/>
  <c r="D3" i="1"/>
  <c r="M3" i="1" s="1"/>
  <c r="J3" i="1" l="1"/>
  <c r="K3" i="1" s="1"/>
  <c r="K4" i="1"/>
  <c r="H4" i="1"/>
  <c r="I4" i="1" s="1"/>
  <c r="H3" i="1"/>
  <c r="I3" i="1" s="1"/>
</calcChain>
</file>

<file path=xl/sharedStrings.xml><?xml version="1.0" encoding="utf-8"?>
<sst xmlns="http://schemas.openxmlformats.org/spreadsheetml/2006/main" count="18" uniqueCount="18">
  <si>
    <t>Season</t>
  </si>
  <si>
    <t>GROSS MARGIN SUMMARY</t>
  </si>
  <si>
    <t>Ex-Rate</t>
  </si>
  <si>
    <t>CLIENT CODE</t>
  </si>
  <si>
    <t>CLIENT NAME</t>
  </si>
  <si>
    <t>SALE</t>
  </si>
  <si>
    <t>NET AMOUNT</t>
  </si>
  <si>
    <t>COST AMOUNT</t>
  </si>
  <si>
    <t>COMMISSION</t>
  </si>
  <si>
    <t>GROSS MARGIN</t>
  </si>
  <si>
    <t>GROSS MARGIN (COMMISSION INCLUDED)</t>
  </si>
  <si>
    <t>% GROSS MARGIN</t>
  </si>
  <si>
    <t>% GROSS MARGIN (COMMISSION INCLUDED)</t>
  </si>
  <si>
    <t>TOTAL</t>
  </si>
  <si>
    <t>SUB TOTAL</t>
  </si>
  <si>
    <t>CREDIT NOTE</t>
  </si>
  <si>
    <t>GROSS MARGIN (COMMISSION+CREDIT NOTE INCLUDED)</t>
  </si>
  <si>
    <t>% GROSS MARGIN (COMMISSION+CREDIT NOTE INCLUDED)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</si>
</sst>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_-[$€-2]\ * #,##0_-;\-[$€-2]\ * #,##0_-;_-[$€-2]\ * &quot;-&quot;_-;_-@_-"/>
    <numFmt numFmtId="167" formatCode="0.0%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6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6" fillId="0" borderId="0"/>
  </cellStyleXfs>
  <cellXfs count="15">
    <xf numFmtId="0" fontId="0" fillId="0" borderId="0" xfId="0" applyNumberFormat="1" applyFont="1" applyFill="1" applyBorder="1"/>
    <xf numFmtId="0" fontId="1" fillId="0" borderId="0" xfId="0" applyNumberFormat="1" applyFont="1" applyFill="1" applyBorder="1"/>
    <xf numFmtId="0" fontId="2" fillId="0" borderId="0" xfId="0" applyNumberFormat="1" applyFont="1" applyFill="1" applyBorder="1"/>
    <xf numFmtId="0" fontId="3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left" vertical="top" wrapText="1"/>
    </xf>
    <xf numFmtId="0" fontId="4" fillId="3" borderId="1" xfId="0" applyNumberFormat="1" applyFont="1" applyFill="1" applyBorder="1"/>
    <xf numFmtId="0" fontId="5" fillId="3" borderId="1" xfId="0" applyNumberFormat="1" applyFont="1" applyFill="1" applyBorder="1"/>
    <xf numFmtId="0" fontId="4" fillId="0" borderId="0" xfId="0" applyNumberFormat="1" applyFont="1" applyFill="1" applyBorder="1"/>
    <xf numFmtId="0" fontId="3" fillId="2" borderId="1" xfId="0" applyNumberFormat="1" applyFont="1" applyFill="1" applyBorder="1" applyAlignment="1">
      <alignment horizontal="center" vertical="top" wrapText="1"/>
    </xf>
    <xf numFmtId="0" fontId="1" fillId="0" borderId="1" xfId="0" applyNumberFormat="1" applyFont="1" applyFill="1" applyBorder="1"/>
    <xf numFmtId="165" fontId="1" fillId="0" borderId="1" xfId="0" applyNumberFormat="1" applyFont="1" applyFill="1" applyBorder="1"/>
    <xf numFmtId="167" fontId="6" fillId="3" borderId="1" xfId="1" applyNumberFormat="1" applyFill="1" applyBorder="1"/>
    <xf numFmtId="167" fontId="0" fillId="3" borderId="1" xfId="1" applyNumberFormat="1" applyFont="1" applyFill="1" applyBorder="1"/>
    <xf numFmtId="167" fontId="6" fillId="0" borderId="1" xfId="1" applyNumberFormat="1" applyBorder="1" applyAlignment="1">
      <alignment horizontal="right"/>
    </xf>
    <xf numFmtId="165" fontId="4" fillId="3" borderId="1" xfId="0" applyNumberFormat="1" applyFont="1" applyFill="1" applyBorder="1" applyAlignment="1">
      <alignment horizontal="right" vertical="top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5"/>
  <sheetViews>
    <sheetView tabSelected="1" topLeftCell="C1" workbookViewId="0">
      <selection activeCell="I13" sqref="I13"/>
    </sheetView>
  </sheetViews>
  <sheetFormatPr defaultRowHeight="12.75" x14ac:dyDescent="0.2"/>
  <cols>
    <col min="1" max="1" width="11.140625" style="1" customWidth="1"/>
    <col min="2" max="2" width="31" style="1" customWidth="1"/>
    <col min="3" max="3" width="12.7109375" style="1" customWidth="1"/>
    <col min="4" max="11" width="16.7109375" style="1" customWidth="1"/>
    <col min="12" max="13" width="19.85546875" style="1" customWidth="1"/>
    <col min="14" max="16384" width="9.140625" style="1"/>
  </cols>
  <sheetData>
    <row r="1" spans="1:13" ht="20.25" x14ac:dyDescent="0.3">
      <c r="A1" s="2" t="s">
        <v>1</v>
      </c>
      <c r="C1" s="3" t="s">
        <v>0</v>
      </c>
      <c r="D1" s="3">
        <f>Data2!A2</f>
        <v>0</v>
      </c>
      <c r="F1" s="3" t="s">
        <v>2</v>
      </c>
      <c r="G1" s="3"/>
      <c r="H1" s="3">
        <f>Data2!B2</f>
        <v>0</v>
      </c>
    </row>
    <row r="2" spans="1:13" s="4" customFormat="1" ht="41.1" customHeight="1" x14ac:dyDescent="0.25">
      <c r="A2" s="8" t="s">
        <v>3</v>
      </c>
      <c r="B2" s="8" t="s">
        <v>4</v>
      </c>
      <c r="C2" s="8" t="s">
        <v>5</v>
      </c>
      <c r="D2" s="8" t="s">
        <v>6</v>
      </c>
      <c r="E2" s="8" t="s">
        <v>7</v>
      </c>
      <c r="F2" s="8" t="s">
        <v>8</v>
      </c>
      <c r="G2" s="8" t="s">
        <v>15</v>
      </c>
      <c r="H2" s="8" t="s">
        <v>9</v>
      </c>
      <c r="I2" s="8" t="s">
        <v>11</v>
      </c>
      <c r="J2" s="8" t="s">
        <v>10</v>
      </c>
      <c r="K2" s="8" t="s">
        <v>12</v>
      </c>
      <c r="L2" s="8" t="s">
        <v>16</v>
      </c>
      <c r="M2" s="8" t="s">
        <v>17</v>
      </c>
    </row>
    <row r="3" spans="1:13" s="7" customFormat="1" ht="12.75" customHeight="1" x14ac:dyDescent="0.25">
      <c r="A3" s="5"/>
      <c r="B3" s="5"/>
      <c r="C3" s="6" t="s">
        <v>13</v>
      </c>
      <c r="D3" s="14">
        <f>SUM(D5:D50000)</f>
        <v>0</v>
      </c>
      <c r="E3" s="14">
        <f t="shared" ref="E3:J3" si="0">SUM(E5:E50000)</f>
        <v>0</v>
      </c>
      <c r="F3" s="14">
        <f t="shared" si="0"/>
        <v>0</v>
      </c>
      <c r="G3" s="14">
        <f t="shared" si="0"/>
        <v>0</v>
      </c>
      <c r="H3" s="14">
        <f t="shared" si="0"/>
        <v>0</v>
      </c>
      <c r="I3" s="11" t="e">
        <f>H3/D3</f>
        <v>#DIV/0!</v>
      </c>
      <c r="J3" s="14">
        <f t="shared" si="0"/>
        <v>0</v>
      </c>
      <c r="K3" s="11" t="e">
        <f>J3/D3</f>
        <v>#DIV/0!</v>
      </c>
      <c r="L3" s="14">
        <f>SUM(L5:L50000)</f>
        <v>0</v>
      </c>
      <c r="M3" s="11" t="e">
        <f>L3/D3</f>
        <v>#DIV/0!</v>
      </c>
    </row>
    <row r="4" spans="1:13" s="7" customFormat="1" ht="12.75" customHeight="1" x14ac:dyDescent="0.25">
      <c r="A4" s="5"/>
      <c r="B4" s="5"/>
      <c r="C4" s="6" t="s">
        <v>14</v>
      </c>
      <c r="D4" s="14">
        <f>SUBTOTAL(9,D5:D50000)</f>
        <v>0</v>
      </c>
      <c r="E4" s="14">
        <f t="shared" ref="E4:L4" si="1">SUBTOTAL(9,E5:E50000)</f>
        <v>0</v>
      </c>
      <c r="F4" s="14">
        <f t="shared" si="1"/>
        <v>0</v>
      </c>
      <c r="G4" s="14">
        <f t="shared" si="1"/>
        <v>0</v>
      </c>
      <c r="H4" s="14">
        <f t="shared" si="1"/>
        <v>0</v>
      </c>
      <c r="I4" s="11" t="e">
        <f>H4/D4</f>
        <v>#DIV/0!</v>
      </c>
      <c r="J4" s="14">
        <f t="shared" si="1"/>
        <v>0</v>
      </c>
      <c r="K4" s="11" t="e">
        <f>J4/D4</f>
        <v>#DIV/0!</v>
      </c>
      <c r="L4" s="14">
        <f t="shared" si="1"/>
        <v>0</v>
      </c>
      <c r="M4" s="12" t="e">
        <f>L4/D4</f>
        <v>#DIV/0!</v>
      </c>
    </row>
    <row r="5" spans="1:13" ht="12.75" customHeight="1" x14ac:dyDescent="0.25">
      <c r="A5" s="9">
        <f>Data1!A2</f>
        <v>0</v>
      </c>
      <c r="B5" s="9">
        <f>Data1!B2</f>
        <v>0</v>
      </c>
      <c r="C5" s="9">
        <f>Data1!C2</f>
        <v>0</v>
      </c>
      <c r="D5" s="10">
        <f>Data1!D2</f>
        <v>0</v>
      </c>
      <c r="E5" s="10">
        <f>Data1!E2</f>
        <v>0</v>
      </c>
      <c r="F5" s="10">
        <f>Data1!F2</f>
        <v>0</v>
      </c>
      <c r="G5" s="10">
        <f>Data1!M2</f>
        <v>0</v>
      </c>
      <c r="H5" s="10">
        <f>Data1!G2</f>
        <v>0</v>
      </c>
      <c r="I5" s="13">
        <f>Data1!H2/100</f>
        <v>0</v>
      </c>
      <c r="J5" s="10">
        <f>Data1!I2</f>
        <v>0</v>
      </c>
      <c r="K5" s="13">
        <f>Data1!J2/100</f>
        <v>0</v>
      </c>
      <c r="L5" s="10">
        <f>Data1!K2</f>
        <v>0</v>
      </c>
      <c r="M5" s="13">
        <f>Data1!L2/100</f>
        <v>0</v>
      </c>
    </row>
    <row r="6" spans="1:13" ht="12.75" customHeight="1" x14ac:dyDescent="0.2"/>
    <row r="7" spans="1:13" ht="12.75" customHeight="1" x14ac:dyDescent="0.2"/>
    <row r="8" spans="1:13" ht="12.75" customHeight="1" x14ac:dyDescent="0.2"/>
    <row r="9" spans="1:13" ht="12.75" customHeight="1" x14ac:dyDescent="0.2"/>
    <row r="10" spans="1:13" ht="12.75" customHeight="1" x14ac:dyDescent="0.2"/>
    <row r="11" spans="1:13" ht="12.75" customHeight="1" x14ac:dyDescent="0.2"/>
    <row r="12" spans="1:13" ht="12.75" customHeight="1" x14ac:dyDescent="0.2"/>
    <row r="13" spans="1:13" ht="12.75" customHeight="1" x14ac:dyDescent="0.2"/>
    <row r="14" spans="1:13" ht="12.75" customHeight="1" x14ac:dyDescent="0.2"/>
    <row r="15" spans="1:13" ht="12.75" customHeight="1" x14ac:dyDescent="0.2"/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13" sqref="A1:J1105"/>
    </sheetView>
  </sheetViews>
  <sheetFormatPr defaultRowHeight="15" x14ac:dyDescent="0.25"/>
  <cols>
    <col min="1" max="1" width="9.85546875" bestFit="1" customWidth="1"/>
    <col min="2" max="2" width="11.5703125" bestFit="1" customWidth="1"/>
    <col min="3" max="3" width="8.85546875" bestFit="1" customWidth="1"/>
    <col min="4" max="4" width="58.28515625" bestFit="1" customWidth="1"/>
    <col min="5" max="5" width="7.28515625" bestFit="1" customWidth="1"/>
    <col min="6" max="6" width="15.140625" bestFit="1" customWidth="1"/>
    <col min="7" max="7" width="15" bestFit="1" customWidth="1"/>
    <col min="8" max="8" width="12" bestFit="1" customWidth="1"/>
    <col min="9" max="9" width="17.7109375" bestFit="1" customWidth="1"/>
    <col min="10" max="10" width="17.57031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6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Data1</vt:lpstr>
      <vt:lpstr>Data2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2019-01-10T06:31:48Z</dcterms:modified>
</cp:coreProperties>
</file>