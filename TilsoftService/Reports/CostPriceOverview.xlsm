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ostPriceOverview" sheetId="1" r:id="rId1"/>
    <sheet name="CostPriceInCont" sheetId="5" r:id="rId2"/>
    <sheet name="Supplier" sheetId="11" r:id="rId3"/>
    <sheet name="Data1" sheetId="2" r:id="rId4"/>
    <sheet name="Data2" sheetId="3" r:id="rId5"/>
    <sheet name="Data3" sheetId="7" r:id="rId6"/>
    <sheet name="Data4" sheetId="9" r:id="rId7"/>
    <sheet name="Data5" sheetId="10" r:id="rId8"/>
  </sheets>
  <definedNames>
    <definedName name="_xlnm._FilterDatabase" localSheetId="1" hidden="1">CostPriceInCont!$A$4:$L$4</definedName>
    <definedName name="_xlnm._FilterDatabase" localSheetId="0" hidden="1">CostPriceOverview!$A$6:$AQ$7</definedName>
    <definedName name="_xlnm._FilterDatabase" localSheetId="2" hidden="1">Supplier!$A$4:$K$4</definedName>
  </definedNames>
  <calcPr calcId="152511"/>
</workbook>
</file>

<file path=xl/calcChain.xml><?xml version="1.0" encoding="utf-8"?>
<calcChain xmlns="http://schemas.openxmlformats.org/spreadsheetml/2006/main">
  <c r="G5" i="11" l="1"/>
  <c r="G2" i="11" s="1"/>
  <c r="J5" i="11"/>
  <c r="H5" i="11"/>
  <c r="H2" i="11" s="1"/>
  <c r="F5" i="11"/>
  <c r="F2" i="11" s="1"/>
  <c r="D5" i="11"/>
  <c r="D2" i="11" s="1"/>
  <c r="B5" i="11"/>
  <c r="A5" i="11"/>
  <c r="H3" i="11"/>
  <c r="G3" i="11"/>
  <c r="D3" i="11" l="1"/>
  <c r="F3" i="11"/>
  <c r="I5" i="11"/>
  <c r="K5" i="11"/>
  <c r="I2" i="11"/>
  <c r="I3" i="11"/>
  <c r="J3" i="11"/>
  <c r="K3" i="11" s="1"/>
  <c r="J2" i="11"/>
  <c r="K2" i="11" s="1"/>
  <c r="E5" i="11"/>
  <c r="C5" i="11"/>
  <c r="E2" i="11" l="1"/>
  <c r="E3" i="11"/>
  <c r="C3" i="11"/>
  <c r="C2" i="11"/>
  <c r="L5" i="5" l="1"/>
  <c r="K5" i="5"/>
  <c r="J5" i="5"/>
  <c r="I5" i="5" s="1"/>
  <c r="H5" i="5"/>
  <c r="F5" i="5"/>
  <c r="E5" i="5"/>
  <c r="D5" i="5"/>
  <c r="C5" i="5"/>
  <c r="B5" i="5"/>
  <c r="A5" i="5"/>
  <c r="L3" i="5"/>
  <c r="K3" i="5"/>
  <c r="J3" i="5"/>
  <c r="H3" i="5"/>
  <c r="L2" i="5"/>
  <c r="K2" i="5"/>
  <c r="H2" i="5"/>
  <c r="AQ7" i="1"/>
  <c r="AP7" i="1"/>
  <c r="AN7" i="1"/>
  <c r="AM7" i="1"/>
  <c r="AL7" i="1"/>
  <c r="AK7" i="1"/>
  <c r="AI7" i="1"/>
  <c r="AJ7" i="1" s="1"/>
  <c r="AH7" i="1"/>
  <c r="AG7" i="1"/>
  <c r="AF7" i="1"/>
  <c r="AE7" i="1"/>
  <c r="AD7" i="1"/>
  <c r="AC7" i="1"/>
  <c r="AB7" i="1"/>
  <c r="AA7" i="1"/>
  <c r="Y7" i="1"/>
  <c r="X7" i="1"/>
  <c r="W7" i="1"/>
  <c r="V7" i="1"/>
  <c r="T7" i="1"/>
  <c r="T4" i="1" s="1"/>
  <c r="R7" i="1"/>
  <c r="Q7" i="1"/>
  <c r="Q5" i="1" s="1"/>
  <c r="P7" i="1"/>
  <c r="P5" i="1" s="1"/>
  <c r="O7" i="1"/>
  <c r="M7" i="1"/>
  <c r="L7" i="1"/>
  <c r="N7" i="1" s="1"/>
  <c r="K7" i="1"/>
  <c r="J7" i="1"/>
  <c r="I7" i="1"/>
  <c r="H7" i="1"/>
  <c r="G7" i="1"/>
  <c r="F7" i="1"/>
  <c r="E7" i="1"/>
  <c r="D7" i="1"/>
  <c r="C7" i="1"/>
  <c r="B7" i="1"/>
  <c r="A7" i="1"/>
  <c r="T5" i="1"/>
  <c r="R5" i="1"/>
  <c r="M5" i="1"/>
  <c r="R4" i="1"/>
  <c r="M4" i="1"/>
  <c r="K2" i="1"/>
  <c r="F2" i="1"/>
  <c r="G5" i="5" l="1"/>
  <c r="G3" i="5" s="1"/>
  <c r="AJ5" i="1"/>
  <c r="AJ4" i="1"/>
  <c r="P4" i="1"/>
  <c r="S7" i="1"/>
  <c r="S5" i="1" s="1"/>
  <c r="N4" i="1"/>
  <c r="N5" i="1"/>
  <c r="I2" i="5"/>
  <c r="I3" i="5"/>
  <c r="Q4" i="1"/>
  <c r="U7" i="1"/>
  <c r="J2" i="5"/>
  <c r="G2" i="5" l="1"/>
  <c r="S4" i="1"/>
  <c r="S2" i="1" s="1"/>
  <c r="U5" i="1"/>
  <c r="U4" i="1"/>
  <c r="U2" i="1" s="1"/>
</calcChain>
</file>

<file path=xl/sharedStrings.xml><?xml version="1.0" encoding="utf-8"?>
<sst xmlns="http://schemas.openxmlformats.org/spreadsheetml/2006/main" count="72" uniqueCount="62">
  <si>
    <t>LDS</t>
  </si>
  <si>
    <t>Currency</t>
  </si>
  <si>
    <t>#</t>
  </si>
  <si>
    <t>Client Code</t>
  </si>
  <si>
    <t>VN-monitored by</t>
  </si>
  <si>
    <t>NL-monitored by</t>
  </si>
  <si>
    <t>Agented By</t>
  </si>
  <si>
    <t>Sale Manager</t>
  </si>
  <si>
    <t>Status Pending  in Cont.</t>
  </si>
  <si>
    <t>Status Confirmed in Cont.</t>
  </si>
  <si>
    <t>Delta cost price in Cont</t>
  </si>
  <si>
    <t xml:space="preserve"> Order in Cont.</t>
  </si>
  <si>
    <t xml:space="preserve"> Order in Cont with cost price</t>
  </si>
  <si>
    <t>Fob Cost price in USD</t>
  </si>
  <si>
    <t>Total</t>
  </si>
  <si>
    <t>Subtotal</t>
  </si>
  <si>
    <t>TOTAL IN EUR</t>
  </si>
  <si>
    <t>PROFORMA INVOICES</t>
  </si>
  <si>
    <t>EUR/USD =</t>
  </si>
  <si>
    <t>SUB-TOTAL IN EUR</t>
  </si>
  <si>
    <t>No.</t>
  </si>
  <si>
    <t>P/O. No.</t>
  </si>
  <si>
    <t>Date</t>
  </si>
  <si>
    <t>Customer Code</t>
  </si>
  <si>
    <t>Name Customer</t>
  </si>
  <si>
    <t>Sale</t>
  </si>
  <si>
    <t>Art. Code</t>
  </si>
  <si>
    <t>Art. Description</t>
  </si>
  <si>
    <t>Qnt/40ft</t>
  </si>
  <si>
    <t>Order qnt</t>
  </si>
  <si>
    <t>Order Type</t>
  </si>
  <si>
    <t>Loaded qnt</t>
  </si>
  <si>
    <t>Loaded in Cont.</t>
  </si>
  <si>
    <t>Shipped qnt</t>
  </si>
  <si>
    <t>Shipped in Cont.</t>
  </si>
  <si>
    <t>To Be Shipped qnt</t>
  </si>
  <si>
    <t>To Be Shipped in Cont.</t>
  </si>
  <si>
    <t>Main material</t>
  </si>
  <si>
    <t>Status</t>
  </si>
  <si>
    <t>Supplier</t>
  </si>
  <si>
    <t>S/C</t>
  </si>
  <si>
    <t>PRICE QUOTE</t>
  </si>
  <si>
    <t>CO</t>
  </si>
  <si>
    <t>PLACE</t>
  </si>
  <si>
    <t>QUALITY</t>
  </si>
  <si>
    <t>FOB PRICE 1</t>
  </si>
  <si>
    <t>FOB PRICE 2</t>
  </si>
  <si>
    <t>FOB PRICE 3</t>
  </si>
  <si>
    <t>LATEST UPDATED DATE</t>
  </si>
  <si>
    <t>FOB IN USD (COMPANY)</t>
  </si>
  <si>
    <t>Total in USD Company</t>
  </si>
  <si>
    <t>Target price</t>
  </si>
  <si>
    <t>FOB USD (BREAKDOWN)</t>
  </si>
  <si>
    <t>Price status</t>
  </si>
  <si>
    <t>Price cfmd date</t>
  </si>
  <si>
    <t>Proforma invoice</t>
  </si>
  <si>
    <t>RMK</t>
  </si>
  <si>
    <t xml:space="preserve"> Order in Cont </t>
  </si>
  <si>
    <t>Shipped in Cont</t>
  </si>
  <si>
    <t>Shipped in Cont  %</t>
  </si>
  <si>
    <t>To be shipped in Cont</t>
  </si>
  <si>
    <t>To be shipped in Cont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</si>
</sst>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₫_-;\-* #,##0.00\ _₫_-;_-* &quot;-&quot;??\ _₫_-;_-@_-"/>
    <numFmt numFmtId="164" formatCode="_-* #,##0\ _B_F_-;\-* #,##0\ _B_F_-;_-* &quot;-&quot;\ _B_F_-;_-@_-"/>
    <numFmt numFmtId="165" formatCode="_([$€-2]\ * #,##0.00_);_([$€-2]\ * \(#,##0.00\);_([$€-2]\ * &quot;-&quot;??_);_(@_)"/>
    <numFmt numFmtId="166" formatCode="_(* #,##0.00_);_(* \(#,##0.00\);_(* &quot;-&quot;??_);_(@_)"/>
    <numFmt numFmtId="167" formatCode="_-[$€-2]\ * #,##0_-;\-[$€-2]\ * #,##0_-;_-[$€-2]\ * &quot;-&quot;??_-;_-@_-"/>
    <numFmt numFmtId="168" formatCode="_-[$€-2]\ * #,##0.00_-;\-[$€-2]\ * #,##0.00_-;_-[$€-2]\ * &quot;-&quot;??_-;_-@_-"/>
    <numFmt numFmtId="169" formatCode="_-* #,##0_-;\-* #,##0_-;_-* &quot;-&quot;??_-;_-@_-"/>
    <numFmt numFmtId="170" formatCode="&quot;$&quot;#,##0.00"/>
    <numFmt numFmtId="171" formatCode="_-[$$-409]* #,##0.00_ ;_-[$$-409]* \-#,##0.00\ ;_-[$$-409]* &quot;-&quot;??_ ;_-@_ "/>
    <numFmt numFmtId="172" formatCode="_-[$$-409]* #,##0_ ;_-[$$-409]* \-#,##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3" fontId="1" fillId="0" borderId="0"/>
    <xf numFmtId="166" fontId="2" fillId="0" borderId="0"/>
    <xf numFmtId="43" fontId="2" fillId="0" borderId="0"/>
    <xf numFmtId="166" fontId="2" fillId="0" borderId="0"/>
    <xf numFmtId="166" fontId="2" fillId="0" borderId="0"/>
    <xf numFmtId="164" fontId="2" fillId="0" borderId="0"/>
    <xf numFmtId="9" fontId="1" fillId="0" borderId="0"/>
    <xf numFmtId="9" fontId="2" fillId="0" borderId="0"/>
  </cellStyleXfs>
  <cellXfs count="73">
    <xf numFmtId="0" fontId="0" fillId="0" borderId="0" xfId="0" applyNumberFormat="1" applyFont="1" applyFill="1" applyBorder="1"/>
    <xf numFmtId="3" fontId="4" fillId="3" borderId="2" xfId="6" applyNumberFormat="1" applyFont="1" applyFill="1" applyBorder="1" applyAlignment="1">
      <alignment horizontal="center" vertical="center" wrapText="1"/>
    </xf>
    <xf numFmtId="49" fontId="4" fillId="3" borderId="2" xfId="6" applyNumberFormat="1" applyFont="1" applyFill="1" applyBorder="1" applyAlignment="1">
      <alignment horizontal="center" vertical="center" wrapText="1"/>
    </xf>
    <xf numFmtId="168" fontId="4" fillId="3" borderId="2" xfId="6" applyNumberFormat="1" applyFont="1" applyFill="1" applyBorder="1" applyAlignment="1">
      <alignment horizontal="center" vertical="center" wrapText="1"/>
    </xf>
    <xf numFmtId="166" fontId="4" fillId="3" borderId="2" xfId="2" applyNumberFormat="1" applyFont="1" applyFill="1" applyBorder="1" applyAlignment="1">
      <alignment horizontal="center" vertical="center" wrapText="1"/>
    </xf>
    <xf numFmtId="164" fontId="4" fillId="3" borderId="2" xfId="6" applyNumberFormat="1" applyFont="1" applyFill="1" applyBorder="1" applyAlignment="1">
      <alignment horizontal="center" vertical="center" wrapText="1"/>
    </xf>
    <xf numFmtId="169" fontId="4" fillId="3" borderId="2" xfId="2" applyNumberFormat="1" applyFont="1" applyFill="1" applyBorder="1" applyAlignment="1">
      <alignment horizontal="center" vertical="center" wrapText="1"/>
    </xf>
    <xf numFmtId="43" fontId="4" fillId="3" borderId="2" xfId="1" applyNumberFormat="1" applyFont="1" applyFill="1" applyBorder="1" applyAlignment="1">
      <alignment horizontal="center" vertical="center" wrapText="1"/>
    </xf>
    <xf numFmtId="0" fontId="3" fillId="4" borderId="2" xfId="0" applyNumberFormat="1" applyFont="1" applyFill="1" applyBorder="1"/>
    <xf numFmtId="3" fontId="3" fillId="4" borderId="2" xfId="0" applyNumberFormat="1" applyFont="1" applyFill="1" applyBorder="1"/>
    <xf numFmtId="4" fontId="3" fillId="4" borderId="2" xfId="0" applyNumberFormat="1" applyFont="1" applyFill="1" applyBorder="1"/>
    <xf numFmtId="43" fontId="3" fillId="4" borderId="2" xfId="1" applyNumberFormat="1" applyFont="1" applyFill="1" applyBorder="1"/>
    <xf numFmtId="170" fontId="3" fillId="4" borderId="2" xfId="0" applyNumberFormat="1" applyFont="1" applyFill="1" applyBorder="1"/>
    <xf numFmtId="171" fontId="3" fillId="4" borderId="2" xfId="0" applyNumberFormat="1" applyFont="1" applyFill="1" applyBorder="1"/>
    <xf numFmtId="0" fontId="3" fillId="5" borderId="2" xfId="0" applyNumberFormat="1" applyFont="1" applyFill="1" applyBorder="1"/>
    <xf numFmtId="3" fontId="3" fillId="5" borderId="2" xfId="0" applyNumberFormat="1" applyFont="1" applyFill="1" applyBorder="1"/>
    <xf numFmtId="4" fontId="3" fillId="5" borderId="2" xfId="0" applyNumberFormat="1" applyFont="1" applyFill="1" applyBorder="1"/>
    <xf numFmtId="43" fontId="3" fillId="5" borderId="2" xfId="1" applyNumberFormat="1" applyFont="1" applyFill="1" applyBorder="1"/>
    <xf numFmtId="170" fontId="3" fillId="5" borderId="2" xfId="0" applyNumberFormat="1" applyFont="1" applyFill="1" applyBorder="1"/>
    <xf numFmtId="171" fontId="3" fillId="5" borderId="2" xfId="0" applyNumberFormat="1" applyFont="1" applyFill="1" applyBorder="1"/>
    <xf numFmtId="0" fontId="0" fillId="0" borderId="0" xfId="0" applyNumberFormat="1" applyFont="1" applyFill="1" applyBorder="1"/>
    <xf numFmtId="0" fontId="3" fillId="5" borderId="3" xfId="0" applyNumberFormat="1" applyFont="1" applyFill="1" applyBorder="1"/>
    <xf numFmtId="4" fontId="3" fillId="5" borderId="3" xfId="0" applyNumberFormat="1" applyFont="1" applyFill="1" applyBorder="1"/>
    <xf numFmtId="172" fontId="3" fillId="4" borderId="2" xfId="0" applyNumberFormat="1" applyFont="1" applyFill="1" applyBorder="1"/>
    <xf numFmtId="172" fontId="3" fillId="5" borderId="3" xfId="0" applyNumberFormat="1" applyFont="1" applyFill="1" applyBorder="1"/>
    <xf numFmtId="166" fontId="4" fillId="3" borderId="4" xfId="2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/>
    <xf numFmtId="0" fontId="3" fillId="0" borderId="0" xfId="0" applyNumberFormat="1" applyFont="1" applyFill="1" applyBorder="1"/>
    <xf numFmtId="43" fontId="3" fillId="0" borderId="0" xfId="1" applyNumberFormat="1" applyFont="1" applyFill="1" applyBorder="1"/>
    <xf numFmtId="0" fontId="6" fillId="0" borderId="0" xfId="2" applyNumberFormat="1" applyFont="1" applyFill="1" applyBorder="1" applyAlignment="1">
      <alignment horizontal="left" vertical="center"/>
    </xf>
    <xf numFmtId="166" fontId="6" fillId="0" borderId="0" xfId="2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center" vertical="center"/>
    </xf>
    <xf numFmtId="165" fontId="4" fillId="0" borderId="0" xfId="2" applyNumberFormat="1" applyFont="1" applyFill="1" applyBorder="1" applyAlignment="1">
      <alignment horizontal="center" vertical="center"/>
    </xf>
    <xf numFmtId="43" fontId="4" fillId="0" borderId="0" xfId="1" applyNumberFormat="1" applyFont="1" applyFill="1" applyBorder="1" applyAlignment="1">
      <alignment horizontal="center" vertical="center"/>
    </xf>
    <xf numFmtId="9" fontId="4" fillId="0" borderId="0" xfId="7" applyNumberFormat="1" applyFont="1" applyFill="1" applyBorder="1" applyAlignment="1">
      <alignment horizontal="center" vertical="center"/>
    </xf>
    <xf numFmtId="49" fontId="4" fillId="0" borderId="0" xfId="2" applyNumberFormat="1" applyFont="1" applyFill="1" applyBorder="1" applyAlignment="1">
      <alignment horizontal="center" vertical="center"/>
    </xf>
    <xf numFmtId="166" fontId="4" fillId="0" borderId="0" xfId="2" applyNumberFormat="1" applyFont="1" applyFill="1" applyBorder="1" applyAlignment="1">
      <alignment horizontal="left" vertical="center"/>
    </xf>
    <xf numFmtId="166" fontId="5" fillId="0" borderId="0" xfId="2" applyNumberFormat="1" applyFont="1" applyFill="1" applyBorder="1" applyAlignment="1">
      <alignment vertical="center"/>
    </xf>
    <xf numFmtId="166" fontId="5" fillId="0" borderId="0" xfId="2" applyNumberFormat="1" applyFont="1" applyFill="1" applyBorder="1" applyAlignment="1">
      <alignment horizontal="left" vertical="center"/>
    </xf>
    <xf numFmtId="166" fontId="5" fillId="0" borderId="0" xfId="2" applyNumberFormat="1" applyFont="1" applyFill="1" applyBorder="1" applyAlignment="1">
      <alignment horizontal="center" vertical="center"/>
    </xf>
    <xf numFmtId="166" fontId="6" fillId="0" borderId="0" xfId="2" applyNumberFormat="1" applyFont="1" applyFill="1" applyBorder="1" applyAlignment="1">
      <alignment vertical="center"/>
    </xf>
    <xf numFmtId="0" fontId="5" fillId="0" borderId="0" xfId="6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/>
    <xf numFmtId="0" fontId="3" fillId="0" borderId="2" xfId="0" applyNumberFormat="1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left"/>
    </xf>
    <xf numFmtId="3" fontId="3" fillId="0" borderId="2" xfId="0" applyNumberFormat="1" applyFont="1" applyFill="1" applyBorder="1" applyAlignment="1">
      <alignment horizontal="right"/>
    </xf>
    <xf numFmtId="2" fontId="3" fillId="0" borderId="2" xfId="0" applyNumberFormat="1" applyFont="1" applyFill="1" applyBorder="1" applyAlignment="1">
      <alignment horizontal="right"/>
    </xf>
    <xf numFmtId="171" fontId="3" fillId="0" borderId="2" xfId="0" applyNumberFormat="1" applyFont="1" applyFill="1" applyBorder="1" applyAlignment="1">
      <alignment horizontal="right"/>
    </xf>
    <xf numFmtId="49" fontId="7" fillId="0" borderId="1" xfId="6" applyNumberFormat="1" applyFont="1" applyFill="1" applyBorder="1" applyAlignment="1">
      <alignment horizontal="left" vertical="center"/>
    </xf>
    <xf numFmtId="0" fontId="8" fillId="0" borderId="0" xfId="2" applyNumberFormat="1" applyFont="1" applyFill="1" applyBorder="1" applyAlignment="1">
      <alignment horizontal="left" vertical="center"/>
    </xf>
    <xf numFmtId="49" fontId="7" fillId="0" borderId="0" xfId="6" applyNumberFormat="1" applyFont="1" applyFill="1" applyBorder="1" applyAlignment="1">
      <alignment horizontal="left" vertical="center"/>
    </xf>
    <xf numFmtId="167" fontId="9" fillId="0" borderId="0" xfId="2" applyNumberFormat="1" applyFont="1" applyFill="1" applyBorder="1" applyAlignment="1">
      <alignment horizontal="center" vertical="center"/>
    </xf>
    <xf numFmtId="49" fontId="8" fillId="0" borderId="0" xfId="2" applyNumberFormat="1" applyFont="1" applyFill="1" applyBorder="1" applyAlignment="1">
      <alignment horizontal="center" vertical="center"/>
    </xf>
    <xf numFmtId="0" fontId="3" fillId="6" borderId="4" xfId="0" applyNumberFormat="1" applyFont="1" applyFill="1" applyBorder="1" applyAlignment="1">
      <alignment horizontal="center" vertical="center"/>
    </xf>
    <xf numFmtId="0" fontId="3" fillId="7" borderId="3" xfId="0" applyNumberFormat="1" applyFont="1" applyFill="1" applyBorder="1"/>
    <xf numFmtId="4" fontId="3" fillId="0" borderId="2" xfId="0" applyNumberFormat="1" applyFont="1" applyFill="1" applyBorder="1"/>
    <xf numFmtId="171" fontId="3" fillId="0" borderId="2" xfId="0" applyNumberFormat="1" applyFont="1" applyFill="1" applyBorder="1"/>
    <xf numFmtId="14" fontId="3" fillId="0" borderId="2" xfId="0" applyNumberFormat="1" applyFont="1" applyFill="1" applyBorder="1" applyAlignment="1">
      <alignment horizontal="center"/>
    </xf>
    <xf numFmtId="0" fontId="3" fillId="6" borderId="2" xfId="0" applyNumberFormat="1" applyFont="1" applyFill="1" applyBorder="1" applyAlignment="1">
      <alignment horizontal="center" vertical="center"/>
    </xf>
    <xf numFmtId="43" fontId="4" fillId="3" borderId="2" xfId="3" applyNumberFormat="1" applyFont="1" applyFill="1" applyBorder="1" applyAlignment="1">
      <alignment horizontal="center" vertical="center" wrapText="1"/>
    </xf>
    <xf numFmtId="43" fontId="4" fillId="2" borderId="2" xfId="1" applyNumberFormat="1" applyFont="1" applyFill="1" applyBorder="1" applyAlignment="1">
      <alignment horizontal="center" vertical="center" wrapText="1"/>
    </xf>
    <xf numFmtId="166" fontId="4" fillId="2" borderId="2" xfId="2" applyNumberFormat="1" applyFont="1" applyFill="1" applyBorder="1" applyAlignment="1">
      <alignment horizontal="center" vertical="center" wrapText="1"/>
    </xf>
    <xf numFmtId="0" fontId="3" fillId="4" borderId="2" xfId="0" applyNumberFormat="1" applyFont="1" applyFill="1" applyBorder="1" applyAlignment="1">
      <alignment horizontal="right"/>
    </xf>
    <xf numFmtId="4" fontId="3" fillId="4" borderId="2" xfId="0" applyNumberFormat="1" applyFont="1" applyFill="1" applyBorder="1" applyAlignment="1">
      <alignment horizontal="right"/>
    </xf>
    <xf numFmtId="2" fontId="3" fillId="4" borderId="2" xfId="1" applyNumberFormat="1" applyFont="1" applyFill="1" applyBorder="1" applyAlignment="1">
      <alignment horizontal="right"/>
    </xf>
    <xf numFmtId="10" fontId="3" fillId="4" borderId="2" xfId="7" applyNumberFormat="1" applyFont="1" applyFill="1" applyBorder="1" applyAlignment="1">
      <alignment horizontal="right"/>
    </xf>
    <xf numFmtId="0" fontId="3" fillId="7" borderId="2" xfId="0" applyNumberFormat="1" applyFont="1" applyFill="1" applyBorder="1" applyAlignment="1">
      <alignment horizontal="right"/>
    </xf>
    <xf numFmtId="0" fontId="3" fillId="5" borderId="2" xfId="0" applyNumberFormat="1" applyFont="1" applyFill="1" applyBorder="1" applyAlignment="1">
      <alignment horizontal="right"/>
    </xf>
    <xf numFmtId="4" fontId="3" fillId="5" borderId="2" xfId="0" applyNumberFormat="1" applyFont="1" applyFill="1" applyBorder="1" applyAlignment="1">
      <alignment horizontal="right"/>
    </xf>
    <xf numFmtId="2" fontId="3" fillId="5" borderId="2" xfId="1" applyNumberFormat="1" applyFont="1" applyFill="1" applyBorder="1" applyAlignment="1">
      <alignment horizontal="right"/>
    </xf>
    <xf numFmtId="10" fontId="3" fillId="5" borderId="2" xfId="7" applyNumberFormat="1" applyFont="1" applyFill="1" applyBorder="1" applyAlignment="1">
      <alignment horizontal="right"/>
    </xf>
    <xf numFmtId="10" fontId="3" fillId="0" borderId="2" xfId="7" applyNumberFormat="1" applyFont="1" applyBorder="1"/>
    <xf numFmtId="49" fontId="4" fillId="2" borderId="2" xfId="6" applyNumberFormat="1" applyFont="1" applyFill="1" applyBorder="1" applyAlignment="1">
      <alignment horizontal="right" vertical="center"/>
    </xf>
  </cellXfs>
  <cellStyles count="9">
    <cellStyle name="Comma" xfId="1" builtinId="3"/>
    <cellStyle name="Comma 2" xfId="2"/>
    <cellStyle name="Comma 2 2" xfId="3"/>
    <cellStyle name="Komma 3" xfId="4"/>
    <cellStyle name="Komma_Kopie van 01  IN PRODUCTION PROFORMA INVOICES AVM 26-09-08 (INGEVULD)" xfId="5"/>
    <cellStyle name="Normal" xfId="0" builtinId="0"/>
    <cellStyle name="Normal 2" xfId="6"/>
    <cellStyle name="Percent" xfId="7" builtinId="5"/>
    <cellStyle name="Percent 2" xf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7"/>
  <sheetViews>
    <sheetView tabSelected="1" zoomScale="80" zoomScaleNormal="80" workbookViewId="0">
      <pane xSplit="14" ySplit="6" topLeftCell="O7" activePane="bottomRight" state="frozen"/>
      <selection pane="topRight" activeCell="O1" sqref="O1"/>
      <selection pane="bottomLeft" activeCell="A7" sqref="A7"/>
      <selection pane="bottomRight"/>
    </sheetView>
  </sheetViews>
  <sheetFormatPr defaultRowHeight="12" x14ac:dyDescent="0.2"/>
  <cols>
    <col min="1" max="1" width="5.85546875" style="27" customWidth="1"/>
    <col min="2" max="2" width="9.140625" style="27" customWidth="1"/>
    <col min="3" max="3" width="10.7109375" style="27" bestFit="1" customWidth="1"/>
    <col min="4" max="4" width="9.140625" style="27" customWidth="1"/>
    <col min="5" max="5" width="20.28515625" style="27" hidden="1" customWidth="1"/>
    <col min="6" max="8" width="11.28515625" style="27" customWidth="1"/>
    <col min="9" max="9" width="16.140625" style="27" bestFit="1" customWidth="1"/>
    <col min="10" max="10" width="23.7109375" style="27" customWidth="1"/>
    <col min="11" max="11" width="46.85546875" style="27" customWidth="1"/>
    <col min="12" max="14" width="9.140625" style="27" customWidth="1"/>
    <col min="15" max="15" width="11.28515625" style="27" bestFit="1" customWidth="1"/>
    <col min="16" max="16" width="9.140625" style="27" customWidth="1"/>
    <col min="17" max="17" width="10.28515625" style="27" bestFit="1" customWidth="1"/>
    <col min="18" max="18" width="9.140625" style="27" customWidth="1"/>
    <col min="19" max="19" width="11" style="27" bestFit="1" customWidth="1"/>
    <col min="20" max="20" width="9.140625" style="27" customWidth="1"/>
    <col min="21" max="21" width="11.28515625" style="27" bestFit="1" customWidth="1"/>
    <col min="22" max="22" width="11.42578125" style="27" bestFit="1" customWidth="1"/>
    <col min="23" max="23" width="6.7109375" style="27" bestFit="1" customWidth="1"/>
    <col min="24" max="24" width="12.42578125" style="27" bestFit="1" customWidth="1"/>
    <col min="25" max="25" width="10.7109375" style="27" bestFit="1" customWidth="1"/>
    <col min="26" max="26" width="6.42578125" style="27" customWidth="1"/>
    <col min="27" max="27" width="18.85546875" style="27" bestFit="1" customWidth="1"/>
    <col min="28" max="28" width="9.5703125" style="27" bestFit="1" customWidth="1"/>
    <col min="29" max="29" width="9.42578125" style="27" bestFit="1" customWidth="1"/>
    <col min="30" max="30" width="8.42578125" style="27" bestFit="1" customWidth="1"/>
    <col min="31" max="33" width="8.42578125" style="27" customWidth="1"/>
    <col min="34" max="34" width="12.42578125" style="27" customWidth="1"/>
    <col min="35" max="35" width="9.140625" style="27" customWidth="1"/>
    <col min="36" max="36" width="15.85546875" style="27" bestFit="1" customWidth="1"/>
    <col min="37" max="38" width="9.140625" style="27" customWidth="1"/>
    <col min="39" max="39" width="11.7109375" style="27" bestFit="1" customWidth="1"/>
    <col min="40" max="40" width="13" style="27" bestFit="1" customWidth="1"/>
    <col min="41" max="41" width="8.5703125" style="27" bestFit="1" customWidth="1"/>
    <col min="42" max="42" width="9.140625" style="27" customWidth="1"/>
    <col min="43" max="43" width="8.85546875" style="27" bestFit="1" customWidth="1"/>
    <col min="44" max="45" width="9.140625" style="27" customWidth="1"/>
    <col min="46" max="16384" width="9.140625" style="27"/>
  </cols>
  <sheetData>
    <row r="1" spans="1:43" x14ac:dyDescent="0.2">
      <c r="A1" s="26"/>
      <c r="L1" s="72" t="s">
        <v>16</v>
      </c>
      <c r="M1" s="72"/>
      <c r="Q1" s="28"/>
      <c r="S1" s="28"/>
      <c r="T1" s="28"/>
      <c r="U1" s="28"/>
    </row>
    <row r="2" spans="1:43" ht="15.75" x14ac:dyDescent="0.2">
      <c r="A2" s="48" t="s">
        <v>17</v>
      </c>
      <c r="B2" s="50"/>
      <c r="C2" s="51"/>
      <c r="D2" s="52"/>
      <c r="E2" s="49"/>
      <c r="F2" s="49">
        <f>Data4!A2</f>
        <v>0</v>
      </c>
      <c r="G2" s="29"/>
      <c r="H2" s="29"/>
      <c r="I2" s="30"/>
      <c r="J2" s="30" t="s">
        <v>18</v>
      </c>
      <c r="K2" s="31">
        <f>Data4!B2</f>
        <v>0</v>
      </c>
      <c r="L2" s="72" t="s">
        <v>19</v>
      </c>
      <c r="M2" s="72"/>
      <c r="N2" s="32"/>
      <c r="O2" s="32"/>
      <c r="P2" s="32"/>
      <c r="Q2" s="33"/>
      <c r="R2" s="32"/>
      <c r="S2" s="34" t="e">
        <f>+S4/N4</f>
        <v>#DIV/0!</v>
      </c>
      <c r="T2" s="33"/>
      <c r="U2" s="34" t="e">
        <f>+U4/N4</f>
        <v>#DIV/0!</v>
      </c>
      <c r="V2" s="32"/>
      <c r="W2" s="35"/>
      <c r="X2" s="36"/>
      <c r="Y2" s="37"/>
      <c r="Z2" s="37"/>
      <c r="AA2" s="38"/>
      <c r="AB2" s="39"/>
      <c r="AC2" s="39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40"/>
      <c r="AO2" s="37"/>
      <c r="AP2" s="41"/>
      <c r="AQ2" s="41"/>
    </row>
    <row r="3" spans="1:43" ht="60" customHeight="1" x14ac:dyDescent="0.2">
      <c r="A3" s="1" t="s">
        <v>20</v>
      </c>
      <c r="B3" s="2" t="s">
        <v>21</v>
      </c>
      <c r="C3" s="3" t="s">
        <v>22</v>
      </c>
      <c r="D3" s="2" t="s">
        <v>23</v>
      </c>
      <c r="E3" s="4" t="s">
        <v>24</v>
      </c>
      <c r="F3" s="4" t="s">
        <v>4</v>
      </c>
      <c r="G3" s="4" t="s">
        <v>5</v>
      </c>
      <c r="H3" s="4" t="s">
        <v>6</v>
      </c>
      <c r="I3" s="4" t="s">
        <v>25</v>
      </c>
      <c r="J3" s="4" t="s">
        <v>26</v>
      </c>
      <c r="K3" s="5" t="s">
        <v>27</v>
      </c>
      <c r="L3" s="5" t="s">
        <v>28</v>
      </c>
      <c r="M3" s="6" t="s">
        <v>29</v>
      </c>
      <c r="N3" s="4" t="s">
        <v>11</v>
      </c>
      <c r="O3" s="4" t="s">
        <v>30</v>
      </c>
      <c r="P3" s="4" t="s">
        <v>31</v>
      </c>
      <c r="Q3" s="7" t="s">
        <v>32</v>
      </c>
      <c r="R3" s="4" t="s">
        <v>33</v>
      </c>
      <c r="S3" s="7" t="s">
        <v>34</v>
      </c>
      <c r="T3" s="4" t="s">
        <v>35</v>
      </c>
      <c r="U3" s="7" t="s">
        <v>36</v>
      </c>
      <c r="V3" s="4" t="s">
        <v>37</v>
      </c>
      <c r="W3" s="4" t="s">
        <v>38</v>
      </c>
      <c r="X3" s="4" t="s">
        <v>39</v>
      </c>
      <c r="Y3" s="4" t="s">
        <v>0</v>
      </c>
      <c r="Z3" s="4" t="s">
        <v>40</v>
      </c>
      <c r="AA3" s="4" t="s">
        <v>41</v>
      </c>
      <c r="AB3" s="4" t="s">
        <v>42</v>
      </c>
      <c r="AC3" s="4" t="s">
        <v>43</v>
      </c>
      <c r="AD3" s="4" t="s">
        <v>44</v>
      </c>
      <c r="AE3" s="4" t="s">
        <v>45</v>
      </c>
      <c r="AF3" s="4" t="s">
        <v>46</v>
      </c>
      <c r="AG3" s="4" t="s">
        <v>47</v>
      </c>
      <c r="AH3" s="4" t="s">
        <v>48</v>
      </c>
      <c r="AI3" s="4" t="s">
        <v>49</v>
      </c>
      <c r="AJ3" s="4" t="s">
        <v>50</v>
      </c>
      <c r="AK3" s="4" t="s">
        <v>51</v>
      </c>
      <c r="AL3" s="4" t="s">
        <v>52</v>
      </c>
      <c r="AM3" s="4" t="s">
        <v>53</v>
      </c>
      <c r="AN3" s="4" t="s">
        <v>54</v>
      </c>
      <c r="AO3" s="4" t="s">
        <v>55</v>
      </c>
      <c r="AP3" s="4" t="s">
        <v>56</v>
      </c>
      <c r="AQ3" s="4" t="s">
        <v>1</v>
      </c>
    </row>
    <row r="4" spans="1:43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>
        <f t="shared" ref="M4:U4" si="0">SUM(M7:M50000)</f>
        <v>0</v>
      </c>
      <c r="N4" s="10">
        <f t="shared" si="0"/>
        <v>0</v>
      </c>
      <c r="O4" s="10"/>
      <c r="P4" s="9">
        <f t="shared" si="0"/>
        <v>0</v>
      </c>
      <c r="Q4" s="11">
        <f t="shared" si="0"/>
        <v>0</v>
      </c>
      <c r="R4" s="9">
        <f t="shared" si="0"/>
        <v>0</v>
      </c>
      <c r="S4" s="11">
        <f t="shared" si="0"/>
        <v>0</v>
      </c>
      <c r="T4" s="9">
        <f t="shared" si="0"/>
        <v>0</v>
      </c>
      <c r="U4" s="11">
        <f t="shared" si="0"/>
        <v>0</v>
      </c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12"/>
      <c r="AJ4" s="13">
        <f>SUM(AJ7:AJ50000)</f>
        <v>0</v>
      </c>
      <c r="AK4" s="12"/>
      <c r="AL4" s="12"/>
      <c r="AM4" s="8"/>
      <c r="AN4" s="8"/>
      <c r="AO4" s="8"/>
      <c r="AP4" s="8"/>
      <c r="AQ4" s="8"/>
    </row>
    <row r="5" spans="1:43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5">
        <f t="shared" ref="M5:U5" si="1">SUBTOTAL(9,M7:M50000)</f>
        <v>0</v>
      </c>
      <c r="N5" s="16">
        <f t="shared" si="1"/>
        <v>0</v>
      </c>
      <c r="O5" s="16"/>
      <c r="P5" s="15">
        <f t="shared" si="1"/>
        <v>0</v>
      </c>
      <c r="Q5" s="17">
        <f t="shared" si="1"/>
        <v>0</v>
      </c>
      <c r="R5" s="15">
        <f t="shared" si="1"/>
        <v>0</v>
      </c>
      <c r="S5" s="17">
        <f t="shared" si="1"/>
        <v>0</v>
      </c>
      <c r="T5" s="15">
        <f t="shared" si="1"/>
        <v>0</v>
      </c>
      <c r="U5" s="17">
        <f t="shared" si="1"/>
        <v>0</v>
      </c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8"/>
      <c r="AJ5" s="19">
        <f>SUBTOTAL(9,AJ7:AJ50000)</f>
        <v>0</v>
      </c>
      <c r="AK5" s="18"/>
      <c r="AL5" s="18"/>
      <c r="AM5" s="14"/>
      <c r="AN5" s="14"/>
      <c r="AO5" s="14"/>
      <c r="AP5" s="14"/>
      <c r="AQ5" s="14"/>
    </row>
    <row r="6" spans="1:43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</row>
    <row r="7" spans="1:43" x14ac:dyDescent="0.2">
      <c r="A7" s="42">
        <f>ROW()-6</f>
        <v>1</v>
      </c>
      <c r="B7" s="43" t="str">
        <f>Data1!B2&amp;""</f>
        <v/>
      </c>
      <c r="C7" s="43" t="str">
        <f>Data1!C2&amp;""</f>
        <v/>
      </c>
      <c r="D7" s="43" t="str">
        <f>Data1!D2&amp;""</f>
        <v/>
      </c>
      <c r="E7" s="42" t="str">
        <f>Data1!E2&amp;""</f>
        <v/>
      </c>
      <c r="F7" s="42" t="str">
        <f>Data1!H2&amp;""</f>
        <v/>
      </c>
      <c r="G7" s="42" t="str">
        <f>Data1!G2&amp;""</f>
        <v/>
      </c>
      <c r="H7" s="42" t="str">
        <f>Data1!I2&amp;""</f>
        <v/>
      </c>
      <c r="I7" s="42" t="str">
        <f>Data1!F2&amp;""</f>
        <v/>
      </c>
      <c r="J7" s="44" t="str">
        <f>Data1!J2&amp;""</f>
        <v/>
      </c>
      <c r="K7" s="42" t="str">
        <f>Data1!K2&amp;""</f>
        <v/>
      </c>
      <c r="L7" s="45">
        <f>Data1!L2</f>
        <v>0</v>
      </c>
      <c r="M7" s="45">
        <f>Data1!M2</f>
        <v>0</v>
      </c>
      <c r="N7" s="46" t="str">
        <f>IF(OR(L7="",L7=0,ISBLANK(L7)),"",ROUND(M7/L7,2))</f>
        <v/>
      </c>
      <c r="O7" s="43" t="str">
        <f>Data1!N2&amp;""</f>
        <v/>
      </c>
      <c r="P7" s="45">
        <f>Data1!P2</f>
        <v>0</v>
      </c>
      <c r="Q7" s="46" t="str">
        <f>IF(OR(L7="",L7=0,ISBLANK(L7)),"",P7/L7)</f>
        <v/>
      </c>
      <c r="R7" s="45">
        <f>Data1!O2</f>
        <v>0</v>
      </c>
      <c r="S7" s="46" t="str">
        <f>IF(OR(L7="",L7=0,ISBLANK(L7)),"",R7/L7)</f>
        <v/>
      </c>
      <c r="T7" s="45">
        <f>M7-R7</f>
        <v>0</v>
      </c>
      <c r="U7" s="46" t="str">
        <f>IF(OR(L7="",L7=0,ISBLANK(L7)),"",T7/L7)</f>
        <v/>
      </c>
      <c r="V7" s="43" t="str">
        <f>Data1!Q2&amp;""</f>
        <v/>
      </c>
      <c r="W7" s="43">
        <f>Data1!R2</f>
        <v>0</v>
      </c>
      <c r="X7" s="43" t="str">
        <f>Data1!S2&amp;""</f>
        <v/>
      </c>
      <c r="Y7" s="43" t="str">
        <f>Data1!T2&amp;""</f>
        <v/>
      </c>
      <c r="Z7" s="42"/>
      <c r="AA7" s="42" t="str">
        <f>Data1!U2&amp;""</f>
        <v/>
      </c>
      <c r="AB7" s="43" t="str">
        <f>Data1!V2&amp;""</f>
        <v/>
      </c>
      <c r="AC7" s="43" t="str">
        <f>Data1!W2&amp;""</f>
        <v/>
      </c>
      <c r="AD7" s="43" t="str">
        <f>Data1!X2&amp;""</f>
        <v/>
      </c>
      <c r="AE7" s="47">
        <f>Data1!Y2</f>
        <v>0</v>
      </c>
      <c r="AF7" s="47">
        <f>Data1!Z2</f>
        <v>0</v>
      </c>
      <c r="AG7" s="47">
        <f>Data1!AA2</f>
        <v>0</v>
      </c>
      <c r="AH7" s="57" t="str">
        <f>IF(ISBLANK(Data1!AB2),"",DATEVALUE(Data1!AB2))</f>
        <v/>
      </c>
      <c r="AI7" s="47">
        <f>Data1!AD2</f>
        <v>0</v>
      </c>
      <c r="AJ7" s="47">
        <f>IF(AI7="",0,AI7*M7)</f>
        <v>0</v>
      </c>
      <c r="AK7" s="47">
        <f>Data1!AE2</f>
        <v>0</v>
      </c>
      <c r="AL7" s="47">
        <f>Data1!AF2</f>
        <v>0</v>
      </c>
      <c r="AM7" s="43">
        <f>Data1!AG2</f>
        <v>0</v>
      </c>
      <c r="AN7" s="57" t="str">
        <f>IF(ISBLANK(Data1!AH2),"",DATEVALUE(Data1!AH2))</f>
        <v/>
      </c>
      <c r="AO7" s="43"/>
      <c r="AP7" s="44" t="str">
        <f>Data1!AI2&amp;""</f>
        <v/>
      </c>
      <c r="AQ7" s="43" t="str">
        <f>Data1!AJ2&amp;""</f>
        <v/>
      </c>
    </row>
  </sheetData>
  <autoFilter ref="A6:AQ7"/>
  <mergeCells count="2">
    <mergeCell ref="L1:M1"/>
    <mergeCell ref="L2:M2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"/>
  <sheetViews>
    <sheetView zoomScale="80" zoomScaleNormal="80" workbookViewId="0">
      <selection activeCell="C1" sqref="C1"/>
    </sheetView>
  </sheetViews>
  <sheetFormatPr defaultRowHeight="12" x14ac:dyDescent="0.2"/>
  <cols>
    <col min="1" max="1" width="5.85546875" style="27" customWidth="1"/>
    <col min="2" max="2" width="32" style="27" bestFit="1" customWidth="1"/>
    <col min="3" max="5" width="11.28515625" style="27" customWidth="1"/>
    <col min="6" max="6" width="17.85546875" style="27" customWidth="1"/>
    <col min="7" max="9" width="9.85546875" style="27" customWidth="1"/>
    <col min="10" max="10" width="10" style="27" bestFit="1" customWidth="1"/>
    <col min="11" max="11" width="8.5703125" style="27" bestFit="1" customWidth="1"/>
    <col min="12" max="12" width="15.42578125" style="27" bestFit="1" customWidth="1"/>
    <col min="13" max="14" width="9.140625" style="27" customWidth="1"/>
    <col min="15" max="16384" width="9.140625" style="27"/>
  </cols>
  <sheetData>
    <row r="1" spans="1:12" ht="48" x14ac:dyDescent="0.2">
      <c r="A1" s="53" t="s">
        <v>2</v>
      </c>
      <c r="B1" s="25" t="s">
        <v>3</v>
      </c>
      <c r="C1" s="25" t="s">
        <v>4</v>
      </c>
      <c r="D1" s="25" t="s">
        <v>5</v>
      </c>
      <c r="E1" s="25" t="s">
        <v>6</v>
      </c>
      <c r="F1" s="25" t="s">
        <v>7</v>
      </c>
      <c r="G1" s="25" t="s">
        <v>8</v>
      </c>
      <c r="H1" s="25" t="s">
        <v>9</v>
      </c>
      <c r="I1" s="25" t="s">
        <v>10</v>
      </c>
      <c r="J1" s="25" t="s">
        <v>11</v>
      </c>
      <c r="K1" s="25" t="s">
        <v>12</v>
      </c>
      <c r="L1" s="25" t="s">
        <v>13</v>
      </c>
    </row>
    <row r="2" spans="1:12" x14ac:dyDescent="0.2">
      <c r="A2" s="8"/>
      <c r="B2" s="8"/>
      <c r="C2" s="8"/>
      <c r="D2" s="8"/>
      <c r="E2" s="8"/>
      <c r="F2" s="8" t="s">
        <v>14</v>
      </c>
      <c r="G2" s="10">
        <f>SUM(G4:G5000)</f>
        <v>0</v>
      </c>
      <c r="H2" s="10">
        <f>SUM(H4:H5000)</f>
        <v>0</v>
      </c>
      <c r="I2" s="10">
        <f>SUM(I4:I5000)</f>
        <v>0</v>
      </c>
      <c r="J2" s="10">
        <f>SUM(J4:J5000)</f>
        <v>0</v>
      </c>
      <c r="K2" s="10">
        <f t="shared" ref="K2:L2" si="0">SUM(K4:K5000)</f>
        <v>0</v>
      </c>
      <c r="L2" s="23">
        <f t="shared" si="0"/>
        <v>0</v>
      </c>
    </row>
    <row r="3" spans="1:12" x14ac:dyDescent="0.2">
      <c r="A3" s="54"/>
      <c r="B3" s="21"/>
      <c r="C3" s="21"/>
      <c r="D3" s="21"/>
      <c r="E3" s="21"/>
      <c r="F3" s="21" t="s">
        <v>15</v>
      </c>
      <c r="G3" s="22">
        <f>SUBTOTAL(9,G4:G5000)</f>
        <v>0</v>
      </c>
      <c r="H3" s="22">
        <f>SUBTOTAL(9,H4:H5000)</f>
        <v>0</v>
      </c>
      <c r="I3" s="22">
        <f>SUBTOTAL(9,I4:I5000)</f>
        <v>0</v>
      </c>
      <c r="J3" s="22">
        <f>SUBTOTAL(9,J4:J5000)</f>
        <v>0</v>
      </c>
      <c r="K3" s="22">
        <f t="shared" ref="K3:L3" si="1">SUBTOTAL(9,K4:K5000)</f>
        <v>0</v>
      </c>
      <c r="L3" s="24">
        <f t="shared" si="1"/>
        <v>0</v>
      </c>
    </row>
    <row r="4" spans="1:12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</row>
    <row r="5" spans="1:12" x14ac:dyDescent="0.2">
      <c r="A5" s="42">
        <f>ROW()-4</f>
        <v>1</v>
      </c>
      <c r="B5" s="42">
        <f>Data2!C2</f>
        <v>0</v>
      </c>
      <c r="C5" s="42" t="str">
        <f>Data2!D2&amp;""</f>
        <v/>
      </c>
      <c r="D5" s="42" t="str">
        <f>Data2!E2&amp;""</f>
        <v/>
      </c>
      <c r="E5" s="42" t="str">
        <f>Data2!F2&amp;""</f>
        <v/>
      </c>
      <c r="F5" s="42" t="str">
        <f>Data2!G2&amp;""</f>
        <v/>
      </c>
      <c r="G5" s="55">
        <f>K5-H5</f>
        <v>0</v>
      </c>
      <c r="H5" s="55">
        <f>Data2!I2</f>
        <v>0</v>
      </c>
      <c r="I5" s="55">
        <f>J5-K5</f>
        <v>0</v>
      </c>
      <c r="J5" s="42">
        <f>Data2!K2</f>
        <v>0</v>
      </c>
      <c r="K5" s="55">
        <f>Data2!L2</f>
        <v>0</v>
      </c>
      <c r="L5" s="56">
        <f>Data2!M2</f>
        <v>0</v>
      </c>
    </row>
  </sheetData>
  <autoFilter ref="A4:L4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J13" sqref="J13"/>
    </sheetView>
  </sheetViews>
  <sheetFormatPr defaultRowHeight="12" x14ac:dyDescent="0.2"/>
  <cols>
    <col min="1" max="1" width="5.140625" style="27" customWidth="1"/>
    <col min="2" max="2" width="13.42578125" style="27" customWidth="1"/>
    <col min="3" max="16384" width="9.140625" style="27"/>
  </cols>
  <sheetData>
    <row r="1" spans="1:11" ht="36" x14ac:dyDescent="0.2">
      <c r="A1" s="58" t="s">
        <v>2</v>
      </c>
      <c r="B1" s="59" t="s">
        <v>39</v>
      </c>
      <c r="C1" s="59" t="s">
        <v>8</v>
      </c>
      <c r="D1" s="59" t="s">
        <v>9</v>
      </c>
      <c r="E1" s="59" t="s">
        <v>10</v>
      </c>
      <c r="F1" s="59" t="s">
        <v>57</v>
      </c>
      <c r="G1" s="59" t="s">
        <v>12</v>
      </c>
      <c r="H1" s="60" t="s">
        <v>58</v>
      </c>
      <c r="I1" s="61" t="s">
        <v>59</v>
      </c>
      <c r="J1" s="61" t="s">
        <v>60</v>
      </c>
      <c r="K1" s="61" t="s">
        <v>61</v>
      </c>
    </row>
    <row r="2" spans="1:11" x14ac:dyDescent="0.2">
      <c r="A2" s="62"/>
      <c r="B2" s="62"/>
      <c r="C2" s="63">
        <f t="shared" ref="C2:E2" si="0">SUM(C4:C500)</f>
        <v>0</v>
      </c>
      <c r="D2" s="63">
        <f t="shared" si="0"/>
        <v>0</v>
      </c>
      <c r="E2" s="63">
        <f t="shared" si="0"/>
        <v>0</v>
      </c>
      <c r="F2" s="63">
        <f>SUM(F4:F500)</f>
        <v>0</v>
      </c>
      <c r="G2" s="63">
        <f>SUM(G4:G500)</f>
        <v>0</v>
      </c>
      <c r="H2" s="64">
        <f>SUM(H4:H500)</f>
        <v>0</v>
      </c>
      <c r="I2" s="65" t="e">
        <f>+H2/G2</f>
        <v>#DIV/0!</v>
      </c>
      <c r="J2" s="64">
        <f>G2-H2</f>
        <v>0</v>
      </c>
      <c r="K2" s="65" t="e">
        <f>J2/G2</f>
        <v>#DIV/0!</v>
      </c>
    </row>
    <row r="3" spans="1:11" x14ac:dyDescent="0.2">
      <c r="A3" s="66"/>
      <c r="B3" s="67"/>
      <c r="C3" s="68">
        <f t="shared" ref="C3:E3" si="1">SUBTOTAL(9,C4:C500)</f>
        <v>0</v>
      </c>
      <c r="D3" s="68">
        <f t="shared" si="1"/>
        <v>0</v>
      </c>
      <c r="E3" s="68">
        <f t="shared" si="1"/>
        <v>0</v>
      </c>
      <c r="F3" s="68">
        <f>SUBTOTAL(9,F4:F500)</f>
        <v>0</v>
      </c>
      <c r="G3" s="68">
        <f>SUBTOTAL(9,G4:G500)</f>
        <v>0</v>
      </c>
      <c r="H3" s="69">
        <f>SUBTOTAL(9,H4:H500)</f>
        <v>0</v>
      </c>
      <c r="I3" s="70" t="e">
        <f>+H3/G3</f>
        <v>#DIV/0!</v>
      </c>
      <c r="J3" s="69">
        <f>G3-H3</f>
        <v>0</v>
      </c>
      <c r="K3" s="70" t="e">
        <f>J3/G3</f>
        <v>#DIV/0!</v>
      </c>
    </row>
    <row r="4" spans="1:1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</row>
    <row r="5" spans="1:11" x14ac:dyDescent="0.2">
      <c r="A5" s="42">
        <f>ROW()-4</f>
        <v>1</v>
      </c>
      <c r="B5" s="43">
        <f>Data5!B2</f>
        <v>0</v>
      </c>
      <c r="C5" s="55">
        <f>G5-D5</f>
        <v>0</v>
      </c>
      <c r="D5" s="55">
        <f>Data5!E2</f>
        <v>0</v>
      </c>
      <c r="E5" s="55">
        <f>F5-G5</f>
        <v>0</v>
      </c>
      <c r="F5" s="55">
        <f>Data5!G2</f>
        <v>0</v>
      </c>
      <c r="G5" s="55">
        <f>Data5!H2</f>
        <v>0</v>
      </c>
      <c r="H5" s="55">
        <f>Data5!K2</f>
        <v>0</v>
      </c>
      <c r="I5" s="71" t="e">
        <f>H5/F5</f>
        <v>#DIV/0!</v>
      </c>
      <c r="J5" s="55">
        <f>Data5!L2</f>
        <v>0</v>
      </c>
      <c r="K5" s="71" t="e">
        <f>J5/F5</f>
        <v>#DIV/0!</v>
      </c>
    </row>
  </sheetData>
  <autoFilter ref="A4:K4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R1" workbookViewId="0">
      <selection activeCell="R1" sqref="A1:XFD1048576"/>
    </sheetView>
  </sheetViews>
  <sheetFormatPr defaultRowHeight="15" x14ac:dyDescent="0.25"/>
  <cols>
    <col min="17" max="17" width="16.28515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FD1048576"/>
    </sheetView>
  </sheetViews>
  <sheetFormatPr defaultRowHeight="15" x14ac:dyDescent="0.25"/>
  <cols>
    <col min="1" max="1" width="9.85546875" bestFit="1" customWidth="1"/>
    <col min="2" max="2" width="58.28515625" bestFit="1" customWidth="1"/>
    <col min="3" max="3" width="10.5703125" bestFit="1" customWidth="1"/>
    <col min="4" max="4" width="17.7109375" bestFit="1" customWidth="1"/>
    <col min="5" max="5" width="9.42578125" bestFit="1" customWidth="1"/>
    <col min="6" max="6" width="17.42578125" bestFit="1" customWidth="1"/>
    <col min="7" max="7" width="14" bestFit="1" customWidth="1"/>
    <col min="8" max="8" width="12" bestFit="1" customWidth="1"/>
    <col min="9" max="9" width="15.42578125" bestFit="1" customWidth="1"/>
    <col min="10" max="10" width="15.5703125" bestFit="1" customWidth="1"/>
    <col min="11" max="11" width="17.5703125" bestFit="1" customWidth="1"/>
    <col min="12" max="12" width="15.42578125" bestFit="1" customWidth="1"/>
    <col min="13" max="13" width="23" bestFit="1" customWidth="1"/>
    <col min="14" max="14" width="16.140625" bestFit="1" customWidth="1"/>
    <col min="15" max="15" width="20.71093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>
      <selection sqref="A1:XFD1048576"/>
    </sheetView>
  </sheetViews>
  <sheetFormatPr defaultRowHeight="15" x14ac:dyDescent="0.25"/>
  <sheetData>
    <row r="1" spans="1:2" x14ac:dyDescent="0.25">
      <c r="A1" s="20"/>
      <c r="B1" s="20"/>
    </row>
    <row r="2" spans="1:2" x14ac:dyDescent="0.25">
      <c r="A2" s="20"/>
      <c r="B2" s="20"/>
    </row>
    <row r="3" spans="1:2" x14ac:dyDescent="0.25">
      <c r="A3" s="20"/>
      <c r="B3" s="20"/>
    </row>
    <row r="4" spans="1:2" x14ac:dyDescent="0.25">
      <c r="A4" s="20"/>
      <c r="B4" s="20"/>
    </row>
    <row r="5" spans="1:2" x14ac:dyDescent="0.25">
      <c r="A5" s="20"/>
      <c r="B5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C1" workbookViewId="0">
      <selection activeCell="E18" sqref="E18"/>
    </sheetView>
  </sheetViews>
  <sheetFormatPr defaultRowHeight="15" x14ac:dyDescent="0.25"/>
  <cols>
    <col min="3" max="3" width="9.28515625" bestFit="1" customWidth="1"/>
    <col min="4" max="4" width="21.5703125" bestFit="1" customWidth="1"/>
    <col min="5" max="5" width="23.7109375" bestFit="1" customWidth="1"/>
    <col min="6" max="6" width="18.85546875" bestFit="1" customWidth="1"/>
    <col min="7" max="7" width="18.5703125" bestFit="1" customWidth="1"/>
    <col min="8" max="8" width="14" bestFit="1" customWidth="1"/>
    <col min="9" max="9" width="12" bestFit="1" customWidth="1"/>
    <col min="10" max="10" width="31.7109375" bestFit="1" customWidth="1"/>
    <col min="11" max="11" width="16.140625" bestFit="1" customWidth="1"/>
    <col min="12" max="12" width="20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CostPriceOverview</vt:lpstr>
      <vt:lpstr>CostPriceInCont</vt:lpstr>
      <vt:lpstr>Supplier</vt:lpstr>
      <vt:lpstr>Data1</vt:lpstr>
      <vt:lpstr>Data2</vt:lpstr>
      <vt:lpstr>Data3</vt:lpstr>
      <vt:lpstr>Data4</vt:lpstr>
      <vt:lpstr>Data5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2017-12-22T06:31:16Z</dcterms:modified>
</cp:coreProperties>
</file>