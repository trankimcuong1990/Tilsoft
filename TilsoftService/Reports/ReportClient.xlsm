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105"/>
  </bookViews>
  <sheets>
    <sheet name="Report" sheetId="5" r:id="rId1"/>
    <sheet name="ParamTable" sheetId="6" state="hidden" r:id="rId2"/>
    <sheet name="REFItems" sheetId="2" state="hidden" r:id="rId3"/>
    <sheet name="TEMPLATE_PS" sheetId="4" state="hidden" r:id="rId4"/>
  </sheets>
  <definedNames>
    <definedName name="_xlnm._FilterDatabase" localSheetId="0" hidden="1">Report!$A$10:$Q$10</definedName>
    <definedName name="_xlnm.Print_Area" localSheetId="0">Report!$A$1:$Q$11</definedName>
    <definedName name="_xlnm.Print_Area" localSheetId="3">TEMPLATE_PS!$A$1:$Z$52</definedName>
    <definedName name="_xlnm.Print_Titles" localSheetId="0">Report!$7:$9</definedName>
  </definedNames>
  <calcPr calcId="152511"/>
</workbook>
</file>

<file path=xl/calcChain.xml><?xml version="1.0" encoding="utf-8"?>
<calcChain xmlns="http://schemas.openxmlformats.org/spreadsheetml/2006/main">
  <c r="T43" i="4" l="1"/>
  <c r="X49" i="4"/>
  <c r="Q49" i="4"/>
  <c r="P49" i="4"/>
  <c r="O49" i="4"/>
  <c r="I49" i="4"/>
  <c r="G49" i="4"/>
  <c r="E49" i="4"/>
  <c r="T21" i="4"/>
  <c r="W43" i="4"/>
  <c r="X11" i="4"/>
  <c r="T11" i="4"/>
  <c r="B11" i="4"/>
  <c r="D9" i="4"/>
  <c r="D8" i="4"/>
  <c r="U5" i="4"/>
  <c r="U4" i="4"/>
  <c r="U3" i="4"/>
  <c r="U2" i="4"/>
  <c r="K6" i="4"/>
  <c r="K5" i="4"/>
  <c r="K4" i="4"/>
  <c r="K3" i="4"/>
  <c r="K2" i="4"/>
  <c r="B2" i="4"/>
</calcChain>
</file>

<file path=xl/connections.xml><?xml version="1.0" encoding="utf-8"?>
<connections xmlns="http://schemas.openxmlformats.org/spreadsheetml/2006/main">
  <connection id="1" name="00012013GARTENCENTER AUGSBURGRL" type="4" refreshedVersion="0" background="1">
    <webPr xml="1" sourceData="1" url="C:\Documents and Settings\rdeleijser\Local Settings\Temp\00012013GARTENCENTER AUGSBURGRL.xml" htmlTables="1" htmlFormat="all"/>
  </connection>
  <connection id="2" name="PLC" type="4" refreshedVersion="0" background="1">
    <webPr xml="1" sourceData="1" url="D:\Projects\NewTillSoft\SOLUTION\TilsoftService\Tmp\Dev\PLC.xml" htmlTables="1" htmlFormat="all"/>
  </connection>
  <connection id="3" name="PLC1" type="4" refreshedVersion="0" background="1">
    <webPr xml="1" sourceData="1" url="D:\Projects\NewTillSoft\SOLUTION\TilsoftService\Tmp\Dev\PLC.xml" htmlTables="1" htmlFormat="all"/>
  </connection>
  <connection id="4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<sst xmlns="http://schemas.openxmlformats.org/spreadsheetml/2006/main" count="577" uniqueCount="317">
  <si>
    <t>40HC</t>
  </si>
  <si>
    <t>COMPANY NAME</t>
  </si>
  <si>
    <t>DATE</t>
  </si>
  <si>
    <t>ADDRESS</t>
  </si>
  <si>
    <t>OFFERNO</t>
  </si>
  <si>
    <t>ZIPCODE</t>
  </si>
  <si>
    <t>PLACE</t>
  </si>
  <si>
    <t>OFFER VALID UNTIL</t>
  </si>
  <si>
    <t>COUNTRY</t>
  </si>
  <si>
    <t>ACCOUNTMANAGER</t>
  </si>
  <si>
    <t>TELEPHONE NUMBER</t>
  </si>
  <si>
    <t>ART. DESCRIPTION:</t>
  </si>
  <si>
    <t>MATERIAL COLOR</t>
  </si>
  <si>
    <t>CUSHION COLOR</t>
  </si>
  <si>
    <t>ART. CODE:</t>
  </si>
  <si>
    <t>MEASUREMENTS</t>
  </si>
  <si>
    <t>LENGTH</t>
  </si>
  <si>
    <t>WIDTH</t>
  </si>
  <si>
    <t>HEIGHT</t>
  </si>
  <si>
    <t>LOADABILITY</t>
  </si>
  <si>
    <t>20FT</t>
  </si>
  <si>
    <t>40DC</t>
  </si>
  <si>
    <t>EUROFAR INT. BV.</t>
  </si>
  <si>
    <t>THE NETHERLANDS</t>
  </si>
  <si>
    <t>TEL +31 (0)13-5446193</t>
  </si>
  <si>
    <t>ns2:OfferID</t>
  </si>
  <si>
    <t>ns2:OfferDetailID</t>
  </si>
  <si>
    <t>ns2:LogoImage</t>
  </si>
  <si>
    <t>ns2:FullImage</t>
  </si>
  <si>
    <t>ns2:MaterialColorImage</t>
  </si>
  <si>
    <t>ns2:CushionColorImage</t>
  </si>
  <si>
    <t>ns2:LogoImagePath</t>
  </si>
  <si>
    <t>ns2:Address</t>
  </si>
  <si>
    <t>ns2:ZipCode</t>
  </si>
  <si>
    <t>ns2:CountryNM</t>
  </si>
  <si>
    <t>ns2:Telephone</t>
  </si>
  <si>
    <t>ns2:OfferDate</t>
  </si>
  <si>
    <t>ns2:OfferUD</t>
  </si>
  <si>
    <t>ns2:ValidUntil</t>
  </si>
  <si>
    <t>ns2:SaleNM</t>
  </si>
  <si>
    <t>ns2:ArticleCode</t>
  </si>
  <si>
    <t>ns2:Description</t>
  </si>
  <si>
    <t>ns2:FullImagePath</t>
  </si>
  <si>
    <t>ns2:MaterialImagePath</t>
  </si>
  <si>
    <t>ns2:CushionImagePath</t>
  </si>
  <si>
    <t>ns2:UnitPrice</t>
  </si>
  <si>
    <t>ns2:Remark</t>
  </si>
  <si>
    <t>ns2:OverallDimL</t>
  </si>
  <si>
    <t>ns2:OverallDimW</t>
  </si>
  <si>
    <t>ns2:OverallDimH</t>
  </si>
  <si>
    <t>ns2:Loadability20DC</t>
  </si>
  <si>
    <t>ns2:Loadability40DC</t>
  </si>
  <si>
    <t>ns2:Loadability40HC</t>
  </si>
  <si>
    <t>ns2:Email</t>
  </si>
  <si>
    <t>ns2:BuyerNM</t>
  </si>
  <si>
    <t>NO</t>
  </si>
  <si>
    <t>38</t>
  </si>
  <si>
    <t>65</t>
  </si>
  <si>
    <t>77</t>
  </si>
  <si>
    <t>85</t>
  </si>
  <si>
    <t>153</t>
  </si>
  <si>
    <t>C:\Documents and Settings\rdeleijser\Local Settings\Temp\tmp106.jpg</t>
  </si>
  <si>
    <t>C:\Documents and Settings\rdeleijser\Local Settings\Temp\tmp107.jpg</t>
  </si>
  <si>
    <t>C:\Documents and Settings\rdeleijser\Local Settings\Temp\tmp108.jpg</t>
  </si>
  <si>
    <t>C:\Documents and Settings\rdeleijser\Local Settings\Temp\tmp109.jpg</t>
  </si>
  <si>
    <t>C:\Documents and Settings\rdeleijser\Local Settings\Temp\tmp10A.jpg</t>
  </si>
  <si>
    <t>C:\Documents and Settings\rdeleijser\Local Settings\Temp\tmp10B.jpg</t>
  </si>
  <si>
    <t>C:\Documents and Settings\rdeleijser\Local Settings\Temp\tmp10C.jpg</t>
  </si>
  <si>
    <t>C:\Documents and Settings\rdeleijser\Local Settings\Temp\tmp10D.jpg</t>
  </si>
  <si>
    <t>C:\Documents and Settings\rdeleijser\Local Settings\Temp\tmp10E.jpg</t>
  </si>
  <si>
    <t>C:\Documents and Settings\rdeleijser\Local Settings\Temp\tmp111.jpg</t>
  </si>
  <si>
    <t>C:\Documents and Settings\rdeleijser\Local Settings\Temp\tmp112.jpg</t>
  </si>
  <si>
    <t>C:\Documents and Settings\rdeleijser\Local Settings\Temp\tmp113.jpg</t>
  </si>
  <si>
    <t>C:\Documents and Settings\rdeleijser\Local Settings\Temp\tmp114.jpg</t>
  </si>
  <si>
    <t>C:\Documents and Settings\rdeleijser\Local Settings\Temp\tmp116.jpg</t>
  </si>
  <si>
    <t>C:\Documents and Settings\rdeleijser\Local Settings\Temp\tmp117.jpg</t>
  </si>
  <si>
    <t>C:\Documents and Settings\rdeleijser\Local Settings\Temp\tmp118.jpg</t>
  </si>
  <si>
    <t>C:\Documents and Settings\rdeleijser\Local Settings\Temp\tmp119.jpg</t>
  </si>
  <si>
    <t>C:\Documents and Settings\rdeleijser\Local Settings\Temp\tmp11F.jpg</t>
  </si>
  <si>
    <t>C:\Documents and Settings\rdeleijser\Local Settings\Temp\tmp120.jpg</t>
  </si>
  <si>
    <t>C:\Documents and Settings\rdeleijser\Local Settings\Temp\tmp121.jpg</t>
  </si>
  <si>
    <t>C:\Documents and Settings\rdeleijser\Local Settings\Temp\tmp122.jpg</t>
  </si>
  <si>
    <t>C:\Documents and Settings\rdeleijser\Local Settings\Temp\tmp123.jpg</t>
  </si>
  <si>
    <t>C:\Documents and Settings\rdeleijser\Local Settings\Temp\tmp124.jpg</t>
  </si>
  <si>
    <t>C:\Documents and Settings\rdeleijser\Local Settings\Temp\tmp125.jpg</t>
  </si>
  <si>
    <t>A179212109A02A</t>
  </si>
  <si>
    <t>4550212115G20A</t>
  </si>
  <si>
    <t>4460212122D09A</t>
  </si>
  <si>
    <t>A400212024F05A</t>
  </si>
  <si>
    <t>4090211711A73A</t>
  </si>
  <si>
    <t>1063211217C05A</t>
  </si>
  <si>
    <t>46002121K9A02A</t>
  </si>
  <si>
    <t>43112G2115000A</t>
  </si>
  <si>
    <t>0029221201A05A</t>
  </si>
  <si>
    <t>35604A0076000A</t>
  </si>
  <si>
    <t>A3574A0076A16A</t>
  </si>
  <si>
    <t>5056101011000A</t>
  </si>
  <si>
    <t>A0681001B3000A</t>
  </si>
  <si>
    <t>C016W201I2000A</t>
  </si>
  <si>
    <t>3288A701D4000A</t>
  </si>
  <si>
    <t>3265100163000A</t>
  </si>
  <si>
    <t>A333110177A50A</t>
  </si>
  <si>
    <t>3230B00477000A</t>
  </si>
  <si>
    <t>3392100263000A</t>
  </si>
  <si>
    <t>39201007B1000C</t>
  </si>
  <si>
    <t>731561005G000B</t>
  </si>
  <si>
    <t>7350L000AZ000B</t>
  </si>
  <si>
    <t>A375L038A2B80A</t>
  </si>
  <si>
    <t>9246O100G5000B</t>
  </si>
  <si>
    <t>IBIZA LOUNGE SET (WITH ADJUSTABLE CHAIRS+BENCH)</t>
  </si>
  <si>
    <t>RIMINI LOUNGE CORNER SET</t>
  </si>
  <si>
    <t>TOSCANE LOUNGE SET</t>
  </si>
  <si>
    <t>CASABLANCA LOUNGE CORNER SET(LEFT+RIGHT+CORNER+TABLE90X90CM)</t>
  </si>
  <si>
    <t>SAFARI LOUNGE SET 4PCS (CORNER, LEFTARM, RIGHTARM, LOUNGE TABLE)</t>
  </si>
  <si>
    <t>MATINO CHAISE LONGUE SET (LEFT ARM, RIGHT ARM, TABLE)</t>
  </si>
  <si>
    <t>MARINA RELAX CHAIR</t>
  </si>
  <si>
    <t>PONTE DINING CHAIR WOODEN LEG</t>
  </si>
  <si>
    <t>CAPRI ARMCHAIR HIGHBACK</t>
  </si>
  <si>
    <t>GARDA SUNBRIGHT PVC LOUNGE SET= 4PCS (2 X CHAIR, BENCH + TABLE)</t>
  </si>
  <si>
    <t>BOMBAY DINING CHAIR</t>
  </si>
  <si>
    <t>SUNRISE TABLE 200X100X78 CM</t>
  </si>
  <si>
    <t>NORWICH FOLDABLE SET (2X BENCH, 1X TABLE)</t>
  </si>
  <si>
    <t>Tours table 200 X 100</t>
  </si>
  <si>
    <t>REDFORD FOLDING SET (2XCHAIR, 1XBENCH, 1XTABLE)</t>
  </si>
  <si>
    <t>CLASSIC FOLDING SET (2XCHAIR, TABLE)</t>
  </si>
  <si>
    <t>Ohio Lounge Set</t>
  </si>
  <si>
    <t>ANCONA OUTDOOR KITCHEN ON WHEELS BIG OLD WHITE</t>
  </si>
  <si>
    <t>ATLANTA FOLDING ETAGERE BIG</t>
  </si>
  <si>
    <t>SUMATRA TABLE 200CM X 100CM</t>
  </si>
  <si>
    <t>FARGO TABLE NEWWOOD 160X90X76 CM</t>
  </si>
  <si>
    <t>FARGO STACKING CHAIR NEWWOOD</t>
  </si>
  <si>
    <t>ATLANTIC LOUNGE CORNER SET</t>
  </si>
  <si>
    <t>SOLEIL LOUNGE CHAIR</t>
  </si>
  <si>
    <t>90/90/103</t>
  </si>
  <si>
    <t>76/76/73/76</t>
  </si>
  <si>
    <t>79/79/102</t>
  </si>
  <si>
    <t>109//109/109/90</t>
  </si>
  <si>
    <t>92/92/92/92</t>
  </si>
  <si>
    <t>92/81/77</t>
  </si>
  <si>
    <t>78</t>
  </si>
  <si>
    <t>68</t>
  </si>
  <si>
    <t>64</t>
  </si>
  <si>
    <t>91/91/110</t>
  </si>
  <si>
    <t>66</t>
  </si>
  <si>
    <t>200</t>
  </si>
  <si>
    <t>35/80</t>
  </si>
  <si>
    <t>60/60/123</t>
  </si>
  <si>
    <t>80/80/68</t>
  </si>
  <si>
    <t>160</t>
  </si>
  <si>
    <t>59</t>
  </si>
  <si>
    <t>75/75/75/60.5</t>
  </si>
  <si>
    <t>98</t>
  </si>
  <si>
    <t>65/253/53</t>
  </si>
  <si>
    <t>130/130/73/76</t>
  </si>
  <si>
    <t>84/148/51</t>
  </si>
  <si>
    <t>150/150/109/90</t>
  </si>
  <si>
    <t>92/152/152/92</t>
  </si>
  <si>
    <t>146/169/77</t>
  </si>
  <si>
    <t>73</t>
  </si>
  <si>
    <t>60</t>
  </si>
  <si>
    <t>61</t>
  </si>
  <si>
    <t>71/120/70</t>
  </si>
  <si>
    <t>57</t>
  </si>
  <si>
    <t>100</t>
  </si>
  <si>
    <t>120/140</t>
  </si>
  <si>
    <t>54/113.5/76</t>
  </si>
  <si>
    <t>53</t>
  </si>
  <si>
    <t>59/80/68</t>
  </si>
  <si>
    <t>54</t>
  </si>
  <si>
    <t>99</t>
  </si>
  <si>
    <t>90</t>
  </si>
  <si>
    <t>150/75/150/109.5</t>
  </si>
  <si>
    <t>100/100/42</t>
  </si>
  <si>
    <t>78/78/34/78</t>
  </si>
  <si>
    <t>80/80/32</t>
  </si>
  <si>
    <t>80/80/80/26</t>
  </si>
  <si>
    <t>72/72/72/33</t>
  </si>
  <si>
    <t>72/72/33</t>
  </si>
  <si>
    <t>97</t>
  </si>
  <si>
    <t>86</t>
  </si>
  <si>
    <t>95.5</t>
  </si>
  <si>
    <t>79/79/36</t>
  </si>
  <si>
    <t>81</t>
  </si>
  <si>
    <t>45/74</t>
  </si>
  <si>
    <t>73.5</t>
  </si>
  <si>
    <t>87/87/74.5</t>
  </si>
  <si>
    <t>82</t>
  </si>
  <si>
    <t>68/68/43.5</t>
  </si>
  <si>
    <t>79</t>
  </si>
  <si>
    <t>76</t>
  </si>
  <si>
    <t>88</t>
  </si>
  <si>
    <t>67/67/67/30.5</t>
  </si>
  <si>
    <t>GARTENCENTER AUGSBURG</t>
  </si>
  <si>
    <t>HÖRDERSTRAßE 119</t>
  </si>
  <si>
    <t>C:\Documents and Settings\rdeleijser\Local Settings\Temp\tmp105.jpg</t>
  </si>
  <si>
    <t>Robbert de Leijser</t>
  </si>
  <si>
    <t>e684b6759f4b4a518d2d0b7d9532250a.jpg</t>
  </si>
  <si>
    <t>e5fa7358eb6a48f186c9d16972ff9c2b.jpg</t>
  </si>
  <si>
    <t>3f637d5fd71443c78a8ef9ee5d36be69.jpg</t>
  </si>
  <si>
    <t>bb43970602f443ecab9295d36532e701.jpg</t>
  </si>
  <si>
    <t>7fe74ff606ac4d7194f65b6d323d9309.jpg</t>
  </si>
  <si>
    <t>9eb8b7e0fd6a4c83b5fee5b16a90bd6a.jpg</t>
  </si>
  <si>
    <t>ce25a01b8e094e4495036e0566047623.jpg</t>
  </si>
  <si>
    <t>412e7547ad3c4f0cbce5ff2bb3a30d54.jpg</t>
  </si>
  <si>
    <t>d990c88bf2564a979763a1762943849f.jpg</t>
  </si>
  <si>
    <t>faa2a342e5b2457489f9e3dd6c3e5b0a.jpg</t>
  </si>
  <si>
    <t>92bda187ab4748d1ba4476209f5cf374.jpg</t>
  </si>
  <si>
    <t>2feca1b80762466c866cef7ca9defb22.jpg</t>
  </si>
  <si>
    <t>c1bff9a85a274cfaaa9ae69b98036197.jpg</t>
  </si>
  <si>
    <t>09a395ec92664de79867f4ea54e701f4.jpg</t>
  </si>
  <si>
    <t>42e51265d3c344d7a26bf69b2ee8185b.jpg</t>
  </si>
  <si>
    <t>52a933b9f3f9408e9ae761fd777c0bdd.jpg</t>
  </si>
  <si>
    <t>a86d16440ee84c41b6abdbf58e4f9a33.jpg</t>
  </si>
  <si>
    <t>47be04d605b24ec9902139162a53ec78.jpg</t>
  </si>
  <si>
    <t>b0ea6bde75bb44208af537936c855a3d.jpg</t>
  </si>
  <si>
    <t>1e2d5cb525ae4639b1e4c0f7700355f7.jpg</t>
  </si>
  <si>
    <t>ee08d717fea94e6ba97eeaeaf7811ae8.jpg</t>
  </si>
  <si>
    <t>8247f5216be94e1abf7127dd8e87b0da.jpg</t>
  </si>
  <si>
    <t>c5048e7c689b428cae450a3f41cb1989.jpg</t>
  </si>
  <si>
    <t>d84816292f12454ea29afd310c0ad2a3.jpg</t>
  </si>
  <si>
    <t>32f0d06829b74297b2fab99531994853.jpg</t>
  </si>
  <si>
    <t>205ec599f51341d6a81994c76ed9dbc3.jpg</t>
  </si>
  <si>
    <t>06ba4c233ff04b958eb0f63328ecd9c8.jpg</t>
  </si>
  <si>
    <t>9973ccd4e1fb4643ba0c7d535a3d625b.jpg</t>
  </si>
  <si>
    <t>6ca069bced124c14b25b3b9df4d293f0.jpg</t>
  </si>
  <si>
    <t>90061519c23d47cfb0b1ae6d36e70cd8.jpg</t>
  </si>
  <si>
    <t>806586cddf084abc8d7542aab9bbcba7.jpg</t>
  </si>
  <si>
    <t>bca4b7572f3642a08a12bec29cae3288.jpg</t>
  </si>
  <si>
    <t>4aff34deb63c467aa8cb3b18322e9a35.jpg</t>
  </si>
  <si>
    <t>1596da32b95549979fbcb4ebd435c08f.jpg</t>
  </si>
  <si>
    <t>fa62991290924161aebd90adeb955ea6.jpg</t>
  </si>
  <si>
    <t>cd55341c594741bca1317123abce1e37.jpg</t>
  </si>
  <si>
    <t>994c94728c674b65b8eb3c61b06d0fe1.jpg</t>
  </si>
  <si>
    <t>aba010be88804f939956e5205efe2b6a.jpg</t>
  </si>
  <si>
    <t>f215ed7b3af44785b648f83b6c339081.jpg</t>
  </si>
  <si>
    <t>990f4580cf1a4be8acda3d11776aa787.jpg</t>
  </si>
  <si>
    <t>4b065fb0a0d14c9e80c39617c152e3df.jpg</t>
  </si>
  <si>
    <t>0974590d60d743bb839d19bf289147ab.jpg</t>
  </si>
  <si>
    <t>5621243514784fe8895bcd5cfb23892c.jpg</t>
  </si>
  <si>
    <t>cbc3c89395a74f799129e9bd55757b29.jpg</t>
  </si>
  <si>
    <t>53e7534bf00646a1a7ad4c343cfd391f.jpg</t>
  </si>
  <si>
    <t>181ebd93159e4a9c9b3783c9f5fcdd3d.jpg</t>
  </si>
  <si>
    <t>a7a59130be3f4e33976d1a8f69c7d619.jpg</t>
  </si>
  <si>
    <t>f8948e18bcce4e7b9b63fca23a6f7099.jpg</t>
  </si>
  <si>
    <t>3ac93322c4074efe847fa01265eb1c55.jpg</t>
  </si>
  <si>
    <t>81c8aa9902e24c868803c6416900f5f1.jpg</t>
  </si>
  <si>
    <t>DE-58239</t>
  </si>
  <si>
    <t>GERMANY</t>
  </si>
  <si>
    <t>+49(0)2304941110</t>
  </si>
  <si>
    <t>0001/2013/GARTENCENTER AUGSBURG/RL</t>
  </si>
  <si>
    <t>C:\Documents and Settings\rdeleijser\Local Settings\Temp\tmp126.jpg</t>
  </si>
  <si>
    <t>C:\Documents and Settings\rdeleijser\Local Settings\Temp\tmp128.jpg</t>
  </si>
  <si>
    <t>C:\Documents and Settings\rdeleijser\Local Settings\Temp\tmp12A.jpg</t>
  </si>
  <si>
    <t>C:\Documents and Settings\rdeleijser\Local Settings\Temp\tmp12C.jpg</t>
  </si>
  <si>
    <t>[NONE]</t>
  </si>
  <si>
    <t>C:\Documents and Settings\rdeleijser\Local Settings\Temp\tmp12F.jpg</t>
  </si>
  <si>
    <t>C:\Documents and Settings\rdeleijser\Local Settings\Temp\tmp134.jpg</t>
  </si>
  <si>
    <t>C:\Documents and Settings\rdeleijser\Local Settings\Temp\tmp135.jpg</t>
  </si>
  <si>
    <t>C:\Documents and Settings\rdeleijser\Local Settings\Temp\tmp137.jpg</t>
  </si>
  <si>
    <t>C:\Documents and Settings\rdeleijser\Local Settings\Temp\tmp138.jpg</t>
  </si>
  <si>
    <t>C:\Documents and Settings\rdeleijser\Local Settings\Temp\tmp13A.jpg</t>
  </si>
  <si>
    <t>C:\Documents and Settings\rdeleijser\Local Settings\Temp\tmp13B.jpg</t>
  </si>
  <si>
    <t>C:\Documents and Settings\rdeleijser\Local Settings\Temp\tmp13F.jpg</t>
  </si>
  <si>
    <t>C:\Documents and Settings\rdeleijser\Local Settings\Temp\tmp142.jpg</t>
  </si>
  <si>
    <t>C:\Documents and Settings\rdeleijser\Local Settings\Temp\tmp148.jpg</t>
  </si>
  <si>
    <t>C:\Documents and Settings\rdeleijser\Local Settings\Temp\tmp149.jpg</t>
  </si>
  <si>
    <t>C:\Documents and Settings\rdeleijser\Local Settings\Temp\tmp14A.jpg</t>
  </si>
  <si>
    <t>C:\Documents and Settings\rdeleijser\Local Settings\Temp\tmp14B.jpg</t>
  </si>
  <si>
    <t>C:\Documents and Settings\rdeleijser\Local Settings\Temp\tmp14C.jpg</t>
  </si>
  <si>
    <t>C:\Documents and Settings\rdeleijser\Local Settings\Temp\tmp14E.jpg</t>
  </si>
  <si>
    <t>C:\Documents and Settings\rdeleijser\Local Settings\Temp\tmp127.jpg</t>
  </si>
  <si>
    <t>C:\Documents and Settings\rdeleijser\Local Settings\Temp\tmp129.jpg</t>
  </si>
  <si>
    <t>C:\Documents and Settings\rdeleijser\Local Settings\Temp\tmp12B.jpg</t>
  </si>
  <si>
    <t>C:\Documents and Settings\rdeleijser\Local Settings\Temp\tmp12D.jpg</t>
  </si>
  <si>
    <t>C:\Documents and Settings\rdeleijser\Local Settings\Temp\tmp12E.jpg</t>
  </si>
  <si>
    <t>C:\Documents and Settings\rdeleijser\Local Settings\Temp\tmp130.jpg</t>
  </si>
  <si>
    <t>C:\Documents and Settings\rdeleijser\Local Settings\Temp\tmp131.jpg</t>
  </si>
  <si>
    <t>C:\Documents and Settings\rdeleijser\Local Settings\Temp\tmp136.jpg</t>
  </si>
  <si>
    <t>C:\Documents and Settings\rdeleijser\Local Settings\Temp\tmp139.jpg</t>
  </si>
  <si>
    <t>C:\Documents and Settings\rdeleijser\Local Settings\Temp\tmp147.jpg</t>
  </si>
  <si>
    <t>C:\Documents and Settings\rdeleijser\Local Settings\Temp\tmp14D.jpg</t>
  </si>
  <si>
    <t>robbert@eurofar.nl</t>
  </si>
  <si>
    <t>ns1:RowIndex</t>
  </si>
  <si>
    <t>ns1:Collection</t>
  </si>
  <si>
    <t>ns1:MaterialNM</t>
  </si>
  <si>
    <t>ns1:MaterialTypeNM</t>
  </si>
  <si>
    <t>ns1:MaterialColorNM</t>
  </si>
  <si>
    <t>Column1</t>
  </si>
  <si>
    <t>Column2</t>
  </si>
  <si>
    <t>Column3</t>
  </si>
  <si>
    <t>ns2:CachedClientUD</t>
  </si>
  <si>
    <t>Column4</t>
  </si>
  <si>
    <t>Column5</t>
  </si>
  <si>
    <t>CLIENT Code</t>
  </si>
  <si>
    <t>CLIENT NAME</t>
  </si>
  <si>
    <t>VAT NO</t>
  </si>
  <si>
    <t>Address 1</t>
  </si>
  <si>
    <t>ns1:ClientNM</t>
  </si>
  <si>
    <t xml:space="preserve">Address 2 </t>
  </si>
  <si>
    <t>Zip Code</t>
  </si>
  <si>
    <t>City</t>
  </si>
  <si>
    <t>Country</t>
  </si>
  <si>
    <t>Phone</t>
  </si>
  <si>
    <t>Email</t>
  </si>
  <si>
    <t>Fax</t>
  </si>
  <si>
    <t>Relationship From</t>
  </si>
  <si>
    <t>ns1:HaveBizRelationshipFrom</t>
  </si>
  <si>
    <t>ns1:Rating</t>
  </si>
  <si>
    <t>Rating</t>
  </si>
  <si>
    <t>ns1:GLNNumber</t>
  </si>
  <si>
    <t>GLN Number</t>
  </si>
  <si>
    <t>WebSite</t>
  </si>
  <si>
    <t>ns1:Website</t>
  </si>
  <si>
    <t>Agent</t>
  </si>
  <si>
    <t>ns1:AgentNM</t>
  </si>
  <si>
    <t>Saler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</si>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</sst>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_(* #,##0.00_);_(* \(#,##0.00\);_(* &quot;-&quot;??_);_(@_)"/>
    <numFmt numFmtId="165" formatCode="_ * #,##0.00_ ;_ * \-#,##0.00_ ;_ * &quot;-&quot;??_ ;_ @_ "/>
    <numFmt numFmtId="166" formatCode="&quot;€&quot;\ #,##0.00_-;&quot;€&quot;\ #,##0.00\-"/>
    <numFmt numFmtId="167" formatCode="&quot;€&quot;\ #,##0.00_-;[Red]&quot;€&quot;\ #,##0.00\-"/>
    <numFmt numFmtId="168" formatCode="_-* #,##0.00_-;_-* #,##0.00\-;_-* &quot;-&quot;??_-;_-@_-"/>
    <numFmt numFmtId="169" formatCode="_-* #,##0\ _B_F_-;\-* #,##0\ _B_F_-;_-* &quot;-&quot;\ _B_F_-;_-@_-"/>
    <numFmt numFmtId="170" formatCode="0.0"/>
    <numFmt numFmtId="171" formatCode="&quot;$&quot;#,##0.00"/>
    <numFmt numFmtId="172" formatCode="_-* #,##0\ _B_F_-;\-* #,##0\ _B_F_-;_-* &quot;- &quot;_B_F_-;_-@_-"/>
    <numFmt numFmtId="173" formatCode="00.000"/>
    <numFmt numFmtId="174" formatCode="_(* #,##0.00_);_(* \(#,##0.00\);_(* \-??_);_(@_)"/>
    <numFmt numFmtId="175" formatCode="_([$€]* #,##0.00_);_([$€]* \(#,##0.00\);_([$€]* &quot;-&quot;??_);_(@_)"/>
    <numFmt numFmtId="176" formatCode="[$$-409]#,##0.00"/>
    <numFmt numFmtId="177" formatCode="#,##0\ &quot;DM&quot;;\-#,##0\ &quot;DM&quot;"/>
    <numFmt numFmtId="178" formatCode="0.000%"/>
    <numFmt numFmtId="179" formatCode="&quot;￥&quot;#,##0;&quot;￥&quot;\-#,##0"/>
    <numFmt numFmtId="180" formatCode="_-* #,##0_-;\-* #,##0_-;_-* &quot;-&quot;_-;_-@_-"/>
    <numFmt numFmtId="181" formatCode="_-&quot;F&quot;* #,##0_-;\-&quot;F&quot;* #,##0_-;_-&quot;F&quot;* &quot;-&quot;_-;_-@_-"/>
    <numFmt numFmtId="182" formatCode="#,##0\ &quot;F&quot;;[Red]\-#,##0\ &quot;F&quot;"/>
    <numFmt numFmtId="183" formatCode="_-&quot;F&quot;* #,##0.00_-;\-&quot;F&quot;* #,##0.00_-;_-&quot;F&quot;* &quot;-&quot;??_-;_-@_-"/>
    <numFmt numFmtId="184" formatCode="[$-409]d\-mmm\-yy;@"/>
    <numFmt numFmtId="185" formatCode="[$$-413]\ #,##0.0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2"/>
      <name val="宋体"/>
      <charset val="134"/>
    </font>
    <font>
      <b/>
      <sz val="12"/>
      <name val="Arial"/>
      <family val="2"/>
    </font>
    <font>
      <u/>
      <sz val="8.25"/>
      <color theme="10"/>
      <name val="Calibri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family val="3"/>
    </font>
    <font>
      <sz val="8"/>
      <color theme="1"/>
      <name val="Calibri"/>
      <family val="2"/>
      <scheme val="minor"/>
    </font>
    <font>
      <u/>
      <sz val="12.65"/>
      <color theme="10"/>
      <name val="Calibri"/>
      <family val="2"/>
    </font>
    <font>
      <u/>
      <sz val="9"/>
      <color theme="10"/>
      <name val="Calibri"/>
      <family val="2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32"/>
      <name val="Verdana"/>
      <family val="2"/>
    </font>
    <font>
      <sz val="32"/>
      <color theme="0"/>
      <name val="Verdana"/>
      <family val="2"/>
    </font>
    <font>
      <sz val="32"/>
      <color indexed="8"/>
      <name val="Calibri"/>
      <family val="2"/>
    </font>
    <font>
      <sz val="32"/>
      <name val="Verdana"/>
      <family val="2"/>
      <charset val="163"/>
    </font>
    <font>
      <b/>
      <sz val="32"/>
      <color rgb="FF00B0F0"/>
      <name val="Verdana"/>
      <family val="2"/>
    </font>
    <font>
      <sz val="32"/>
      <name val="Verdana"/>
    </font>
    <font>
      <b/>
      <sz val="32"/>
      <color rgb="FF00B0F0"/>
      <name val="Verdana"/>
    </font>
    <font>
      <b/>
      <sz val="32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0">
    <xf numFmtId="0" fontId="0" fillId="0" borderId="0"/>
    <xf numFmtId="0" fontId="2" fillId="0" borderId="0"/>
    <xf numFmtId="16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1" fillId="0" borderId="0"/>
    <xf numFmtId="0" fontId="3" fillId="0" borderId="0"/>
    <xf numFmtId="16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3" fillId="0" borderId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5" fontId="3" fillId="0" borderId="0" applyFont="0" applyFill="0" applyBorder="0" applyAlignment="0" applyProtection="0"/>
    <xf numFmtId="0" fontId="6" fillId="0" borderId="15" applyNumberFormat="0" applyAlignment="0" applyProtection="0">
      <alignment horizontal="left" vertical="center"/>
    </xf>
    <xf numFmtId="0" fontId="6" fillId="0" borderId="7">
      <alignment horizontal="left"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 applyNumberFormat="0" applyFont="0" applyFill="0" applyAlignment="0"/>
    <xf numFmtId="0" fontId="3" fillId="0" borderId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2" fillId="0" borderId="0"/>
    <xf numFmtId="176" fontId="1" fillId="0" borderId="0" applyFill="0" applyBorder="0" applyAlignment="0" applyProtection="0"/>
    <xf numFmtId="169" fontId="3" fillId="0" borderId="0" applyFont="0" applyFill="0" applyBorder="0" applyAlignment="0" applyProtection="0"/>
    <xf numFmtId="0" fontId="3" fillId="0" borderId="0"/>
    <xf numFmtId="0" fontId="2" fillId="0" borderId="0"/>
    <xf numFmtId="0" fontId="3" fillId="0" borderId="0"/>
    <xf numFmtId="169" fontId="1" fillId="0" borderId="0" applyFill="0" applyBorder="0" applyAlignment="0" applyProtection="0"/>
    <xf numFmtId="169" fontId="2" fillId="0" borderId="0" applyFill="0" applyBorder="0" applyAlignment="0" applyProtection="0"/>
    <xf numFmtId="0" fontId="3" fillId="0" borderId="0"/>
    <xf numFmtId="0" fontId="1" fillId="0" borderId="0"/>
    <xf numFmtId="0" fontId="3" fillId="0" borderId="0"/>
    <xf numFmtId="169" fontId="1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>
      <alignment vertical="center"/>
    </xf>
    <xf numFmtId="40" fontId="12" fillId="0" borderId="0" applyFont="0" applyFill="0" applyBorder="0" applyAlignment="0" applyProtection="0"/>
    <xf numFmtId="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0" borderId="0"/>
    <xf numFmtId="177" fontId="15" fillId="0" borderId="0" applyFont="0" applyFill="0" applyBorder="0" applyAlignment="0" applyProtection="0"/>
    <xf numFmtId="178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16" fillId="0" borderId="0"/>
    <xf numFmtId="0" fontId="17" fillId="0" borderId="0" applyProtection="0"/>
    <xf numFmtId="180" fontId="18" fillId="0" borderId="0" applyFont="0" applyFill="0" applyBorder="0" applyAlignment="0" applyProtection="0"/>
    <xf numFmtId="40" fontId="19" fillId="0" borderId="0" applyFont="0" applyFill="0" applyBorder="0" applyAlignment="0" applyProtection="0"/>
    <xf numFmtId="0" fontId="3" fillId="0" borderId="0"/>
    <xf numFmtId="181" fontId="18" fillId="0" borderId="0" applyFont="0" applyFill="0" applyBorder="0" applyAlignment="0" applyProtection="0"/>
    <xf numFmtId="182" fontId="19" fillId="0" borderId="0" applyFont="0" applyFill="0" applyBorder="0" applyAlignment="0" applyProtection="0"/>
    <xf numFmtId="183" fontId="18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49" fontId="0" fillId="0" borderId="0" xfId="0" applyNumberFormat="1"/>
    <xf numFmtId="14" fontId="0" fillId="0" borderId="0" xfId="0" applyNumberFormat="1"/>
    <xf numFmtId="0" fontId="20" fillId="0" borderId="0" xfId="0" applyFont="1"/>
    <xf numFmtId="0" fontId="22" fillId="0" borderId="0" xfId="109" applyFont="1" applyAlignment="1" applyProtection="1">
      <alignment horizontal="right"/>
    </xf>
    <xf numFmtId="0" fontId="20" fillId="0" borderId="9" xfId="0" applyFont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20" fillId="0" borderId="0" xfId="0" applyFont="1" applyBorder="1"/>
    <xf numFmtId="0" fontId="20" fillId="0" borderId="4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49" fontId="20" fillId="0" borderId="0" xfId="0" applyNumberFormat="1" applyFont="1"/>
    <xf numFmtId="0" fontId="20" fillId="0" borderId="1" xfId="0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9" xfId="0" applyFont="1" applyBorder="1" applyAlignment="1"/>
    <xf numFmtId="0" fontId="20" fillId="0" borderId="1" xfId="0" applyFont="1" applyBorder="1" applyAlignment="1"/>
    <xf numFmtId="0" fontId="20" fillId="0" borderId="10" xfId="0" applyFont="1" applyBorder="1" applyAlignment="1"/>
    <xf numFmtId="0" fontId="20" fillId="0" borderId="11" xfId="0" applyFont="1" applyBorder="1"/>
    <xf numFmtId="0" fontId="20" fillId="0" borderId="0" xfId="0" applyFont="1" applyBorder="1" applyAlignment="1">
      <alignment horizontal="center"/>
    </xf>
    <xf numFmtId="0" fontId="20" fillId="0" borderId="2" xfId="0" applyFont="1" applyBorder="1"/>
    <xf numFmtId="0" fontId="20" fillId="0" borderId="11" xfId="0" applyFont="1" applyBorder="1" applyAlignment="1"/>
    <xf numFmtId="0" fontId="20" fillId="0" borderId="0" xfId="0" applyFont="1" applyBorder="1" applyAlignment="1"/>
    <xf numFmtId="0" fontId="20" fillId="0" borderId="0" xfId="0" applyFont="1" applyBorder="1" applyAlignment="1">
      <alignment vertical="center"/>
    </xf>
    <xf numFmtId="0" fontId="20" fillId="0" borderId="2" xfId="0" applyFont="1" applyBorder="1" applyAlignment="1"/>
    <xf numFmtId="0" fontId="20" fillId="0" borderId="2" xfId="0" applyFont="1" applyBorder="1" applyAlignment="1">
      <alignment horizontal="left" vertical="center"/>
    </xf>
    <xf numFmtId="0" fontId="20" fillId="0" borderId="4" xfId="0" applyFont="1" applyBorder="1"/>
    <xf numFmtId="0" fontId="20" fillId="0" borderId="12" xfId="0" applyFont="1" applyBorder="1"/>
    <xf numFmtId="0" fontId="20" fillId="0" borderId="12" xfId="0" applyFont="1" applyBorder="1" applyAlignment="1">
      <alignment horizontal="center"/>
    </xf>
    <xf numFmtId="0" fontId="20" fillId="0" borderId="5" xfId="0" applyFont="1" applyBorder="1"/>
    <xf numFmtId="0" fontId="20" fillId="0" borderId="4" xfId="0" applyFont="1" applyBorder="1" applyAlignment="1"/>
    <xf numFmtId="0" fontId="20" fillId="0" borderId="12" xfId="0" applyFont="1" applyBorder="1" applyAlignment="1"/>
    <xf numFmtId="0" fontId="20" fillId="0" borderId="5" xfId="0" applyFont="1" applyBorder="1" applyAlignment="1"/>
    <xf numFmtId="0" fontId="0" fillId="0" borderId="0" xfId="0" applyAlignment="1">
      <alignment vertical="center"/>
    </xf>
    <xf numFmtId="0" fontId="20" fillId="0" borderId="12" xfId="0" applyNumberFormat="1" applyFont="1" applyBorder="1" applyAlignment="1">
      <alignment horizontal="left" vertical="center"/>
    </xf>
    <xf numFmtId="0" fontId="20" fillId="0" borderId="5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vertical="center"/>
    </xf>
    <xf numFmtId="0" fontId="25" fillId="0" borderId="0" xfId="0" applyFont="1"/>
    <xf numFmtId="0" fontId="26" fillId="0" borderId="0" xfId="1" applyFont="1" applyBorder="1" applyAlignment="1">
      <alignment horizontal="center" wrapText="1"/>
    </xf>
    <xf numFmtId="0" fontId="26" fillId="0" borderId="0" xfId="1" applyFont="1" applyBorder="1" applyAlignment="1">
      <alignment wrapText="1"/>
    </xf>
    <xf numFmtId="0" fontId="26" fillId="0" borderId="0" xfId="1" applyFont="1" applyAlignment="1">
      <alignment wrapText="1"/>
    </xf>
    <xf numFmtId="0" fontId="28" fillId="0" borderId="0" xfId="1" applyFont="1" applyAlignment="1">
      <alignment wrapText="1"/>
    </xf>
    <xf numFmtId="171" fontId="28" fillId="0" borderId="0" xfId="1" applyNumberFormat="1" applyFont="1" applyAlignment="1">
      <alignment wrapText="1"/>
    </xf>
    <xf numFmtId="49" fontId="26" fillId="0" borderId="0" xfId="1" applyNumberFormat="1" applyFont="1" applyFill="1" applyBorder="1" applyAlignment="1">
      <alignment horizontal="center" vertical="center" wrapText="1"/>
    </xf>
    <xf numFmtId="185" fontId="28" fillId="0" borderId="0" xfId="1" applyNumberFormat="1" applyFont="1" applyAlignment="1">
      <alignment wrapText="1"/>
    </xf>
    <xf numFmtId="49" fontId="26" fillId="0" borderId="13" xfId="1" applyNumberFormat="1" applyFont="1" applyBorder="1" applyAlignment="1" applyProtection="1">
      <alignment vertical="center" wrapText="1"/>
      <protection locked="0"/>
    </xf>
    <xf numFmtId="49" fontId="26" fillId="0" borderId="14" xfId="1" applyNumberFormat="1" applyFont="1" applyBorder="1" applyAlignment="1" applyProtection="1">
      <alignment vertical="center" wrapText="1"/>
      <protection locked="0"/>
    </xf>
    <xf numFmtId="49" fontId="26" fillId="0" borderId="16" xfId="1" applyNumberFormat="1" applyFont="1" applyBorder="1" applyAlignment="1" applyProtection="1">
      <alignment vertical="center" wrapText="1"/>
      <protection locked="0"/>
    </xf>
    <xf numFmtId="0" fontId="26" fillId="0" borderId="3" xfId="1" applyFont="1" applyBorder="1" applyAlignment="1">
      <alignment vertical="center" wrapText="1"/>
    </xf>
    <xf numFmtId="169" fontId="30" fillId="2" borderId="3" xfId="2" applyFont="1" applyFill="1" applyBorder="1" applyAlignment="1">
      <alignment horizontal="center" vertical="center"/>
    </xf>
    <xf numFmtId="0" fontId="26" fillId="0" borderId="3" xfId="1" applyFont="1" applyFill="1" applyBorder="1" applyAlignment="1">
      <alignment horizontal="center" vertical="center" wrapText="1"/>
    </xf>
    <xf numFmtId="49" fontId="29" fillId="0" borderId="3" xfId="1" applyNumberFormat="1" applyFont="1" applyFill="1" applyBorder="1" applyAlignment="1">
      <alignment horizontal="center" vertical="center" wrapText="1"/>
    </xf>
    <xf numFmtId="0" fontId="31" fillId="0" borderId="8" xfId="1" applyFont="1" applyFill="1" applyBorder="1" applyAlignment="1">
      <alignment horizontal="center" vertical="center" wrapText="1"/>
    </xf>
    <xf numFmtId="49" fontId="31" fillId="0" borderId="3" xfId="1" applyNumberFormat="1" applyFont="1" applyFill="1" applyBorder="1" applyAlignment="1">
      <alignment horizontal="center" vertical="center" wrapText="1"/>
    </xf>
    <xf numFmtId="169" fontId="32" fillId="2" borderId="16" xfId="2" applyFont="1" applyFill="1" applyBorder="1" applyAlignment="1">
      <alignment horizontal="center" vertical="center"/>
    </xf>
    <xf numFmtId="0" fontId="26" fillId="0" borderId="6" xfId="1" applyFont="1" applyBorder="1" applyAlignment="1">
      <alignment horizontal="left" vertical="center" wrapText="1"/>
    </xf>
    <xf numFmtId="0" fontId="26" fillId="0" borderId="6" xfId="1" applyFont="1" applyFill="1" applyBorder="1" applyAlignment="1">
      <alignment horizontal="left" vertical="center" wrapText="1"/>
    </xf>
    <xf numFmtId="49" fontId="30" fillId="2" borderId="3" xfId="2" applyNumberFormat="1" applyFont="1" applyFill="1" applyBorder="1" applyAlignment="1">
      <alignment horizontal="center" vertical="center"/>
    </xf>
    <xf numFmtId="49" fontId="26" fillId="2" borderId="3" xfId="2" applyNumberFormat="1" applyFont="1" applyFill="1" applyBorder="1" applyAlignment="1">
      <alignment horizontal="center" vertical="center"/>
    </xf>
    <xf numFmtId="49" fontId="31" fillId="3" borderId="16" xfId="2" applyNumberFormat="1" applyFont="1" applyFill="1" applyBorder="1" applyAlignment="1">
      <alignment horizontal="center" vertical="center"/>
    </xf>
    <xf numFmtId="169" fontId="26" fillId="2" borderId="14" xfId="2" applyFont="1" applyFill="1" applyBorder="1" applyAlignment="1">
      <alignment horizontal="center" vertical="center"/>
    </xf>
    <xf numFmtId="0" fontId="27" fillId="3" borderId="6" xfId="1" applyFont="1" applyFill="1" applyBorder="1" applyAlignment="1">
      <alignment horizontal="left" vertical="center" wrapText="1"/>
    </xf>
    <xf numFmtId="169" fontId="30" fillId="2" borderId="16" xfId="2" quotePrefix="1" applyFont="1" applyFill="1" applyBorder="1" applyAlignment="1">
      <alignment horizontal="center" vertical="center"/>
    </xf>
    <xf numFmtId="0" fontId="26" fillId="2" borderId="0" xfId="2" quotePrefix="1" applyNumberFormat="1" applyFont="1" applyFill="1" applyBorder="1" applyAlignment="1">
      <alignment horizontal="center" vertical="center" wrapText="1"/>
    </xf>
    <xf numFmtId="49" fontId="31" fillId="0" borderId="6" xfId="1" applyNumberFormat="1" applyFont="1" applyFill="1" applyBorder="1" applyAlignment="1">
      <alignment horizontal="center" vertical="center" wrapText="1"/>
    </xf>
    <xf numFmtId="169" fontId="33" fillId="2" borderId="3" xfId="2" applyFont="1" applyFill="1" applyBorder="1" applyAlignment="1">
      <alignment horizontal="center" vertical="center"/>
    </xf>
    <xf numFmtId="49" fontId="26" fillId="0" borderId="6" xfId="1" applyNumberFormat="1" applyFont="1" applyBorder="1" applyAlignment="1">
      <alignment horizontal="left" vertical="center" wrapText="1"/>
    </xf>
    <xf numFmtId="49" fontId="26" fillId="0" borderId="8" xfId="1" applyNumberFormat="1" applyFont="1" applyBorder="1" applyAlignment="1">
      <alignment horizontal="left" vertical="center" wrapText="1"/>
    </xf>
    <xf numFmtId="49" fontId="26" fillId="0" borderId="6" xfId="1" applyNumberFormat="1" applyFont="1" applyFill="1" applyBorder="1" applyAlignment="1">
      <alignment horizontal="left" vertical="center" wrapText="1"/>
    </xf>
    <xf numFmtId="49" fontId="26" fillId="0" borderId="8" xfId="1" applyNumberFormat="1" applyFont="1" applyFill="1" applyBorder="1" applyAlignment="1">
      <alignment horizontal="left" vertical="center" wrapText="1"/>
    </xf>
    <xf numFmtId="0" fontId="26" fillId="0" borderId="6" xfId="1" applyFont="1" applyFill="1" applyBorder="1" applyAlignment="1">
      <alignment horizontal="left" vertical="center" wrapText="1"/>
    </xf>
    <xf numFmtId="0" fontId="26" fillId="0" borderId="8" xfId="1" applyFont="1" applyFill="1" applyBorder="1" applyAlignment="1">
      <alignment horizontal="left" vertical="center" wrapText="1"/>
    </xf>
    <xf numFmtId="49" fontId="26" fillId="0" borderId="7" xfId="1" applyNumberFormat="1" applyFont="1" applyBorder="1" applyAlignment="1">
      <alignment horizontal="left" vertical="center" wrapText="1"/>
    </xf>
    <xf numFmtId="0" fontId="26" fillId="0" borderId="13" xfId="1" applyFont="1" applyBorder="1" applyAlignment="1">
      <alignment horizontal="center" vertical="center" wrapText="1"/>
    </xf>
    <xf numFmtId="0" fontId="26" fillId="0" borderId="14" xfId="1" applyFont="1" applyBorder="1" applyAlignment="1">
      <alignment horizontal="center" vertical="center" wrapText="1"/>
    </xf>
    <xf numFmtId="0" fontId="26" fillId="0" borderId="16" xfId="1" applyFont="1" applyBorder="1" applyAlignment="1">
      <alignment horizontal="center" vertical="center" wrapText="1"/>
    </xf>
    <xf numFmtId="169" fontId="26" fillId="2" borderId="3" xfId="2" applyFont="1" applyFill="1" applyBorder="1" applyAlignment="1">
      <alignment horizontal="center" vertical="center"/>
    </xf>
    <xf numFmtId="169" fontId="26" fillId="2" borderId="3" xfId="2" applyFont="1" applyFill="1" applyBorder="1" applyAlignment="1">
      <alignment horizontal="center" vertical="center" wrapText="1"/>
    </xf>
    <xf numFmtId="169" fontId="26" fillId="2" borderId="6" xfId="2" applyFont="1" applyFill="1" applyBorder="1" applyAlignment="1">
      <alignment horizontal="center" vertical="center" wrapText="1"/>
    </xf>
    <xf numFmtId="169" fontId="26" fillId="2" borderId="13" xfId="2" applyFont="1" applyFill="1" applyBorder="1" applyAlignment="1">
      <alignment horizontal="center" vertical="center"/>
    </xf>
    <xf numFmtId="169" fontId="26" fillId="2" borderId="14" xfId="2" applyFont="1" applyFill="1" applyBorder="1" applyAlignment="1">
      <alignment horizontal="center" vertical="center"/>
    </xf>
    <xf numFmtId="169" fontId="26" fillId="2" borderId="16" xfId="2" applyFont="1" applyFill="1" applyBorder="1" applyAlignment="1">
      <alignment horizontal="center" vertical="center"/>
    </xf>
    <xf numFmtId="169" fontId="26" fillId="2" borderId="6" xfId="2" applyFont="1" applyFill="1" applyBorder="1" applyAlignment="1">
      <alignment horizontal="center" vertical="center"/>
    </xf>
    <xf numFmtId="169" fontId="26" fillId="2" borderId="8" xfId="2" applyFont="1" applyFill="1" applyBorder="1" applyAlignment="1">
      <alignment horizontal="center" vertical="center"/>
    </xf>
    <xf numFmtId="0" fontId="26" fillId="0" borderId="9" xfId="1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0" fontId="26" fillId="0" borderId="10" xfId="1" applyFont="1" applyBorder="1" applyAlignment="1">
      <alignment horizontal="center" vertical="center" wrapText="1"/>
    </xf>
    <xf numFmtId="0" fontId="26" fillId="0" borderId="11" xfId="1" applyFont="1" applyBorder="1" applyAlignment="1">
      <alignment horizontal="center" vertical="center" wrapText="1"/>
    </xf>
    <xf numFmtId="0" fontId="26" fillId="0" borderId="0" xfId="1" applyFont="1" applyBorder="1" applyAlignment="1">
      <alignment horizontal="center" vertical="center" wrapText="1"/>
    </xf>
    <xf numFmtId="0" fontId="26" fillId="0" borderId="2" xfId="1" applyFont="1" applyBorder="1" applyAlignment="1">
      <alignment horizontal="center" vertical="center" wrapText="1"/>
    </xf>
    <xf numFmtId="0" fontId="26" fillId="0" borderId="4" xfId="1" applyFont="1" applyBorder="1" applyAlignment="1">
      <alignment horizontal="center" vertical="center" wrapText="1"/>
    </xf>
    <xf numFmtId="0" fontId="26" fillId="0" borderId="12" xfId="1" applyFont="1" applyBorder="1" applyAlignment="1">
      <alignment horizontal="center" vertical="center" wrapText="1"/>
    </xf>
    <xf numFmtId="0" fontId="26" fillId="0" borderId="5" xfId="1" applyFont="1" applyBorder="1" applyAlignment="1">
      <alignment horizontal="center" vertical="center" wrapText="1"/>
    </xf>
    <xf numFmtId="169" fontId="26" fillId="2" borderId="0" xfId="2" applyFont="1" applyFill="1" applyBorder="1" applyAlignment="1">
      <alignment horizontal="center" vertical="center"/>
    </xf>
    <xf numFmtId="0" fontId="26" fillId="2" borderId="3" xfId="2" applyNumberFormat="1" applyFont="1" applyFill="1" applyBorder="1" applyAlignment="1">
      <alignment horizontal="center" vertical="center" wrapText="1"/>
    </xf>
    <xf numFmtId="0" fontId="26" fillId="2" borderId="13" xfId="2" applyNumberFormat="1" applyFont="1" applyFill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185" fontId="24" fillId="0" borderId="1" xfId="0" applyNumberFormat="1" applyFont="1" applyBorder="1" applyAlignment="1">
      <alignment horizontal="right" vertical="center"/>
    </xf>
    <xf numFmtId="185" fontId="24" fillId="0" borderId="10" xfId="0" applyNumberFormat="1" applyFont="1" applyBorder="1" applyAlignment="1">
      <alignment horizontal="right" vertical="center"/>
    </xf>
    <xf numFmtId="185" fontId="24" fillId="0" borderId="0" xfId="0" applyNumberFormat="1" applyFont="1" applyBorder="1" applyAlignment="1">
      <alignment horizontal="right" vertical="center"/>
    </xf>
    <xf numFmtId="185" fontId="24" fillId="0" borderId="2" xfId="0" applyNumberFormat="1" applyFont="1" applyBorder="1" applyAlignment="1">
      <alignment horizontal="right" vertical="center"/>
    </xf>
    <xf numFmtId="185" fontId="24" fillId="0" borderId="12" xfId="0" applyNumberFormat="1" applyFont="1" applyBorder="1" applyAlignment="1">
      <alignment horizontal="right" vertical="center"/>
    </xf>
    <xf numFmtId="185" fontId="24" fillId="0" borderId="5" xfId="0" applyNumberFormat="1" applyFont="1" applyBorder="1" applyAlignment="1">
      <alignment horizontal="right" vertical="center"/>
    </xf>
    <xf numFmtId="49" fontId="20" fillId="0" borderId="11" xfId="0" applyNumberFormat="1" applyFont="1" applyBorder="1" applyAlignment="1">
      <alignment horizontal="left" vertical="center"/>
    </xf>
    <xf numFmtId="49" fontId="20" fillId="0" borderId="0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/>
    </xf>
    <xf numFmtId="0" fontId="23" fillId="0" borderId="9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2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12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0" fillId="0" borderId="9" xfId="0" applyNumberFormat="1" applyFont="1" applyBorder="1" applyAlignment="1">
      <alignment horizontal="center"/>
    </xf>
    <xf numFmtId="0" fontId="20" fillId="0" borderId="10" xfId="0" applyNumberFormat="1" applyFont="1" applyBorder="1" applyAlignment="1">
      <alignment horizontal="center"/>
    </xf>
    <xf numFmtId="0" fontId="20" fillId="0" borderId="11" xfId="0" applyNumberFormat="1" applyFont="1" applyBorder="1" applyAlignment="1">
      <alignment horizontal="center"/>
    </xf>
    <xf numFmtId="0" fontId="20" fillId="0" borderId="2" xfId="0" applyNumberFormat="1" applyFont="1" applyBorder="1" applyAlignment="1">
      <alignment horizontal="center"/>
    </xf>
    <xf numFmtId="0" fontId="20" fillId="0" borderId="4" xfId="0" applyNumberFormat="1" applyFont="1" applyBorder="1" applyAlignment="1">
      <alignment horizontal="center"/>
    </xf>
    <xf numFmtId="0" fontId="20" fillId="0" borderId="5" xfId="0" applyNumberFormat="1" applyFont="1" applyBorder="1" applyAlignment="1">
      <alignment horizontal="center"/>
    </xf>
    <xf numFmtId="0" fontId="23" fillId="0" borderId="9" xfId="0" applyNumberFormat="1" applyFont="1" applyBorder="1" applyAlignment="1">
      <alignment horizontal="left" vertical="top"/>
    </xf>
    <xf numFmtId="0" fontId="23" fillId="0" borderId="1" xfId="0" applyNumberFormat="1" applyFont="1" applyBorder="1" applyAlignment="1">
      <alignment horizontal="left" vertical="top"/>
    </xf>
    <xf numFmtId="0" fontId="23" fillId="0" borderId="10" xfId="0" applyNumberFormat="1" applyFont="1" applyBorder="1" applyAlignment="1">
      <alignment horizontal="left" vertical="top"/>
    </xf>
    <xf numFmtId="0" fontId="23" fillId="0" borderId="11" xfId="0" applyNumberFormat="1" applyFont="1" applyBorder="1" applyAlignment="1">
      <alignment horizontal="left" vertical="top"/>
    </xf>
    <xf numFmtId="0" fontId="23" fillId="0" borderId="0" xfId="0" applyNumberFormat="1" applyFont="1" applyBorder="1" applyAlignment="1">
      <alignment horizontal="left" vertical="top"/>
    </xf>
    <xf numFmtId="0" fontId="23" fillId="0" borderId="2" xfId="0" applyNumberFormat="1" applyFont="1" applyBorder="1" applyAlignment="1">
      <alignment horizontal="left" vertical="top"/>
    </xf>
    <xf numFmtId="0" fontId="23" fillId="0" borderId="4" xfId="0" applyNumberFormat="1" applyFont="1" applyBorder="1" applyAlignment="1">
      <alignment horizontal="left" vertical="top"/>
    </xf>
    <xf numFmtId="0" fontId="23" fillId="0" borderId="12" xfId="0" applyNumberFormat="1" applyFont="1" applyBorder="1" applyAlignment="1">
      <alignment horizontal="left" vertical="top"/>
    </xf>
    <xf numFmtId="0" fontId="23" fillId="0" borderId="5" xfId="0" applyNumberFormat="1" applyFont="1" applyBorder="1" applyAlignment="1">
      <alignment horizontal="left" vertical="top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2" xfId="0" applyNumberFormat="1" applyFont="1" applyBorder="1" applyAlignment="1">
      <alignment horizontal="left" vertical="center"/>
    </xf>
    <xf numFmtId="0" fontId="20" fillId="0" borderId="5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11" xfId="0" applyNumberFormat="1" applyFont="1" applyBorder="1" applyAlignment="1">
      <alignment horizontal="left" vertical="center"/>
    </xf>
    <xf numFmtId="0" fontId="20" fillId="0" borderId="2" xfId="0" applyNumberFormat="1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20" fillId="0" borderId="8" xfId="0" applyFont="1" applyBorder="1" applyAlignment="1">
      <alignment horizontal="left" vertical="center"/>
    </xf>
    <xf numFmtId="0" fontId="20" fillId="0" borderId="1" xfId="0" applyNumberFormat="1" applyFont="1" applyBorder="1" applyAlignment="1">
      <alignment horizontal="left" vertical="center"/>
    </xf>
    <xf numFmtId="0" fontId="20" fillId="0" borderId="10" xfId="0" applyNumberFormat="1" applyFont="1" applyBorder="1" applyAlignment="1">
      <alignment horizontal="left" vertical="center"/>
    </xf>
    <xf numFmtId="0" fontId="20" fillId="0" borderId="1" xfId="0" applyNumberFormat="1" applyFont="1" applyBorder="1" applyAlignment="1">
      <alignment horizontal="center"/>
    </xf>
    <xf numFmtId="0" fontId="20" fillId="0" borderId="0" xfId="0" applyNumberFormat="1" applyFont="1" applyBorder="1" applyAlignment="1">
      <alignment horizontal="center"/>
    </xf>
    <xf numFmtId="0" fontId="20" fillId="0" borderId="12" xfId="0" applyNumberFormat="1" applyFont="1" applyBorder="1" applyAlignment="1">
      <alignment horizontal="center"/>
    </xf>
    <xf numFmtId="0" fontId="20" fillId="0" borderId="9" xfId="0" applyNumberFormat="1" applyFont="1" applyBorder="1" applyAlignment="1">
      <alignment horizontal="left" vertical="center"/>
    </xf>
    <xf numFmtId="184" fontId="20" fillId="0" borderId="9" xfId="0" applyNumberFormat="1" applyFont="1" applyBorder="1" applyAlignment="1">
      <alignment horizontal="left" vertical="center"/>
    </xf>
    <xf numFmtId="184" fontId="20" fillId="0" borderId="1" xfId="0" applyNumberFormat="1" applyFont="1" applyBorder="1" applyAlignment="1">
      <alignment horizontal="left" vertical="center"/>
    </xf>
    <xf numFmtId="184" fontId="20" fillId="0" borderId="10" xfId="0" applyNumberFormat="1" applyFont="1" applyBorder="1" applyAlignment="1">
      <alignment horizontal="left" vertical="center"/>
    </xf>
    <xf numFmtId="0" fontId="20" fillId="0" borderId="11" xfId="0" applyNumberFormat="1" applyFont="1" applyBorder="1" applyAlignment="1">
      <alignment horizontal="left" vertical="center" wrapText="1"/>
    </xf>
    <xf numFmtId="0" fontId="20" fillId="0" borderId="0" xfId="0" applyNumberFormat="1" applyFont="1" applyBorder="1" applyAlignment="1">
      <alignment horizontal="left" vertical="center" wrapText="1"/>
    </xf>
    <xf numFmtId="0" fontId="20" fillId="0" borderId="2" xfId="0" applyNumberFormat="1" applyFont="1" applyBorder="1" applyAlignment="1">
      <alignment horizontal="left" vertical="center" wrapText="1"/>
    </xf>
    <xf numFmtId="0" fontId="20" fillId="0" borderId="4" xfId="0" applyNumberFormat="1" applyFont="1" applyBorder="1" applyAlignment="1">
      <alignment horizontal="left" vertical="center"/>
    </xf>
    <xf numFmtId="184" fontId="20" fillId="0" borderId="11" xfId="0" applyNumberFormat="1" applyFont="1" applyBorder="1" applyAlignment="1">
      <alignment horizontal="left" vertical="center"/>
    </xf>
    <xf numFmtId="184" fontId="20" fillId="0" borderId="0" xfId="0" applyNumberFormat="1" applyFont="1" applyBorder="1" applyAlignment="1">
      <alignment horizontal="left" vertical="center"/>
    </xf>
    <xf numFmtId="184" fontId="20" fillId="0" borderId="2" xfId="0" applyNumberFormat="1" applyFont="1" applyBorder="1" applyAlignment="1">
      <alignment horizontal="left" vertical="center"/>
    </xf>
  </cellXfs>
  <cellStyles count="110">
    <cellStyle name="_ET_STYLE_NoName_00_" xfId="10"/>
    <cellStyle name="Comma 10" xfId="11"/>
    <cellStyle name="Comma 11" xfId="12"/>
    <cellStyle name="Comma 12" xfId="13"/>
    <cellStyle name="Comma 13" xfId="14"/>
    <cellStyle name="Comma 14" xfId="15"/>
    <cellStyle name="Comma 14 2" xfId="16"/>
    <cellStyle name="Comma 15" xfId="17"/>
    <cellStyle name="Comma 16" xfId="18"/>
    <cellStyle name="Comma 17" xfId="19"/>
    <cellStyle name="Comma 18" xfId="20"/>
    <cellStyle name="Comma 19" xfId="21"/>
    <cellStyle name="Comma 2" xfId="3"/>
    <cellStyle name="Comma 2 2" xfId="22"/>
    <cellStyle name="Comma 2 3" xfId="23"/>
    <cellStyle name="Comma 2 4" xfId="6"/>
    <cellStyle name="Comma 20" xfId="24"/>
    <cellStyle name="Comma 21" xfId="25"/>
    <cellStyle name="Comma 22" xfId="26"/>
    <cellStyle name="Comma 23" xfId="27"/>
    <cellStyle name="Comma 24" xfId="28"/>
    <cellStyle name="Comma 25" xfId="29"/>
    <cellStyle name="Comma 26" xfId="30"/>
    <cellStyle name="Comma 27" xfId="31"/>
    <cellStyle name="Comma 28" xfId="32"/>
    <cellStyle name="Comma 29" xfId="33"/>
    <cellStyle name="Comma 3" xfId="34"/>
    <cellStyle name="Comma 3 2" xfId="35"/>
    <cellStyle name="Comma 3 3" xfId="36"/>
    <cellStyle name="Comma 3 4" xfId="37"/>
    <cellStyle name="Comma 4" xfId="38"/>
    <cellStyle name="Comma 4 2" xfId="39"/>
    <cellStyle name="Comma 4 2 2" xfId="40"/>
    <cellStyle name="Comma 4 3" xfId="41"/>
    <cellStyle name="Comma 5" xfId="42"/>
    <cellStyle name="Comma 5 2" xfId="43"/>
    <cellStyle name="Comma 5 2 2" xfId="44"/>
    <cellStyle name="Comma 5 2 3" xfId="45"/>
    <cellStyle name="Comma 5 3" xfId="46"/>
    <cellStyle name="Comma 5 3 2" xfId="47"/>
    <cellStyle name="Comma 5 4" xfId="48"/>
    <cellStyle name="Comma 5 4 2" xfId="49"/>
    <cellStyle name="Comma 5 5" xfId="50"/>
    <cellStyle name="Comma 5 5 2" xfId="51"/>
    <cellStyle name="Comma 5 6" xfId="52"/>
    <cellStyle name="Comma 5 6 2" xfId="53"/>
    <cellStyle name="Comma 5 7" xfId="54"/>
    <cellStyle name="Comma 5 8" xfId="55"/>
    <cellStyle name="Comma 5 9" xfId="56"/>
    <cellStyle name="Comma 6" xfId="57"/>
    <cellStyle name="Comma 6 2" xfId="58"/>
    <cellStyle name="Comma 7" xfId="59"/>
    <cellStyle name="Comma 8" xfId="60"/>
    <cellStyle name="Comma 9" xfId="61"/>
    <cellStyle name="Euro" xfId="62"/>
    <cellStyle name="Excel Built-in Normal" xfId="7"/>
    <cellStyle name="Header1" xfId="63"/>
    <cellStyle name="Header2" xfId="64"/>
    <cellStyle name="Hyperlink" xfId="109" builtinId="8"/>
    <cellStyle name="Hyperlink 2" xfId="65"/>
    <cellStyle name="Hyperlink 3" xfId="66"/>
    <cellStyle name="Komma 2" xfId="5"/>
    <cellStyle name="n" xfId="67"/>
    <cellStyle name="Normal" xfId="0" builtinId="0"/>
    <cellStyle name="Normal 11" xfId="68"/>
    <cellStyle name="Normal 14" xfId="69"/>
    <cellStyle name="Normal 15" xfId="70"/>
    <cellStyle name="Normal 2" xfId="71"/>
    <cellStyle name="Normal 2 2" xfId="72"/>
    <cellStyle name="Normal 2 3" xfId="8"/>
    <cellStyle name="Normal 2 4" xfId="73"/>
    <cellStyle name="Normal 2_SAPPORO SET 01-10-09" xfId="74"/>
    <cellStyle name="Normal 3" xfId="75"/>
    <cellStyle name="Normal 3 2" xfId="76"/>
    <cellStyle name="Normal 4" xfId="77"/>
    <cellStyle name="Normal 4 2" xfId="78"/>
    <cellStyle name="Normal 4 3" xfId="79"/>
    <cellStyle name="Normal 5" xfId="80"/>
    <cellStyle name="Normal 6" xfId="81"/>
    <cellStyle name="Normal 7" xfId="82"/>
    <cellStyle name="Normal 7 2" xfId="83"/>
    <cellStyle name="Normal 8" xfId="84"/>
    <cellStyle name="Normal 9" xfId="85"/>
    <cellStyle name="Standaard 2" xfId="1"/>
    <cellStyle name="Standaard 2 2" xfId="4"/>
    <cellStyle name="Standaard 3" xfId="86"/>
    <cellStyle name="Standaard_STANDAARD LAY-OUT SAMPLES 2009" xfId="2"/>
    <cellStyle name="Stijl 1" xfId="87"/>
    <cellStyle name="Style 1" xfId="9"/>
    <cellStyle name=" [0.00]_ Att. 1- Cover" xfId="88"/>
    <cellStyle name="_ Att. 1- Cover" xfId="89"/>
    <cellStyle name="?_ Att. 1- Cover" xfId="90"/>
    <cellStyle name="똿뗦먛귟 [0.00]_PRODUCT DETAIL Q1" xfId="91"/>
    <cellStyle name="똿뗦먛귟_PRODUCT DETAIL Q1" xfId="92"/>
    <cellStyle name="믅됞 [0.00]_PRODUCT DETAIL Q1" xfId="93"/>
    <cellStyle name="믅됞_PRODUCT DETAIL Q1" xfId="94"/>
    <cellStyle name="백분율_95" xfId="95"/>
    <cellStyle name="뷭?_BOOKSHIP" xfId="96"/>
    <cellStyle name="콤마 [0]_1202" xfId="97"/>
    <cellStyle name="콤마_1202" xfId="98"/>
    <cellStyle name="통화 [0]_1202" xfId="99"/>
    <cellStyle name="통화_1202" xfId="100"/>
    <cellStyle name="표준_(정보부문)월별인원계획" xfId="101"/>
    <cellStyle name="一般_99Q3647-ALL-CAS2" xfId="102"/>
    <cellStyle name="千分位[0]_Book1" xfId="103"/>
    <cellStyle name="千分位_99Q3647-ALL-CAS2" xfId="104"/>
    <cellStyle name="常规_Sheet1" xfId="105"/>
    <cellStyle name="貨幣 [0]_Book1" xfId="106"/>
    <cellStyle name="貨幣[0]_BRE" xfId="107"/>
    <cellStyle name="貨幣_Book1" xfId="108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2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rgb="FF00B0F0"/>
        <name val="Verdana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s.xsd'">
  <Schema ID="Schema1" Namespace="http://tempuri.org/ReportDataObjects.xsd">
    <xs:schema xmlns:mstns="http://tempuri.org/ReportDataObjects.xsd" xmlns="http://tempuri.org/ReportDataObjects.xsd" xmlns:xs="http://www.w3.org/2001/XMLSchema" xmlns:msdata="urn:schemas-microsoft-com:xml-msdata" id="ReportDataObjects" targetNamespace="http://tempuri.org/ReportDataObjects.xsd" attributeFormDefault="qualified" elementFormDefault="qualified">
      <xs:element name="ReportDataObjects" msdata:IsDataSet="true" msdata:UseCurrentLocale="true">
        <xs:complexType>
          <xs:choice minOccurs="0" maxOccurs="unbounded">
            <xs:element name="ReportClient_View">
              <xs:complexType>
                <xs:sequence>
                  <xs:element name="ClientID" type="xs:int"/>
                  <xs:element name="ClientUD" minOccurs="0" maxOccurs="unbounded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 maxOccurs="unbounded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VATNo" minOccurs="0" maxOccurs="unbounded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treetAddress1" minOccurs="0" maxOccurs="unbounded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treetAddress2" minOccurs="0" maxOccurs="unbounded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Zip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Cit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Telephon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HaveBizRelationshipFrom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SaleID" type="xs:int" minOccurs="0"/>
                  <xs:element name="Sale2ID" type="xs:int" minOccurs="0"/>
                  <xs:element name="EstablishmentDate" type="xs:dateTime" minOccurs="0"/>
                  <xs:element name="Rating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GLNNumber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Websit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OfStore" type="xs:int" minOccurs="0"/>
                  <xs:element name="HaveBusinessRelationshipFromYear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reditSafeURL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reato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reatedDate" type="xs:dateTime" minOccurs="0"/>
                  <xs:element name="Updato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UpdatedDate" type="xs:dateTime" minOccurs="0"/>
                  <xs:element name="AgentID" type="xs:int" minOccurs="0"/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g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</xs:choice>
        </xs:complexType>
        <xs:unique name="Constraint1" msdata:PrimaryKey="true">
          <xs:selector xpath=".//mstns:ReportClient_View"/>
          <xs:field xpath="mstns:ClientID"/>
        </xs:unique>
      </xs:element>
    </xs:schema>
  </Schema>
  <Map ID="1" Name="ReportDataObjects_Map" RootElement="ReportDataObject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52385</xdr:colOff>
      <xdr:row>1</xdr:row>
      <xdr:rowOff>228600</xdr:rowOff>
    </xdr:from>
    <xdr:to>
      <xdr:col>1</xdr:col>
      <xdr:colOff>8098564</xdr:colOff>
      <xdr:row>4</xdr:row>
      <xdr:rowOff>533399</xdr:rowOff>
    </xdr:to>
    <xdr:pic>
      <xdr:nvPicPr>
        <xdr:cNvPr id="53" name="Picture 1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785" y="914400"/>
          <a:ext cx="8046179" cy="2362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59532</xdr:colOff>
      <xdr:row>46</xdr:row>
      <xdr:rowOff>17860</xdr:rowOff>
    </xdr:from>
    <xdr:to>
      <xdr:col>22</xdr:col>
      <xdr:colOff>295327</xdr:colOff>
      <xdr:row>49</xdr:row>
      <xdr:rowOff>98139</xdr:rowOff>
    </xdr:to>
    <xdr:pic>
      <xdr:nvPicPr>
        <xdr:cNvPr id="2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03307" y="5713810"/>
          <a:ext cx="1578820" cy="45175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0:R13" tableType="xml" totalsRowShown="0" headerRowDxfId="22" dataDxfId="20" headerRowBorderDxfId="21" tableBorderDxfId="19" totalsRowBorderDxfId="18" headerRowCellStyle="Standaard_STANDAARD LAY-OUT SAMPLES 2009" dataCellStyle="Standaard 2">
  <autoFilter ref="A10:R13"/>
  <tableColumns count="18">
    <tableColumn id="1" uniqueName="0" name="ns1:RowIndex" dataDxfId="17" dataCellStyle="Standaard 2"/>
    <tableColumn id="2" uniqueName="ns1:ClientUD" name="ns2:CachedClientUD" dataDxfId="16" dataCellStyle="Standaard_STANDAARD LAY-OUT SAMPLES 2009">
      <xmlColumnPr mapId="1" xpath="/ns1:ReportDataObjects/ns1:ReportClient_View/ns1:ClientUD" xmlDataType="string"/>
    </tableColumn>
    <tableColumn id="3" uniqueName="ns1:ClientNM" name="ns1:ClientNM" dataDxfId="15" dataCellStyle="Standaard 2">
      <xmlColumnPr mapId="1" xpath="/ns1:ReportDataObjects/ns1:ReportClient_View/ns1:ClientNM" xmlDataType="string"/>
    </tableColumn>
    <tableColumn id="4" uniqueName="ns1:VATNo" name="ns1:Collection" dataDxfId="14" dataCellStyle="Standaard 2">
      <xmlColumnPr mapId="1" xpath="/ns1:ReportDataObjects/ns1:ReportClient_View/ns1:VATNo" xmlDataType="string"/>
    </tableColumn>
    <tableColumn id="5" uniqueName="ns1:StreetAddress1" name="Column3" dataDxfId="13" dataCellStyle="Standaard 2">
      <xmlColumnPr mapId="1" xpath="/ns1:ReportDataObjects/ns1:ReportClient_View/ns1:StreetAddress1" xmlDataType="string"/>
    </tableColumn>
    <tableColumn id="6" uniqueName="ns1:StreetAddress2" name="Column4" dataDxfId="12" dataCellStyle="Standaard 2">
      <xmlColumnPr mapId="1" xpath="/ns1:ReportDataObjects/ns1:ReportClient_View/ns1:StreetAddress2" xmlDataType="string"/>
    </tableColumn>
    <tableColumn id="7" uniqueName="ns1:ZipCode" name="Column5" dataDxfId="11" dataCellStyle="Standaard 2">
      <xmlColumnPr mapId="1" xpath="/ns1:ReportDataObjects/ns1:ReportClient_View/ns1:ZipCode" xmlDataType="string"/>
    </tableColumn>
    <tableColumn id="8" uniqueName="ns1:ClientCityNM" name="ns1:MaterialNM" dataDxfId="10" dataCellStyle="Standaard 2">
      <xmlColumnPr mapId="1" xpath="/ns1:ReportDataObjects/ns1:ReportClient_View/ns1:ClientCityNM" xmlDataType="string"/>
    </tableColumn>
    <tableColumn id="9" uniqueName="ns1:ClientCountryNM" name="ns1:MaterialTypeNM" dataDxfId="9" dataCellStyle="Standaard 2">
      <xmlColumnPr mapId="1" xpath="/ns1:ReportDataObjects/ns1:ReportClient_View/ns1:ClientCountryNM" xmlDataType="string"/>
    </tableColumn>
    <tableColumn id="10" uniqueName="ns1:Telephone" name="ns1:MaterialColorNM" dataDxfId="8" dataCellStyle="Standaard 2">
      <xmlColumnPr mapId="1" xpath="/ns1:ReportDataObjects/ns1:ReportClient_View/ns1:Telephone" xmlDataType="string"/>
    </tableColumn>
    <tableColumn id="21" uniqueName="ns1:Email" name="Column2" dataDxfId="7" dataCellStyle="Standaard 2">
      <xmlColumnPr mapId="1" xpath="/ns1:ReportDataObjects/ns1:ReportClient_View/ns1:Email" xmlDataType="string"/>
    </tableColumn>
    <tableColumn id="20" uniqueName="ns1:Fax" name="Column1" dataDxfId="6" dataCellStyle="Standaard 2">
      <xmlColumnPr mapId="1" xpath="/ns1:ReportDataObjects/ns1:ReportClient_View/ns1:Fax" xmlDataType="string"/>
    </tableColumn>
    <tableColumn id="11" uniqueName="ns1:HaveBizRelationshipFrom" name="ns1:HaveBizRelationshipFrom" dataDxfId="5" dataCellStyle="Standaard 2">
      <xmlColumnPr mapId="1" xpath="/ns1:ReportDataObjects/ns1:ReportClient_View/ns1:HaveBizRelationshipFrom" xmlDataType="string"/>
    </tableColumn>
    <tableColumn id="12" uniqueName="ns1:Rating" name="ns1:Rating" dataDxfId="4" dataCellStyle="Standaard 2">
      <xmlColumnPr mapId="1" xpath="/ns1:ReportDataObjects/ns1:ReportClient_View/ns1:Rating" xmlDataType="string"/>
    </tableColumn>
    <tableColumn id="13" uniqueName="ns1:GLNNumber" name="ns1:GLNNumber" dataDxfId="3" dataCellStyle="Standaard 2">
      <xmlColumnPr mapId="1" xpath="/ns1:ReportDataObjects/ns1:ReportClient_View/ns1:GLNNumber" xmlDataType="string"/>
    </tableColumn>
    <tableColumn id="17" uniqueName="ns1:Website" name="ns1:Website" dataDxfId="2" dataCellStyle="Standaard 2">
      <xmlColumnPr mapId="1" xpath="/ns1:ReportDataObjects/ns1:ReportClient_View/ns1:Website" xmlDataType="string"/>
    </tableColumn>
    <tableColumn id="19" uniqueName="ns1:AgentNM" name="ns1:AgentNM" dataDxfId="1" dataCellStyle="Standaard 2">
      <xmlColumnPr mapId="1" xpath="/ns1:ReportDataObjects/ns1:ReportClient_View/ns1:AgentNM" xmlDataType="string"/>
    </tableColumn>
    <tableColumn id="16" uniqueName="16" name="16" dataDxfId="0" dataCellStyle="Standaard 2">
      <xmlColumnPr mapId="1" xpath="/ns1:ReportDataObjects/ns1:ReportClient_View/ns1:StreetAddress2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3" name="Table43" displayName="Table43" ref="A1:AD25" totalsRowShown="0">
  <autoFilter ref="A1:AD25"/>
  <tableColumns count="30">
    <tableColumn id="1" name="ns2:OfferID"/>
    <tableColumn id="2" name="ns2:OfferDetailID"/>
    <tableColumn id="3" name="ns2:LogoImage"/>
    <tableColumn id="4" name="ns2:FullImage"/>
    <tableColumn id="5" name="ns2:MaterialColorImage"/>
    <tableColumn id="6" name="ns2:CushionColorImage"/>
    <tableColumn id="7" name="ns2:LogoImagePath"/>
    <tableColumn id="8" name="ns2:BuyerNM"/>
    <tableColumn id="9" name="ns2:Address"/>
    <tableColumn id="10" name="ns2:ZipCode"/>
    <tableColumn id="11" name="ns2:CountryNM"/>
    <tableColumn id="12" name="ns2:Telephone"/>
    <tableColumn id="13" name="ns2:OfferDate"/>
    <tableColumn id="14" name="ns2:OfferUD"/>
    <tableColumn id="15" name="ns2:ValidUntil"/>
    <tableColumn id="16" name="ns2:SaleNM"/>
    <tableColumn id="17" name="ns2:ArticleCode"/>
    <tableColumn id="18" name="ns2:Description"/>
    <tableColumn id="19" name="ns2:FullImagePath"/>
    <tableColumn id="20" name="ns2:MaterialImagePath"/>
    <tableColumn id="21" name="ns2:CushionImagePath"/>
    <tableColumn id="22" name="ns2:UnitPrice"/>
    <tableColumn id="23" name="ns2:Remark"/>
    <tableColumn id="24" name="ns2:OverallDimL"/>
    <tableColumn id="25" name="ns2:OverallDimW"/>
    <tableColumn id="26" name="ns2:OverallDimH"/>
    <tableColumn id="27" name="ns2:Loadability20DC"/>
    <tableColumn id="28" name="ns2:Loadability40DC"/>
    <tableColumn id="29" name="ns2:Loadability40HC"/>
    <tableColumn id="30" name="ns2:Emai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81"/>
  <sheetViews>
    <sheetView tabSelected="1" view="pageBreakPreview" zoomScale="25" zoomScaleNormal="100" zoomScaleSheetLayoutView="25" workbookViewId="0">
      <pane xSplit="7" ySplit="10" topLeftCell="Q11" activePane="bottomRight" state="frozen"/>
      <selection pane="topRight" activeCell="H1" sqref="H1"/>
      <selection pane="bottomLeft" activeCell="A11" sqref="A11"/>
      <selection pane="bottomRight" activeCell="R10" sqref="R10"/>
    </sheetView>
  </sheetViews>
  <sheetFormatPr defaultColWidth="9.140625" defaultRowHeight="42"/>
  <cols>
    <col min="1" max="1" width="13.85546875" style="40" customWidth="1"/>
    <col min="2" max="2" width="122.5703125" style="40" customWidth="1"/>
    <col min="3" max="3" width="162.5703125" style="40" customWidth="1"/>
    <col min="4" max="4" width="67.140625" style="40" customWidth="1"/>
    <col min="5" max="5" width="114" style="40" customWidth="1"/>
    <col min="6" max="6" width="118.5703125" style="40" customWidth="1"/>
    <col min="7" max="7" width="61.7109375" style="40" customWidth="1"/>
    <col min="8" max="8" width="74.85546875" style="40" customWidth="1"/>
    <col min="9" max="9" width="80.28515625" style="40" customWidth="1"/>
    <col min="10" max="10" width="72.42578125" style="40" customWidth="1"/>
    <col min="11" max="11" width="86.85546875" style="40" customWidth="1"/>
    <col min="12" max="12" width="78.7109375" style="40" customWidth="1"/>
    <col min="13" max="13" width="82.5703125" style="40" customWidth="1"/>
    <col min="14" max="14" width="64.140625" style="40" customWidth="1"/>
    <col min="15" max="15" width="44.140625" style="40" customWidth="1"/>
    <col min="16" max="16" width="183.42578125" style="40" customWidth="1"/>
    <col min="17" max="17" width="102.42578125" style="40" customWidth="1"/>
    <col min="18" max="18" width="78.28515625" style="40" customWidth="1"/>
    <col min="19" max="19" width="27.5703125" style="40" customWidth="1"/>
    <col min="20" max="20" width="27.5703125" style="41" customWidth="1"/>
    <col min="21" max="21" width="21.42578125" style="40" customWidth="1"/>
    <col min="22" max="22" width="9.140625" style="40"/>
    <col min="23" max="23" width="10" style="40" bestFit="1" customWidth="1"/>
    <col min="24" max="16384" width="9.140625" style="40"/>
  </cols>
  <sheetData>
    <row r="1" spans="1:24" s="39" customFormat="1" ht="52.5" customHeight="1">
      <c r="A1" s="72"/>
      <c r="B1" s="72"/>
      <c r="C1" s="72"/>
      <c r="D1" s="83"/>
      <c r="E1" s="84"/>
      <c r="F1" s="85"/>
      <c r="G1" s="47"/>
      <c r="H1" s="65"/>
      <c r="I1" s="71"/>
      <c r="J1" s="71"/>
      <c r="K1" s="71"/>
      <c r="L1" s="71"/>
      <c r="M1" s="66"/>
      <c r="N1" s="44"/>
      <c r="O1" s="54"/>
      <c r="P1" s="65"/>
      <c r="Q1" s="66"/>
      <c r="R1" s="37"/>
      <c r="S1" s="37"/>
      <c r="T1" s="38"/>
    </row>
    <row r="2" spans="1:24" s="39" customFormat="1" ht="52.5" customHeight="1">
      <c r="A2" s="73"/>
      <c r="B2" s="73"/>
      <c r="C2" s="73"/>
      <c r="D2" s="86"/>
      <c r="E2" s="87"/>
      <c r="F2" s="88"/>
      <c r="G2" s="47"/>
      <c r="H2" s="65"/>
      <c r="I2" s="71"/>
      <c r="J2" s="71"/>
      <c r="K2" s="71"/>
      <c r="L2" s="71"/>
      <c r="M2" s="66"/>
      <c r="N2" s="45"/>
      <c r="O2" s="55"/>
      <c r="P2" s="67"/>
      <c r="Q2" s="68"/>
      <c r="R2" s="37"/>
      <c r="S2" s="37"/>
      <c r="T2" s="38"/>
    </row>
    <row r="3" spans="1:24" s="39" customFormat="1" ht="52.5" customHeight="1">
      <c r="A3" s="73"/>
      <c r="B3" s="73"/>
      <c r="C3" s="73"/>
      <c r="D3" s="86"/>
      <c r="E3" s="87"/>
      <c r="F3" s="88"/>
      <c r="G3" s="47"/>
      <c r="H3" s="65"/>
      <c r="I3" s="71"/>
      <c r="J3" s="71"/>
      <c r="K3" s="71"/>
      <c r="L3" s="71"/>
      <c r="M3" s="66"/>
      <c r="N3" s="45"/>
      <c r="O3" s="55"/>
      <c r="P3" s="67"/>
      <c r="Q3" s="68"/>
      <c r="R3" s="37"/>
      <c r="S3" s="37"/>
      <c r="T3" s="38"/>
    </row>
    <row r="4" spans="1:24" s="39" customFormat="1" ht="52.5" customHeight="1">
      <c r="A4" s="73"/>
      <c r="B4" s="73"/>
      <c r="C4" s="73"/>
      <c r="D4" s="86"/>
      <c r="E4" s="87"/>
      <c r="F4" s="88"/>
      <c r="G4" s="47"/>
      <c r="H4" s="65"/>
      <c r="I4" s="71"/>
      <c r="J4" s="71"/>
      <c r="K4" s="71"/>
      <c r="L4" s="71"/>
      <c r="M4" s="66"/>
      <c r="N4" s="45"/>
      <c r="O4" s="55"/>
      <c r="P4" s="67"/>
      <c r="Q4" s="68"/>
      <c r="R4" s="37"/>
      <c r="S4" s="38"/>
    </row>
    <row r="5" spans="1:24" s="39" customFormat="1" ht="52.5" customHeight="1">
      <c r="A5" s="73"/>
      <c r="B5" s="73"/>
      <c r="C5" s="73"/>
      <c r="D5" s="86"/>
      <c r="E5" s="87"/>
      <c r="F5" s="88"/>
      <c r="G5" s="47"/>
      <c r="H5" s="65"/>
      <c r="I5" s="71"/>
      <c r="J5" s="71"/>
      <c r="K5" s="71"/>
      <c r="L5" s="71"/>
      <c r="M5" s="66"/>
      <c r="N5" s="45"/>
      <c r="O5" s="55"/>
      <c r="P5" s="69"/>
      <c r="Q5" s="70"/>
      <c r="R5" s="37"/>
      <c r="S5" s="38"/>
    </row>
    <row r="6" spans="1:24" s="39" customFormat="1" ht="52.5" customHeight="1">
      <c r="A6" s="74"/>
      <c r="B6" s="74"/>
      <c r="C6" s="73"/>
      <c r="D6" s="89"/>
      <c r="E6" s="90"/>
      <c r="F6" s="91"/>
      <c r="G6" s="47"/>
      <c r="H6" s="65"/>
      <c r="I6" s="71"/>
      <c r="J6" s="71"/>
      <c r="K6" s="71"/>
      <c r="L6" s="71"/>
      <c r="M6" s="66"/>
      <c r="N6" s="46"/>
      <c r="O6" s="60"/>
      <c r="P6" s="67"/>
      <c r="Q6" s="68"/>
      <c r="R6" s="37"/>
      <c r="S6" s="38"/>
      <c r="T6" s="38"/>
      <c r="U6" s="38"/>
      <c r="V6" s="38"/>
      <c r="W6" s="38"/>
      <c r="X6" s="38"/>
    </row>
    <row r="7" spans="1:24" ht="52.5" customHeight="1">
      <c r="A7" s="75" t="s">
        <v>55</v>
      </c>
      <c r="B7" s="81" t="s">
        <v>293</v>
      </c>
      <c r="C7" s="59"/>
      <c r="D7" s="82" t="s">
        <v>295</v>
      </c>
      <c r="E7" s="75" t="s">
        <v>296</v>
      </c>
      <c r="F7" s="75" t="s">
        <v>298</v>
      </c>
      <c r="G7" s="78" t="s">
        <v>299</v>
      </c>
      <c r="H7" s="76" t="s">
        <v>300</v>
      </c>
      <c r="I7" s="75" t="s">
        <v>301</v>
      </c>
      <c r="J7" s="76" t="s">
        <v>302</v>
      </c>
      <c r="K7" s="76" t="s">
        <v>303</v>
      </c>
      <c r="L7" s="76" t="s">
        <v>304</v>
      </c>
      <c r="M7" s="76" t="s">
        <v>305</v>
      </c>
      <c r="N7" s="76" t="s">
        <v>308</v>
      </c>
      <c r="O7" s="76" t="s">
        <v>310</v>
      </c>
      <c r="P7" s="93" t="s">
        <v>311</v>
      </c>
      <c r="Q7" s="75" t="s">
        <v>313</v>
      </c>
      <c r="R7" s="75" t="s">
        <v>315</v>
      </c>
      <c r="T7" s="40"/>
    </row>
    <row r="8" spans="1:24" ht="67.5" customHeight="1">
      <c r="A8" s="75"/>
      <c r="B8" s="75"/>
      <c r="C8" s="59" t="s">
        <v>294</v>
      </c>
      <c r="D8" s="75"/>
      <c r="E8" s="75"/>
      <c r="F8" s="75"/>
      <c r="G8" s="79"/>
      <c r="H8" s="76"/>
      <c r="I8" s="75"/>
      <c r="J8" s="76"/>
      <c r="K8" s="76"/>
      <c r="L8" s="76"/>
      <c r="M8" s="76"/>
      <c r="N8" s="76"/>
      <c r="O8" s="76"/>
      <c r="P8" s="94"/>
      <c r="Q8" s="75"/>
      <c r="R8" s="75"/>
      <c r="S8" s="78"/>
      <c r="T8" s="40"/>
    </row>
    <row r="9" spans="1:24" ht="58.5" customHeight="1">
      <c r="A9" s="75"/>
      <c r="B9" s="81"/>
      <c r="C9" s="59"/>
      <c r="D9" s="82"/>
      <c r="E9" s="75"/>
      <c r="F9" s="75"/>
      <c r="G9" s="80"/>
      <c r="H9" s="76"/>
      <c r="I9" s="75"/>
      <c r="J9" s="76"/>
      <c r="K9" s="76"/>
      <c r="L9" s="76"/>
      <c r="M9" s="76"/>
      <c r="N9" s="76"/>
      <c r="O9" s="77"/>
      <c r="P9" s="62"/>
      <c r="Q9" s="75"/>
      <c r="R9" s="75"/>
      <c r="S9" s="92"/>
      <c r="T9" s="40"/>
    </row>
    <row r="10" spans="1:24" ht="34.5" customHeight="1">
      <c r="A10" s="48" t="s">
        <v>282</v>
      </c>
      <c r="B10" s="48" t="s">
        <v>290</v>
      </c>
      <c r="C10" s="53" t="s">
        <v>297</v>
      </c>
      <c r="D10" s="48" t="s">
        <v>283</v>
      </c>
      <c r="E10" s="48" t="s">
        <v>289</v>
      </c>
      <c r="F10" s="48" t="s">
        <v>291</v>
      </c>
      <c r="G10" s="48" t="s">
        <v>292</v>
      </c>
      <c r="H10" s="48" t="s">
        <v>284</v>
      </c>
      <c r="I10" s="48" t="s">
        <v>285</v>
      </c>
      <c r="J10" s="48" t="s">
        <v>286</v>
      </c>
      <c r="K10" s="48" t="s">
        <v>288</v>
      </c>
      <c r="L10" s="48" t="s">
        <v>287</v>
      </c>
      <c r="M10" s="48" t="s">
        <v>306</v>
      </c>
      <c r="N10" s="48" t="s">
        <v>307</v>
      </c>
      <c r="O10" s="48" t="s">
        <v>309</v>
      </c>
      <c r="P10" s="61" t="s">
        <v>312</v>
      </c>
      <c r="Q10" s="48" t="s">
        <v>314</v>
      </c>
      <c r="R10" s="64" t="s">
        <v>316</v>
      </c>
      <c r="S10" s="92"/>
      <c r="T10" s="40"/>
    </row>
    <row r="11" spans="1:24" ht="409.6" customHeight="1">
      <c r="A11" s="49"/>
      <c r="B11" s="58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40"/>
      <c r="U11" s="41"/>
    </row>
    <row r="12" spans="1:24" ht="409.6" customHeight="1">
      <c r="A12" s="51"/>
      <c r="B12" s="56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63"/>
      <c r="R12" s="52"/>
      <c r="T12" s="40"/>
      <c r="U12" s="41"/>
    </row>
    <row r="13" spans="1:24" ht="409.6" customHeight="1">
      <c r="A13" s="51"/>
      <c r="B13" s="57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63"/>
      <c r="R13" s="52"/>
      <c r="T13" s="40"/>
      <c r="U13" s="41"/>
    </row>
    <row r="14" spans="1:24" ht="408.95" customHeight="1">
      <c r="M14" s="42"/>
      <c r="N14" s="42"/>
      <c r="Q14" s="43"/>
      <c r="T14" s="40"/>
      <c r="V14" s="41"/>
    </row>
    <row r="15" spans="1:24" ht="408.95" customHeight="1">
      <c r="Q15" s="43"/>
      <c r="T15" s="40"/>
      <c r="V15" s="41"/>
    </row>
    <row r="16" spans="1:24" ht="408.95" customHeight="1">
      <c r="Q16" s="43"/>
      <c r="T16" s="40"/>
      <c r="V16" s="41"/>
    </row>
    <row r="17" spans="17:22" ht="408.95" customHeight="1">
      <c r="Q17" s="43"/>
      <c r="T17" s="40"/>
      <c r="V17" s="41"/>
    </row>
    <row r="18" spans="17:22" ht="408.95" customHeight="1">
      <c r="Q18" s="43"/>
      <c r="T18" s="40"/>
      <c r="V18" s="41"/>
    </row>
    <row r="19" spans="17:22" ht="408.95" customHeight="1">
      <c r="Q19" s="43"/>
      <c r="T19" s="40"/>
      <c r="V19" s="41"/>
    </row>
    <row r="20" spans="17:22" ht="408.95" customHeight="1">
      <c r="Q20" s="43"/>
      <c r="T20" s="40"/>
      <c r="V20" s="41"/>
    </row>
    <row r="21" spans="17:22" ht="408.95" customHeight="1">
      <c r="T21" s="40"/>
      <c r="V21" s="41"/>
    </row>
    <row r="22" spans="17:22" ht="408.95" customHeight="1">
      <c r="T22" s="40"/>
      <c r="V22" s="41"/>
    </row>
    <row r="23" spans="17:22" ht="408.95" customHeight="1">
      <c r="T23" s="40"/>
      <c r="V23" s="41"/>
    </row>
    <row r="24" spans="17:22" ht="408.95" customHeight="1">
      <c r="T24" s="40"/>
      <c r="V24" s="41"/>
    </row>
    <row r="25" spans="17:22" ht="408.95" customHeight="1">
      <c r="T25" s="40"/>
      <c r="V25" s="41"/>
    </row>
    <row r="26" spans="17:22" ht="408.95" customHeight="1">
      <c r="T26" s="40"/>
      <c r="V26" s="41"/>
    </row>
    <row r="27" spans="17:22" ht="408.95" customHeight="1">
      <c r="T27" s="40"/>
      <c r="V27" s="41"/>
    </row>
    <row r="28" spans="17:22" ht="408.95" customHeight="1">
      <c r="T28" s="40"/>
      <c r="V28" s="41"/>
    </row>
    <row r="29" spans="17:22" ht="408.95" customHeight="1">
      <c r="T29" s="40"/>
      <c r="V29" s="41"/>
    </row>
    <row r="30" spans="17:22" ht="408.95" customHeight="1">
      <c r="T30" s="40"/>
      <c r="V30" s="41"/>
    </row>
    <row r="31" spans="17:22" ht="408.95" customHeight="1">
      <c r="T31" s="40"/>
      <c r="V31" s="41"/>
    </row>
    <row r="32" spans="17:22" ht="408.95" customHeight="1">
      <c r="T32" s="40"/>
      <c r="V32" s="41"/>
    </row>
    <row r="33" spans="20:22" ht="408.95" customHeight="1">
      <c r="T33" s="40"/>
      <c r="V33" s="41"/>
    </row>
    <row r="34" spans="20:22" ht="408.95" customHeight="1">
      <c r="T34" s="40"/>
      <c r="V34" s="41"/>
    </row>
    <row r="35" spans="20:22" ht="408.95" customHeight="1">
      <c r="T35" s="40"/>
      <c r="V35" s="41"/>
    </row>
    <row r="36" spans="20:22" ht="408.95" customHeight="1">
      <c r="T36" s="40"/>
      <c r="V36" s="41"/>
    </row>
    <row r="37" spans="20:22" ht="408.95" customHeight="1">
      <c r="T37" s="40"/>
      <c r="V37" s="41"/>
    </row>
    <row r="38" spans="20:22" ht="408.95" customHeight="1">
      <c r="T38" s="40"/>
      <c r="V38" s="41"/>
    </row>
    <row r="39" spans="20:22" ht="408.95" customHeight="1">
      <c r="T39" s="40"/>
      <c r="V39" s="41"/>
    </row>
    <row r="40" spans="20:22" ht="408.95" customHeight="1">
      <c r="T40" s="40"/>
      <c r="V40" s="41"/>
    </row>
    <row r="41" spans="20:22" ht="408.95" customHeight="1">
      <c r="T41" s="40"/>
      <c r="V41" s="41"/>
    </row>
    <row r="42" spans="20:22" ht="408.95" customHeight="1">
      <c r="T42" s="40"/>
      <c r="V42" s="41"/>
    </row>
    <row r="43" spans="20:22" ht="408.95" customHeight="1">
      <c r="T43" s="40"/>
      <c r="V43" s="41"/>
    </row>
    <row r="44" spans="20:22" ht="408.95" customHeight="1">
      <c r="T44" s="40"/>
      <c r="V44" s="41"/>
    </row>
    <row r="45" spans="20:22" ht="408.95" customHeight="1">
      <c r="T45" s="40"/>
      <c r="V45" s="41"/>
    </row>
    <row r="46" spans="20:22" ht="408.95" customHeight="1">
      <c r="T46" s="40"/>
      <c r="V46" s="41"/>
    </row>
    <row r="47" spans="20:22" ht="408.95" customHeight="1">
      <c r="T47" s="40"/>
      <c r="V47" s="41"/>
    </row>
    <row r="48" spans="20:22" ht="408.95" customHeight="1">
      <c r="T48" s="40"/>
      <c r="V48" s="41"/>
    </row>
    <row r="49" spans="20:22" ht="408.95" customHeight="1">
      <c r="T49" s="40"/>
      <c r="V49" s="41"/>
    </row>
    <row r="50" spans="20:22" ht="408.95" customHeight="1">
      <c r="T50" s="40"/>
      <c r="V50" s="41"/>
    </row>
    <row r="51" spans="20:22" ht="408.95" customHeight="1">
      <c r="T51" s="40"/>
      <c r="V51" s="41"/>
    </row>
    <row r="52" spans="20:22" ht="408.95" customHeight="1">
      <c r="T52" s="40"/>
      <c r="V52" s="41"/>
    </row>
    <row r="53" spans="20:22" ht="408.95" customHeight="1">
      <c r="T53" s="40"/>
      <c r="V53" s="41"/>
    </row>
    <row r="54" spans="20:22" ht="408.95" customHeight="1">
      <c r="T54" s="40"/>
      <c r="V54" s="41"/>
    </row>
    <row r="55" spans="20:22" ht="408.95" customHeight="1">
      <c r="T55" s="40"/>
      <c r="V55" s="41"/>
    </row>
    <row r="56" spans="20:22" ht="408.95" customHeight="1">
      <c r="T56" s="40"/>
      <c r="V56" s="41"/>
    </row>
    <row r="57" spans="20:22" ht="408.95" customHeight="1">
      <c r="T57" s="40"/>
      <c r="V57" s="41"/>
    </row>
    <row r="58" spans="20:22" ht="408.95" customHeight="1">
      <c r="T58" s="40"/>
      <c r="V58" s="41"/>
    </row>
    <row r="59" spans="20:22" ht="408.95" customHeight="1">
      <c r="T59" s="40"/>
      <c r="V59" s="41"/>
    </row>
    <row r="60" spans="20:22" ht="408.95" customHeight="1">
      <c r="T60" s="40"/>
      <c r="V60" s="41"/>
    </row>
    <row r="61" spans="20:22" ht="408.95" customHeight="1">
      <c r="T61" s="40"/>
      <c r="V61" s="41"/>
    </row>
    <row r="62" spans="20:22" ht="408.95" customHeight="1">
      <c r="T62" s="40"/>
      <c r="V62" s="41"/>
    </row>
    <row r="63" spans="20:22" ht="408.95" customHeight="1">
      <c r="T63" s="40"/>
      <c r="V63" s="41"/>
    </row>
    <row r="64" spans="20:22" ht="408.95" customHeight="1">
      <c r="T64" s="40"/>
      <c r="V64" s="41"/>
    </row>
    <row r="65" spans="20:22" ht="408.95" customHeight="1">
      <c r="T65" s="40"/>
      <c r="V65" s="41"/>
    </row>
    <row r="66" spans="20:22" ht="408.95" customHeight="1">
      <c r="T66" s="40"/>
      <c r="V66" s="41"/>
    </row>
    <row r="67" spans="20:22" ht="408.95" customHeight="1">
      <c r="T67" s="40"/>
      <c r="V67" s="41"/>
    </row>
    <row r="68" spans="20:22" ht="408.95" customHeight="1">
      <c r="T68" s="40"/>
      <c r="V68" s="41"/>
    </row>
    <row r="69" spans="20:22" ht="408.95" customHeight="1">
      <c r="T69" s="40"/>
      <c r="V69" s="41"/>
    </row>
    <row r="70" spans="20:22" ht="408.95" customHeight="1">
      <c r="T70" s="40"/>
      <c r="V70" s="41"/>
    </row>
    <row r="71" spans="20:22" ht="408.95" customHeight="1">
      <c r="T71" s="40"/>
      <c r="V71" s="41"/>
    </row>
    <row r="72" spans="20:22" ht="408.95" customHeight="1">
      <c r="T72" s="40"/>
      <c r="V72" s="41"/>
    </row>
    <row r="73" spans="20:22" ht="408.95" customHeight="1">
      <c r="T73" s="40"/>
      <c r="V73" s="41"/>
    </row>
    <row r="74" spans="20:22" ht="408.95" customHeight="1">
      <c r="T74" s="40"/>
      <c r="V74" s="41"/>
    </row>
    <row r="75" spans="20:22" ht="408.95" customHeight="1">
      <c r="T75" s="40"/>
      <c r="V75" s="41"/>
    </row>
    <row r="76" spans="20:22" ht="408.95" customHeight="1">
      <c r="T76" s="40"/>
      <c r="V76" s="41"/>
    </row>
    <row r="77" spans="20:22" ht="408.95" customHeight="1">
      <c r="T77" s="40"/>
      <c r="V77" s="41"/>
    </row>
    <row r="78" spans="20:22" ht="408.95" customHeight="1">
      <c r="T78" s="40"/>
      <c r="V78" s="41"/>
    </row>
    <row r="79" spans="20:22" ht="408.95" customHeight="1">
      <c r="T79" s="40"/>
      <c r="V79" s="41"/>
    </row>
    <row r="80" spans="20:22" ht="408.95" customHeight="1">
      <c r="T80" s="40"/>
      <c r="V80" s="41"/>
    </row>
    <row r="81" spans="20:22" ht="408.95" customHeight="1">
      <c r="T81" s="40"/>
      <c r="V81" s="41"/>
    </row>
    <row r="82" spans="20:22" ht="408.95" customHeight="1">
      <c r="T82" s="40"/>
      <c r="V82" s="41"/>
    </row>
    <row r="83" spans="20:22" ht="408.95" customHeight="1">
      <c r="T83" s="40"/>
      <c r="V83" s="41"/>
    </row>
    <row r="84" spans="20:22" ht="408.95" customHeight="1">
      <c r="T84" s="40"/>
      <c r="V84" s="41"/>
    </row>
    <row r="85" spans="20:22" ht="408.95" customHeight="1">
      <c r="T85" s="40"/>
      <c r="V85" s="41"/>
    </row>
    <row r="86" spans="20:22" ht="408.95" customHeight="1">
      <c r="T86" s="40"/>
      <c r="V86" s="41"/>
    </row>
    <row r="87" spans="20:22" ht="408.95" customHeight="1">
      <c r="T87" s="40"/>
      <c r="V87" s="41"/>
    </row>
    <row r="88" spans="20:22" ht="408.95" customHeight="1">
      <c r="T88" s="40"/>
      <c r="V88" s="41"/>
    </row>
    <row r="89" spans="20:22" ht="408.95" customHeight="1">
      <c r="T89" s="40"/>
      <c r="V89" s="41"/>
    </row>
    <row r="90" spans="20:22" ht="408.95" customHeight="1">
      <c r="T90" s="40"/>
      <c r="V90" s="41"/>
    </row>
    <row r="91" spans="20:22" ht="408.95" customHeight="1">
      <c r="T91" s="40"/>
      <c r="V91" s="41"/>
    </row>
    <row r="92" spans="20:22" ht="408.95" customHeight="1">
      <c r="T92" s="40"/>
      <c r="V92" s="41"/>
    </row>
    <row r="93" spans="20:22" ht="408.95" customHeight="1">
      <c r="T93" s="40"/>
      <c r="V93" s="41"/>
    </row>
    <row r="94" spans="20:22" ht="408.95" customHeight="1">
      <c r="T94" s="40"/>
      <c r="V94" s="41"/>
    </row>
    <row r="95" spans="20:22" ht="408.95" customHeight="1">
      <c r="T95" s="40"/>
      <c r="V95" s="41"/>
    </row>
    <row r="96" spans="20:22" ht="408.95" customHeight="1">
      <c r="T96" s="40"/>
      <c r="V96" s="41"/>
    </row>
    <row r="97" spans="20:22" ht="408.95" customHeight="1">
      <c r="T97" s="40"/>
      <c r="V97" s="41"/>
    </row>
    <row r="98" spans="20:22" ht="408.95" customHeight="1">
      <c r="T98" s="40"/>
      <c r="V98" s="41"/>
    </row>
    <row r="99" spans="20:22" ht="408.95" customHeight="1">
      <c r="T99" s="40"/>
      <c r="V99" s="41"/>
    </row>
    <row r="100" spans="20:22" ht="408.95" customHeight="1">
      <c r="T100" s="40"/>
      <c r="V100" s="41"/>
    </row>
    <row r="101" spans="20:22" ht="408.95" customHeight="1">
      <c r="T101" s="40"/>
      <c r="V101" s="41"/>
    </row>
    <row r="102" spans="20:22" ht="408.95" customHeight="1">
      <c r="T102" s="40"/>
      <c r="V102" s="41"/>
    </row>
    <row r="103" spans="20:22" ht="408.95" customHeight="1">
      <c r="T103" s="40"/>
      <c r="V103" s="41"/>
    </row>
    <row r="104" spans="20:22" ht="408.95" customHeight="1">
      <c r="T104" s="40"/>
      <c r="V104" s="41"/>
    </row>
    <row r="105" spans="20:22" ht="408.95" customHeight="1">
      <c r="T105" s="40"/>
      <c r="V105" s="41"/>
    </row>
    <row r="106" spans="20:22" ht="408.95" customHeight="1">
      <c r="T106" s="40"/>
      <c r="V106" s="41"/>
    </row>
    <row r="107" spans="20:22" ht="408.95" customHeight="1">
      <c r="T107" s="40"/>
      <c r="V107" s="41"/>
    </row>
    <row r="108" spans="20:22" ht="408.95" customHeight="1">
      <c r="T108" s="40"/>
      <c r="V108" s="41"/>
    </row>
    <row r="109" spans="20:22" ht="408.95" customHeight="1">
      <c r="T109" s="40"/>
      <c r="V109" s="41"/>
    </row>
    <row r="110" spans="20:22" ht="408.95" customHeight="1">
      <c r="T110" s="40"/>
      <c r="V110" s="41"/>
    </row>
    <row r="111" spans="20:22" ht="408.95" customHeight="1">
      <c r="T111" s="40"/>
      <c r="V111" s="41"/>
    </row>
    <row r="112" spans="20:22" ht="408.95" customHeight="1">
      <c r="T112" s="40"/>
      <c r="V112" s="41"/>
    </row>
    <row r="113" spans="20:22" ht="408.95" customHeight="1">
      <c r="T113" s="40"/>
      <c r="V113" s="41"/>
    </row>
    <row r="114" spans="20:22" ht="408.95" customHeight="1">
      <c r="T114" s="40"/>
      <c r="V114" s="41"/>
    </row>
    <row r="115" spans="20:22" ht="408.95" customHeight="1">
      <c r="T115" s="40"/>
      <c r="V115" s="41"/>
    </row>
    <row r="116" spans="20:22" ht="408.95" customHeight="1">
      <c r="T116" s="40"/>
      <c r="V116" s="41"/>
    </row>
    <row r="117" spans="20:22" ht="408.95" customHeight="1">
      <c r="T117" s="40"/>
      <c r="V117" s="41"/>
    </row>
    <row r="118" spans="20:22" ht="408.95" customHeight="1">
      <c r="T118" s="40"/>
      <c r="V118" s="41"/>
    </row>
    <row r="119" spans="20:22" ht="408.95" customHeight="1">
      <c r="T119" s="40"/>
      <c r="V119" s="41"/>
    </row>
    <row r="120" spans="20:22" ht="408.95" customHeight="1">
      <c r="T120" s="40"/>
      <c r="V120" s="41"/>
    </row>
    <row r="121" spans="20:22" ht="408.95" customHeight="1">
      <c r="T121" s="40"/>
      <c r="V121" s="41"/>
    </row>
    <row r="122" spans="20:22" ht="408.95" customHeight="1">
      <c r="T122" s="40"/>
      <c r="V122" s="41"/>
    </row>
    <row r="123" spans="20:22" ht="408.95" customHeight="1">
      <c r="T123" s="40"/>
      <c r="V123" s="41"/>
    </row>
    <row r="124" spans="20:22" ht="408.95" customHeight="1">
      <c r="T124" s="40"/>
      <c r="V124" s="41"/>
    </row>
    <row r="125" spans="20:22" ht="408.95" customHeight="1">
      <c r="T125" s="40"/>
      <c r="V125" s="41"/>
    </row>
    <row r="126" spans="20:22" ht="408.95" customHeight="1">
      <c r="T126" s="40"/>
      <c r="V126" s="41"/>
    </row>
    <row r="127" spans="20:22" ht="408.95" customHeight="1">
      <c r="T127" s="40"/>
      <c r="V127" s="41"/>
    </row>
    <row r="128" spans="20:22" ht="408.95" customHeight="1">
      <c r="T128" s="40"/>
      <c r="V128" s="41"/>
    </row>
    <row r="129" spans="20:22" ht="408.95" customHeight="1">
      <c r="T129" s="40"/>
      <c r="V129" s="41"/>
    </row>
    <row r="130" spans="20:22" ht="408.95" customHeight="1">
      <c r="T130" s="40"/>
      <c r="V130" s="41"/>
    </row>
    <row r="131" spans="20:22" ht="408.95" customHeight="1">
      <c r="T131" s="40"/>
      <c r="V131" s="41"/>
    </row>
    <row r="132" spans="20:22" ht="408.95" customHeight="1">
      <c r="T132" s="40"/>
      <c r="V132" s="41"/>
    </row>
    <row r="133" spans="20:22" ht="408.95" customHeight="1">
      <c r="T133" s="40"/>
      <c r="V133" s="41"/>
    </row>
    <row r="134" spans="20:22" ht="408.95" customHeight="1">
      <c r="T134" s="40"/>
      <c r="V134" s="41"/>
    </row>
    <row r="135" spans="20:22" ht="408.95" customHeight="1">
      <c r="T135" s="40"/>
      <c r="V135" s="41"/>
    </row>
    <row r="136" spans="20:22" ht="408.95" customHeight="1">
      <c r="T136" s="40"/>
      <c r="V136" s="41"/>
    </row>
    <row r="137" spans="20:22" ht="408.95" customHeight="1">
      <c r="T137" s="40"/>
      <c r="V137" s="41"/>
    </row>
    <row r="138" spans="20:22" ht="408.95" customHeight="1">
      <c r="T138" s="40"/>
      <c r="V138" s="41"/>
    </row>
    <row r="139" spans="20:22" ht="408.95" customHeight="1">
      <c r="T139" s="40"/>
      <c r="V139" s="41"/>
    </row>
    <row r="140" spans="20:22" ht="408.95" customHeight="1">
      <c r="T140" s="40"/>
      <c r="V140" s="41"/>
    </row>
    <row r="141" spans="20:22" ht="408.95" customHeight="1">
      <c r="T141" s="40"/>
      <c r="V141" s="41"/>
    </row>
    <row r="142" spans="20:22" ht="408.95" customHeight="1">
      <c r="T142" s="40"/>
      <c r="V142" s="41"/>
    </row>
    <row r="143" spans="20:22" ht="408.95" customHeight="1">
      <c r="T143" s="40"/>
      <c r="V143" s="41"/>
    </row>
    <row r="144" spans="20:22" ht="408.95" customHeight="1">
      <c r="T144" s="40"/>
      <c r="V144" s="41"/>
    </row>
    <row r="145" spans="20:22" ht="408.95" customHeight="1">
      <c r="T145" s="40"/>
      <c r="V145" s="41"/>
    </row>
    <row r="146" spans="20:22" ht="408.95" customHeight="1">
      <c r="T146" s="40"/>
      <c r="V146" s="41"/>
    </row>
    <row r="147" spans="20:22" ht="408.95" customHeight="1">
      <c r="T147" s="40"/>
      <c r="V147" s="41"/>
    </row>
    <row r="148" spans="20:22" ht="408.95" customHeight="1">
      <c r="T148" s="40"/>
      <c r="V148" s="41"/>
    </row>
    <row r="149" spans="20:22" ht="408.95" customHeight="1">
      <c r="T149" s="40"/>
      <c r="V149" s="41"/>
    </row>
    <row r="150" spans="20:22" ht="408.95" customHeight="1">
      <c r="T150" s="40"/>
      <c r="V150" s="41"/>
    </row>
    <row r="151" spans="20:22" ht="408.95" customHeight="1">
      <c r="T151" s="40"/>
      <c r="V151" s="41"/>
    </row>
    <row r="152" spans="20:22" ht="408.95" customHeight="1">
      <c r="T152" s="40"/>
      <c r="V152" s="41"/>
    </row>
    <row r="153" spans="20:22" ht="408.95" customHeight="1">
      <c r="T153" s="40"/>
      <c r="V153" s="41"/>
    </row>
    <row r="154" spans="20:22" ht="408.95" customHeight="1">
      <c r="T154" s="40"/>
      <c r="V154" s="41"/>
    </row>
    <row r="155" spans="20:22" ht="408.95" customHeight="1">
      <c r="T155" s="40"/>
      <c r="V155" s="41"/>
    </row>
    <row r="156" spans="20:22" ht="408.95" customHeight="1">
      <c r="T156" s="40"/>
      <c r="V156" s="41"/>
    </row>
    <row r="157" spans="20:22" ht="408.95" customHeight="1">
      <c r="T157" s="40"/>
      <c r="V157" s="41"/>
    </row>
    <row r="158" spans="20:22" ht="408.95" customHeight="1">
      <c r="T158" s="40"/>
      <c r="V158" s="41"/>
    </row>
    <row r="159" spans="20:22" ht="408.95" customHeight="1">
      <c r="T159" s="40"/>
      <c r="V159" s="41"/>
    </row>
    <row r="160" spans="20:22" ht="408.95" customHeight="1">
      <c r="T160" s="40"/>
      <c r="V160" s="41"/>
    </row>
    <row r="161" spans="20:22" ht="408.95" customHeight="1">
      <c r="T161" s="40"/>
      <c r="V161" s="41"/>
    </row>
    <row r="162" spans="20:22" ht="408.95" customHeight="1">
      <c r="T162" s="40"/>
      <c r="V162" s="41"/>
    </row>
    <row r="163" spans="20:22" ht="408.95" customHeight="1">
      <c r="T163" s="40"/>
      <c r="V163" s="41"/>
    </row>
    <row r="164" spans="20:22" ht="408.95" customHeight="1">
      <c r="T164" s="40"/>
      <c r="V164" s="41"/>
    </row>
    <row r="165" spans="20:22" ht="408.95" customHeight="1">
      <c r="T165" s="40"/>
      <c r="V165" s="41"/>
    </row>
    <row r="166" spans="20:22" ht="408.95" customHeight="1">
      <c r="T166" s="40"/>
      <c r="V166" s="41"/>
    </row>
    <row r="167" spans="20:22" ht="408.95" customHeight="1">
      <c r="T167" s="40"/>
      <c r="V167" s="41"/>
    </row>
    <row r="168" spans="20:22" ht="408.95" customHeight="1">
      <c r="T168" s="40"/>
      <c r="V168" s="41"/>
    </row>
    <row r="169" spans="20:22" ht="408.95" customHeight="1">
      <c r="T169" s="40"/>
      <c r="V169" s="41"/>
    </row>
    <row r="170" spans="20:22" ht="408.95" customHeight="1">
      <c r="T170" s="40"/>
      <c r="V170" s="41"/>
    </row>
    <row r="171" spans="20:22" ht="408.95" customHeight="1">
      <c r="T171" s="40"/>
      <c r="V171" s="41"/>
    </row>
    <row r="172" spans="20:22" ht="408.95" customHeight="1">
      <c r="T172" s="40"/>
      <c r="V172" s="41"/>
    </row>
    <row r="173" spans="20:22" ht="408.95" customHeight="1">
      <c r="T173" s="40"/>
      <c r="V173" s="41"/>
    </row>
    <row r="174" spans="20:22" ht="408.95" customHeight="1">
      <c r="T174" s="40"/>
      <c r="V174" s="41"/>
    </row>
    <row r="175" spans="20:22" ht="408.95" customHeight="1">
      <c r="T175" s="40"/>
      <c r="V175" s="41"/>
    </row>
    <row r="176" spans="20:22" ht="408.95" customHeight="1">
      <c r="T176" s="40"/>
      <c r="V176" s="41"/>
    </row>
    <row r="177" spans="20:22" ht="408.95" customHeight="1">
      <c r="T177" s="40"/>
      <c r="V177" s="41"/>
    </row>
    <row r="178" spans="20:22" ht="408.95" customHeight="1">
      <c r="T178" s="40"/>
      <c r="V178" s="41"/>
    </row>
    <row r="179" spans="20:22" ht="408.95" customHeight="1">
      <c r="T179" s="40"/>
      <c r="V179" s="41"/>
    </row>
    <row r="180" spans="20:22" ht="408.95" customHeight="1">
      <c r="T180" s="40"/>
      <c r="V180" s="41"/>
    </row>
    <row r="181" spans="20:22" ht="408.95" customHeight="1">
      <c r="T181" s="40"/>
      <c r="V181" s="41"/>
    </row>
    <row r="182" spans="20:22" ht="408.95" customHeight="1">
      <c r="T182" s="40"/>
      <c r="V182" s="41"/>
    </row>
    <row r="183" spans="20:22" ht="408.95" customHeight="1">
      <c r="T183" s="40"/>
      <c r="V183" s="41"/>
    </row>
    <row r="184" spans="20:22" ht="408.95" customHeight="1">
      <c r="T184" s="40"/>
      <c r="V184" s="41"/>
    </row>
    <row r="185" spans="20:22" ht="408.95" customHeight="1">
      <c r="T185" s="40"/>
      <c r="V185" s="41"/>
    </row>
    <row r="186" spans="20:22" ht="408.95" customHeight="1">
      <c r="T186" s="40"/>
      <c r="V186" s="41"/>
    </row>
    <row r="187" spans="20:22" ht="408.95" customHeight="1">
      <c r="T187" s="40"/>
      <c r="V187" s="41"/>
    </row>
    <row r="188" spans="20:22" ht="408.95" customHeight="1">
      <c r="T188" s="40"/>
      <c r="V188" s="41"/>
    </row>
    <row r="189" spans="20:22" ht="408.95" customHeight="1">
      <c r="T189" s="40"/>
      <c r="V189" s="41"/>
    </row>
    <row r="190" spans="20:22" ht="408.95" customHeight="1">
      <c r="T190" s="40"/>
      <c r="V190" s="41"/>
    </row>
    <row r="191" spans="20:22" ht="408.95" customHeight="1">
      <c r="T191" s="40"/>
      <c r="V191" s="41"/>
    </row>
    <row r="192" spans="20:22" ht="408.95" customHeight="1">
      <c r="T192" s="40"/>
      <c r="V192" s="41"/>
    </row>
    <row r="193" spans="20:22" ht="408.95" customHeight="1">
      <c r="T193" s="40"/>
      <c r="V193" s="41"/>
    </row>
    <row r="194" spans="20:22" ht="408.95" customHeight="1">
      <c r="T194" s="40"/>
      <c r="V194" s="41"/>
    </row>
    <row r="195" spans="20:22" ht="408.95" customHeight="1">
      <c r="T195" s="40"/>
      <c r="V195" s="41"/>
    </row>
    <row r="196" spans="20:22" ht="408.95" customHeight="1">
      <c r="T196" s="40"/>
      <c r="V196" s="41"/>
    </row>
    <row r="197" spans="20:22" ht="408.95" customHeight="1">
      <c r="T197" s="40"/>
      <c r="V197" s="41"/>
    </row>
    <row r="198" spans="20:22" ht="408.95" customHeight="1">
      <c r="T198" s="40"/>
      <c r="V198" s="41"/>
    </row>
    <row r="199" spans="20:22" ht="408.95" customHeight="1">
      <c r="T199" s="40"/>
      <c r="V199" s="41"/>
    </row>
    <row r="200" spans="20:22" ht="408.95" customHeight="1">
      <c r="T200" s="40"/>
      <c r="V200" s="41"/>
    </row>
    <row r="201" spans="20:22" ht="408.95" customHeight="1">
      <c r="T201" s="40"/>
      <c r="V201" s="41"/>
    </row>
    <row r="202" spans="20:22" ht="408.95" customHeight="1">
      <c r="T202" s="40"/>
      <c r="V202" s="41"/>
    </row>
    <row r="203" spans="20:22" ht="408.95" customHeight="1">
      <c r="T203" s="40"/>
      <c r="V203" s="41"/>
    </row>
    <row r="204" spans="20:22" ht="408.95" customHeight="1">
      <c r="T204" s="40"/>
      <c r="V204" s="41"/>
    </row>
    <row r="205" spans="20:22" ht="408.95" customHeight="1">
      <c r="T205" s="40"/>
      <c r="V205" s="41"/>
    </row>
    <row r="206" spans="20:22" ht="408.95" customHeight="1">
      <c r="T206" s="40"/>
      <c r="V206" s="41"/>
    </row>
    <row r="207" spans="20:22" ht="408.95" customHeight="1">
      <c r="T207" s="40"/>
      <c r="V207" s="41"/>
    </row>
    <row r="208" spans="20:22" ht="408.95" customHeight="1">
      <c r="T208" s="40"/>
      <c r="V208" s="41"/>
    </row>
    <row r="209" spans="20:22" ht="408.95" customHeight="1">
      <c r="T209" s="40"/>
      <c r="V209" s="41"/>
    </row>
    <row r="210" spans="20:22" ht="408.95" customHeight="1">
      <c r="T210" s="40"/>
      <c r="V210" s="41"/>
    </row>
    <row r="211" spans="20:22" ht="408.95" customHeight="1">
      <c r="T211" s="40"/>
      <c r="V211" s="41"/>
    </row>
    <row r="212" spans="20:22" ht="408.95" customHeight="1">
      <c r="T212" s="40"/>
      <c r="V212" s="41"/>
    </row>
    <row r="213" spans="20:22" ht="408.95" customHeight="1">
      <c r="T213" s="40"/>
      <c r="V213" s="41"/>
    </row>
    <row r="214" spans="20:22" ht="408.95" customHeight="1">
      <c r="T214" s="40"/>
      <c r="V214" s="41"/>
    </row>
    <row r="215" spans="20:22" ht="408.95" customHeight="1">
      <c r="T215" s="40"/>
      <c r="V215" s="41"/>
    </row>
    <row r="216" spans="20:22" ht="408.95" customHeight="1">
      <c r="T216" s="40"/>
      <c r="V216" s="41"/>
    </row>
    <row r="217" spans="20:22" ht="408.95" customHeight="1">
      <c r="T217" s="40"/>
      <c r="V217" s="41"/>
    </row>
    <row r="218" spans="20:22" ht="408.95" customHeight="1">
      <c r="T218" s="40"/>
      <c r="V218" s="41"/>
    </row>
    <row r="219" spans="20:22" ht="408.95" customHeight="1">
      <c r="T219" s="40"/>
      <c r="V219" s="41"/>
    </row>
    <row r="220" spans="20:22" ht="408.95" customHeight="1">
      <c r="T220" s="40"/>
      <c r="V220" s="41"/>
    </row>
    <row r="221" spans="20:22" ht="408.95" customHeight="1">
      <c r="T221" s="40"/>
      <c r="V221" s="41"/>
    </row>
    <row r="222" spans="20:22" ht="408.95" customHeight="1">
      <c r="T222" s="40"/>
      <c r="V222" s="41"/>
    </row>
    <row r="223" spans="20:22" ht="408.95" customHeight="1">
      <c r="T223" s="40"/>
      <c r="V223" s="41"/>
    </row>
    <row r="224" spans="20:22" ht="408.95" customHeight="1">
      <c r="T224" s="40"/>
      <c r="V224" s="41"/>
    </row>
    <row r="225" spans="20:22" ht="408.95" customHeight="1">
      <c r="T225" s="40"/>
      <c r="V225" s="41"/>
    </row>
    <row r="226" spans="20:22" ht="408.95" customHeight="1">
      <c r="T226" s="40"/>
      <c r="V226" s="41"/>
    </row>
    <row r="227" spans="20:22" ht="408.95" customHeight="1">
      <c r="T227" s="40"/>
      <c r="V227" s="41"/>
    </row>
    <row r="228" spans="20:22" ht="408.95" customHeight="1">
      <c r="T228" s="40"/>
      <c r="V228" s="41"/>
    </row>
    <row r="229" spans="20:22" ht="408.95" customHeight="1">
      <c r="T229" s="40"/>
      <c r="V229" s="41"/>
    </row>
    <row r="230" spans="20:22" ht="408.95" customHeight="1">
      <c r="T230" s="40"/>
      <c r="V230" s="41"/>
    </row>
    <row r="231" spans="20:22" ht="408.95" customHeight="1">
      <c r="T231" s="40"/>
      <c r="V231" s="41"/>
    </row>
    <row r="232" spans="20:22" ht="408.95" customHeight="1">
      <c r="T232" s="40"/>
      <c r="V232" s="41"/>
    </row>
    <row r="233" spans="20:22" ht="408.95" customHeight="1">
      <c r="T233" s="40"/>
      <c r="V233" s="41"/>
    </row>
    <row r="234" spans="20:22" ht="408.95" customHeight="1">
      <c r="T234" s="40"/>
      <c r="V234" s="41"/>
    </row>
    <row r="235" spans="20:22" ht="408.95" customHeight="1">
      <c r="T235" s="40"/>
      <c r="V235" s="41"/>
    </row>
    <row r="236" spans="20:22" ht="408.95" customHeight="1">
      <c r="T236" s="40"/>
      <c r="V236" s="41"/>
    </row>
    <row r="237" spans="20:22" ht="408.95" customHeight="1">
      <c r="T237" s="40"/>
      <c r="V237" s="41"/>
    </row>
    <row r="238" spans="20:22" ht="408.95" customHeight="1">
      <c r="T238" s="40"/>
      <c r="V238" s="41"/>
    </row>
    <row r="239" spans="20:22" ht="408.95" customHeight="1">
      <c r="T239" s="40"/>
      <c r="V239" s="41"/>
    </row>
    <row r="240" spans="20:22" ht="408.95" customHeight="1">
      <c r="T240" s="40"/>
      <c r="V240" s="41"/>
    </row>
    <row r="241" spans="20:22" ht="408.95" customHeight="1">
      <c r="T241" s="40"/>
      <c r="V241" s="41"/>
    </row>
    <row r="242" spans="20:22" ht="408.95" customHeight="1">
      <c r="T242" s="40"/>
      <c r="V242" s="41"/>
    </row>
    <row r="243" spans="20:22" ht="408.95" customHeight="1">
      <c r="T243" s="40"/>
      <c r="V243" s="41"/>
    </row>
    <row r="244" spans="20:22" ht="408.95" customHeight="1">
      <c r="T244" s="40"/>
      <c r="V244" s="41"/>
    </row>
    <row r="245" spans="20:22" ht="408.95" customHeight="1">
      <c r="T245" s="40"/>
      <c r="V245" s="41"/>
    </row>
    <row r="246" spans="20:22" ht="408.95" customHeight="1">
      <c r="T246" s="40"/>
      <c r="V246" s="41"/>
    </row>
    <row r="247" spans="20:22" ht="408.95" customHeight="1">
      <c r="T247" s="40"/>
      <c r="V247" s="41"/>
    </row>
    <row r="248" spans="20:22" ht="408.95" customHeight="1">
      <c r="T248" s="40"/>
      <c r="V248" s="41"/>
    </row>
    <row r="249" spans="20:22" ht="408.95" customHeight="1">
      <c r="T249" s="40"/>
      <c r="V249" s="41"/>
    </row>
    <row r="250" spans="20:22" ht="408.95" customHeight="1">
      <c r="T250" s="40"/>
      <c r="V250" s="41"/>
    </row>
    <row r="251" spans="20:22" ht="408.95" customHeight="1">
      <c r="T251" s="40"/>
      <c r="V251" s="41"/>
    </row>
    <row r="252" spans="20:22" ht="408.95" customHeight="1">
      <c r="T252" s="40"/>
      <c r="V252" s="41"/>
    </row>
    <row r="253" spans="20:22" ht="408.95" customHeight="1">
      <c r="T253" s="40"/>
      <c r="V253" s="41"/>
    </row>
    <row r="254" spans="20:22" ht="408.95" customHeight="1">
      <c r="T254" s="40"/>
      <c r="V254" s="41"/>
    </row>
    <row r="255" spans="20:22" ht="408.95" customHeight="1">
      <c r="T255" s="40"/>
      <c r="V255" s="41"/>
    </row>
    <row r="256" spans="20:22" ht="408.95" customHeight="1">
      <c r="T256" s="40"/>
      <c r="V256" s="41"/>
    </row>
    <row r="257" spans="20:22" ht="408.95" customHeight="1">
      <c r="T257" s="40"/>
      <c r="V257" s="41"/>
    </row>
    <row r="258" spans="20:22" ht="408.95" customHeight="1">
      <c r="T258" s="40"/>
      <c r="V258" s="41"/>
    </row>
    <row r="259" spans="20:22" ht="408.95" customHeight="1">
      <c r="T259" s="40"/>
      <c r="V259" s="41"/>
    </row>
    <row r="260" spans="20:22" ht="408.95" customHeight="1">
      <c r="T260" s="40"/>
      <c r="V260" s="41"/>
    </row>
    <row r="261" spans="20:22" ht="408.95" customHeight="1">
      <c r="T261" s="40"/>
      <c r="V261" s="41"/>
    </row>
    <row r="262" spans="20:22" ht="408.95" customHeight="1">
      <c r="T262" s="40"/>
      <c r="V262" s="41"/>
    </row>
    <row r="263" spans="20:22" ht="408.95" customHeight="1">
      <c r="T263" s="40"/>
      <c r="V263" s="41"/>
    </row>
    <row r="264" spans="20:22" ht="408.95" customHeight="1">
      <c r="T264" s="40"/>
      <c r="V264" s="41"/>
    </row>
    <row r="265" spans="20:22" ht="408.95" customHeight="1">
      <c r="T265" s="40"/>
      <c r="V265" s="41"/>
    </row>
    <row r="266" spans="20:22" ht="408.95" customHeight="1">
      <c r="T266" s="40"/>
      <c r="V266" s="41"/>
    </row>
    <row r="267" spans="20:22" ht="408.95" customHeight="1">
      <c r="T267" s="40"/>
      <c r="V267" s="41"/>
    </row>
    <row r="268" spans="20:22" ht="408.95" customHeight="1">
      <c r="T268" s="40"/>
      <c r="V268" s="41"/>
    </row>
    <row r="269" spans="20:22" ht="408.95" customHeight="1">
      <c r="T269" s="40"/>
      <c r="V269" s="41"/>
    </row>
    <row r="270" spans="20:22" ht="408.95" customHeight="1">
      <c r="T270" s="40"/>
      <c r="V270" s="41"/>
    </row>
    <row r="271" spans="20:22" ht="408.95" customHeight="1">
      <c r="T271" s="40"/>
      <c r="V271" s="41"/>
    </row>
    <row r="272" spans="20:22" ht="408.95" customHeight="1">
      <c r="T272" s="40"/>
      <c r="V272" s="41"/>
    </row>
    <row r="273" spans="20:22" ht="408.95" customHeight="1">
      <c r="T273" s="40"/>
      <c r="V273" s="41"/>
    </row>
    <row r="274" spans="20:22" ht="408.95" customHeight="1">
      <c r="T274" s="40"/>
      <c r="V274" s="41"/>
    </row>
    <row r="275" spans="20:22" ht="408.95" customHeight="1">
      <c r="T275" s="40"/>
      <c r="V275" s="41"/>
    </row>
    <row r="276" spans="20:22" ht="408.95" customHeight="1">
      <c r="T276" s="40"/>
      <c r="V276" s="41"/>
    </row>
    <row r="277" spans="20:22" ht="408.95" customHeight="1">
      <c r="T277" s="40"/>
      <c r="V277" s="41"/>
    </row>
    <row r="278" spans="20:22" ht="408.95" customHeight="1">
      <c r="T278" s="40"/>
      <c r="V278" s="41"/>
    </row>
    <row r="279" spans="20:22" ht="408.95" customHeight="1">
      <c r="T279" s="40"/>
      <c r="V279" s="41"/>
    </row>
    <row r="280" spans="20:22" ht="408.95" customHeight="1">
      <c r="T280" s="40"/>
      <c r="V280" s="41"/>
    </row>
    <row r="281" spans="20:22" ht="408.95" customHeight="1">
      <c r="T281" s="40"/>
      <c r="V281" s="41"/>
    </row>
    <row r="282" spans="20:22" ht="408.95" customHeight="1">
      <c r="T282" s="40"/>
      <c r="V282" s="41"/>
    </row>
    <row r="283" spans="20:22" ht="408.95" customHeight="1">
      <c r="T283" s="40"/>
      <c r="V283" s="41"/>
    </row>
    <row r="284" spans="20:22" ht="408.95" customHeight="1">
      <c r="T284" s="40"/>
      <c r="V284" s="41"/>
    </row>
    <row r="285" spans="20:22" ht="408.95" customHeight="1">
      <c r="T285" s="40"/>
      <c r="V285" s="41"/>
    </row>
    <row r="286" spans="20:22" ht="408.95" customHeight="1">
      <c r="T286" s="40"/>
      <c r="V286" s="41"/>
    </row>
    <row r="287" spans="20:22" ht="408.95" customHeight="1">
      <c r="T287" s="40"/>
      <c r="V287" s="41"/>
    </row>
    <row r="288" spans="20:22" ht="408.95" customHeight="1">
      <c r="T288" s="40"/>
      <c r="V288" s="41"/>
    </row>
    <row r="289" spans="20:22" ht="408.95" customHeight="1">
      <c r="T289" s="40"/>
      <c r="V289" s="41"/>
    </row>
    <row r="290" spans="20:22" ht="408.95" customHeight="1">
      <c r="T290" s="40"/>
      <c r="V290" s="41"/>
    </row>
    <row r="291" spans="20:22" ht="408.95" customHeight="1">
      <c r="T291" s="40"/>
      <c r="V291" s="41"/>
    </row>
    <row r="292" spans="20:22" ht="408.95" customHeight="1">
      <c r="T292" s="40"/>
      <c r="V292" s="41"/>
    </row>
    <row r="293" spans="20:22" ht="408.95" customHeight="1">
      <c r="T293" s="40"/>
      <c r="V293" s="41"/>
    </row>
    <row r="294" spans="20:22" ht="408.95" customHeight="1">
      <c r="T294" s="40"/>
      <c r="V294" s="41"/>
    </row>
    <row r="295" spans="20:22" ht="408.95" customHeight="1">
      <c r="T295" s="40"/>
      <c r="V295" s="41"/>
    </row>
    <row r="296" spans="20:22" ht="408.95" customHeight="1">
      <c r="T296" s="40"/>
      <c r="V296" s="41"/>
    </row>
    <row r="297" spans="20:22" ht="408.95" customHeight="1">
      <c r="T297" s="40"/>
      <c r="V297" s="41"/>
    </row>
    <row r="298" spans="20:22" ht="408.95" customHeight="1">
      <c r="T298" s="40"/>
      <c r="V298" s="41"/>
    </row>
    <row r="299" spans="20:22" ht="408.95" customHeight="1">
      <c r="T299" s="40"/>
      <c r="V299" s="41"/>
    </row>
    <row r="300" spans="20:22" ht="408.95" customHeight="1">
      <c r="T300" s="40"/>
      <c r="V300" s="41"/>
    </row>
    <row r="301" spans="20:22" ht="408.95" customHeight="1">
      <c r="T301" s="40"/>
      <c r="V301" s="41"/>
    </row>
    <row r="302" spans="20:22" ht="408.95" customHeight="1">
      <c r="T302" s="40"/>
      <c r="V302" s="41"/>
    </row>
    <row r="303" spans="20:22" ht="408.95" customHeight="1">
      <c r="T303" s="40"/>
      <c r="V303" s="41"/>
    </row>
    <row r="304" spans="20:22" ht="408.95" customHeight="1">
      <c r="T304" s="40"/>
      <c r="V304" s="41"/>
    </row>
    <row r="305" spans="20:22" ht="408.95" customHeight="1">
      <c r="T305" s="40"/>
      <c r="V305" s="41"/>
    </row>
    <row r="306" spans="20:22" ht="408.95" customHeight="1">
      <c r="T306" s="40"/>
      <c r="V306" s="41"/>
    </row>
    <row r="307" spans="20:22" ht="408.95" customHeight="1">
      <c r="T307" s="40"/>
      <c r="V307" s="41"/>
    </row>
    <row r="308" spans="20:22" ht="408.95" customHeight="1">
      <c r="T308" s="40"/>
      <c r="V308" s="41"/>
    </row>
    <row r="309" spans="20:22" ht="408.95" customHeight="1">
      <c r="T309" s="40"/>
      <c r="V309" s="41"/>
    </row>
    <row r="310" spans="20:22" ht="408.95" customHeight="1">
      <c r="T310" s="40"/>
      <c r="V310" s="41"/>
    </row>
    <row r="311" spans="20:22" ht="408.95" customHeight="1">
      <c r="T311" s="40"/>
      <c r="V311" s="41"/>
    </row>
    <row r="312" spans="20:22" ht="408.95" customHeight="1">
      <c r="T312" s="40"/>
      <c r="V312" s="41"/>
    </row>
    <row r="313" spans="20:22" ht="408.95" customHeight="1">
      <c r="T313" s="40"/>
      <c r="V313" s="41"/>
    </row>
    <row r="314" spans="20:22" ht="408.95" customHeight="1">
      <c r="T314" s="40"/>
      <c r="V314" s="41"/>
    </row>
    <row r="315" spans="20:22" ht="408.95" customHeight="1">
      <c r="T315" s="40"/>
      <c r="V315" s="41"/>
    </row>
    <row r="316" spans="20:22" ht="408.95" customHeight="1">
      <c r="T316" s="40"/>
      <c r="V316" s="41"/>
    </row>
    <row r="317" spans="20:22" ht="408.95" customHeight="1">
      <c r="T317" s="40"/>
      <c r="V317" s="41"/>
    </row>
    <row r="318" spans="20:22" ht="408.95" customHeight="1">
      <c r="T318" s="40"/>
      <c r="V318" s="41"/>
    </row>
    <row r="319" spans="20:22" ht="408.95" customHeight="1">
      <c r="T319" s="40"/>
      <c r="V319" s="41"/>
    </row>
    <row r="320" spans="20:22" ht="408.95" customHeight="1">
      <c r="T320" s="40"/>
      <c r="V320" s="41"/>
    </row>
    <row r="321" spans="20:22" ht="408.95" customHeight="1">
      <c r="T321" s="40"/>
      <c r="V321" s="41"/>
    </row>
    <row r="322" spans="20:22" ht="408.95" customHeight="1">
      <c r="T322" s="40"/>
      <c r="V322" s="41"/>
    </row>
    <row r="323" spans="20:22" ht="408.95" customHeight="1">
      <c r="T323" s="40"/>
      <c r="V323" s="41"/>
    </row>
    <row r="324" spans="20:22" ht="408.95" customHeight="1">
      <c r="T324" s="40"/>
      <c r="U324" s="41"/>
    </row>
    <row r="325" spans="20:22" ht="408.95" customHeight="1">
      <c r="T325" s="40"/>
      <c r="U325" s="41"/>
    </row>
    <row r="326" spans="20:22" ht="408.95" customHeight="1">
      <c r="T326" s="40"/>
      <c r="U326" s="41"/>
    </row>
    <row r="327" spans="20:22" ht="408.95" customHeight="1">
      <c r="T327" s="40"/>
      <c r="U327" s="41"/>
    </row>
    <row r="328" spans="20:22" ht="408.95" customHeight="1">
      <c r="T328" s="40"/>
      <c r="U328" s="41"/>
    </row>
    <row r="329" spans="20:22" ht="408.95" customHeight="1">
      <c r="T329" s="40"/>
      <c r="U329" s="41"/>
    </row>
    <row r="330" spans="20:22" ht="408.95" customHeight="1">
      <c r="T330" s="40"/>
      <c r="U330" s="41"/>
    </row>
    <row r="331" spans="20:22" ht="408.95" customHeight="1">
      <c r="T331" s="40"/>
      <c r="U331" s="41"/>
    </row>
    <row r="332" spans="20:22" ht="408.95" customHeight="1">
      <c r="T332" s="40"/>
      <c r="U332" s="41"/>
    </row>
    <row r="333" spans="20:22" ht="408.95" customHeight="1">
      <c r="T333" s="40"/>
      <c r="U333" s="41"/>
    </row>
    <row r="334" spans="20:22" ht="408.95" customHeight="1">
      <c r="T334" s="40"/>
      <c r="U334" s="41"/>
    </row>
    <row r="335" spans="20:22" ht="408.95" customHeight="1">
      <c r="T335" s="40"/>
      <c r="U335" s="41"/>
    </row>
    <row r="336" spans="20:22" ht="408.95" customHeight="1">
      <c r="T336" s="40"/>
      <c r="U336" s="41"/>
    </row>
    <row r="337" spans="20:21" ht="408.95" customHeight="1">
      <c r="T337" s="40"/>
      <c r="U337" s="41"/>
    </row>
    <row r="338" spans="20:21" ht="408.95" customHeight="1">
      <c r="T338" s="40"/>
      <c r="U338" s="41"/>
    </row>
    <row r="339" spans="20:21" ht="408.95" customHeight="1">
      <c r="T339" s="40"/>
      <c r="U339" s="41"/>
    </row>
    <row r="340" spans="20:21" ht="408.95" customHeight="1">
      <c r="T340" s="40"/>
      <c r="U340" s="41"/>
    </row>
    <row r="341" spans="20:21" ht="408.95" customHeight="1">
      <c r="T341" s="40"/>
      <c r="U341" s="41"/>
    </row>
    <row r="342" spans="20:21" ht="408.95" customHeight="1">
      <c r="T342" s="40"/>
      <c r="U342" s="41"/>
    </row>
    <row r="343" spans="20:21" ht="408.95" customHeight="1">
      <c r="T343" s="40"/>
      <c r="U343" s="41"/>
    </row>
    <row r="344" spans="20:21" ht="408.95" customHeight="1">
      <c r="T344" s="40"/>
      <c r="U344" s="41"/>
    </row>
    <row r="345" spans="20:21" ht="408.95" customHeight="1">
      <c r="T345" s="40"/>
      <c r="U345" s="41"/>
    </row>
    <row r="346" spans="20:21" ht="408.95" customHeight="1">
      <c r="T346" s="40"/>
      <c r="U346" s="41"/>
    </row>
    <row r="347" spans="20:21" ht="408.95" customHeight="1">
      <c r="T347" s="40"/>
      <c r="U347" s="41"/>
    </row>
    <row r="348" spans="20:21" ht="408.95" customHeight="1">
      <c r="T348" s="40"/>
      <c r="U348" s="41"/>
    </row>
    <row r="349" spans="20:21" ht="408.95" customHeight="1">
      <c r="T349" s="40"/>
      <c r="U349" s="41"/>
    </row>
    <row r="350" spans="20:21" ht="408.95" customHeight="1">
      <c r="T350" s="40"/>
      <c r="U350" s="41"/>
    </row>
    <row r="351" spans="20:21" ht="408.95" customHeight="1">
      <c r="T351" s="40"/>
      <c r="U351" s="41"/>
    </row>
    <row r="352" spans="20:21" ht="408.95" customHeight="1">
      <c r="T352" s="40"/>
      <c r="U352" s="41"/>
    </row>
    <row r="353" spans="20:21" ht="408.95" customHeight="1">
      <c r="T353" s="40"/>
      <c r="U353" s="41"/>
    </row>
    <row r="354" spans="20:21" ht="408.95" customHeight="1">
      <c r="T354" s="40"/>
      <c r="U354" s="41"/>
    </row>
    <row r="355" spans="20:21" ht="408.95" customHeight="1">
      <c r="T355" s="40"/>
      <c r="U355" s="41"/>
    </row>
    <row r="356" spans="20:21" ht="408.95" customHeight="1">
      <c r="T356" s="40"/>
      <c r="U356" s="41"/>
    </row>
    <row r="357" spans="20:21" ht="408.95" customHeight="1">
      <c r="T357" s="40"/>
      <c r="U357" s="41"/>
    </row>
    <row r="358" spans="20:21" ht="408.95" customHeight="1">
      <c r="T358" s="40"/>
      <c r="U358" s="41"/>
    </row>
    <row r="359" spans="20:21" ht="408.95" customHeight="1">
      <c r="T359" s="40"/>
      <c r="U359" s="41"/>
    </row>
    <row r="360" spans="20:21" ht="408.95" customHeight="1">
      <c r="T360" s="40"/>
      <c r="U360" s="41"/>
    </row>
    <row r="361" spans="20:21" ht="408.95" customHeight="1">
      <c r="T361" s="40"/>
      <c r="U361" s="41"/>
    </row>
    <row r="362" spans="20:21" ht="408.95" customHeight="1">
      <c r="T362" s="40"/>
      <c r="U362" s="41"/>
    </row>
    <row r="363" spans="20:21" ht="408.95" customHeight="1">
      <c r="T363" s="40"/>
      <c r="U363" s="41"/>
    </row>
    <row r="364" spans="20:21" ht="408.95" customHeight="1">
      <c r="T364" s="40"/>
      <c r="U364" s="41"/>
    </row>
    <row r="365" spans="20:21" ht="408.95" customHeight="1">
      <c r="T365" s="40"/>
      <c r="U365" s="41"/>
    </row>
    <row r="366" spans="20:21" ht="408.95" customHeight="1">
      <c r="T366" s="40"/>
      <c r="U366" s="41"/>
    </row>
    <row r="367" spans="20:21" ht="408.95" customHeight="1">
      <c r="T367" s="40"/>
      <c r="U367" s="41"/>
    </row>
    <row r="368" spans="20:21" ht="408.95" customHeight="1">
      <c r="T368" s="40"/>
      <c r="U368" s="41"/>
    </row>
    <row r="369" spans="20:21" ht="408.95" customHeight="1">
      <c r="T369" s="40"/>
      <c r="U369" s="41"/>
    </row>
    <row r="370" spans="20:21" ht="408.95" customHeight="1">
      <c r="T370" s="40"/>
      <c r="U370" s="41"/>
    </row>
    <row r="371" spans="20:21" ht="408.95" customHeight="1">
      <c r="T371" s="40"/>
      <c r="U371" s="41"/>
    </row>
    <row r="372" spans="20:21" ht="408.95" customHeight="1">
      <c r="T372" s="40"/>
      <c r="U372" s="41"/>
    </row>
    <row r="373" spans="20:21" ht="408.95" customHeight="1">
      <c r="T373" s="40"/>
      <c r="U373" s="41"/>
    </row>
    <row r="374" spans="20:21" ht="408.95" customHeight="1">
      <c r="T374" s="40"/>
      <c r="U374" s="41"/>
    </row>
    <row r="375" spans="20:21" ht="408.95" customHeight="1">
      <c r="T375" s="40"/>
      <c r="U375" s="41"/>
    </row>
    <row r="376" spans="20:21" ht="408.95" customHeight="1">
      <c r="T376" s="40"/>
      <c r="U376" s="41"/>
    </row>
    <row r="377" spans="20:21" ht="408.95" customHeight="1">
      <c r="T377" s="40"/>
      <c r="U377" s="41"/>
    </row>
    <row r="378" spans="20:21" ht="408.95" customHeight="1">
      <c r="T378" s="40"/>
      <c r="U378" s="41"/>
    </row>
    <row r="379" spans="20:21" ht="408.95" customHeight="1">
      <c r="T379" s="40"/>
      <c r="U379" s="41"/>
    </row>
    <row r="380" spans="20:21" ht="408.95" customHeight="1">
      <c r="T380" s="40"/>
      <c r="U380" s="41"/>
    </row>
    <row r="381" spans="20:21" ht="408.95" customHeight="1">
      <c r="T381" s="40"/>
      <c r="U381" s="41"/>
    </row>
    <row r="382" spans="20:21" ht="408.95" customHeight="1">
      <c r="T382" s="40"/>
      <c r="U382" s="41"/>
    </row>
    <row r="383" spans="20:21" ht="408.95" customHeight="1">
      <c r="T383" s="40"/>
    </row>
    <row r="384" spans="20:21" ht="408.95" customHeight="1">
      <c r="T384" s="40"/>
    </row>
    <row r="385" spans="20:20" ht="408.95" customHeight="1">
      <c r="T385" s="40"/>
    </row>
    <row r="386" spans="20:20" ht="408.95" customHeight="1">
      <c r="T386" s="40"/>
    </row>
    <row r="387" spans="20:20" ht="408.95" customHeight="1">
      <c r="T387" s="40"/>
    </row>
    <row r="388" spans="20:20" ht="408.95" customHeight="1">
      <c r="T388" s="40"/>
    </row>
    <row r="389" spans="20:20" ht="408.95" customHeight="1">
      <c r="T389" s="40"/>
    </row>
    <row r="390" spans="20:20" ht="408.95" customHeight="1">
      <c r="T390" s="40"/>
    </row>
    <row r="391" spans="20:20" ht="408.95" customHeight="1">
      <c r="T391" s="40"/>
    </row>
    <row r="392" spans="20:20" ht="408.95" customHeight="1">
      <c r="T392" s="40"/>
    </row>
    <row r="393" spans="20:20" ht="408.95" customHeight="1">
      <c r="T393" s="40"/>
    </row>
    <row r="394" spans="20:20" ht="408.95" customHeight="1">
      <c r="T394" s="40"/>
    </row>
    <row r="395" spans="20:20" ht="408.95" customHeight="1">
      <c r="T395" s="40"/>
    </row>
    <row r="396" spans="20:20" ht="408.95" customHeight="1">
      <c r="T396" s="40"/>
    </row>
    <row r="397" spans="20:20" ht="408.95" customHeight="1">
      <c r="T397" s="40"/>
    </row>
    <row r="398" spans="20:20" ht="408.95" customHeight="1">
      <c r="T398" s="40"/>
    </row>
    <row r="399" spans="20:20" ht="408.95" customHeight="1">
      <c r="T399" s="40"/>
    </row>
    <row r="400" spans="20:20" ht="408.95" customHeight="1">
      <c r="T400" s="40"/>
    </row>
    <row r="401" spans="20:20" ht="408.95" customHeight="1">
      <c r="T401" s="40"/>
    </row>
    <row r="402" spans="20:20" ht="408.95" customHeight="1">
      <c r="T402" s="40"/>
    </row>
    <row r="403" spans="20:20" ht="408.95" customHeight="1">
      <c r="T403" s="40"/>
    </row>
    <row r="404" spans="20:20">
      <c r="T404" s="40"/>
    </row>
    <row r="405" spans="20:20">
      <c r="T405" s="40"/>
    </row>
    <row r="406" spans="20:20">
      <c r="T406" s="40"/>
    </row>
    <row r="407" spans="20:20">
      <c r="T407" s="40"/>
    </row>
    <row r="408" spans="20:20">
      <c r="T408" s="40"/>
    </row>
    <row r="409" spans="20:20">
      <c r="T409" s="40"/>
    </row>
    <row r="410" spans="20:20">
      <c r="T410" s="40"/>
    </row>
    <row r="411" spans="20:20">
      <c r="T411" s="40"/>
    </row>
    <row r="412" spans="20:20">
      <c r="T412" s="40"/>
    </row>
    <row r="413" spans="20:20">
      <c r="T413" s="40"/>
    </row>
    <row r="414" spans="20:20">
      <c r="T414" s="40"/>
    </row>
    <row r="415" spans="20:20">
      <c r="T415" s="40"/>
    </row>
    <row r="416" spans="20:20">
      <c r="T416" s="40"/>
    </row>
    <row r="417" spans="20:20">
      <c r="T417" s="40"/>
    </row>
    <row r="418" spans="20:20">
      <c r="T418" s="40"/>
    </row>
    <row r="419" spans="20:20">
      <c r="T419" s="40"/>
    </row>
    <row r="420" spans="20:20">
      <c r="T420" s="40"/>
    </row>
    <row r="421" spans="20:20">
      <c r="T421" s="40"/>
    </row>
    <row r="422" spans="20:20">
      <c r="T422" s="40"/>
    </row>
    <row r="423" spans="20:20">
      <c r="T423" s="40"/>
    </row>
    <row r="424" spans="20:20">
      <c r="T424" s="40"/>
    </row>
    <row r="425" spans="20:20">
      <c r="T425" s="40"/>
    </row>
    <row r="426" spans="20:20">
      <c r="T426" s="40"/>
    </row>
    <row r="427" spans="20:20">
      <c r="T427" s="40"/>
    </row>
    <row r="428" spans="20:20">
      <c r="T428" s="40"/>
    </row>
    <row r="429" spans="20:20">
      <c r="T429" s="40"/>
    </row>
    <row r="430" spans="20:20">
      <c r="T430" s="40"/>
    </row>
    <row r="431" spans="20:20">
      <c r="T431" s="40"/>
    </row>
    <row r="432" spans="20:20">
      <c r="T432" s="40"/>
    </row>
    <row r="433" spans="20:21">
      <c r="T433" s="40"/>
    </row>
    <row r="434" spans="20:21">
      <c r="T434" s="40"/>
    </row>
    <row r="435" spans="20:21">
      <c r="T435" s="40"/>
    </row>
    <row r="436" spans="20:21">
      <c r="T436" s="40"/>
      <c r="U436" s="41"/>
    </row>
    <row r="437" spans="20:21">
      <c r="T437" s="40"/>
      <c r="U437" s="41"/>
    </row>
    <row r="438" spans="20:21">
      <c r="T438" s="40"/>
      <c r="U438" s="41"/>
    </row>
    <row r="439" spans="20:21">
      <c r="T439" s="40"/>
      <c r="U439" s="41"/>
    </row>
    <row r="440" spans="20:21">
      <c r="T440" s="40"/>
      <c r="U440" s="41"/>
    </row>
    <row r="441" spans="20:21">
      <c r="T441" s="40"/>
      <c r="U441" s="41"/>
    </row>
    <row r="442" spans="20:21">
      <c r="T442" s="40"/>
      <c r="U442" s="41"/>
    </row>
    <row r="443" spans="20:21">
      <c r="T443" s="40"/>
      <c r="U443" s="41"/>
    </row>
    <row r="444" spans="20:21">
      <c r="T444" s="40"/>
      <c r="U444" s="41"/>
    </row>
    <row r="445" spans="20:21">
      <c r="T445" s="40"/>
      <c r="U445" s="41"/>
    </row>
    <row r="446" spans="20:21">
      <c r="T446" s="40"/>
      <c r="U446" s="41"/>
    </row>
    <row r="447" spans="20:21">
      <c r="T447" s="40"/>
      <c r="U447" s="41"/>
    </row>
    <row r="448" spans="20:21">
      <c r="T448" s="40"/>
      <c r="U448" s="41"/>
    </row>
    <row r="449" spans="20:21">
      <c r="T449" s="40"/>
      <c r="U449" s="41"/>
    </row>
    <row r="450" spans="20:21">
      <c r="T450" s="40"/>
      <c r="U450" s="41"/>
    </row>
    <row r="451" spans="20:21">
      <c r="T451" s="40"/>
      <c r="U451" s="41"/>
    </row>
    <row r="452" spans="20:21">
      <c r="T452" s="40"/>
      <c r="U452" s="41"/>
    </row>
    <row r="453" spans="20:21">
      <c r="T453" s="40"/>
      <c r="U453" s="41"/>
    </row>
    <row r="454" spans="20:21">
      <c r="T454" s="40"/>
      <c r="U454" s="41"/>
    </row>
    <row r="455" spans="20:21">
      <c r="T455" s="40"/>
      <c r="U455" s="41"/>
    </row>
    <row r="456" spans="20:21">
      <c r="T456" s="40"/>
      <c r="U456" s="41"/>
    </row>
    <row r="457" spans="20:21">
      <c r="T457" s="40"/>
      <c r="U457" s="41"/>
    </row>
    <row r="458" spans="20:21">
      <c r="T458" s="40"/>
      <c r="U458" s="41"/>
    </row>
    <row r="459" spans="20:21">
      <c r="T459" s="40"/>
      <c r="U459" s="41"/>
    </row>
    <row r="460" spans="20:21">
      <c r="T460" s="40"/>
      <c r="U460" s="41"/>
    </row>
    <row r="461" spans="20:21">
      <c r="T461" s="40"/>
      <c r="U461" s="41"/>
    </row>
    <row r="462" spans="20:21">
      <c r="T462" s="40"/>
      <c r="U462" s="41"/>
    </row>
    <row r="463" spans="20:21">
      <c r="T463" s="40"/>
      <c r="U463" s="41"/>
    </row>
    <row r="464" spans="20:21">
      <c r="T464" s="40"/>
      <c r="U464" s="41"/>
    </row>
    <row r="465" spans="20:21">
      <c r="T465" s="40"/>
      <c r="U465" s="41"/>
    </row>
    <row r="466" spans="20:21">
      <c r="T466" s="40"/>
      <c r="U466" s="41"/>
    </row>
    <row r="467" spans="20:21">
      <c r="T467" s="40"/>
      <c r="U467" s="41"/>
    </row>
    <row r="468" spans="20:21">
      <c r="T468" s="40"/>
      <c r="U468" s="41"/>
    </row>
    <row r="469" spans="20:21">
      <c r="T469" s="40"/>
      <c r="U469" s="41"/>
    </row>
    <row r="470" spans="20:21">
      <c r="T470" s="40"/>
      <c r="U470" s="41"/>
    </row>
    <row r="471" spans="20:21">
      <c r="T471" s="40"/>
      <c r="U471" s="41"/>
    </row>
    <row r="472" spans="20:21">
      <c r="T472" s="40"/>
      <c r="U472" s="41"/>
    </row>
    <row r="473" spans="20:21">
      <c r="T473" s="40"/>
      <c r="U473" s="41"/>
    </row>
    <row r="474" spans="20:21">
      <c r="T474" s="40"/>
      <c r="U474" s="41"/>
    </row>
    <row r="475" spans="20:21">
      <c r="T475" s="40"/>
      <c r="U475" s="41"/>
    </row>
    <row r="476" spans="20:21">
      <c r="T476" s="40"/>
      <c r="U476" s="41"/>
    </row>
    <row r="477" spans="20:21">
      <c r="T477" s="40"/>
      <c r="U477" s="41"/>
    </row>
    <row r="478" spans="20:21">
      <c r="T478" s="40"/>
      <c r="U478" s="41"/>
    </row>
    <row r="479" spans="20:21">
      <c r="T479" s="40"/>
      <c r="U479" s="41"/>
    </row>
    <row r="480" spans="20:21">
      <c r="T480" s="40"/>
      <c r="U480" s="41"/>
    </row>
    <row r="481" spans="20:21">
      <c r="T481" s="40"/>
      <c r="U481" s="41"/>
    </row>
    <row r="482" spans="20:21">
      <c r="T482" s="40"/>
      <c r="U482" s="41"/>
    </row>
    <row r="483" spans="20:21">
      <c r="T483" s="40"/>
      <c r="U483" s="41"/>
    </row>
    <row r="484" spans="20:21">
      <c r="T484" s="40"/>
      <c r="U484" s="41"/>
    </row>
    <row r="485" spans="20:21">
      <c r="T485" s="40"/>
      <c r="U485" s="41"/>
    </row>
    <row r="486" spans="20:21">
      <c r="T486" s="40"/>
      <c r="U486" s="41"/>
    </row>
    <row r="487" spans="20:21">
      <c r="T487" s="40"/>
      <c r="U487" s="41"/>
    </row>
    <row r="488" spans="20:21">
      <c r="T488" s="40"/>
      <c r="U488" s="41"/>
    </row>
    <row r="489" spans="20:21">
      <c r="T489" s="40"/>
      <c r="U489" s="41"/>
    </row>
    <row r="490" spans="20:21">
      <c r="T490" s="40"/>
      <c r="U490" s="41"/>
    </row>
    <row r="491" spans="20:21">
      <c r="T491" s="40"/>
      <c r="U491" s="41"/>
    </row>
    <row r="492" spans="20:21">
      <c r="T492" s="40"/>
      <c r="U492" s="41"/>
    </row>
    <row r="493" spans="20:21">
      <c r="T493" s="40"/>
      <c r="U493" s="41"/>
    </row>
    <row r="494" spans="20:21">
      <c r="T494" s="40"/>
      <c r="U494" s="41"/>
    </row>
    <row r="495" spans="20:21">
      <c r="T495" s="40"/>
      <c r="U495" s="41"/>
    </row>
    <row r="496" spans="20:21">
      <c r="T496" s="40"/>
      <c r="U496" s="41"/>
    </row>
    <row r="497" spans="20:21">
      <c r="T497" s="40"/>
      <c r="U497" s="41"/>
    </row>
    <row r="498" spans="20:21">
      <c r="T498" s="40"/>
      <c r="U498" s="41"/>
    </row>
    <row r="499" spans="20:21">
      <c r="T499" s="40"/>
      <c r="U499" s="41"/>
    </row>
    <row r="500" spans="20:21">
      <c r="T500" s="40"/>
      <c r="U500" s="41"/>
    </row>
    <row r="501" spans="20:21">
      <c r="T501" s="40"/>
      <c r="U501" s="41"/>
    </row>
    <row r="502" spans="20:21">
      <c r="T502" s="40"/>
      <c r="U502" s="41"/>
    </row>
    <row r="503" spans="20:21">
      <c r="T503" s="40"/>
      <c r="U503" s="41"/>
    </row>
    <row r="504" spans="20:21">
      <c r="T504" s="40"/>
      <c r="U504" s="41"/>
    </row>
    <row r="505" spans="20:21">
      <c r="T505" s="40"/>
      <c r="U505" s="41"/>
    </row>
    <row r="506" spans="20:21">
      <c r="T506" s="40"/>
      <c r="U506" s="41"/>
    </row>
    <row r="507" spans="20:21">
      <c r="T507" s="40"/>
      <c r="U507" s="41"/>
    </row>
    <row r="508" spans="20:21">
      <c r="T508" s="40"/>
      <c r="U508" s="41"/>
    </row>
    <row r="509" spans="20:21">
      <c r="T509" s="40"/>
      <c r="U509" s="41"/>
    </row>
    <row r="510" spans="20:21">
      <c r="T510" s="40"/>
      <c r="U510" s="41"/>
    </row>
    <row r="511" spans="20:21">
      <c r="T511" s="40"/>
      <c r="U511" s="41"/>
    </row>
    <row r="512" spans="20:21">
      <c r="T512" s="40"/>
      <c r="U512" s="41"/>
    </row>
    <row r="513" spans="20:21">
      <c r="T513" s="40"/>
      <c r="U513" s="41"/>
    </row>
    <row r="514" spans="20:21">
      <c r="T514" s="40"/>
      <c r="U514" s="41"/>
    </row>
    <row r="515" spans="20:21">
      <c r="T515" s="40"/>
      <c r="U515" s="41"/>
    </row>
    <row r="516" spans="20:21">
      <c r="T516" s="40"/>
      <c r="U516" s="41"/>
    </row>
    <row r="517" spans="20:21">
      <c r="T517" s="40"/>
      <c r="U517" s="41"/>
    </row>
    <row r="518" spans="20:21">
      <c r="T518" s="40"/>
      <c r="U518" s="41"/>
    </row>
    <row r="519" spans="20:21">
      <c r="T519" s="40"/>
      <c r="U519" s="41"/>
    </row>
    <row r="520" spans="20:21">
      <c r="T520" s="40"/>
      <c r="U520" s="41"/>
    </row>
    <row r="521" spans="20:21">
      <c r="T521" s="40"/>
      <c r="U521" s="41"/>
    </row>
    <row r="522" spans="20:21">
      <c r="T522" s="40"/>
      <c r="U522" s="41"/>
    </row>
    <row r="523" spans="20:21">
      <c r="T523" s="40"/>
      <c r="U523" s="41"/>
    </row>
    <row r="524" spans="20:21">
      <c r="T524" s="40"/>
      <c r="U524" s="41"/>
    </row>
    <row r="525" spans="20:21">
      <c r="T525" s="40"/>
      <c r="U525" s="41"/>
    </row>
    <row r="526" spans="20:21">
      <c r="T526" s="40"/>
      <c r="U526" s="41"/>
    </row>
    <row r="527" spans="20:21">
      <c r="T527" s="40"/>
      <c r="U527" s="41"/>
    </row>
    <row r="528" spans="20:21">
      <c r="T528" s="40"/>
      <c r="U528" s="41"/>
    </row>
    <row r="529" spans="20:21">
      <c r="T529" s="40"/>
      <c r="U529" s="41"/>
    </row>
    <row r="530" spans="20:21">
      <c r="T530" s="40"/>
      <c r="U530" s="41"/>
    </row>
    <row r="531" spans="20:21">
      <c r="T531" s="40"/>
      <c r="U531" s="41"/>
    </row>
    <row r="532" spans="20:21">
      <c r="T532" s="40"/>
      <c r="U532" s="41"/>
    </row>
    <row r="533" spans="20:21">
      <c r="T533" s="40"/>
      <c r="U533" s="41"/>
    </row>
    <row r="534" spans="20:21">
      <c r="T534" s="40"/>
      <c r="U534" s="41"/>
    </row>
    <row r="535" spans="20:21">
      <c r="T535" s="40"/>
      <c r="U535" s="41"/>
    </row>
    <row r="536" spans="20:21">
      <c r="T536" s="40"/>
      <c r="U536" s="41"/>
    </row>
    <row r="537" spans="20:21">
      <c r="T537" s="40"/>
      <c r="U537" s="41"/>
    </row>
    <row r="538" spans="20:21">
      <c r="T538" s="40"/>
      <c r="U538" s="41"/>
    </row>
    <row r="539" spans="20:21">
      <c r="T539" s="40"/>
      <c r="U539" s="41"/>
    </row>
    <row r="540" spans="20:21">
      <c r="T540" s="40"/>
      <c r="U540" s="41"/>
    </row>
    <row r="541" spans="20:21">
      <c r="T541" s="40"/>
      <c r="U541" s="41"/>
    </row>
    <row r="542" spans="20:21">
      <c r="T542" s="40"/>
      <c r="U542" s="41"/>
    </row>
    <row r="543" spans="20:21">
      <c r="T543" s="40"/>
      <c r="U543" s="41"/>
    </row>
    <row r="544" spans="20:21">
      <c r="T544" s="40"/>
      <c r="U544" s="41"/>
    </row>
    <row r="545" spans="20:21">
      <c r="T545" s="40"/>
      <c r="U545" s="41"/>
    </row>
    <row r="546" spans="20:21">
      <c r="T546" s="40"/>
      <c r="U546" s="41"/>
    </row>
    <row r="547" spans="20:21">
      <c r="T547" s="40"/>
      <c r="U547" s="41"/>
    </row>
    <row r="548" spans="20:21">
      <c r="T548" s="40"/>
      <c r="U548" s="41"/>
    </row>
    <row r="549" spans="20:21">
      <c r="T549" s="40"/>
      <c r="U549" s="41"/>
    </row>
    <row r="550" spans="20:21">
      <c r="T550" s="40"/>
      <c r="U550" s="41"/>
    </row>
    <row r="551" spans="20:21">
      <c r="T551" s="40"/>
      <c r="U551" s="41"/>
    </row>
    <row r="552" spans="20:21">
      <c r="T552" s="40"/>
      <c r="U552" s="41"/>
    </row>
    <row r="553" spans="20:21">
      <c r="T553" s="40"/>
      <c r="U553" s="41"/>
    </row>
    <row r="554" spans="20:21">
      <c r="T554" s="40"/>
      <c r="U554" s="41"/>
    </row>
    <row r="555" spans="20:21">
      <c r="T555" s="40"/>
      <c r="U555" s="41"/>
    </row>
    <row r="556" spans="20:21">
      <c r="T556" s="40"/>
      <c r="U556" s="41"/>
    </row>
    <row r="557" spans="20:21">
      <c r="T557" s="40"/>
      <c r="U557" s="41"/>
    </row>
    <row r="558" spans="20:21">
      <c r="T558" s="40"/>
      <c r="U558" s="41"/>
    </row>
    <row r="559" spans="20:21">
      <c r="T559" s="40"/>
      <c r="U559" s="41"/>
    </row>
    <row r="560" spans="20:21">
      <c r="T560" s="40"/>
      <c r="U560" s="41"/>
    </row>
    <row r="561" spans="20:21">
      <c r="T561" s="40"/>
      <c r="U561" s="41"/>
    </row>
    <row r="562" spans="20:21">
      <c r="T562" s="40"/>
      <c r="U562" s="41"/>
    </row>
    <row r="563" spans="20:21">
      <c r="T563" s="40"/>
      <c r="U563" s="41"/>
    </row>
    <row r="564" spans="20:21">
      <c r="T564" s="40"/>
      <c r="U564" s="41"/>
    </row>
    <row r="565" spans="20:21">
      <c r="T565" s="40"/>
      <c r="U565" s="41"/>
    </row>
    <row r="566" spans="20:21">
      <c r="T566" s="40"/>
      <c r="U566" s="41"/>
    </row>
    <row r="567" spans="20:21">
      <c r="T567" s="40"/>
      <c r="U567" s="41"/>
    </row>
    <row r="568" spans="20:21">
      <c r="T568" s="40"/>
      <c r="U568" s="41"/>
    </row>
    <row r="569" spans="20:21">
      <c r="T569" s="40"/>
      <c r="U569" s="41"/>
    </row>
    <row r="570" spans="20:21">
      <c r="T570" s="40"/>
      <c r="U570" s="41"/>
    </row>
    <row r="571" spans="20:21">
      <c r="T571" s="40"/>
      <c r="U571" s="41"/>
    </row>
    <row r="572" spans="20:21">
      <c r="T572" s="40"/>
      <c r="U572" s="41"/>
    </row>
    <row r="573" spans="20:21">
      <c r="T573" s="40"/>
      <c r="U573" s="41"/>
    </row>
    <row r="574" spans="20:21">
      <c r="T574" s="40"/>
      <c r="U574" s="41"/>
    </row>
    <row r="575" spans="20:21">
      <c r="T575" s="40"/>
      <c r="U575" s="41"/>
    </row>
    <row r="576" spans="20:21">
      <c r="T576" s="40"/>
      <c r="U576" s="41"/>
    </row>
    <row r="577" spans="20:21">
      <c r="T577" s="40"/>
      <c r="U577" s="41"/>
    </row>
    <row r="578" spans="20:21">
      <c r="T578" s="40"/>
      <c r="U578" s="41"/>
    </row>
    <row r="579" spans="20:21">
      <c r="T579" s="40"/>
      <c r="U579" s="41"/>
    </row>
    <row r="580" spans="20:21">
      <c r="T580" s="40"/>
      <c r="U580" s="41"/>
    </row>
    <row r="581" spans="20:21">
      <c r="T581" s="40"/>
      <c r="U581" s="41"/>
    </row>
    <row r="582" spans="20:21">
      <c r="T582" s="40"/>
      <c r="U582" s="41"/>
    </row>
    <row r="583" spans="20:21">
      <c r="T583" s="40"/>
      <c r="U583" s="41"/>
    </row>
    <row r="584" spans="20:21">
      <c r="T584" s="40"/>
      <c r="U584" s="41"/>
    </row>
    <row r="585" spans="20:21">
      <c r="T585" s="40"/>
      <c r="U585" s="41"/>
    </row>
    <row r="586" spans="20:21">
      <c r="T586" s="40"/>
      <c r="U586" s="41"/>
    </row>
    <row r="587" spans="20:21">
      <c r="T587" s="40"/>
      <c r="U587" s="41"/>
    </row>
    <row r="588" spans="20:21">
      <c r="T588" s="40"/>
      <c r="U588" s="41"/>
    </row>
    <row r="589" spans="20:21">
      <c r="T589" s="40"/>
      <c r="U589" s="41"/>
    </row>
    <row r="590" spans="20:21">
      <c r="T590" s="40"/>
      <c r="U590" s="41"/>
    </row>
    <row r="591" spans="20:21">
      <c r="T591" s="40"/>
      <c r="U591" s="41"/>
    </row>
    <row r="592" spans="20:21">
      <c r="T592" s="40"/>
      <c r="U592" s="41"/>
    </row>
    <row r="593" spans="20:21">
      <c r="T593" s="40"/>
      <c r="U593" s="41"/>
    </row>
    <row r="594" spans="20:21">
      <c r="T594" s="40"/>
      <c r="U594" s="41"/>
    </row>
    <row r="595" spans="20:21">
      <c r="T595" s="40"/>
      <c r="U595" s="41"/>
    </row>
    <row r="596" spans="20:21">
      <c r="T596" s="40"/>
      <c r="U596" s="41"/>
    </row>
    <row r="597" spans="20:21">
      <c r="T597" s="40"/>
      <c r="U597" s="41"/>
    </row>
    <row r="598" spans="20:21">
      <c r="T598" s="40"/>
      <c r="U598" s="41"/>
    </row>
    <row r="599" spans="20:21">
      <c r="T599" s="40"/>
      <c r="U599" s="41"/>
    </row>
    <row r="600" spans="20:21">
      <c r="T600" s="40"/>
      <c r="U600" s="41"/>
    </row>
    <row r="601" spans="20:21">
      <c r="T601" s="40"/>
      <c r="U601" s="41"/>
    </row>
    <row r="602" spans="20:21">
      <c r="T602" s="40"/>
      <c r="U602" s="41"/>
    </row>
    <row r="603" spans="20:21">
      <c r="T603" s="40"/>
      <c r="U603" s="41"/>
    </row>
    <row r="604" spans="20:21">
      <c r="T604" s="40"/>
      <c r="U604" s="41"/>
    </row>
    <row r="605" spans="20:21">
      <c r="T605" s="40"/>
      <c r="U605" s="41"/>
    </row>
    <row r="606" spans="20:21">
      <c r="T606" s="40"/>
      <c r="U606" s="41"/>
    </row>
    <row r="607" spans="20:21">
      <c r="T607" s="40"/>
      <c r="U607" s="41"/>
    </row>
    <row r="608" spans="20:21">
      <c r="T608" s="40"/>
      <c r="U608" s="41"/>
    </row>
    <row r="609" spans="20:21">
      <c r="T609" s="40"/>
      <c r="U609" s="41"/>
    </row>
    <row r="610" spans="20:21">
      <c r="T610" s="40"/>
      <c r="U610" s="41"/>
    </row>
    <row r="611" spans="20:21">
      <c r="T611" s="40"/>
      <c r="U611" s="41"/>
    </row>
    <row r="612" spans="20:21">
      <c r="T612" s="40"/>
      <c r="U612" s="41"/>
    </row>
    <row r="613" spans="20:21">
      <c r="T613" s="40"/>
      <c r="U613" s="41"/>
    </row>
    <row r="614" spans="20:21">
      <c r="T614" s="40"/>
      <c r="U614" s="41"/>
    </row>
    <row r="615" spans="20:21">
      <c r="T615" s="40"/>
      <c r="U615" s="41"/>
    </row>
    <row r="616" spans="20:21">
      <c r="T616" s="40"/>
      <c r="U616" s="41"/>
    </row>
    <row r="617" spans="20:21">
      <c r="T617" s="40"/>
      <c r="U617" s="41"/>
    </row>
    <row r="618" spans="20:21">
      <c r="T618" s="40"/>
      <c r="U618" s="41"/>
    </row>
    <row r="619" spans="20:21">
      <c r="T619" s="40"/>
      <c r="U619" s="41"/>
    </row>
    <row r="620" spans="20:21">
      <c r="T620" s="40"/>
      <c r="U620" s="41"/>
    </row>
    <row r="621" spans="20:21">
      <c r="T621" s="40"/>
      <c r="U621" s="41"/>
    </row>
    <row r="622" spans="20:21">
      <c r="T622" s="40"/>
      <c r="U622" s="41"/>
    </row>
    <row r="623" spans="20:21">
      <c r="T623" s="40"/>
      <c r="U623" s="41"/>
    </row>
    <row r="624" spans="20:21">
      <c r="T624" s="40"/>
      <c r="U624" s="41"/>
    </row>
    <row r="625" spans="20:21">
      <c r="T625" s="40"/>
      <c r="U625" s="41"/>
    </row>
    <row r="626" spans="20:21">
      <c r="T626" s="40"/>
      <c r="U626" s="41"/>
    </row>
    <row r="627" spans="20:21">
      <c r="T627" s="40"/>
      <c r="U627" s="41"/>
    </row>
    <row r="628" spans="20:21">
      <c r="T628" s="40"/>
      <c r="U628" s="41"/>
    </row>
    <row r="629" spans="20:21">
      <c r="T629" s="40"/>
      <c r="U629" s="41"/>
    </row>
    <row r="630" spans="20:21">
      <c r="T630" s="40"/>
      <c r="U630" s="41"/>
    </row>
    <row r="631" spans="20:21">
      <c r="T631" s="40"/>
      <c r="U631" s="41"/>
    </row>
    <row r="632" spans="20:21">
      <c r="T632" s="40"/>
      <c r="U632" s="41"/>
    </row>
    <row r="633" spans="20:21">
      <c r="T633" s="40"/>
      <c r="U633" s="41"/>
    </row>
    <row r="634" spans="20:21">
      <c r="T634" s="40"/>
      <c r="U634" s="41"/>
    </row>
    <row r="635" spans="20:21">
      <c r="T635" s="40"/>
      <c r="U635" s="41"/>
    </row>
    <row r="636" spans="20:21">
      <c r="T636" s="40"/>
      <c r="U636" s="41"/>
    </row>
    <row r="637" spans="20:21">
      <c r="T637" s="40"/>
      <c r="U637" s="41"/>
    </row>
    <row r="638" spans="20:21">
      <c r="T638" s="40"/>
      <c r="U638" s="41"/>
    </row>
    <row r="639" spans="20:21">
      <c r="T639" s="40"/>
      <c r="U639" s="41"/>
    </row>
    <row r="640" spans="20:21">
      <c r="T640" s="40"/>
      <c r="U640" s="41"/>
    </row>
    <row r="641" spans="20:21">
      <c r="T641" s="40"/>
      <c r="U641" s="41"/>
    </row>
    <row r="642" spans="20:21">
      <c r="T642" s="40"/>
      <c r="U642" s="41"/>
    </row>
    <row r="643" spans="20:21">
      <c r="T643" s="40"/>
      <c r="U643" s="41"/>
    </row>
    <row r="644" spans="20:21">
      <c r="T644" s="40"/>
      <c r="U644" s="41"/>
    </row>
    <row r="645" spans="20:21">
      <c r="T645" s="40"/>
      <c r="U645" s="41"/>
    </row>
    <row r="646" spans="20:21">
      <c r="T646" s="40"/>
      <c r="U646" s="41"/>
    </row>
    <row r="647" spans="20:21">
      <c r="T647" s="40"/>
      <c r="U647" s="41"/>
    </row>
    <row r="648" spans="20:21">
      <c r="T648" s="40"/>
      <c r="U648" s="41"/>
    </row>
    <row r="649" spans="20:21">
      <c r="T649" s="40"/>
      <c r="U649" s="41"/>
    </row>
    <row r="650" spans="20:21">
      <c r="T650" s="40"/>
      <c r="U650" s="41"/>
    </row>
    <row r="651" spans="20:21">
      <c r="T651" s="40"/>
      <c r="U651" s="41"/>
    </row>
    <row r="652" spans="20:21">
      <c r="T652" s="40"/>
      <c r="U652" s="41"/>
    </row>
    <row r="653" spans="20:21">
      <c r="T653" s="40"/>
      <c r="U653" s="41"/>
    </row>
    <row r="654" spans="20:21">
      <c r="T654" s="40"/>
      <c r="U654" s="41"/>
    </row>
    <row r="655" spans="20:21">
      <c r="T655" s="40"/>
      <c r="U655" s="41"/>
    </row>
    <row r="656" spans="20:21">
      <c r="T656" s="40"/>
      <c r="U656" s="41"/>
    </row>
    <row r="657" spans="20:21">
      <c r="T657" s="40"/>
      <c r="U657" s="41"/>
    </row>
    <row r="658" spans="20:21">
      <c r="T658" s="40"/>
      <c r="U658" s="41"/>
    </row>
    <row r="659" spans="20:21">
      <c r="T659" s="40"/>
      <c r="U659" s="41"/>
    </row>
    <row r="660" spans="20:21">
      <c r="T660" s="40"/>
      <c r="U660" s="41"/>
    </row>
    <row r="661" spans="20:21">
      <c r="T661" s="40"/>
      <c r="U661" s="41"/>
    </row>
    <row r="662" spans="20:21">
      <c r="T662" s="40"/>
      <c r="U662" s="41"/>
    </row>
    <row r="663" spans="20:21">
      <c r="T663" s="40"/>
      <c r="U663" s="41"/>
    </row>
    <row r="664" spans="20:21">
      <c r="T664" s="40"/>
      <c r="U664" s="41"/>
    </row>
    <row r="665" spans="20:21">
      <c r="T665" s="40"/>
      <c r="U665" s="41"/>
    </row>
    <row r="666" spans="20:21">
      <c r="T666" s="40"/>
      <c r="U666" s="41"/>
    </row>
    <row r="667" spans="20:21">
      <c r="T667" s="40"/>
      <c r="U667" s="41"/>
    </row>
    <row r="668" spans="20:21">
      <c r="T668" s="40"/>
      <c r="U668" s="41"/>
    </row>
    <row r="669" spans="20:21">
      <c r="T669" s="40"/>
      <c r="U669" s="41"/>
    </row>
    <row r="670" spans="20:21">
      <c r="T670" s="40"/>
      <c r="U670" s="41"/>
    </row>
    <row r="671" spans="20:21">
      <c r="T671" s="40"/>
      <c r="U671" s="41"/>
    </row>
    <row r="672" spans="20:21">
      <c r="T672" s="40"/>
      <c r="U672" s="41"/>
    </row>
    <row r="673" spans="20:21">
      <c r="T673" s="40"/>
      <c r="U673" s="41"/>
    </row>
    <row r="674" spans="20:21">
      <c r="T674" s="40"/>
      <c r="U674" s="41"/>
    </row>
    <row r="675" spans="20:21">
      <c r="T675" s="40"/>
      <c r="U675" s="41"/>
    </row>
    <row r="676" spans="20:21">
      <c r="T676" s="40"/>
      <c r="U676" s="41"/>
    </row>
    <row r="677" spans="20:21">
      <c r="T677" s="40"/>
      <c r="U677" s="41"/>
    </row>
    <row r="678" spans="20:21">
      <c r="T678" s="40"/>
      <c r="U678" s="41"/>
    </row>
    <row r="679" spans="20:21">
      <c r="T679" s="40"/>
      <c r="U679" s="41"/>
    </row>
    <row r="680" spans="20:21">
      <c r="T680" s="40"/>
      <c r="U680" s="41"/>
    </row>
    <row r="681" spans="20:21">
      <c r="T681" s="40"/>
      <c r="U681" s="41"/>
    </row>
    <row r="682" spans="20:21">
      <c r="T682" s="40"/>
      <c r="U682" s="41"/>
    </row>
    <row r="683" spans="20:21">
      <c r="T683" s="40"/>
      <c r="U683" s="41"/>
    </row>
    <row r="684" spans="20:21">
      <c r="T684" s="40"/>
      <c r="U684" s="41"/>
    </row>
    <row r="685" spans="20:21">
      <c r="T685" s="40"/>
      <c r="U685" s="41"/>
    </row>
    <row r="686" spans="20:21">
      <c r="T686" s="40"/>
      <c r="U686" s="41"/>
    </row>
    <row r="687" spans="20:21">
      <c r="T687" s="40"/>
      <c r="U687" s="41"/>
    </row>
    <row r="688" spans="20:21">
      <c r="T688" s="40"/>
      <c r="U688" s="41"/>
    </row>
    <row r="689" spans="20:21">
      <c r="T689" s="40"/>
      <c r="U689" s="41"/>
    </row>
    <row r="690" spans="20:21">
      <c r="T690" s="40"/>
      <c r="U690" s="41"/>
    </row>
    <row r="691" spans="20:21">
      <c r="T691" s="40"/>
      <c r="U691" s="41"/>
    </row>
    <row r="692" spans="20:21">
      <c r="T692" s="40"/>
      <c r="U692" s="41"/>
    </row>
    <row r="693" spans="20:21">
      <c r="T693" s="40"/>
      <c r="U693" s="41"/>
    </row>
    <row r="694" spans="20:21">
      <c r="T694" s="40"/>
      <c r="U694" s="41"/>
    </row>
    <row r="695" spans="20:21">
      <c r="T695" s="40"/>
      <c r="U695" s="41"/>
    </row>
    <row r="696" spans="20:21">
      <c r="T696" s="40"/>
      <c r="U696" s="41"/>
    </row>
    <row r="697" spans="20:21">
      <c r="T697" s="40"/>
      <c r="U697" s="41"/>
    </row>
    <row r="698" spans="20:21">
      <c r="T698" s="40"/>
      <c r="U698" s="41"/>
    </row>
    <row r="699" spans="20:21">
      <c r="T699" s="40"/>
      <c r="U699" s="41"/>
    </row>
    <row r="700" spans="20:21">
      <c r="T700" s="40"/>
      <c r="U700" s="41"/>
    </row>
    <row r="701" spans="20:21">
      <c r="T701" s="40"/>
      <c r="U701" s="41"/>
    </row>
    <row r="702" spans="20:21">
      <c r="T702" s="40"/>
      <c r="U702" s="41"/>
    </row>
    <row r="703" spans="20:21">
      <c r="T703" s="40"/>
      <c r="U703" s="41"/>
    </row>
    <row r="704" spans="20:21">
      <c r="T704" s="40"/>
      <c r="U704" s="41"/>
    </row>
    <row r="705" spans="20:21">
      <c r="T705" s="40"/>
      <c r="U705" s="41"/>
    </row>
    <row r="706" spans="20:21">
      <c r="T706" s="40"/>
      <c r="U706" s="41"/>
    </row>
    <row r="707" spans="20:21">
      <c r="T707" s="40"/>
      <c r="U707" s="41"/>
    </row>
    <row r="708" spans="20:21">
      <c r="T708" s="40"/>
      <c r="U708" s="41"/>
    </row>
    <row r="709" spans="20:21">
      <c r="T709" s="40"/>
      <c r="U709" s="41"/>
    </row>
    <row r="710" spans="20:21">
      <c r="T710" s="40"/>
      <c r="U710" s="41"/>
    </row>
    <row r="711" spans="20:21">
      <c r="T711" s="40"/>
      <c r="U711" s="41"/>
    </row>
    <row r="712" spans="20:21">
      <c r="T712" s="40"/>
      <c r="U712" s="41"/>
    </row>
    <row r="713" spans="20:21">
      <c r="T713" s="40"/>
      <c r="U713" s="41"/>
    </row>
    <row r="714" spans="20:21">
      <c r="T714" s="40"/>
      <c r="U714" s="41"/>
    </row>
    <row r="715" spans="20:21">
      <c r="T715" s="40"/>
      <c r="U715" s="41"/>
    </row>
    <row r="716" spans="20:21">
      <c r="T716" s="40"/>
      <c r="U716" s="41"/>
    </row>
    <row r="717" spans="20:21">
      <c r="T717" s="40"/>
      <c r="U717" s="41"/>
    </row>
    <row r="718" spans="20:21">
      <c r="T718" s="40"/>
      <c r="U718" s="41"/>
    </row>
    <row r="719" spans="20:21">
      <c r="T719" s="40"/>
      <c r="U719" s="41"/>
    </row>
    <row r="720" spans="20:21">
      <c r="T720" s="40"/>
      <c r="U720" s="41"/>
    </row>
    <row r="721" spans="20:21">
      <c r="T721" s="40"/>
      <c r="U721" s="41"/>
    </row>
    <row r="722" spans="20:21">
      <c r="T722" s="40"/>
      <c r="U722" s="41"/>
    </row>
    <row r="723" spans="20:21">
      <c r="T723" s="40"/>
      <c r="U723" s="41"/>
    </row>
    <row r="724" spans="20:21">
      <c r="T724" s="40"/>
      <c r="U724" s="41"/>
    </row>
    <row r="725" spans="20:21">
      <c r="T725" s="40"/>
      <c r="U725" s="41"/>
    </row>
    <row r="726" spans="20:21">
      <c r="T726" s="40"/>
      <c r="U726" s="41"/>
    </row>
    <row r="727" spans="20:21">
      <c r="T727" s="40"/>
      <c r="U727" s="41"/>
    </row>
    <row r="728" spans="20:21">
      <c r="T728" s="40"/>
      <c r="U728" s="41"/>
    </row>
    <row r="729" spans="20:21">
      <c r="T729" s="40"/>
      <c r="U729" s="41"/>
    </row>
    <row r="730" spans="20:21">
      <c r="T730" s="40"/>
      <c r="U730" s="41"/>
    </row>
    <row r="731" spans="20:21">
      <c r="T731" s="40"/>
      <c r="U731" s="41"/>
    </row>
    <row r="732" spans="20:21">
      <c r="T732" s="40"/>
      <c r="U732" s="41"/>
    </row>
    <row r="733" spans="20:21">
      <c r="T733" s="40"/>
      <c r="U733" s="41"/>
    </row>
    <row r="734" spans="20:21">
      <c r="T734" s="40"/>
      <c r="U734" s="41"/>
    </row>
    <row r="735" spans="20:21">
      <c r="T735" s="40"/>
      <c r="U735" s="41"/>
    </row>
    <row r="736" spans="20:21">
      <c r="T736" s="40"/>
      <c r="U736" s="41"/>
    </row>
    <row r="737" spans="20:21">
      <c r="T737" s="40"/>
      <c r="U737" s="41"/>
    </row>
    <row r="738" spans="20:21">
      <c r="T738" s="40"/>
      <c r="U738" s="41"/>
    </row>
    <row r="739" spans="20:21">
      <c r="T739" s="40"/>
      <c r="U739" s="41"/>
    </row>
    <row r="740" spans="20:21">
      <c r="T740" s="40"/>
      <c r="U740" s="41"/>
    </row>
    <row r="741" spans="20:21">
      <c r="T741" s="40"/>
      <c r="U741" s="41"/>
    </row>
    <row r="742" spans="20:21">
      <c r="T742" s="40"/>
      <c r="U742" s="41"/>
    </row>
    <row r="743" spans="20:21">
      <c r="T743" s="40"/>
      <c r="U743" s="41"/>
    </row>
    <row r="744" spans="20:21">
      <c r="T744" s="40"/>
      <c r="U744" s="41"/>
    </row>
    <row r="745" spans="20:21">
      <c r="T745" s="40"/>
      <c r="U745" s="41"/>
    </row>
    <row r="746" spans="20:21">
      <c r="T746" s="40"/>
      <c r="U746" s="41"/>
    </row>
    <row r="747" spans="20:21">
      <c r="T747" s="40"/>
      <c r="U747" s="41"/>
    </row>
    <row r="748" spans="20:21">
      <c r="T748" s="40"/>
      <c r="U748" s="41"/>
    </row>
    <row r="749" spans="20:21">
      <c r="T749" s="40"/>
      <c r="U749" s="41"/>
    </row>
    <row r="750" spans="20:21">
      <c r="T750" s="40"/>
      <c r="U750" s="41"/>
    </row>
    <row r="751" spans="20:21">
      <c r="T751" s="40"/>
      <c r="U751" s="41"/>
    </row>
    <row r="752" spans="20:21">
      <c r="T752" s="40"/>
      <c r="U752" s="41"/>
    </row>
    <row r="753" spans="20:21">
      <c r="T753" s="40"/>
      <c r="U753" s="41"/>
    </row>
    <row r="754" spans="20:21">
      <c r="T754" s="40"/>
      <c r="U754" s="41"/>
    </row>
    <row r="755" spans="20:21">
      <c r="T755" s="40"/>
      <c r="U755" s="41"/>
    </row>
    <row r="756" spans="20:21">
      <c r="T756" s="40"/>
      <c r="U756" s="41"/>
    </row>
    <row r="757" spans="20:21">
      <c r="T757" s="40"/>
      <c r="U757" s="41"/>
    </row>
    <row r="758" spans="20:21">
      <c r="T758" s="40"/>
      <c r="U758" s="41"/>
    </row>
    <row r="759" spans="20:21">
      <c r="T759" s="40"/>
      <c r="U759" s="41"/>
    </row>
    <row r="760" spans="20:21">
      <c r="T760" s="40"/>
      <c r="U760" s="41"/>
    </row>
    <row r="761" spans="20:21">
      <c r="T761" s="40"/>
      <c r="U761" s="41"/>
    </row>
    <row r="762" spans="20:21">
      <c r="T762" s="40"/>
      <c r="U762" s="41"/>
    </row>
    <row r="763" spans="20:21">
      <c r="T763" s="40"/>
      <c r="U763" s="41"/>
    </row>
    <row r="764" spans="20:21">
      <c r="T764" s="40"/>
      <c r="U764" s="41"/>
    </row>
    <row r="765" spans="20:21">
      <c r="T765" s="40"/>
      <c r="U765" s="41"/>
    </row>
    <row r="766" spans="20:21">
      <c r="T766" s="40"/>
      <c r="U766" s="41"/>
    </row>
    <row r="767" spans="20:21">
      <c r="T767" s="40"/>
      <c r="U767" s="41"/>
    </row>
    <row r="768" spans="20:21">
      <c r="T768" s="40"/>
      <c r="U768" s="41"/>
    </row>
    <row r="769" spans="20:21">
      <c r="T769" s="40"/>
      <c r="U769" s="41"/>
    </row>
    <row r="770" spans="20:21">
      <c r="T770" s="40"/>
      <c r="U770" s="41"/>
    </row>
    <row r="771" spans="20:21">
      <c r="T771" s="40"/>
      <c r="U771" s="41"/>
    </row>
    <row r="772" spans="20:21">
      <c r="T772" s="40"/>
      <c r="U772" s="41"/>
    </row>
    <row r="773" spans="20:21">
      <c r="T773" s="40"/>
      <c r="U773" s="41"/>
    </row>
    <row r="774" spans="20:21">
      <c r="T774" s="40"/>
      <c r="U774" s="41"/>
    </row>
    <row r="775" spans="20:21">
      <c r="T775" s="40"/>
      <c r="U775" s="41"/>
    </row>
    <row r="776" spans="20:21">
      <c r="T776" s="40"/>
      <c r="U776" s="41"/>
    </row>
    <row r="777" spans="20:21">
      <c r="T777" s="40"/>
      <c r="U777" s="41"/>
    </row>
    <row r="778" spans="20:21">
      <c r="T778" s="40"/>
      <c r="U778" s="41"/>
    </row>
    <row r="779" spans="20:21">
      <c r="T779" s="40"/>
      <c r="U779" s="41"/>
    </row>
    <row r="780" spans="20:21">
      <c r="T780" s="40"/>
      <c r="U780" s="41"/>
    </row>
    <row r="781" spans="20:21">
      <c r="T781" s="40"/>
      <c r="U781" s="41"/>
    </row>
    <row r="782" spans="20:21">
      <c r="T782" s="40"/>
      <c r="U782" s="41"/>
    </row>
    <row r="783" spans="20:21">
      <c r="T783" s="40"/>
      <c r="U783" s="41"/>
    </row>
    <row r="784" spans="20:21">
      <c r="T784" s="40"/>
      <c r="U784" s="41"/>
    </row>
    <row r="785" spans="20:21">
      <c r="T785" s="40"/>
      <c r="U785" s="41"/>
    </row>
    <row r="786" spans="20:21">
      <c r="T786" s="40"/>
      <c r="U786" s="41"/>
    </row>
    <row r="787" spans="20:21">
      <c r="T787" s="40"/>
      <c r="U787" s="41"/>
    </row>
    <row r="788" spans="20:21">
      <c r="T788" s="40"/>
      <c r="U788" s="41"/>
    </row>
    <row r="789" spans="20:21">
      <c r="T789" s="40"/>
      <c r="U789" s="41"/>
    </row>
    <row r="790" spans="20:21">
      <c r="T790" s="40"/>
      <c r="U790" s="41"/>
    </row>
    <row r="791" spans="20:21">
      <c r="T791" s="40"/>
      <c r="U791" s="41"/>
    </row>
    <row r="792" spans="20:21">
      <c r="T792" s="40"/>
      <c r="U792" s="41"/>
    </row>
    <row r="793" spans="20:21">
      <c r="T793" s="40"/>
      <c r="U793" s="41"/>
    </row>
    <row r="794" spans="20:21">
      <c r="T794" s="40"/>
      <c r="U794" s="41"/>
    </row>
    <row r="795" spans="20:21">
      <c r="T795" s="40"/>
      <c r="U795" s="41"/>
    </row>
    <row r="796" spans="20:21">
      <c r="T796" s="40"/>
      <c r="U796" s="41"/>
    </row>
    <row r="797" spans="20:21">
      <c r="T797" s="40"/>
      <c r="U797" s="41"/>
    </row>
    <row r="798" spans="20:21">
      <c r="T798" s="40"/>
      <c r="U798" s="41"/>
    </row>
    <row r="799" spans="20:21">
      <c r="T799" s="40"/>
      <c r="U799" s="41"/>
    </row>
    <row r="800" spans="20:21">
      <c r="T800" s="40"/>
      <c r="U800" s="41"/>
    </row>
    <row r="801" spans="20:21">
      <c r="T801" s="40"/>
      <c r="U801" s="41"/>
    </row>
    <row r="802" spans="20:21">
      <c r="T802" s="40"/>
      <c r="U802" s="41"/>
    </row>
    <row r="803" spans="20:21">
      <c r="T803" s="40"/>
      <c r="U803" s="41"/>
    </row>
    <row r="804" spans="20:21">
      <c r="T804" s="40"/>
      <c r="U804" s="41"/>
    </row>
    <row r="805" spans="20:21">
      <c r="T805" s="40"/>
      <c r="U805" s="41"/>
    </row>
    <row r="806" spans="20:21">
      <c r="T806" s="40"/>
      <c r="U806" s="41"/>
    </row>
    <row r="807" spans="20:21">
      <c r="T807" s="40"/>
      <c r="U807" s="41"/>
    </row>
    <row r="808" spans="20:21">
      <c r="T808" s="40"/>
      <c r="U808" s="41"/>
    </row>
    <row r="809" spans="20:21">
      <c r="T809" s="40"/>
      <c r="U809" s="41"/>
    </row>
    <row r="810" spans="20:21">
      <c r="T810" s="40"/>
      <c r="U810" s="41"/>
    </row>
    <row r="811" spans="20:21">
      <c r="T811" s="40"/>
      <c r="U811" s="41"/>
    </row>
    <row r="812" spans="20:21">
      <c r="T812" s="40"/>
      <c r="U812" s="41"/>
    </row>
    <row r="813" spans="20:21">
      <c r="T813" s="40"/>
      <c r="U813" s="41"/>
    </row>
    <row r="814" spans="20:21">
      <c r="T814" s="40"/>
      <c r="U814" s="41"/>
    </row>
    <row r="815" spans="20:21">
      <c r="T815" s="40"/>
      <c r="U815" s="41"/>
    </row>
    <row r="816" spans="20:21">
      <c r="T816" s="40"/>
      <c r="U816" s="41"/>
    </row>
    <row r="817" spans="20:21">
      <c r="T817" s="40"/>
      <c r="U817" s="41"/>
    </row>
    <row r="818" spans="20:21">
      <c r="T818" s="40"/>
      <c r="U818" s="41"/>
    </row>
    <row r="819" spans="20:21">
      <c r="T819" s="40"/>
      <c r="U819" s="41"/>
    </row>
    <row r="820" spans="20:21">
      <c r="T820" s="40"/>
      <c r="U820" s="41"/>
    </row>
    <row r="821" spans="20:21">
      <c r="T821" s="40"/>
      <c r="U821" s="41"/>
    </row>
    <row r="822" spans="20:21">
      <c r="T822" s="40"/>
      <c r="U822" s="41"/>
    </row>
    <row r="823" spans="20:21">
      <c r="T823" s="40"/>
      <c r="U823" s="41"/>
    </row>
    <row r="824" spans="20:21">
      <c r="T824" s="40"/>
      <c r="U824" s="41"/>
    </row>
    <row r="825" spans="20:21">
      <c r="T825" s="40"/>
      <c r="U825" s="41"/>
    </row>
    <row r="826" spans="20:21">
      <c r="T826" s="40"/>
      <c r="U826" s="41"/>
    </row>
    <row r="827" spans="20:21">
      <c r="T827" s="40"/>
      <c r="U827" s="41"/>
    </row>
    <row r="828" spans="20:21">
      <c r="T828" s="40"/>
      <c r="U828" s="41"/>
    </row>
    <row r="829" spans="20:21">
      <c r="T829" s="40"/>
      <c r="U829" s="41"/>
    </row>
    <row r="830" spans="20:21">
      <c r="T830" s="40"/>
      <c r="U830" s="41"/>
    </row>
    <row r="831" spans="20:21">
      <c r="T831" s="40"/>
      <c r="U831" s="41"/>
    </row>
    <row r="832" spans="20:21">
      <c r="T832" s="40"/>
      <c r="U832" s="41"/>
    </row>
    <row r="833" spans="20:21">
      <c r="T833" s="40"/>
      <c r="U833" s="41"/>
    </row>
    <row r="834" spans="20:21">
      <c r="T834" s="40"/>
      <c r="U834" s="41"/>
    </row>
    <row r="835" spans="20:21">
      <c r="T835" s="40"/>
      <c r="U835" s="41"/>
    </row>
    <row r="836" spans="20:21">
      <c r="T836" s="40"/>
      <c r="U836" s="41"/>
    </row>
    <row r="837" spans="20:21">
      <c r="T837" s="40"/>
      <c r="U837" s="41"/>
    </row>
    <row r="838" spans="20:21">
      <c r="T838" s="40"/>
      <c r="U838" s="41"/>
    </row>
    <row r="839" spans="20:21">
      <c r="T839" s="40"/>
      <c r="U839" s="41"/>
    </row>
    <row r="840" spans="20:21">
      <c r="T840" s="40"/>
      <c r="U840" s="41"/>
    </row>
    <row r="841" spans="20:21">
      <c r="T841" s="40"/>
      <c r="U841" s="41"/>
    </row>
    <row r="842" spans="20:21">
      <c r="T842" s="40"/>
      <c r="U842" s="41"/>
    </row>
    <row r="843" spans="20:21">
      <c r="T843" s="40"/>
      <c r="U843" s="41"/>
    </row>
    <row r="844" spans="20:21">
      <c r="T844" s="40"/>
      <c r="U844" s="41"/>
    </row>
    <row r="845" spans="20:21">
      <c r="T845" s="40"/>
      <c r="U845" s="41"/>
    </row>
    <row r="846" spans="20:21">
      <c r="T846" s="40"/>
      <c r="U846" s="41"/>
    </row>
    <row r="847" spans="20:21">
      <c r="T847" s="40"/>
      <c r="U847" s="41"/>
    </row>
    <row r="848" spans="20:21">
      <c r="T848" s="40"/>
      <c r="U848" s="41"/>
    </row>
    <row r="849" spans="20:21">
      <c r="T849" s="40"/>
      <c r="U849" s="41"/>
    </row>
    <row r="850" spans="20:21">
      <c r="T850" s="40"/>
      <c r="U850" s="41"/>
    </row>
    <row r="851" spans="20:21">
      <c r="T851" s="40"/>
      <c r="U851" s="41"/>
    </row>
    <row r="852" spans="20:21">
      <c r="T852" s="40"/>
      <c r="U852" s="41"/>
    </row>
    <row r="853" spans="20:21">
      <c r="T853" s="40"/>
      <c r="U853" s="41"/>
    </row>
    <row r="854" spans="20:21">
      <c r="T854" s="40"/>
      <c r="U854" s="41"/>
    </row>
    <row r="855" spans="20:21">
      <c r="T855" s="40"/>
      <c r="U855" s="41"/>
    </row>
    <row r="856" spans="20:21">
      <c r="T856" s="40"/>
      <c r="U856" s="41"/>
    </row>
    <row r="857" spans="20:21">
      <c r="T857" s="40"/>
      <c r="U857" s="41"/>
    </row>
    <row r="858" spans="20:21">
      <c r="T858" s="40"/>
      <c r="U858" s="41"/>
    </row>
    <row r="859" spans="20:21">
      <c r="T859" s="40"/>
      <c r="U859" s="41"/>
    </row>
    <row r="860" spans="20:21">
      <c r="T860" s="40"/>
      <c r="U860" s="41"/>
    </row>
    <row r="861" spans="20:21">
      <c r="T861" s="40"/>
      <c r="U861" s="41"/>
    </row>
    <row r="862" spans="20:21">
      <c r="T862" s="40"/>
      <c r="U862" s="41"/>
    </row>
    <row r="863" spans="20:21">
      <c r="T863" s="40"/>
      <c r="U863" s="41"/>
    </row>
    <row r="864" spans="20:21">
      <c r="T864" s="40"/>
      <c r="U864" s="41"/>
    </row>
    <row r="865" spans="20:21">
      <c r="T865" s="40"/>
      <c r="U865" s="41"/>
    </row>
    <row r="866" spans="20:21">
      <c r="T866" s="40"/>
      <c r="U866" s="41"/>
    </row>
    <row r="867" spans="20:21">
      <c r="T867" s="40"/>
      <c r="U867" s="41"/>
    </row>
    <row r="868" spans="20:21">
      <c r="T868" s="40"/>
      <c r="U868" s="41"/>
    </row>
    <row r="869" spans="20:21">
      <c r="T869" s="40"/>
      <c r="U869" s="41"/>
    </row>
    <row r="870" spans="20:21">
      <c r="T870" s="40"/>
      <c r="U870" s="41"/>
    </row>
    <row r="871" spans="20:21">
      <c r="T871" s="40"/>
      <c r="U871" s="41"/>
    </row>
    <row r="872" spans="20:21">
      <c r="T872" s="40"/>
      <c r="U872" s="41"/>
    </row>
    <row r="873" spans="20:21">
      <c r="T873" s="40"/>
      <c r="U873" s="41"/>
    </row>
    <row r="874" spans="20:21">
      <c r="T874" s="40"/>
      <c r="U874" s="41"/>
    </row>
    <row r="875" spans="20:21">
      <c r="T875" s="40"/>
      <c r="U875" s="41"/>
    </row>
    <row r="876" spans="20:21">
      <c r="T876" s="40"/>
      <c r="U876" s="41"/>
    </row>
    <row r="877" spans="20:21">
      <c r="T877" s="40"/>
      <c r="U877" s="41"/>
    </row>
    <row r="878" spans="20:21">
      <c r="T878" s="40"/>
      <c r="U878" s="41"/>
    </row>
    <row r="879" spans="20:21">
      <c r="T879" s="40"/>
      <c r="U879" s="41"/>
    </row>
    <row r="880" spans="20:21">
      <c r="T880" s="40"/>
      <c r="U880" s="41"/>
    </row>
    <row r="881" spans="20:21">
      <c r="T881" s="40"/>
      <c r="U881" s="41"/>
    </row>
    <row r="882" spans="20:21">
      <c r="T882" s="40"/>
      <c r="U882" s="41"/>
    </row>
    <row r="883" spans="20:21">
      <c r="T883" s="40"/>
      <c r="U883" s="41"/>
    </row>
    <row r="884" spans="20:21">
      <c r="T884" s="40"/>
      <c r="U884" s="41"/>
    </row>
    <row r="885" spans="20:21">
      <c r="T885" s="40"/>
      <c r="U885" s="41"/>
    </row>
    <row r="886" spans="20:21">
      <c r="T886" s="40"/>
      <c r="U886" s="41"/>
    </row>
    <row r="887" spans="20:21">
      <c r="T887" s="40"/>
      <c r="U887" s="41"/>
    </row>
    <row r="888" spans="20:21">
      <c r="T888" s="40"/>
      <c r="U888" s="41"/>
    </row>
    <row r="889" spans="20:21">
      <c r="T889" s="40"/>
      <c r="U889" s="41"/>
    </row>
    <row r="890" spans="20:21">
      <c r="T890" s="40"/>
      <c r="U890" s="41"/>
    </row>
    <row r="891" spans="20:21">
      <c r="T891" s="40"/>
      <c r="U891" s="41"/>
    </row>
    <row r="892" spans="20:21">
      <c r="T892" s="40"/>
      <c r="U892" s="41"/>
    </row>
    <row r="893" spans="20:21">
      <c r="T893" s="40"/>
      <c r="U893" s="41"/>
    </row>
    <row r="894" spans="20:21">
      <c r="T894" s="40"/>
      <c r="U894" s="41"/>
    </row>
    <row r="895" spans="20:21">
      <c r="T895" s="40"/>
      <c r="U895" s="41"/>
    </row>
    <row r="896" spans="20:21">
      <c r="T896" s="40"/>
      <c r="U896" s="41"/>
    </row>
    <row r="897" spans="20:21">
      <c r="T897" s="40"/>
      <c r="U897" s="41"/>
    </row>
    <row r="898" spans="20:21">
      <c r="T898" s="40"/>
      <c r="U898" s="41"/>
    </row>
    <row r="899" spans="20:21">
      <c r="T899" s="40"/>
      <c r="U899" s="41"/>
    </row>
    <row r="900" spans="20:21">
      <c r="T900" s="40"/>
      <c r="U900" s="41"/>
    </row>
    <row r="901" spans="20:21">
      <c r="T901" s="40"/>
      <c r="U901" s="41"/>
    </row>
    <row r="902" spans="20:21">
      <c r="T902" s="40"/>
      <c r="U902" s="41"/>
    </row>
    <row r="903" spans="20:21">
      <c r="T903" s="40"/>
      <c r="U903" s="41"/>
    </row>
    <row r="904" spans="20:21">
      <c r="T904" s="40"/>
      <c r="U904" s="41"/>
    </row>
    <row r="905" spans="20:21">
      <c r="T905" s="40"/>
      <c r="U905" s="41"/>
    </row>
    <row r="906" spans="20:21">
      <c r="T906" s="40"/>
      <c r="U906" s="41"/>
    </row>
    <row r="907" spans="20:21">
      <c r="T907" s="40"/>
      <c r="U907" s="41"/>
    </row>
    <row r="908" spans="20:21">
      <c r="T908" s="40"/>
      <c r="U908" s="41"/>
    </row>
    <row r="909" spans="20:21">
      <c r="T909" s="40"/>
      <c r="U909" s="41"/>
    </row>
    <row r="910" spans="20:21">
      <c r="T910" s="40"/>
      <c r="U910" s="41"/>
    </row>
    <row r="911" spans="20:21">
      <c r="T911" s="40"/>
      <c r="U911" s="41"/>
    </row>
    <row r="912" spans="20:21">
      <c r="T912" s="40"/>
      <c r="U912" s="41"/>
    </row>
    <row r="913" spans="20:21">
      <c r="T913" s="40"/>
      <c r="U913" s="41"/>
    </row>
    <row r="914" spans="20:21">
      <c r="T914" s="40"/>
      <c r="U914" s="41"/>
    </row>
    <row r="915" spans="20:21">
      <c r="T915" s="40"/>
      <c r="U915" s="41"/>
    </row>
    <row r="916" spans="20:21">
      <c r="T916" s="40"/>
      <c r="U916" s="41"/>
    </row>
    <row r="917" spans="20:21">
      <c r="T917" s="40"/>
      <c r="U917" s="41"/>
    </row>
    <row r="918" spans="20:21">
      <c r="T918" s="40"/>
      <c r="U918" s="41"/>
    </row>
    <row r="919" spans="20:21">
      <c r="T919" s="40"/>
      <c r="U919" s="41"/>
    </row>
    <row r="920" spans="20:21">
      <c r="T920" s="40"/>
      <c r="U920" s="41"/>
    </row>
    <row r="921" spans="20:21">
      <c r="T921" s="40"/>
      <c r="U921" s="41"/>
    </row>
    <row r="922" spans="20:21">
      <c r="T922" s="40"/>
      <c r="U922" s="41"/>
    </row>
    <row r="923" spans="20:21">
      <c r="T923" s="40"/>
      <c r="U923" s="41"/>
    </row>
    <row r="924" spans="20:21">
      <c r="T924" s="40"/>
      <c r="U924" s="41"/>
    </row>
    <row r="925" spans="20:21">
      <c r="T925" s="40"/>
      <c r="U925" s="41"/>
    </row>
    <row r="926" spans="20:21">
      <c r="T926" s="40"/>
      <c r="U926" s="41"/>
    </row>
    <row r="927" spans="20:21">
      <c r="T927" s="40"/>
      <c r="U927" s="41"/>
    </row>
    <row r="928" spans="20:21">
      <c r="T928" s="40"/>
      <c r="U928" s="41"/>
    </row>
    <row r="929" spans="20:21">
      <c r="T929" s="40"/>
      <c r="U929" s="41"/>
    </row>
    <row r="930" spans="20:21">
      <c r="T930" s="40"/>
      <c r="U930" s="41"/>
    </row>
    <row r="931" spans="20:21">
      <c r="T931" s="40"/>
      <c r="U931" s="41"/>
    </row>
    <row r="932" spans="20:21">
      <c r="T932" s="40"/>
      <c r="U932" s="41"/>
    </row>
    <row r="933" spans="20:21">
      <c r="T933" s="40"/>
      <c r="U933" s="41"/>
    </row>
    <row r="934" spans="20:21">
      <c r="T934" s="40"/>
      <c r="U934" s="41"/>
    </row>
    <row r="935" spans="20:21">
      <c r="T935" s="40"/>
      <c r="U935" s="41"/>
    </row>
    <row r="936" spans="20:21">
      <c r="T936" s="40"/>
      <c r="U936" s="41"/>
    </row>
    <row r="937" spans="20:21">
      <c r="T937" s="40"/>
      <c r="U937" s="41"/>
    </row>
    <row r="938" spans="20:21">
      <c r="T938" s="40"/>
      <c r="U938" s="41"/>
    </row>
    <row r="939" spans="20:21">
      <c r="T939" s="40"/>
      <c r="U939" s="41"/>
    </row>
    <row r="940" spans="20:21">
      <c r="T940" s="40"/>
      <c r="U940" s="41"/>
    </row>
    <row r="941" spans="20:21">
      <c r="T941" s="40"/>
      <c r="U941" s="41"/>
    </row>
    <row r="942" spans="20:21">
      <c r="T942" s="40"/>
      <c r="U942" s="41"/>
    </row>
    <row r="943" spans="20:21">
      <c r="T943" s="40"/>
      <c r="U943" s="41"/>
    </row>
    <row r="944" spans="20:21">
      <c r="T944" s="40"/>
      <c r="U944" s="41"/>
    </row>
    <row r="945" spans="20:21">
      <c r="T945" s="40"/>
      <c r="U945" s="41"/>
    </row>
    <row r="946" spans="20:21">
      <c r="T946" s="40"/>
      <c r="U946" s="41"/>
    </row>
    <row r="947" spans="20:21">
      <c r="T947" s="40"/>
      <c r="U947" s="41"/>
    </row>
    <row r="948" spans="20:21">
      <c r="T948" s="40"/>
      <c r="U948" s="41"/>
    </row>
    <row r="949" spans="20:21">
      <c r="T949" s="40"/>
      <c r="U949" s="41"/>
    </row>
    <row r="950" spans="20:21">
      <c r="T950" s="40"/>
      <c r="U950" s="41"/>
    </row>
    <row r="951" spans="20:21">
      <c r="T951" s="40"/>
      <c r="U951" s="41"/>
    </row>
    <row r="952" spans="20:21">
      <c r="T952" s="40"/>
      <c r="U952" s="41"/>
    </row>
    <row r="953" spans="20:21">
      <c r="T953" s="40"/>
      <c r="U953" s="41"/>
    </row>
    <row r="954" spans="20:21">
      <c r="T954" s="40"/>
      <c r="U954" s="41"/>
    </row>
    <row r="955" spans="20:21">
      <c r="T955" s="40"/>
      <c r="U955" s="41"/>
    </row>
    <row r="956" spans="20:21">
      <c r="T956" s="40"/>
      <c r="U956" s="41"/>
    </row>
    <row r="957" spans="20:21">
      <c r="T957" s="40"/>
      <c r="U957" s="41"/>
    </row>
    <row r="958" spans="20:21">
      <c r="T958" s="40"/>
      <c r="U958" s="41"/>
    </row>
    <row r="959" spans="20:21">
      <c r="T959" s="40"/>
      <c r="U959" s="41"/>
    </row>
    <row r="960" spans="20:21">
      <c r="T960" s="40"/>
      <c r="U960" s="41"/>
    </row>
    <row r="961" spans="20:21">
      <c r="T961" s="40"/>
      <c r="U961" s="41"/>
    </row>
    <row r="962" spans="20:21">
      <c r="T962" s="40"/>
      <c r="U962" s="41"/>
    </row>
    <row r="963" spans="20:21">
      <c r="T963" s="40"/>
      <c r="U963" s="41"/>
    </row>
    <row r="964" spans="20:21">
      <c r="T964" s="40"/>
      <c r="U964" s="41"/>
    </row>
    <row r="965" spans="20:21">
      <c r="T965" s="40"/>
      <c r="U965" s="41"/>
    </row>
    <row r="966" spans="20:21">
      <c r="T966" s="40"/>
      <c r="U966" s="41"/>
    </row>
    <row r="967" spans="20:21">
      <c r="T967" s="40"/>
      <c r="U967" s="41"/>
    </row>
    <row r="968" spans="20:21">
      <c r="T968" s="40"/>
      <c r="U968" s="41"/>
    </row>
    <row r="969" spans="20:21">
      <c r="T969" s="40"/>
      <c r="U969" s="41"/>
    </row>
    <row r="970" spans="20:21">
      <c r="T970" s="40"/>
      <c r="U970" s="41"/>
    </row>
    <row r="971" spans="20:21">
      <c r="T971" s="40"/>
      <c r="U971" s="41"/>
    </row>
    <row r="972" spans="20:21">
      <c r="T972" s="40"/>
      <c r="U972" s="41"/>
    </row>
    <row r="973" spans="20:21">
      <c r="T973" s="40"/>
      <c r="U973" s="41"/>
    </row>
    <row r="974" spans="20:21">
      <c r="T974" s="40"/>
      <c r="U974" s="41"/>
    </row>
    <row r="975" spans="20:21">
      <c r="T975" s="40"/>
      <c r="U975" s="41"/>
    </row>
    <row r="976" spans="20:21">
      <c r="T976" s="40"/>
      <c r="U976" s="41"/>
    </row>
    <row r="977" spans="20:21">
      <c r="T977" s="40"/>
      <c r="U977" s="41"/>
    </row>
    <row r="978" spans="20:21">
      <c r="T978" s="40"/>
      <c r="U978" s="41"/>
    </row>
    <row r="979" spans="20:21">
      <c r="T979" s="40"/>
      <c r="U979" s="41"/>
    </row>
    <row r="980" spans="20:21">
      <c r="T980" s="40"/>
      <c r="U980" s="41"/>
    </row>
    <row r="981" spans="20:21">
      <c r="T981" s="40"/>
      <c r="U981" s="41"/>
    </row>
    <row r="982" spans="20:21">
      <c r="T982" s="40"/>
      <c r="U982" s="41"/>
    </row>
    <row r="983" spans="20:21">
      <c r="T983" s="40"/>
      <c r="U983" s="41"/>
    </row>
    <row r="984" spans="20:21">
      <c r="T984" s="40"/>
      <c r="U984" s="41"/>
    </row>
    <row r="985" spans="20:21">
      <c r="T985" s="40"/>
      <c r="U985" s="41"/>
    </row>
    <row r="986" spans="20:21">
      <c r="T986" s="40"/>
      <c r="U986" s="41"/>
    </row>
    <row r="987" spans="20:21">
      <c r="T987" s="40"/>
      <c r="U987" s="41"/>
    </row>
    <row r="988" spans="20:21">
      <c r="T988" s="40"/>
      <c r="U988" s="41"/>
    </row>
    <row r="989" spans="20:21">
      <c r="T989" s="40"/>
      <c r="U989" s="41"/>
    </row>
    <row r="990" spans="20:21">
      <c r="T990" s="40"/>
      <c r="U990" s="41"/>
    </row>
    <row r="991" spans="20:21">
      <c r="T991" s="40"/>
      <c r="U991" s="41"/>
    </row>
    <row r="992" spans="20:21">
      <c r="T992" s="40"/>
      <c r="U992" s="41"/>
    </row>
    <row r="993" spans="20:21">
      <c r="T993" s="40"/>
      <c r="U993" s="41"/>
    </row>
    <row r="994" spans="20:21">
      <c r="T994" s="40"/>
      <c r="U994" s="41"/>
    </row>
    <row r="995" spans="20:21">
      <c r="T995" s="40"/>
      <c r="U995" s="41"/>
    </row>
    <row r="996" spans="20:21">
      <c r="T996" s="40"/>
      <c r="U996" s="41"/>
    </row>
    <row r="997" spans="20:21">
      <c r="T997" s="40"/>
      <c r="U997" s="41"/>
    </row>
    <row r="998" spans="20:21">
      <c r="T998" s="40"/>
      <c r="U998" s="41"/>
    </row>
    <row r="999" spans="20:21">
      <c r="T999" s="40"/>
      <c r="U999" s="41"/>
    </row>
    <row r="1000" spans="20:21">
      <c r="T1000" s="40"/>
      <c r="U1000" s="41"/>
    </row>
    <row r="1001" spans="20:21">
      <c r="T1001" s="40"/>
      <c r="U1001" s="41"/>
    </row>
    <row r="1002" spans="20:21">
      <c r="T1002" s="40"/>
      <c r="U1002" s="41"/>
    </row>
    <row r="1003" spans="20:21">
      <c r="T1003" s="40"/>
      <c r="U1003" s="41"/>
    </row>
    <row r="1004" spans="20:21">
      <c r="T1004" s="40"/>
      <c r="U1004" s="41"/>
    </row>
    <row r="1005" spans="20:21">
      <c r="T1005" s="40"/>
      <c r="U1005" s="41"/>
    </row>
    <row r="1006" spans="20:21">
      <c r="T1006" s="40"/>
      <c r="U1006" s="41"/>
    </row>
    <row r="1007" spans="20:21">
      <c r="T1007" s="40"/>
      <c r="U1007" s="41"/>
    </row>
    <row r="1008" spans="20:21">
      <c r="T1008" s="40"/>
      <c r="U1008" s="41"/>
    </row>
    <row r="1009" spans="20:21">
      <c r="T1009" s="40"/>
      <c r="U1009" s="41"/>
    </row>
    <row r="1010" spans="20:21">
      <c r="T1010" s="40"/>
      <c r="U1010" s="41"/>
    </row>
    <row r="1011" spans="20:21">
      <c r="T1011" s="40"/>
      <c r="U1011" s="41"/>
    </row>
    <row r="1012" spans="20:21">
      <c r="T1012" s="40"/>
      <c r="U1012" s="41"/>
    </row>
    <row r="1013" spans="20:21">
      <c r="T1013" s="40"/>
      <c r="U1013" s="41"/>
    </row>
    <row r="1014" spans="20:21">
      <c r="T1014" s="40"/>
      <c r="U1014" s="41"/>
    </row>
    <row r="1015" spans="20:21">
      <c r="T1015" s="40"/>
      <c r="U1015" s="41"/>
    </row>
    <row r="1016" spans="20:21">
      <c r="T1016" s="40"/>
      <c r="U1016" s="41"/>
    </row>
    <row r="1017" spans="20:21">
      <c r="T1017" s="40"/>
      <c r="U1017" s="41"/>
    </row>
    <row r="1018" spans="20:21">
      <c r="T1018" s="40"/>
      <c r="U1018" s="41"/>
    </row>
    <row r="1019" spans="20:21">
      <c r="T1019" s="40"/>
      <c r="U1019" s="41"/>
    </row>
    <row r="1020" spans="20:21">
      <c r="T1020" s="40"/>
      <c r="U1020" s="41"/>
    </row>
    <row r="1021" spans="20:21">
      <c r="T1021" s="40"/>
      <c r="U1021" s="41"/>
    </row>
    <row r="1022" spans="20:21">
      <c r="T1022" s="40"/>
      <c r="U1022" s="41"/>
    </row>
    <row r="1023" spans="20:21">
      <c r="T1023" s="40"/>
      <c r="U1023" s="41"/>
    </row>
    <row r="1024" spans="20:21">
      <c r="T1024" s="40"/>
      <c r="U1024" s="41"/>
    </row>
    <row r="1025" spans="20:21">
      <c r="T1025" s="40"/>
      <c r="U1025" s="41"/>
    </row>
    <row r="1026" spans="20:21">
      <c r="T1026" s="40"/>
      <c r="U1026" s="41"/>
    </row>
    <row r="1027" spans="20:21">
      <c r="T1027" s="40"/>
      <c r="U1027" s="41"/>
    </row>
    <row r="1028" spans="20:21">
      <c r="T1028" s="40"/>
      <c r="U1028" s="41"/>
    </row>
    <row r="1029" spans="20:21">
      <c r="T1029" s="40"/>
      <c r="U1029" s="41"/>
    </row>
    <row r="1030" spans="20:21">
      <c r="T1030" s="40"/>
      <c r="U1030" s="41"/>
    </row>
    <row r="1031" spans="20:21">
      <c r="T1031" s="40"/>
      <c r="U1031" s="41"/>
    </row>
    <row r="1032" spans="20:21">
      <c r="T1032" s="40"/>
      <c r="U1032" s="41"/>
    </row>
    <row r="1033" spans="20:21">
      <c r="T1033" s="40"/>
      <c r="U1033" s="41"/>
    </row>
    <row r="1034" spans="20:21">
      <c r="T1034" s="40"/>
      <c r="U1034" s="41"/>
    </row>
    <row r="1035" spans="20:21">
      <c r="T1035" s="40"/>
      <c r="U1035" s="41"/>
    </row>
    <row r="1036" spans="20:21">
      <c r="T1036" s="40"/>
      <c r="U1036" s="41"/>
    </row>
    <row r="1037" spans="20:21">
      <c r="T1037" s="40"/>
      <c r="U1037" s="41"/>
    </row>
    <row r="1038" spans="20:21">
      <c r="T1038" s="40"/>
      <c r="U1038" s="41"/>
    </row>
    <row r="1039" spans="20:21">
      <c r="T1039" s="40"/>
      <c r="U1039" s="41"/>
    </row>
    <row r="1040" spans="20:21">
      <c r="T1040" s="40"/>
      <c r="U1040" s="41"/>
    </row>
    <row r="1041" spans="20:21">
      <c r="T1041" s="40"/>
      <c r="U1041" s="41"/>
    </row>
    <row r="1042" spans="20:21">
      <c r="T1042" s="40"/>
      <c r="U1042" s="41"/>
    </row>
    <row r="1043" spans="20:21">
      <c r="T1043" s="40"/>
      <c r="U1043" s="41"/>
    </row>
    <row r="1044" spans="20:21">
      <c r="T1044" s="40"/>
      <c r="U1044" s="41"/>
    </row>
    <row r="1045" spans="20:21">
      <c r="T1045" s="40"/>
      <c r="U1045" s="41"/>
    </row>
    <row r="1046" spans="20:21">
      <c r="T1046" s="40"/>
      <c r="U1046" s="41"/>
    </row>
    <row r="1047" spans="20:21">
      <c r="T1047" s="40"/>
      <c r="U1047" s="41"/>
    </row>
    <row r="1048" spans="20:21">
      <c r="T1048" s="40"/>
      <c r="U1048" s="41"/>
    </row>
    <row r="1049" spans="20:21">
      <c r="T1049" s="40"/>
      <c r="U1049" s="41"/>
    </row>
    <row r="1050" spans="20:21">
      <c r="T1050" s="40"/>
      <c r="U1050" s="41"/>
    </row>
    <row r="1051" spans="20:21">
      <c r="T1051" s="40"/>
      <c r="U1051" s="41"/>
    </row>
    <row r="1052" spans="20:21">
      <c r="T1052" s="40"/>
      <c r="U1052" s="41"/>
    </row>
    <row r="1053" spans="20:21">
      <c r="T1053" s="40"/>
      <c r="U1053" s="41"/>
    </row>
    <row r="1054" spans="20:21">
      <c r="T1054" s="40"/>
      <c r="U1054" s="41"/>
    </row>
    <row r="1055" spans="20:21">
      <c r="T1055" s="40"/>
      <c r="U1055" s="41"/>
    </row>
    <row r="1056" spans="20:21">
      <c r="T1056" s="40"/>
      <c r="U1056" s="41"/>
    </row>
    <row r="1057" spans="20:21">
      <c r="T1057" s="40"/>
      <c r="U1057" s="41"/>
    </row>
    <row r="1058" spans="20:21">
      <c r="T1058" s="40"/>
      <c r="U1058" s="41"/>
    </row>
    <row r="1059" spans="20:21">
      <c r="T1059" s="40"/>
      <c r="U1059" s="41"/>
    </row>
    <row r="1060" spans="20:21">
      <c r="T1060" s="40"/>
      <c r="U1060" s="41"/>
    </row>
    <row r="1061" spans="20:21">
      <c r="T1061" s="40"/>
      <c r="U1061" s="41"/>
    </row>
    <row r="1062" spans="20:21">
      <c r="T1062" s="40"/>
      <c r="U1062" s="41"/>
    </row>
    <row r="1063" spans="20:21">
      <c r="T1063" s="40"/>
      <c r="U1063" s="41"/>
    </row>
    <row r="1064" spans="20:21">
      <c r="T1064" s="40"/>
      <c r="U1064" s="41"/>
    </row>
    <row r="1065" spans="20:21">
      <c r="T1065" s="40"/>
      <c r="U1065" s="41"/>
    </row>
    <row r="1066" spans="20:21">
      <c r="T1066" s="40"/>
      <c r="U1066" s="41"/>
    </row>
    <row r="1067" spans="20:21">
      <c r="T1067" s="40"/>
      <c r="U1067" s="41"/>
    </row>
    <row r="1068" spans="20:21">
      <c r="T1068" s="40"/>
      <c r="U1068" s="41"/>
    </row>
    <row r="1069" spans="20:21">
      <c r="T1069" s="40"/>
      <c r="U1069" s="41"/>
    </row>
    <row r="1070" spans="20:21">
      <c r="T1070" s="40"/>
      <c r="U1070" s="41"/>
    </row>
    <row r="1071" spans="20:21">
      <c r="T1071" s="40"/>
      <c r="U1071" s="41"/>
    </row>
    <row r="1072" spans="20:21">
      <c r="T1072" s="40"/>
      <c r="U1072" s="41"/>
    </row>
    <row r="1073" spans="20:21">
      <c r="T1073" s="40"/>
      <c r="U1073" s="41"/>
    </row>
    <row r="1074" spans="20:21">
      <c r="T1074" s="40"/>
      <c r="U1074" s="41"/>
    </row>
    <row r="1075" spans="20:21">
      <c r="T1075" s="40"/>
      <c r="U1075" s="41"/>
    </row>
    <row r="1076" spans="20:21">
      <c r="T1076" s="40"/>
      <c r="U1076" s="41"/>
    </row>
    <row r="1077" spans="20:21">
      <c r="T1077" s="40"/>
      <c r="U1077" s="41"/>
    </row>
    <row r="1078" spans="20:21">
      <c r="T1078" s="40"/>
      <c r="U1078" s="41"/>
    </row>
    <row r="1079" spans="20:21">
      <c r="T1079" s="40"/>
      <c r="U1079" s="41"/>
    </row>
    <row r="1080" spans="20:21">
      <c r="T1080" s="40"/>
      <c r="U1080" s="41"/>
    </row>
    <row r="1081" spans="20:21">
      <c r="T1081" s="40"/>
      <c r="U1081" s="41"/>
    </row>
    <row r="1082" spans="20:21">
      <c r="T1082" s="40"/>
      <c r="U1082" s="41"/>
    </row>
    <row r="1083" spans="20:21">
      <c r="T1083" s="40"/>
      <c r="U1083" s="41"/>
    </row>
    <row r="1084" spans="20:21">
      <c r="T1084" s="40"/>
      <c r="U1084" s="41"/>
    </row>
    <row r="1085" spans="20:21">
      <c r="T1085" s="40"/>
      <c r="U1085" s="41"/>
    </row>
    <row r="1086" spans="20:21">
      <c r="T1086" s="40"/>
      <c r="U1086" s="41"/>
    </row>
    <row r="1087" spans="20:21">
      <c r="T1087" s="40"/>
      <c r="U1087" s="41"/>
    </row>
    <row r="1088" spans="20:21">
      <c r="T1088" s="40"/>
      <c r="U1088" s="41"/>
    </row>
    <row r="1089" spans="20:21">
      <c r="T1089" s="40"/>
      <c r="U1089" s="41"/>
    </row>
    <row r="1090" spans="20:21">
      <c r="T1090" s="40"/>
      <c r="U1090" s="41"/>
    </row>
    <row r="1091" spans="20:21">
      <c r="T1091" s="40"/>
      <c r="U1091" s="41"/>
    </row>
    <row r="1092" spans="20:21">
      <c r="T1092" s="40"/>
      <c r="U1092" s="41"/>
    </row>
    <row r="1093" spans="20:21">
      <c r="T1093" s="40"/>
      <c r="U1093" s="41"/>
    </row>
    <row r="1094" spans="20:21">
      <c r="T1094" s="40"/>
      <c r="U1094" s="41"/>
    </row>
    <row r="1095" spans="20:21">
      <c r="T1095" s="40"/>
      <c r="U1095" s="41"/>
    </row>
    <row r="1096" spans="20:21">
      <c r="T1096" s="40"/>
      <c r="U1096" s="41"/>
    </row>
    <row r="1097" spans="20:21">
      <c r="T1097" s="40"/>
      <c r="U1097" s="41"/>
    </row>
    <row r="1098" spans="20:21">
      <c r="T1098" s="40"/>
      <c r="U1098" s="41"/>
    </row>
    <row r="1099" spans="20:21">
      <c r="T1099" s="40"/>
      <c r="U1099" s="41"/>
    </row>
    <row r="1100" spans="20:21">
      <c r="T1100" s="40"/>
      <c r="U1100" s="41"/>
    </row>
    <row r="1101" spans="20:21">
      <c r="T1101" s="40"/>
      <c r="U1101" s="41"/>
    </row>
    <row r="1102" spans="20:21">
      <c r="T1102" s="40"/>
      <c r="U1102" s="41"/>
    </row>
    <row r="1103" spans="20:21">
      <c r="T1103" s="40"/>
      <c r="U1103" s="41"/>
    </row>
    <row r="1104" spans="20:21">
      <c r="T1104" s="40"/>
      <c r="U1104" s="41"/>
    </row>
    <row r="1105" spans="20:21">
      <c r="T1105" s="40"/>
      <c r="U1105" s="41"/>
    </row>
    <row r="1106" spans="20:21">
      <c r="T1106" s="40"/>
      <c r="U1106" s="41"/>
    </row>
    <row r="1107" spans="20:21">
      <c r="T1107" s="40"/>
      <c r="U1107" s="41"/>
    </row>
    <row r="1108" spans="20:21">
      <c r="T1108" s="40"/>
      <c r="U1108" s="41"/>
    </row>
    <row r="1109" spans="20:21">
      <c r="T1109" s="40"/>
      <c r="U1109" s="41"/>
    </row>
    <row r="1110" spans="20:21">
      <c r="T1110" s="40"/>
      <c r="U1110" s="41"/>
    </row>
    <row r="1111" spans="20:21">
      <c r="T1111" s="40"/>
      <c r="U1111" s="41"/>
    </row>
    <row r="1112" spans="20:21">
      <c r="T1112" s="40"/>
      <c r="U1112" s="41"/>
    </row>
    <row r="1113" spans="20:21">
      <c r="T1113" s="40"/>
      <c r="U1113" s="41"/>
    </row>
    <row r="1114" spans="20:21">
      <c r="T1114" s="40"/>
      <c r="U1114" s="41"/>
    </row>
    <row r="1115" spans="20:21">
      <c r="T1115" s="40"/>
      <c r="U1115" s="41"/>
    </row>
    <row r="1116" spans="20:21">
      <c r="T1116" s="40"/>
      <c r="U1116" s="41"/>
    </row>
    <row r="1117" spans="20:21">
      <c r="T1117" s="40"/>
      <c r="U1117" s="41"/>
    </row>
    <row r="1118" spans="20:21">
      <c r="T1118" s="40"/>
      <c r="U1118" s="41"/>
    </row>
    <row r="1119" spans="20:21">
      <c r="T1119" s="40"/>
      <c r="U1119" s="41"/>
    </row>
    <row r="1120" spans="20:21">
      <c r="T1120" s="40"/>
      <c r="U1120" s="41"/>
    </row>
    <row r="1121" spans="20:21">
      <c r="T1121" s="40"/>
      <c r="U1121" s="41"/>
    </row>
    <row r="1122" spans="20:21">
      <c r="T1122" s="40"/>
      <c r="U1122" s="41"/>
    </row>
    <row r="1123" spans="20:21">
      <c r="T1123" s="40"/>
      <c r="U1123" s="41"/>
    </row>
    <row r="1124" spans="20:21">
      <c r="T1124" s="40"/>
      <c r="U1124" s="41"/>
    </row>
    <row r="1125" spans="20:21">
      <c r="T1125" s="40"/>
      <c r="U1125" s="41"/>
    </row>
    <row r="1126" spans="20:21">
      <c r="T1126" s="40"/>
      <c r="U1126" s="41"/>
    </row>
    <row r="1127" spans="20:21">
      <c r="T1127" s="40"/>
      <c r="U1127" s="41"/>
    </row>
    <row r="1128" spans="20:21">
      <c r="T1128" s="40"/>
      <c r="U1128" s="41"/>
    </row>
    <row r="1129" spans="20:21">
      <c r="T1129" s="40"/>
      <c r="U1129" s="41"/>
    </row>
    <row r="1130" spans="20:21">
      <c r="T1130" s="40"/>
      <c r="U1130" s="41"/>
    </row>
    <row r="1131" spans="20:21">
      <c r="T1131" s="40"/>
      <c r="U1131" s="41"/>
    </row>
    <row r="1132" spans="20:21">
      <c r="T1132" s="40"/>
      <c r="U1132" s="41"/>
    </row>
    <row r="1133" spans="20:21">
      <c r="T1133" s="40"/>
      <c r="U1133" s="41"/>
    </row>
    <row r="1134" spans="20:21">
      <c r="T1134" s="40"/>
      <c r="U1134" s="41"/>
    </row>
    <row r="1135" spans="20:21">
      <c r="T1135" s="40"/>
      <c r="U1135" s="41"/>
    </row>
    <row r="1136" spans="20:21">
      <c r="T1136" s="40"/>
      <c r="U1136" s="41"/>
    </row>
    <row r="1137" spans="20:21">
      <c r="T1137" s="40"/>
      <c r="U1137" s="41"/>
    </row>
    <row r="1138" spans="20:21">
      <c r="T1138" s="40"/>
      <c r="U1138" s="41"/>
    </row>
    <row r="1139" spans="20:21">
      <c r="T1139" s="40"/>
      <c r="U1139" s="41"/>
    </row>
    <row r="1140" spans="20:21">
      <c r="T1140" s="40"/>
      <c r="U1140" s="41"/>
    </row>
    <row r="1141" spans="20:21">
      <c r="T1141" s="40"/>
      <c r="U1141" s="41"/>
    </row>
    <row r="1142" spans="20:21">
      <c r="T1142" s="40"/>
      <c r="U1142" s="41"/>
    </row>
    <row r="1143" spans="20:21">
      <c r="T1143" s="40"/>
      <c r="U1143" s="41"/>
    </row>
    <row r="1144" spans="20:21">
      <c r="T1144" s="40"/>
      <c r="U1144" s="41"/>
    </row>
    <row r="1145" spans="20:21">
      <c r="T1145" s="40"/>
      <c r="U1145" s="41"/>
    </row>
    <row r="1146" spans="20:21">
      <c r="T1146" s="40"/>
      <c r="U1146" s="41"/>
    </row>
    <row r="1147" spans="20:21">
      <c r="T1147" s="40"/>
      <c r="U1147" s="41"/>
    </row>
    <row r="1148" spans="20:21">
      <c r="T1148" s="40"/>
      <c r="U1148" s="41"/>
    </row>
    <row r="1149" spans="20:21">
      <c r="T1149" s="40"/>
      <c r="U1149" s="41"/>
    </row>
    <row r="1150" spans="20:21">
      <c r="T1150" s="40"/>
      <c r="U1150" s="41"/>
    </row>
    <row r="1151" spans="20:21">
      <c r="T1151" s="40"/>
      <c r="U1151" s="41"/>
    </row>
    <row r="1152" spans="20:21">
      <c r="T1152" s="40"/>
      <c r="U1152" s="41"/>
    </row>
    <row r="1153" spans="20:21">
      <c r="T1153" s="40"/>
      <c r="U1153" s="41"/>
    </row>
    <row r="1154" spans="20:21">
      <c r="T1154" s="40"/>
      <c r="U1154" s="41"/>
    </row>
    <row r="1155" spans="20:21">
      <c r="T1155" s="40"/>
      <c r="U1155" s="41"/>
    </row>
    <row r="1156" spans="20:21">
      <c r="T1156" s="40"/>
      <c r="U1156" s="41"/>
    </row>
    <row r="1157" spans="20:21">
      <c r="T1157" s="40"/>
      <c r="U1157" s="41"/>
    </row>
    <row r="1158" spans="20:21">
      <c r="T1158" s="40"/>
      <c r="U1158" s="41"/>
    </row>
    <row r="1159" spans="20:21">
      <c r="T1159" s="40"/>
      <c r="U1159" s="41"/>
    </row>
    <row r="1160" spans="20:21">
      <c r="T1160" s="40"/>
      <c r="U1160" s="41"/>
    </row>
    <row r="1161" spans="20:21">
      <c r="T1161" s="40"/>
      <c r="U1161" s="41"/>
    </row>
    <row r="1162" spans="20:21">
      <c r="T1162" s="40"/>
      <c r="U1162" s="41"/>
    </row>
    <row r="1163" spans="20:21">
      <c r="T1163" s="40"/>
      <c r="U1163" s="41"/>
    </row>
    <row r="1164" spans="20:21">
      <c r="T1164" s="40"/>
      <c r="U1164" s="41"/>
    </row>
    <row r="1165" spans="20:21">
      <c r="T1165" s="40"/>
      <c r="U1165" s="41"/>
    </row>
    <row r="1166" spans="20:21">
      <c r="T1166" s="40"/>
      <c r="U1166" s="41"/>
    </row>
    <row r="1167" spans="20:21">
      <c r="T1167" s="40"/>
      <c r="U1167" s="41"/>
    </row>
    <row r="1168" spans="20:21">
      <c r="T1168" s="40"/>
      <c r="U1168" s="41"/>
    </row>
    <row r="1169" spans="20:21">
      <c r="T1169" s="40"/>
      <c r="U1169" s="41"/>
    </row>
    <row r="1170" spans="20:21">
      <c r="T1170" s="40"/>
      <c r="U1170" s="41"/>
    </row>
    <row r="1171" spans="20:21">
      <c r="T1171" s="40"/>
      <c r="U1171" s="41"/>
    </row>
    <row r="1172" spans="20:21">
      <c r="T1172" s="40"/>
      <c r="U1172" s="41"/>
    </row>
    <row r="1173" spans="20:21">
      <c r="T1173" s="40"/>
      <c r="U1173" s="41"/>
    </row>
    <row r="1174" spans="20:21">
      <c r="T1174" s="40"/>
      <c r="U1174" s="41"/>
    </row>
    <row r="1175" spans="20:21">
      <c r="T1175" s="40"/>
      <c r="U1175" s="41"/>
    </row>
    <row r="1176" spans="20:21">
      <c r="T1176" s="40"/>
      <c r="U1176" s="41"/>
    </row>
    <row r="1177" spans="20:21">
      <c r="T1177" s="40"/>
      <c r="U1177" s="41"/>
    </row>
    <row r="1178" spans="20:21">
      <c r="T1178" s="40"/>
      <c r="U1178" s="41"/>
    </row>
    <row r="1179" spans="20:21">
      <c r="T1179" s="40"/>
      <c r="U1179" s="41"/>
    </row>
    <row r="1180" spans="20:21">
      <c r="T1180" s="40"/>
      <c r="U1180" s="41"/>
    </row>
    <row r="1181" spans="20:21">
      <c r="T1181" s="40"/>
      <c r="U1181" s="41"/>
    </row>
    <row r="1182" spans="20:21">
      <c r="T1182" s="40"/>
      <c r="U1182" s="41"/>
    </row>
    <row r="1183" spans="20:21">
      <c r="T1183" s="40"/>
      <c r="U1183" s="41"/>
    </row>
    <row r="1184" spans="20:21">
      <c r="T1184" s="40"/>
      <c r="U1184" s="41"/>
    </row>
    <row r="1185" spans="20:21">
      <c r="T1185" s="40"/>
      <c r="U1185" s="41"/>
    </row>
    <row r="1186" spans="20:21">
      <c r="T1186" s="40"/>
      <c r="U1186" s="41"/>
    </row>
    <row r="1187" spans="20:21">
      <c r="T1187" s="40"/>
      <c r="U1187" s="41"/>
    </row>
    <row r="1188" spans="20:21">
      <c r="T1188" s="40"/>
      <c r="U1188" s="41"/>
    </row>
    <row r="1189" spans="20:21">
      <c r="T1189" s="40"/>
      <c r="U1189" s="41"/>
    </row>
    <row r="1190" spans="20:21">
      <c r="T1190" s="40"/>
      <c r="U1190" s="41"/>
    </row>
    <row r="1191" spans="20:21">
      <c r="T1191" s="40"/>
      <c r="U1191" s="41"/>
    </row>
    <row r="1192" spans="20:21">
      <c r="T1192" s="40"/>
      <c r="U1192" s="41"/>
    </row>
    <row r="1193" spans="20:21">
      <c r="T1193" s="40"/>
      <c r="U1193" s="41"/>
    </row>
    <row r="1194" spans="20:21">
      <c r="T1194" s="40"/>
      <c r="U1194" s="41"/>
    </row>
    <row r="1195" spans="20:21">
      <c r="T1195" s="40"/>
      <c r="U1195" s="41"/>
    </row>
    <row r="1196" spans="20:21">
      <c r="T1196" s="40"/>
      <c r="U1196" s="41"/>
    </row>
    <row r="1197" spans="20:21">
      <c r="T1197" s="40"/>
      <c r="U1197" s="41"/>
    </row>
    <row r="1198" spans="20:21">
      <c r="T1198" s="40"/>
      <c r="U1198" s="41"/>
    </row>
    <row r="1199" spans="20:21">
      <c r="T1199" s="40"/>
      <c r="U1199" s="41"/>
    </row>
    <row r="1200" spans="20:21">
      <c r="T1200" s="40"/>
      <c r="U1200" s="41"/>
    </row>
    <row r="1201" spans="20:21">
      <c r="T1201" s="40"/>
      <c r="U1201" s="41"/>
    </row>
    <row r="1202" spans="20:21">
      <c r="T1202" s="40"/>
      <c r="U1202" s="41"/>
    </row>
    <row r="1203" spans="20:21">
      <c r="T1203" s="40"/>
      <c r="U1203" s="41"/>
    </row>
    <row r="1204" spans="20:21">
      <c r="T1204" s="40"/>
      <c r="U1204" s="41"/>
    </row>
    <row r="1205" spans="20:21">
      <c r="T1205" s="40"/>
      <c r="U1205" s="41"/>
    </row>
    <row r="1206" spans="20:21">
      <c r="T1206" s="40"/>
      <c r="U1206" s="41"/>
    </row>
    <row r="1207" spans="20:21">
      <c r="T1207" s="40"/>
      <c r="U1207" s="41"/>
    </row>
    <row r="1208" spans="20:21">
      <c r="T1208" s="40"/>
      <c r="U1208" s="41"/>
    </row>
    <row r="1209" spans="20:21">
      <c r="T1209" s="40"/>
      <c r="U1209" s="41"/>
    </row>
    <row r="1210" spans="20:21">
      <c r="T1210" s="40"/>
      <c r="U1210" s="41"/>
    </row>
    <row r="1211" spans="20:21">
      <c r="T1211" s="40"/>
      <c r="U1211" s="41"/>
    </row>
    <row r="1212" spans="20:21">
      <c r="T1212" s="40"/>
      <c r="U1212" s="41"/>
    </row>
    <row r="1213" spans="20:21">
      <c r="T1213" s="40"/>
      <c r="U1213" s="41"/>
    </row>
    <row r="1214" spans="20:21">
      <c r="T1214" s="40"/>
      <c r="U1214" s="41"/>
    </row>
    <row r="1215" spans="20:21">
      <c r="T1215" s="40"/>
      <c r="U1215" s="41"/>
    </row>
    <row r="1216" spans="20:21">
      <c r="T1216" s="40"/>
      <c r="U1216" s="41"/>
    </row>
    <row r="1217" spans="20:21">
      <c r="T1217" s="40"/>
      <c r="U1217" s="41"/>
    </row>
    <row r="1218" spans="20:21">
      <c r="T1218" s="40"/>
      <c r="U1218" s="41"/>
    </row>
    <row r="1219" spans="20:21">
      <c r="T1219" s="40"/>
      <c r="U1219" s="41"/>
    </row>
    <row r="1220" spans="20:21">
      <c r="T1220" s="40"/>
      <c r="U1220" s="41"/>
    </row>
    <row r="1221" spans="20:21">
      <c r="T1221" s="40"/>
      <c r="U1221" s="41"/>
    </row>
    <row r="1222" spans="20:21">
      <c r="T1222" s="40"/>
      <c r="U1222" s="41"/>
    </row>
    <row r="1223" spans="20:21">
      <c r="T1223" s="40"/>
      <c r="U1223" s="41"/>
    </row>
    <row r="1224" spans="20:21">
      <c r="T1224" s="40"/>
      <c r="U1224" s="41"/>
    </row>
    <row r="1225" spans="20:21">
      <c r="T1225" s="40"/>
      <c r="U1225" s="41"/>
    </row>
    <row r="1226" spans="20:21">
      <c r="T1226" s="40"/>
      <c r="U1226" s="41"/>
    </row>
    <row r="1227" spans="20:21">
      <c r="T1227" s="40"/>
      <c r="U1227" s="41"/>
    </row>
    <row r="1228" spans="20:21">
      <c r="T1228" s="40"/>
      <c r="U1228" s="41"/>
    </row>
    <row r="1229" spans="20:21">
      <c r="T1229" s="40"/>
      <c r="U1229" s="41"/>
    </row>
    <row r="1230" spans="20:21">
      <c r="T1230" s="40"/>
      <c r="U1230" s="41"/>
    </row>
    <row r="1231" spans="20:21">
      <c r="T1231" s="40"/>
      <c r="U1231" s="41"/>
    </row>
    <row r="1232" spans="20:21">
      <c r="T1232" s="40"/>
      <c r="U1232" s="41"/>
    </row>
    <row r="1233" spans="20:21">
      <c r="T1233" s="40"/>
      <c r="U1233" s="41"/>
    </row>
    <row r="1234" spans="20:21">
      <c r="T1234" s="40"/>
      <c r="U1234" s="41"/>
    </row>
    <row r="1235" spans="20:21">
      <c r="T1235" s="40"/>
      <c r="U1235" s="41"/>
    </row>
    <row r="1236" spans="20:21">
      <c r="T1236" s="40"/>
      <c r="U1236" s="41"/>
    </row>
    <row r="1237" spans="20:21">
      <c r="T1237" s="40"/>
      <c r="U1237" s="41"/>
    </row>
    <row r="1238" spans="20:21">
      <c r="T1238" s="40"/>
      <c r="U1238" s="41"/>
    </row>
    <row r="1239" spans="20:21">
      <c r="T1239" s="40"/>
      <c r="U1239" s="41"/>
    </row>
    <row r="1240" spans="20:21">
      <c r="T1240" s="40"/>
      <c r="U1240" s="41"/>
    </row>
    <row r="1241" spans="20:21">
      <c r="T1241" s="40"/>
      <c r="U1241" s="41"/>
    </row>
    <row r="1242" spans="20:21">
      <c r="T1242" s="40"/>
      <c r="U1242" s="41"/>
    </row>
    <row r="1243" spans="20:21">
      <c r="T1243" s="40"/>
      <c r="U1243" s="41"/>
    </row>
    <row r="1244" spans="20:21">
      <c r="T1244" s="40"/>
      <c r="U1244" s="41"/>
    </row>
    <row r="1245" spans="20:21">
      <c r="T1245" s="40"/>
      <c r="U1245" s="41"/>
    </row>
    <row r="1246" spans="20:21">
      <c r="T1246" s="40"/>
      <c r="U1246" s="41"/>
    </row>
    <row r="1247" spans="20:21">
      <c r="T1247" s="40"/>
      <c r="U1247" s="41"/>
    </row>
    <row r="1248" spans="20:21">
      <c r="T1248" s="40"/>
      <c r="U1248" s="41"/>
    </row>
    <row r="1249" spans="20:21">
      <c r="T1249" s="40"/>
      <c r="U1249" s="41"/>
    </row>
    <row r="1250" spans="20:21">
      <c r="T1250" s="40"/>
      <c r="U1250" s="41"/>
    </row>
    <row r="1251" spans="20:21">
      <c r="T1251" s="40"/>
      <c r="U1251" s="41"/>
    </row>
    <row r="1252" spans="20:21">
      <c r="T1252" s="40"/>
      <c r="U1252" s="41"/>
    </row>
    <row r="1253" spans="20:21">
      <c r="T1253" s="40"/>
      <c r="U1253" s="41"/>
    </row>
    <row r="1254" spans="20:21">
      <c r="T1254" s="40"/>
      <c r="U1254" s="41"/>
    </row>
    <row r="1255" spans="20:21">
      <c r="T1255" s="40"/>
      <c r="U1255" s="41"/>
    </row>
    <row r="1256" spans="20:21">
      <c r="T1256" s="40"/>
      <c r="U1256" s="41"/>
    </row>
    <row r="1257" spans="20:21">
      <c r="T1257" s="40"/>
      <c r="U1257" s="41"/>
    </row>
    <row r="1258" spans="20:21">
      <c r="T1258" s="40"/>
      <c r="U1258" s="41"/>
    </row>
    <row r="1259" spans="20:21">
      <c r="T1259" s="40"/>
      <c r="U1259" s="41"/>
    </row>
    <row r="1260" spans="20:21">
      <c r="T1260" s="40"/>
      <c r="U1260" s="41"/>
    </row>
    <row r="1261" spans="20:21">
      <c r="T1261" s="40"/>
      <c r="U1261" s="41"/>
    </row>
    <row r="1262" spans="20:21">
      <c r="T1262" s="40"/>
      <c r="U1262" s="41"/>
    </row>
    <row r="1263" spans="20:21">
      <c r="T1263" s="40"/>
      <c r="U1263" s="41"/>
    </row>
    <row r="1264" spans="20:21">
      <c r="T1264" s="40"/>
      <c r="U1264" s="41"/>
    </row>
    <row r="1265" spans="20:21">
      <c r="T1265" s="40"/>
      <c r="U1265" s="41"/>
    </row>
    <row r="1266" spans="20:21">
      <c r="T1266" s="40"/>
      <c r="U1266" s="41"/>
    </row>
    <row r="1267" spans="20:21">
      <c r="T1267" s="40"/>
      <c r="U1267" s="41"/>
    </row>
    <row r="1268" spans="20:21">
      <c r="T1268" s="40"/>
      <c r="U1268" s="41"/>
    </row>
    <row r="1269" spans="20:21">
      <c r="T1269" s="40"/>
      <c r="U1269" s="41"/>
    </row>
    <row r="1270" spans="20:21">
      <c r="T1270" s="40"/>
      <c r="U1270" s="41"/>
    </row>
    <row r="1271" spans="20:21">
      <c r="T1271" s="40"/>
      <c r="U1271" s="41"/>
    </row>
    <row r="1272" spans="20:21">
      <c r="T1272" s="40"/>
      <c r="U1272" s="41"/>
    </row>
    <row r="1273" spans="20:21">
      <c r="T1273" s="40"/>
      <c r="U1273" s="41"/>
    </row>
    <row r="1274" spans="20:21">
      <c r="T1274" s="40"/>
      <c r="U1274" s="41"/>
    </row>
    <row r="1275" spans="20:21">
      <c r="T1275" s="40"/>
      <c r="U1275" s="41"/>
    </row>
    <row r="1276" spans="20:21">
      <c r="T1276" s="40"/>
      <c r="U1276" s="41"/>
    </row>
    <row r="1277" spans="20:21">
      <c r="T1277" s="40"/>
      <c r="U1277" s="41"/>
    </row>
    <row r="1278" spans="20:21">
      <c r="T1278" s="40"/>
      <c r="U1278" s="41"/>
    </row>
    <row r="1279" spans="20:21">
      <c r="T1279" s="40"/>
      <c r="U1279" s="41"/>
    </row>
    <row r="1280" spans="20:21">
      <c r="T1280" s="40"/>
      <c r="U1280" s="41"/>
    </row>
    <row r="1281" spans="20:21">
      <c r="T1281" s="40"/>
      <c r="U1281" s="41"/>
    </row>
    <row r="1282" spans="20:21">
      <c r="T1282" s="40"/>
      <c r="U1282" s="41"/>
    </row>
    <row r="1283" spans="20:21">
      <c r="T1283" s="40"/>
      <c r="U1283" s="41"/>
    </row>
    <row r="1284" spans="20:21">
      <c r="T1284" s="40"/>
      <c r="U1284" s="41"/>
    </row>
    <row r="1285" spans="20:21">
      <c r="T1285" s="40"/>
      <c r="U1285" s="41"/>
    </row>
    <row r="1286" spans="20:21">
      <c r="T1286" s="40"/>
      <c r="U1286" s="41"/>
    </row>
    <row r="1287" spans="20:21">
      <c r="T1287" s="40"/>
      <c r="U1287" s="41"/>
    </row>
    <row r="1288" spans="20:21">
      <c r="T1288" s="40"/>
      <c r="U1288" s="41"/>
    </row>
    <row r="1289" spans="20:21">
      <c r="T1289" s="40"/>
      <c r="U1289" s="41"/>
    </row>
    <row r="1290" spans="20:21">
      <c r="T1290" s="40"/>
      <c r="U1290" s="41"/>
    </row>
    <row r="1291" spans="20:21">
      <c r="T1291" s="40"/>
      <c r="U1291" s="41"/>
    </row>
    <row r="1292" spans="20:21">
      <c r="T1292" s="40"/>
      <c r="U1292" s="41"/>
    </row>
    <row r="1293" spans="20:21">
      <c r="T1293" s="40"/>
      <c r="U1293" s="41"/>
    </row>
    <row r="1294" spans="20:21">
      <c r="T1294" s="40"/>
      <c r="U1294" s="41"/>
    </row>
    <row r="1295" spans="20:21">
      <c r="T1295" s="40"/>
      <c r="U1295" s="41"/>
    </row>
    <row r="1296" spans="20:21">
      <c r="T1296" s="40"/>
      <c r="U1296" s="41"/>
    </row>
    <row r="1297" spans="20:21">
      <c r="T1297" s="40"/>
      <c r="U1297" s="41"/>
    </row>
    <row r="1298" spans="20:21">
      <c r="T1298" s="40"/>
      <c r="U1298" s="41"/>
    </row>
    <row r="1299" spans="20:21">
      <c r="T1299" s="40"/>
      <c r="U1299" s="41"/>
    </row>
    <row r="1300" spans="20:21">
      <c r="T1300" s="40"/>
      <c r="U1300" s="41"/>
    </row>
    <row r="1301" spans="20:21">
      <c r="T1301" s="40"/>
      <c r="U1301" s="41"/>
    </row>
    <row r="1302" spans="20:21">
      <c r="T1302" s="40"/>
      <c r="U1302" s="41"/>
    </row>
    <row r="1303" spans="20:21">
      <c r="T1303" s="40"/>
      <c r="U1303" s="41"/>
    </row>
    <row r="1304" spans="20:21">
      <c r="T1304" s="40"/>
      <c r="U1304" s="41"/>
    </row>
    <row r="1305" spans="20:21">
      <c r="T1305" s="40"/>
      <c r="U1305" s="41"/>
    </row>
    <row r="1306" spans="20:21">
      <c r="T1306" s="40"/>
      <c r="U1306" s="41"/>
    </row>
    <row r="1307" spans="20:21">
      <c r="T1307" s="40"/>
      <c r="U1307" s="41"/>
    </row>
    <row r="1308" spans="20:21">
      <c r="T1308" s="40"/>
      <c r="U1308" s="41"/>
    </row>
    <row r="1309" spans="20:21">
      <c r="T1309" s="40"/>
      <c r="U1309" s="41"/>
    </row>
    <row r="1310" spans="20:21">
      <c r="T1310" s="40"/>
      <c r="U1310" s="41"/>
    </row>
    <row r="1311" spans="20:21">
      <c r="T1311" s="40"/>
      <c r="U1311" s="41"/>
    </row>
    <row r="1312" spans="20:21">
      <c r="T1312" s="40"/>
      <c r="U1312" s="41"/>
    </row>
    <row r="1313" spans="20:21">
      <c r="T1313" s="40"/>
      <c r="U1313" s="41"/>
    </row>
    <row r="1314" spans="20:21">
      <c r="T1314" s="40"/>
      <c r="U1314" s="41"/>
    </row>
    <row r="1315" spans="20:21">
      <c r="T1315" s="40"/>
      <c r="U1315" s="41"/>
    </row>
    <row r="1316" spans="20:21">
      <c r="T1316" s="40"/>
      <c r="U1316" s="41"/>
    </row>
    <row r="1317" spans="20:21">
      <c r="T1317" s="40"/>
      <c r="U1317" s="41"/>
    </row>
    <row r="1318" spans="20:21">
      <c r="T1318" s="40"/>
      <c r="U1318" s="41"/>
    </row>
    <row r="1319" spans="20:21">
      <c r="T1319" s="40"/>
      <c r="U1319" s="41"/>
    </row>
    <row r="1320" spans="20:21">
      <c r="T1320" s="40"/>
      <c r="U1320" s="41"/>
    </row>
    <row r="1321" spans="20:21">
      <c r="T1321" s="40"/>
      <c r="U1321" s="41"/>
    </row>
    <row r="1322" spans="20:21">
      <c r="T1322" s="40"/>
      <c r="U1322" s="41"/>
    </row>
    <row r="1323" spans="20:21">
      <c r="T1323" s="40"/>
      <c r="U1323" s="41"/>
    </row>
    <row r="1324" spans="20:21">
      <c r="T1324" s="40"/>
      <c r="U1324" s="41"/>
    </row>
    <row r="1325" spans="20:21">
      <c r="T1325" s="40"/>
      <c r="U1325" s="41"/>
    </row>
    <row r="1326" spans="20:21">
      <c r="T1326" s="40"/>
      <c r="U1326" s="41"/>
    </row>
    <row r="1327" spans="20:21">
      <c r="T1327" s="40"/>
      <c r="U1327" s="41"/>
    </row>
    <row r="1328" spans="20:21">
      <c r="T1328" s="40"/>
      <c r="U1328" s="41"/>
    </row>
    <row r="1329" spans="20:21">
      <c r="T1329" s="40"/>
      <c r="U1329" s="41"/>
    </row>
    <row r="1330" spans="20:21">
      <c r="T1330" s="40"/>
      <c r="U1330" s="41"/>
    </row>
    <row r="1331" spans="20:21">
      <c r="T1331" s="40"/>
      <c r="U1331" s="41"/>
    </row>
    <row r="1332" spans="20:21">
      <c r="T1332" s="40"/>
      <c r="U1332" s="41"/>
    </row>
    <row r="1333" spans="20:21">
      <c r="T1333" s="40"/>
      <c r="U1333" s="41"/>
    </row>
    <row r="1334" spans="20:21">
      <c r="T1334" s="40"/>
      <c r="U1334" s="41"/>
    </row>
    <row r="1335" spans="20:21">
      <c r="T1335" s="40"/>
      <c r="U1335" s="41"/>
    </row>
    <row r="1336" spans="20:21">
      <c r="T1336" s="40"/>
      <c r="U1336" s="41"/>
    </row>
    <row r="1337" spans="20:21">
      <c r="T1337" s="40"/>
      <c r="U1337" s="41"/>
    </row>
    <row r="1338" spans="20:21">
      <c r="T1338" s="40"/>
      <c r="U1338" s="41"/>
    </row>
    <row r="1339" spans="20:21">
      <c r="T1339" s="40"/>
      <c r="U1339" s="41"/>
    </row>
    <row r="1340" spans="20:21">
      <c r="T1340" s="40"/>
      <c r="U1340" s="41"/>
    </row>
    <row r="1341" spans="20:21">
      <c r="T1341" s="40"/>
      <c r="U1341" s="41"/>
    </row>
    <row r="1342" spans="20:21">
      <c r="T1342" s="40"/>
      <c r="U1342" s="41"/>
    </row>
    <row r="1343" spans="20:21">
      <c r="T1343" s="40"/>
      <c r="U1343" s="41"/>
    </row>
    <row r="1344" spans="20:21">
      <c r="T1344" s="40"/>
      <c r="U1344" s="41"/>
    </row>
    <row r="1345" spans="20:21">
      <c r="T1345" s="40"/>
      <c r="U1345" s="41"/>
    </row>
    <row r="1346" spans="20:21">
      <c r="T1346" s="40"/>
      <c r="U1346" s="41"/>
    </row>
    <row r="1347" spans="20:21">
      <c r="T1347" s="40"/>
      <c r="U1347" s="41"/>
    </row>
    <row r="1348" spans="20:21">
      <c r="T1348" s="40"/>
      <c r="U1348" s="41"/>
    </row>
    <row r="1349" spans="20:21">
      <c r="T1349" s="40"/>
      <c r="U1349" s="41"/>
    </row>
    <row r="1350" spans="20:21">
      <c r="T1350" s="40"/>
      <c r="U1350" s="41"/>
    </row>
    <row r="1351" spans="20:21">
      <c r="T1351" s="40"/>
      <c r="U1351" s="41"/>
    </row>
    <row r="1352" spans="20:21">
      <c r="T1352" s="40"/>
      <c r="U1352" s="41"/>
    </row>
    <row r="1353" spans="20:21">
      <c r="T1353" s="40"/>
      <c r="U1353" s="41"/>
    </row>
    <row r="1354" spans="20:21">
      <c r="T1354" s="40"/>
      <c r="U1354" s="41"/>
    </row>
    <row r="1355" spans="20:21">
      <c r="T1355" s="40"/>
      <c r="U1355" s="41"/>
    </row>
    <row r="1356" spans="20:21">
      <c r="T1356" s="40"/>
      <c r="U1356" s="41"/>
    </row>
    <row r="1357" spans="20:21">
      <c r="T1357" s="40"/>
      <c r="U1357" s="41"/>
    </row>
    <row r="1358" spans="20:21">
      <c r="T1358" s="40"/>
      <c r="U1358" s="41"/>
    </row>
    <row r="1359" spans="20:21">
      <c r="T1359" s="40"/>
      <c r="U1359" s="41"/>
    </row>
    <row r="1360" spans="20:21">
      <c r="T1360" s="40"/>
      <c r="U1360" s="41"/>
    </row>
    <row r="1361" spans="20:21">
      <c r="T1361" s="40"/>
      <c r="U1361" s="41"/>
    </row>
    <row r="1362" spans="20:21">
      <c r="T1362" s="40"/>
      <c r="U1362" s="41"/>
    </row>
    <row r="1363" spans="20:21">
      <c r="T1363" s="40"/>
      <c r="U1363" s="41"/>
    </row>
    <row r="1364" spans="20:21">
      <c r="T1364" s="40"/>
      <c r="U1364" s="41"/>
    </row>
    <row r="1365" spans="20:21">
      <c r="T1365" s="40"/>
      <c r="U1365" s="41"/>
    </row>
    <row r="1366" spans="20:21">
      <c r="T1366" s="40"/>
      <c r="U1366" s="41"/>
    </row>
    <row r="1367" spans="20:21">
      <c r="T1367" s="40"/>
      <c r="U1367" s="41"/>
    </row>
    <row r="1368" spans="20:21">
      <c r="T1368" s="40"/>
      <c r="U1368" s="41"/>
    </row>
    <row r="1369" spans="20:21">
      <c r="T1369" s="40"/>
      <c r="U1369" s="41"/>
    </row>
    <row r="1370" spans="20:21">
      <c r="T1370" s="40"/>
      <c r="U1370" s="41"/>
    </row>
    <row r="1371" spans="20:21">
      <c r="T1371" s="40"/>
      <c r="U1371" s="41"/>
    </row>
    <row r="1372" spans="20:21">
      <c r="T1372" s="40"/>
      <c r="U1372" s="41"/>
    </row>
    <row r="1373" spans="20:21">
      <c r="T1373" s="40"/>
      <c r="U1373" s="41"/>
    </row>
    <row r="1374" spans="20:21">
      <c r="T1374" s="40"/>
      <c r="U1374" s="41"/>
    </row>
    <row r="1375" spans="20:21">
      <c r="T1375" s="40"/>
      <c r="U1375" s="41"/>
    </row>
    <row r="1376" spans="20:21">
      <c r="T1376" s="40"/>
      <c r="U1376" s="41"/>
    </row>
    <row r="1377" spans="20:21">
      <c r="T1377" s="40"/>
      <c r="U1377" s="41"/>
    </row>
    <row r="1378" spans="20:21">
      <c r="T1378" s="40"/>
      <c r="U1378" s="41"/>
    </row>
    <row r="1379" spans="20:21">
      <c r="T1379" s="40"/>
      <c r="U1379" s="41"/>
    </row>
    <row r="1380" spans="20:21">
      <c r="T1380" s="40"/>
      <c r="U1380" s="41"/>
    </row>
    <row r="1381" spans="20:21">
      <c r="T1381" s="40"/>
      <c r="U1381" s="41"/>
    </row>
    <row r="1382" spans="20:21">
      <c r="T1382" s="40"/>
      <c r="U1382" s="41"/>
    </row>
    <row r="1383" spans="20:21">
      <c r="T1383" s="40"/>
      <c r="U1383" s="41"/>
    </row>
    <row r="1384" spans="20:21">
      <c r="T1384" s="40"/>
      <c r="U1384" s="41"/>
    </row>
    <row r="1385" spans="20:21">
      <c r="T1385" s="40"/>
      <c r="U1385" s="41"/>
    </row>
    <row r="1386" spans="20:21">
      <c r="T1386" s="40"/>
      <c r="U1386" s="41"/>
    </row>
    <row r="1387" spans="20:21">
      <c r="T1387" s="40"/>
      <c r="U1387" s="41"/>
    </row>
    <row r="1388" spans="20:21">
      <c r="T1388" s="40"/>
      <c r="U1388" s="41"/>
    </row>
    <row r="1389" spans="20:21">
      <c r="T1389" s="40"/>
      <c r="U1389" s="41"/>
    </row>
    <row r="1390" spans="20:21">
      <c r="T1390" s="40"/>
      <c r="U1390" s="41"/>
    </row>
    <row r="1391" spans="20:21">
      <c r="T1391" s="40"/>
      <c r="U1391" s="41"/>
    </row>
    <row r="1392" spans="20:21">
      <c r="T1392" s="40"/>
      <c r="U1392" s="41"/>
    </row>
    <row r="1393" spans="20:21">
      <c r="T1393" s="40"/>
      <c r="U1393" s="41"/>
    </row>
    <row r="1394" spans="20:21">
      <c r="T1394" s="40"/>
      <c r="U1394" s="41"/>
    </row>
    <row r="1395" spans="20:21">
      <c r="T1395" s="40"/>
      <c r="U1395" s="41"/>
    </row>
    <row r="1396" spans="20:21">
      <c r="T1396" s="40"/>
      <c r="U1396" s="41"/>
    </row>
    <row r="1397" spans="20:21">
      <c r="T1397" s="40"/>
      <c r="U1397" s="41"/>
    </row>
    <row r="1398" spans="20:21">
      <c r="T1398" s="40"/>
      <c r="U1398" s="41"/>
    </row>
    <row r="1399" spans="20:21">
      <c r="T1399" s="40"/>
      <c r="U1399" s="41"/>
    </row>
    <row r="1400" spans="20:21">
      <c r="T1400" s="40"/>
      <c r="U1400" s="41"/>
    </row>
    <row r="1401" spans="20:21">
      <c r="T1401" s="40"/>
      <c r="U1401" s="41"/>
    </row>
    <row r="1402" spans="20:21">
      <c r="T1402" s="40"/>
      <c r="U1402" s="41"/>
    </row>
    <row r="1403" spans="20:21">
      <c r="T1403" s="40"/>
      <c r="U1403" s="41"/>
    </row>
    <row r="1404" spans="20:21">
      <c r="T1404" s="40"/>
      <c r="U1404" s="41"/>
    </row>
    <row r="1405" spans="20:21">
      <c r="T1405" s="40"/>
      <c r="U1405" s="41"/>
    </row>
    <row r="1406" spans="20:21">
      <c r="T1406" s="40"/>
      <c r="U1406" s="41"/>
    </row>
    <row r="1407" spans="20:21">
      <c r="T1407" s="40"/>
      <c r="U1407" s="41"/>
    </row>
    <row r="1408" spans="20:21">
      <c r="T1408" s="40"/>
      <c r="U1408" s="41"/>
    </row>
    <row r="1409" spans="20:21">
      <c r="T1409" s="40"/>
      <c r="U1409" s="41"/>
    </row>
    <row r="1410" spans="20:21">
      <c r="T1410" s="40"/>
      <c r="U1410" s="41"/>
    </row>
    <row r="1411" spans="20:21">
      <c r="T1411" s="40"/>
      <c r="U1411" s="41"/>
    </row>
    <row r="1412" spans="20:21">
      <c r="T1412" s="40"/>
      <c r="U1412" s="41"/>
    </row>
    <row r="1413" spans="20:21">
      <c r="T1413" s="40"/>
      <c r="U1413" s="41"/>
    </row>
    <row r="1414" spans="20:21">
      <c r="T1414" s="40"/>
      <c r="U1414" s="41"/>
    </row>
    <row r="1415" spans="20:21">
      <c r="T1415" s="40"/>
      <c r="U1415" s="41"/>
    </row>
    <row r="1416" spans="20:21">
      <c r="T1416" s="40"/>
      <c r="U1416" s="41"/>
    </row>
    <row r="1417" spans="20:21">
      <c r="T1417" s="40"/>
      <c r="U1417" s="41"/>
    </row>
    <row r="1418" spans="20:21">
      <c r="T1418" s="40"/>
      <c r="U1418" s="41"/>
    </row>
    <row r="1419" spans="20:21">
      <c r="T1419" s="40"/>
      <c r="U1419" s="41"/>
    </row>
    <row r="1420" spans="20:21">
      <c r="T1420" s="40"/>
      <c r="U1420" s="41"/>
    </row>
    <row r="1421" spans="20:21">
      <c r="T1421" s="40"/>
      <c r="U1421" s="41"/>
    </row>
    <row r="1422" spans="20:21">
      <c r="T1422" s="40"/>
      <c r="U1422" s="41"/>
    </row>
    <row r="1423" spans="20:21">
      <c r="T1423" s="40"/>
      <c r="U1423" s="41"/>
    </row>
    <row r="1424" spans="20:21">
      <c r="T1424" s="40"/>
      <c r="U1424" s="41"/>
    </row>
    <row r="1425" spans="20:21">
      <c r="T1425" s="40"/>
      <c r="U1425" s="41"/>
    </row>
    <row r="1426" spans="20:21">
      <c r="T1426" s="40"/>
      <c r="U1426" s="41"/>
    </row>
    <row r="1427" spans="20:21">
      <c r="T1427" s="40"/>
      <c r="U1427" s="41"/>
    </row>
    <row r="1428" spans="20:21">
      <c r="T1428" s="40"/>
      <c r="U1428" s="41"/>
    </row>
    <row r="1429" spans="20:21">
      <c r="T1429" s="40"/>
      <c r="U1429" s="41"/>
    </row>
    <row r="1430" spans="20:21">
      <c r="T1430" s="40"/>
      <c r="U1430" s="41"/>
    </row>
    <row r="1431" spans="20:21">
      <c r="T1431" s="40"/>
      <c r="U1431" s="41"/>
    </row>
    <row r="1432" spans="20:21">
      <c r="T1432" s="40"/>
      <c r="U1432" s="41"/>
    </row>
    <row r="1433" spans="20:21">
      <c r="T1433" s="40"/>
      <c r="U1433" s="41"/>
    </row>
    <row r="1434" spans="20:21">
      <c r="T1434" s="40"/>
      <c r="U1434" s="41"/>
    </row>
    <row r="1435" spans="20:21">
      <c r="T1435" s="40"/>
      <c r="U1435" s="41"/>
    </row>
    <row r="1436" spans="20:21">
      <c r="T1436" s="40"/>
      <c r="U1436" s="41"/>
    </row>
    <row r="1437" spans="20:21">
      <c r="T1437" s="40"/>
      <c r="U1437" s="41"/>
    </row>
    <row r="1438" spans="20:21">
      <c r="T1438" s="40"/>
      <c r="U1438" s="41"/>
    </row>
    <row r="1439" spans="20:21">
      <c r="T1439" s="40"/>
      <c r="U1439" s="41"/>
    </row>
    <row r="1440" spans="20:21">
      <c r="T1440" s="40"/>
      <c r="U1440" s="41"/>
    </row>
    <row r="1441" spans="20:21">
      <c r="T1441" s="40"/>
      <c r="U1441" s="41"/>
    </row>
    <row r="1442" spans="20:21">
      <c r="T1442" s="40"/>
      <c r="U1442" s="41"/>
    </row>
    <row r="1443" spans="20:21">
      <c r="T1443" s="40"/>
      <c r="U1443" s="41"/>
    </row>
    <row r="1444" spans="20:21">
      <c r="T1444" s="40"/>
      <c r="U1444" s="41"/>
    </row>
    <row r="1445" spans="20:21">
      <c r="T1445" s="40"/>
      <c r="U1445" s="41"/>
    </row>
    <row r="1446" spans="20:21">
      <c r="T1446" s="40"/>
      <c r="U1446" s="41"/>
    </row>
    <row r="1447" spans="20:21">
      <c r="T1447" s="40"/>
      <c r="U1447" s="41"/>
    </row>
    <row r="1448" spans="20:21">
      <c r="T1448" s="40"/>
      <c r="U1448" s="41"/>
    </row>
    <row r="1449" spans="20:21">
      <c r="T1449" s="40"/>
      <c r="U1449" s="41"/>
    </row>
    <row r="1450" spans="20:21">
      <c r="T1450" s="40"/>
      <c r="U1450" s="41"/>
    </row>
    <row r="1451" spans="20:21">
      <c r="T1451" s="40"/>
      <c r="U1451" s="41"/>
    </row>
    <row r="1452" spans="20:21">
      <c r="T1452" s="40"/>
      <c r="U1452" s="41"/>
    </row>
    <row r="1453" spans="20:21">
      <c r="T1453" s="40"/>
      <c r="U1453" s="41"/>
    </row>
    <row r="1454" spans="20:21">
      <c r="T1454" s="40"/>
      <c r="U1454" s="41"/>
    </row>
    <row r="1455" spans="20:21">
      <c r="T1455" s="40"/>
      <c r="U1455" s="41"/>
    </row>
    <row r="1456" spans="20:21">
      <c r="T1456" s="40"/>
      <c r="U1456" s="41"/>
    </row>
    <row r="1457" spans="20:21">
      <c r="T1457" s="40"/>
      <c r="U1457" s="41"/>
    </row>
    <row r="1458" spans="20:21">
      <c r="T1458" s="40"/>
      <c r="U1458" s="41"/>
    </row>
    <row r="1459" spans="20:21">
      <c r="T1459" s="40"/>
      <c r="U1459" s="41"/>
    </row>
    <row r="1460" spans="20:21">
      <c r="T1460" s="40"/>
      <c r="U1460" s="41"/>
    </row>
    <row r="1461" spans="20:21">
      <c r="T1461" s="40"/>
      <c r="U1461" s="41"/>
    </row>
    <row r="1462" spans="20:21">
      <c r="T1462" s="40"/>
      <c r="U1462" s="41"/>
    </row>
    <row r="1463" spans="20:21">
      <c r="T1463" s="40"/>
      <c r="U1463" s="41"/>
    </row>
    <row r="1464" spans="20:21">
      <c r="T1464" s="40"/>
      <c r="U1464" s="41"/>
    </row>
    <row r="1465" spans="20:21">
      <c r="T1465" s="40"/>
      <c r="U1465" s="41"/>
    </row>
    <row r="1466" spans="20:21">
      <c r="T1466" s="40"/>
      <c r="U1466" s="41"/>
    </row>
    <row r="1467" spans="20:21">
      <c r="T1467" s="40"/>
      <c r="U1467" s="41"/>
    </row>
    <row r="1468" spans="20:21">
      <c r="T1468" s="40"/>
      <c r="U1468" s="41"/>
    </row>
    <row r="1469" spans="20:21">
      <c r="T1469" s="40"/>
      <c r="U1469" s="41"/>
    </row>
    <row r="1470" spans="20:21">
      <c r="T1470" s="40"/>
      <c r="U1470" s="41"/>
    </row>
    <row r="1471" spans="20:21">
      <c r="T1471" s="40"/>
      <c r="U1471" s="41"/>
    </row>
    <row r="1472" spans="20:21">
      <c r="T1472" s="40"/>
      <c r="U1472" s="41"/>
    </row>
    <row r="1473" spans="20:21">
      <c r="T1473" s="40"/>
      <c r="U1473" s="41"/>
    </row>
    <row r="1474" spans="20:21">
      <c r="T1474" s="40"/>
      <c r="U1474" s="41"/>
    </row>
    <row r="1475" spans="20:21">
      <c r="T1475" s="40"/>
      <c r="U1475" s="41"/>
    </row>
    <row r="1476" spans="20:21">
      <c r="T1476" s="40"/>
      <c r="U1476" s="41"/>
    </row>
    <row r="1477" spans="20:21">
      <c r="T1477" s="40"/>
      <c r="U1477" s="41"/>
    </row>
    <row r="1478" spans="20:21">
      <c r="T1478" s="40"/>
      <c r="U1478" s="41"/>
    </row>
    <row r="1479" spans="20:21">
      <c r="T1479" s="40"/>
      <c r="U1479" s="41"/>
    </row>
    <row r="1480" spans="20:21">
      <c r="T1480" s="40"/>
      <c r="U1480" s="41"/>
    </row>
    <row r="1481" spans="20:21">
      <c r="T1481" s="40"/>
      <c r="U1481" s="41"/>
    </row>
    <row r="1482" spans="20:21">
      <c r="T1482" s="40"/>
      <c r="U1482" s="41"/>
    </row>
    <row r="1483" spans="20:21">
      <c r="T1483" s="40"/>
      <c r="U1483" s="41"/>
    </row>
    <row r="1484" spans="20:21">
      <c r="T1484" s="40"/>
      <c r="U1484" s="41"/>
    </row>
    <row r="1485" spans="20:21">
      <c r="T1485" s="40"/>
      <c r="U1485" s="41"/>
    </row>
    <row r="1486" spans="20:21">
      <c r="T1486" s="40"/>
      <c r="U1486" s="41"/>
    </row>
    <row r="1487" spans="20:21">
      <c r="T1487" s="40"/>
      <c r="U1487" s="41"/>
    </row>
    <row r="1488" spans="20:21">
      <c r="T1488" s="40"/>
      <c r="U1488" s="41"/>
    </row>
    <row r="1489" spans="20:21">
      <c r="T1489" s="40"/>
      <c r="U1489" s="41"/>
    </row>
    <row r="1490" spans="20:21">
      <c r="T1490" s="40"/>
      <c r="U1490" s="41"/>
    </row>
    <row r="1491" spans="20:21">
      <c r="T1491" s="40"/>
      <c r="U1491" s="41"/>
    </row>
    <row r="1492" spans="20:21">
      <c r="T1492" s="40"/>
      <c r="U1492" s="41"/>
    </row>
    <row r="1493" spans="20:21">
      <c r="T1493" s="40"/>
      <c r="U1493" s="41"/>
    </row>
    <row r="1494" spans="20:21">
      <c r="T1494" s="40"/>
      <c r="U1494" s="41"/>
    </row>
    <row r="1495" spans="20:21">
      <c r="T1495" s="40"/>
      <c r="U1495" s="41"/>
    </row>
    <row r="1496" spans="20:21">
      <c r="T1496" s="40"/>
      <c r="U1496" s="41"/>
    </row>
    <row r="1497" spans="20:21">
      <c r="T1497" s="40"/>
      <c r="U1497" s="41"/>
    </row>
    <row r="1498" spans="20:21">
      <c r="T1498" s="40"/>
      <c r="U1498" s="41"/>
    </row>
    <row r="1499" spans="20:21">
      <c r="T1499" s="40"/>
      <c r="U1499" s="41"/>
    </row>
    <row r="1500" spans="20:21">
      <c r="T1500" s="40"/>
      <c r="U1500" s="41"/>
    </row>
    <row r="1501" spans="20:21">
      <c r="T1501" s="40"/>
      <c r="U1501" s="41"/>
    </row>
    <row r="1502" spans="20:21">
      <c r="T1502" s="40"/>
      <c r="U1502" s="41"/>
    </row>
    <row r="1503" spans="20:21">
      <c r="T1503" s="40"/>
      <c r="U1503" s="41"/>
    </row>
    <row r="1504" spans="20:21">
      <c r="T1504" s="40"/>
      <c r="U1504" s="41"/>
    </row>
    <row r="1505" spans="20:21">
      <c r="T1505" s="40"/>
      <c r="U1505" s="41"/>
    </row>
    <row r="1506" spans="20:21">
      <c r="T1506" s="40"/>
      <c r="U1506" s="41"/>
    </row>
    <row r="1507" spans="20:21">
      <c r="T1507" s="40"/>
      <c r="U1507" s="41"/>
    </row>
    <row r="1508" spans="20:21">
      <c r="T1508" s="40"/>
      <c r="U1508" s="41"/>
    </row>
    <row r="1509" spans="20:21">
      <c r="T1509" s="40"/>
      <c r="U1509" s="41"/>
    </row>
    <row r="1510" spans="20:21">
      <c r="T1510" s="40"/>
      <c r="U1510" s="41"/>
    </row>
    <row r="1511" spans="20:21">
      <c r="T1511" s="40"/>
      <c r="U1511" s="41"/>
    </row>
    <row r="1512" spans="20:21">
      <c r="T1512" s="40"/>
      <c r="U1512" s="41"/>
    </row>
    <row r="1513" spans="20:21">
      <c r="T1513" s="40"/>
      <c r="U1513" s="41"/>
    </row>
    <row r="1514" spans="20:21">
      <c r="T1514" s="40"/>
      <c r="U1514" s="41"/>
    </row>
    <row r="1515" spans="20:21">
      <c r="T1515" s="40"/>
      <c r="U1515" s="41"/>
    </row>
    <row r="1516" spans="20:21">
      <c r="T1516" s="40"/>
      <c r="U1516" s="41"/>
    </row>
    <row r="1517" spans="20:21">
      <c r="T1517" s="40"/>
      <c r="U1517" s="41"/>
    </row>
    <row r="1518" spans="20:21">
      <c r="T1518" s="40"/>
      <c r="U1518" s="41"/>
    </row>
    <row r="1519" spans="20:21">
      <c r="T1519" s="40"/>
      <c r="U1519" s="41"/>
    </row>
    <row r="1520" spans="20:21">
      <c r="T1520" s="40"/>
      <c r="U1520" s="41"/>
    </row>
    <row r="1521" spans="20:21">
      <c r="T1521" s="40"/>
      <c r="U1521" s="41"/>
    </row>
    <row r="1522" spans="20:21">
      <c r="T1522" s="40"/>
      <c r="U1522" s="41"/>
    </row>
    <row r="1523" spans="20:21">
      <c r="T1523" s="40"/>
      <c r="U1523" s="41"/>
    </row>
    <row r="1524" spans="20:21">
      <c r="T1524" s="40"/>
      <c r="U1524" s="41"/>
    </row>
    <row r="1525" spans="20:21">
      <c r="T1525" s="40"/>
      <c r="U1525" s="41"/>
    </row>
    <row r="1526" spans="20:21">
      <c r="T1526" s="40"/>
      <c r="U1526" s="41"/>
    </row>
    <row r="1527" spans="20:21">
      <c r="T1527" s="40"/>
      <c r="U1527" s="41"/>
    </row>
    <row r="1528" spans="20:21">
      <c r="T1528" s="40"/>
      <c r="U1528" s="41"/>
    </row>
    <row r="1529" spans="20:21">
      <c r="T1529" s="40"/>
      <c r="U1529" s="41"/>
    </row>
    <row r="1530" spans="20:21">
      <c r="T1530" s="40"/>
      <c r="U1530" s="41"/>
    </row>
    <row r="1531" spans="20:21">
      <c r="T1531" s="40"/>
      <c r="U1531" s="41"/>
    </row>
    <row r="1532" spans="20:21">
      <c r="T1532" s="40"/>
      <c r="U1532" s="41"/>
    </row>
    <row r="1533" spans="20:21">
      <c r="T1533" s="40"/>
      <c r="U1533" s="41"/>
    </row>
    <row r="1534" spans="20:21">
      <c r="T1534" s="40"/>
      <c r="U1534" s="41"/>
    </row>
    <row r="1535" spans="20:21">
      <c r="T1535" s="40"/>
      <c r="U1535" s="41"/>
    </row>
    <row r="1536" spans="20:21">
      <c r="T1536" s="40"/>
      <c r="U1536" s="41"/>
    </row>
    <row r="1537" spans="20:21">
      <c r="T1537" s="40"/>
      <c r="U1537" s="41"/>
    </row>
    <row r="1538" spans="20:21">
      <c r="T1538" s="40"/>
      <c r="U1538" s="41"/>
    </row>
    <row r="1539" spans="20:21">
      <c r="T1539" s="40"/>
      <c r="U1539" s="41"/>
    </row>
    <row r="1540" spans="20:21">
      <c r="T1540" s="40"/>
      <c r="U1540" s="41"/>
    </row>
    <row r="1541" spans="20:21">
      <c r="T1541" s="40"/>
      <c r="U1541" s="41"/>
    </row>
    <row r="1542" spans="20:21">
      <c r="T1542" s="40"/>
      <c r="U1542" s="41"/>
    </row>
    <row r="1543" spans="20:21">
      <c r="T1543" s="40"/>
      <c r="U1543" s="41"/>
    </row>
    <row r="1544" spans="20:21">
      <c r="T1544" s="40"/>
      <c r="U1544" s="41"/>
    </row>
    <row r="1545" spans="20:21">
      <c r="T1545" s="40"/>
      <c r="U1545" s="41"/>
    </row>
    <row r="1546" spans="20:21">
      <c r="T1546" s="40"/>
      <c r="U1546" s="41"/>
    </row>
    <row r="1547" spans="20:21">
      <c r="T1547" s="40"/>
      <c r="U1547" s="41"/>
    </row>
    <row r="1548" spans="20:21">
      <c r="T1548" s="40"/>
      <c r="U1548" s="41"/>
    </row>
    <row r="1549" spans="20:21">
      <c r="T1549" s="40"/>
      <c r="U1549" s="41"/>
    </row>
    <row r="1550" spans="20:21">
      <c r="T1550" s="40"/>
      <c r="U1550" s="41"/>
    </row>
    <row r="1551" spans="20:21">
      <c r="T1551" s="40"/>
      <c r="U1551" s="41"/>
    </row>
    <row r="1552" spans="20:21">
      <c r="T1552" s="40"/>
      <c r="U1552" s="41"/>
    </row>
    <row r="1553" spans="20:21">
      <c r="T1553" s="40"/>
      <c r="U1553" s="41"/>
    </row>
    <row r="1554" spans="20:21">
      <c r="T1554" s="40"/>
      <c r="U1554" s="41"/>
    </row>
    <row r="1555" spans="20:21">
      <c r="T1555" s="40"/>
      <c r="U1555" s="41"/>
    </row>
    <row r="1556" spans="20:21">
      <c r="T1556" s="40"/>
      <c r="U1556" s="41"/>
    </row>
    <row r="1557" spans="20:21">
      <c r="T1557" s="40"/>
      <c r="U1557" s="41"/>
    </row>
    <row r="1558" spans="20:21">
      <c r="T1558" s="40"/>
      <c r="U1558" s="41"/>
    </row>
    <row r="1559" spans="20:21">
      <c r="T1559" s="40"/>
      <c r="U1559" s="41"/>
    </row>
    <row r="1560" spans="20:21">
      <c r="T1560" s="40"/>
      <c r="U1560" s="41"/>
    </row>
    <row r="1561" spans="20:21">
      <c r="T1561" s="40"/>
      <c r="U1561" s="41"/>
    </row>
    <row r="1562" spans="20:21">
      <c r="T1562" s="40"/>
      <c r="U1562" s="41"/>
    </row>
    <row r="1563" spans="20:21">
      <c r="T1563" s="40"/>
      <c r="U1563" s="41"/>
    </row>
    <row r="1564" spans="20:21">
      <c r="T1564" s="40"/>
      <c r="U1564" s="41"/>
    </row>
    <row r="1565" spans="20:21">
      <c r="T1565" s="40"/>
      <c r="U1565" s="41"/>
    </row>
    <row r="1566" spans="20:21">
      <c r="T1566" s="40"/>
      <c r="U1566" s="41"/>
    </row>
    <row r="1567" spans="20:21">
      <c r="T1567" s="40"/>
      <c r="U1567" s="41"/>
    </row>
    <row r="1568" spans="20:21">
      <c r="T1568" s="40"/>
      <c r="U1568" s="41"/>
    </row>
    <row r="1569" spans="20:21">
      <c r="T1569" s="40"/>
      <c r="U1569" s="41"/>
    </row>
    <row r="1570" spans="20:21">
      <c r="T1570" s="40"/>
      <c r="U1570" s="41"/>
    </row>
    <row r="1571" spans="20:21">
      <c r="T1571" s="40"/>
      <c r="U1571" s="41"/>
    </row>
    <row r="1572" spans="20:21">
      <c r="T1572" s="40"/>
      <c r="U1572" s="41"/>
    </row>
    <row r="1573" spans="20:21">
      <c r="T1573" s="40"/>
      <c r="U1573" s="41"/>
    </row>
    <row r="1574" spans="20:21">
      <c r="T1574" s="40"/>
      <c r="U1574" s="41"/>
    </row>
    <row r="1575" spans="20:21">
      <c r="T1575" s="40"/>
      <c r="U1575" s="41"/>
    </row>
    <row r="1576" spans="20:21">
      <c r="T1576" s="40"/>
      <c r="U1576" s="41"/>
    </row>
    <row r="1577" spans="20:21">
      <c r="T1577" s="40"/>
      <c r="U1577" s="41"/>
    </row>
    <row r="1578" spans="20:21">
      <c r="T1578" s="40"/>
      <c r="U1578" s="41"/>
    </row>
    <row r="1579" spans="20:21">
      <c r="T1579" s="40"/>
      <c r="U1579" s="41"/>
    </row>
    <row r="1580" spans="20:21">
      <c r="T1580" s="40"/>
      <c r="U1580" s="41"/>
    </row>
    <row r="1581" spans="20:21">
      <c r="T1581" s="40"/>
      <c r="U1581" s="41"/>
    </row>
  </sheetData>
  <mergeCells count="34">
    <mergeCell ref="S8:S10"/>
    <mergeCell ref="R7:R9"/>
    <mergeCell ref="H5:M5"/>
    <mergeCell ref="H4:M4"/>
    <mergeCell ref="H3:M3"/>
    <mergeCell ref="Q7:Q9"/>
    <mergeCell ref="H7:H9"/>
    <mergeCell ref="P7:P8"/>
    <mergeCell ref="M7:M9"/>
    <mergeCell ref="N7:N9"/>
    <mergeCell ref="L7:L9"/>
    <mergeCell ref="K7:K9"/>
    <mergeCell ref="P6:Q6"/>
    <mergeCell ref="H2:M2"/>
    <mergeCell ref="A1:A6"/>
    <mergeCell ref="I7:I9"/>
    <mergeCell ref="J7:J9"/>
    <mergeCell ref="O7:O9"/>
    <mergeCell ref="G7:G9"/>
    <mergeCell ref="A7:A9"/>
    <mergeCell ref="B7:B9"/>
    <mergeCell ref="E7:E9"/>
    <mergeCell ref="C1:C6"/>
    <mergeCell ref="B1:B6"/>
    <mergeCell ref="D7:D9"/>
    <mergeCell ref="D1:F6"/>
    <mergeCell ref="F7:F9"/>
    <mergeCell ref="H1:M1"/>
    <mergeCell ref="H6:M6"/>
    <mergeCell ref="P1:Q1"/>
    <mergeCell ref="P2:Q2"/>
    <mergeCell ref="P3:Q3"/>
    <mergeCell ref="P4:Q4"/>
    <mergeCell ref="P5:Q5"/>
  </mergeCells>
  <pageMargins left="0" right="0" top="0.23622047244094491" bottom="0.23622047244094491" header="0" footer="0"/>
  <pageSetup paperSize="9" scale="13" fitToWidth="0" fitToHeight="0" orientation="landscape" r:id="rId1"/>
  <headerFooter alignWithMargins="0">
    <oddFooter>&amp;C&amp;26Page &amp;30&amp;P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27"/>
  <sheetViews>
    <sheetView workbookViewId="0">
      <selection activeCell="E9" sqref="E9"/>
    </sheetView>
  </sheetViews>
  <sheetFormatPr defaultRowHeight="15"/>
  <cols>
    <col min="1" max="9" width="11" customWidth="1"/>
    <col min="10" max="48" width="12" customWidth="1"/>
  </cols>
  <sheetData>
    <row r="1" spans="1:30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54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t="s">
        <v>46</v>
      </c>
      <c r="X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t="s">
        <v>53</v>
      </c>
    </row>
    <row r="2" spans="1:30">
      <c r="A2">
        <v>110894</v>
      </c>
      <c r="B2">
        <v>144355</v>
      </c>
      <c r="C2" s="1" t="s">
        <v>196</v>
      </c>
      <c r="D2" s="1" t="s">
        <v>197</v>
      </c>
      <c r="E2" s="1" t="s">
        <v>221</v>
      </c>
      <c r="F2" s="1" t="s">
        <v>238</v>
      </c>
      <c r="G2" s="1" t="s">
        <v>194</v>
      </c>
      <c r="H2" s="1" t="s">
        <v>192</v>
      </c>
      <c r="I2" s="1" t="s">
        <v>193</v>
      </c>
      <c r="J2" s="1" t="s">
        <v>246</v>
      </c>
      <c r="K2" s="1" t="s">
        <v>247</v>
      </c>
      <c r="L2" s="1" t="s">
        <v>248</v>
      </c>
      <c r="M2" s="2">
        <v>41281</v>
      </c>
      <c r="N2" s="1" t="s">
        <v>249</v>
      </c>
      <c r="O2" s="2">
        <v>41305</v>
      </c>
      <c r="P2" s="1" t="s">
        <v>195</v>
      </c>
      <c r="Q2" s="1" t="s">
        <v>85</v>
      </c>
      <c r="R2" s="1" t="s">
        <v>109</v>
      </c>
      <c r="S2" s="1" t="s">
        <v>61</v>
      </c>
      <c r="T2" s="1" t="s">
        <v>250</v>
      </c>
      <c r="U2" s="1" t="s">
        <v>270</v>
      </c>
      <c r="V2">
        <v>499.95</v>
      </c>
      <c r="W2" s="1"/>
      <c r="X2" s="1" t="s">
        <v>133</v>
      </c>
      <c r="Y2" s="1" t="s">
        <v>152</v>
      </c>
      <c r="Z2" s="1" t="s">
        <v>172</v>
      </c>
      <c r="AD2" s="1" t="s">
        <v>281</v>
      </c>
    </row>
    <row r="3" spans="1:30">
      <c r="A3">
        <v>110894</v>
      </c>
      <c r="B3">
        <v>144356</v>
      </c>
      <c r="C3" s="1" t="s">
        <v>196</v>
      </c>
      <c r="D3" s="1" t="s">
        <v>198</v>
      </c>
      <c r="E3" s="1" t="s">
        <v>222</v>
      </c>
      <c r="F3" s="1" t="s">
        <v>239</v>
      </c>
      <c r="G3" s="1" t="s">
        <v>194</v>
      </c>
      <c r="H3" s="1" t="s">
        <v>192</v>
      </c>
      <c r="I3" s="1" t="s">
        <v>193</v>
      </c>
      <c r="J3" s="1" t="s">
        <v>246</v>
      </c>
      <c r="K3" s="1" t="s">
        <v>247</v>
      </c>
      <c r="L3" s="1" t="s">
        <v>248</v>
      </c>
      <c r="M3" s="2">
        <v>41281</v>
      </c>
      <c r="N3" s="1" t="s">
        <v>249</v>
      </c>
      <c r="O3" s="2">
        <v>41305</v>
      </c>
      <c r="P3" s="1" t="s">
        <v>195</v>
      </c>
      <c r="Q3" s="1" t="s">
        <v>86</v>
      </c>
      <c r="R3" s="1" t="s">
        <v>110</v>
      </c>
      <c r="S3" s="1" t="s">
        <v>62</v>
      </c>
      <c r="T3" s="1" t="s">
        <v>251</v>
      </c>
      <c r="U3" s="1" t="s">
        <v>271</v>
      </c>
      <c r="V3">
        <v>439.95</v>
      </c>
      <c r="W3" s="1"/>
      <c r="X3" s="1" t="s">
        <v>134</v>
      </c>
      <c r="Y3" s="1" t="s">
        <v>153</v>
      </c>
      <c r="Z3" s="1" t="s">
        <v>173</v>
      </c>
      <c r="AC3">
        <v>33</v>
      </c>
      <c r="AD3" s="1" t="s">
        <v>281</v>
      </c>
    </row>
    <row r="4" spans="1:30">
      <c r="A4">
        <v>110894</v>
      </c>
      <c r="B4">
        <v>144357</v>
      </c>
      <c r="C4" s="1" t="s">
        <v>196</v>
      </c>
      <c r="D4" s="1" t="s">
        <v>199</v>
      </c>
      <c r="E4" s="1" t="s">
        <v>223</v>
      </c>
      <c r="F4" s="1" t="s">
        <v>240</v>
      </c>
      <c r="G4" s="1" t="s">
        <v>194</v>
      </c>
      <c r="H4" s="1" t="s">
        <v>192</v>
      </c>
      <c r="I4" s="1" t="s">
        <v>193</v>
      </c>
      <c r="J4" s="1" t="s">
        <v>246</v>
      </c>
      <c r="K4" s="1" t="s">
        <v>247</v>
      </c>
      <c r="L4" s="1" t="s">
        <v>248</v>
      </c>
      <c r="M4" s="2">
        <v>41281</v>
      </c>
      <c r="N4" s="1" t="s">
        <v>249</v>
      </c>
      <c r="O4" s="2">
        <v>41305</v>
      </c>
      <c r="P4" s="1" t="s">
        <v>195</v>
      </c>
      <c r="Q4" s="1" t="s">
        <v>87</v>
      </c>
      <c r="R4" s="1" t="s">
        <v>111</v>
      </c>
      <c r="S4" s="1" t="s">
        <v>63</v>
      </c>
      <c r="T4" s="1" t="s">
        <v>252</v>
      </c>
      <c r="U4" s="1" t="s">
        <v>272</v>
      </c>
      <c r="V4">
        <v>459.95</v>
      </c>
      <c r="W4" s="1"/>
      <c r="X4" s="1" t="s">
        <v>135</v>
      </c>
      <c r="Y4" s="1" t="s">
        <v>154</v>
      </c>
      <c r="Z4" s="1" t="s">
        <v>174</v>
      </c>
      <c r="AC4">
        <v>40</v>
      </c>
      <c r="AD4" s="1" t="s">
        <v>281</v>
      </c>
    </row>
    <row r="5" spans="1:30">
      <c r="A5">
        <v>110894</v>
      </c>
      <c r="B5">
        <v>144358</v>
      </c>
      <c r="C5" s="1" t="s">
        <v>196</v>
      </c>
      <c r="D5" s="1" t="s">
        <v>200</v>
      </c>
      <c r="E5" s="1" t="s">
        <v>224</v>
      </c>
      <c r="F5" s="1" t="s">
        <v>241</v>
      </c>
      <c r="G5" s="1" t="s">
        <v>194</v>
      </c>
      <c r="H5" s="1" t="s">
        <v>192</v>
      </c>
      <c r="I5" s="1" t="s">
        <v>193</v>
      </c>
      <c r="J5" s="1" t="s">
        <v>246</v>
      </c>
      <c r="K5" s="1" t="s">
        <v>247</v>
      </c>
      <c r="L5" s="1" t="s">
        <v>248</v>
      </c>
      <c r="M5" s="2">
        <v>41281</v>
      </c>
      <c r="N5" s="1" t="s">
        <v>249</v>
      </c>
      <c r="O5" s="2">
        <v>41305</v>
      </c>
      <c r="P5" s="1" t="s">
        <v>195</v>
      </c>
      <c r="Q5" s="1" t="s">
        <v>88</v>
      </c>
      <c r="R5" s="1" t="s">
        <v>112</v>
      </c>
      <c r="S5" s="1" t="s">
        <v>64</v>
      </c>
      <c r="T5" s="1" t="s">
        <v>253</v>
      </c>
      <c r="U5" s="1" t="s">
        <v>273</v>
      </c>
      <c r="V5">
        <v>659.95</v>
      </c>
      <c r="W5" s="1"/>
      <c r="X5" s="1" t="s">
        <v>136</v>
      </c>
      <c r="Y5" s="1" t="s">
        <v>155</v>
      </c>
      <c r="Z5" s="1" t="s">
        <v>175</v>
      </c>
      <c r="AA5">
        <v>8</v>
      </c>
      <c r="AB5">
        <v>16</v>
      </c>
      <c r="AC5">
        <v>20</v>
      </c>
      <c r="AD5" s="1" t="s">
        <v>281</v>
      </c>
    </row>
    <row r="6" spans="1:30">
      <c r="A6">
        <v>110894</v>
      </c>
      <c r="B6">
        <v>144359</v>
      </c>
      <c r="C6" s="1" t="s">
        <v>196</v>
      </c>
      <c r="D6" s="1" t="s">
        <v>201</v>
      </c>
      <c r="E6" s="1"/>
      <c r="F6" s="1" t="s">
        <v>242</v>
      </c>
      <c r="G6" s="1" t="s">
        <v>194</v>
      </c>
      <c r="H6" s="1" t="s">
        <v>192</v>
      </c>
      <c r="I6" s="1" t="s">
        <v>193</v>
      </c>
      <c r="J6" s="1" t="s">
        <v>246</v>
      </c>
      <c r="K6" s="1" t="s">
        <v>247</v>
      </c>
      <c r="L6" s="1" t="s">
        <v>248</v>
      </c>
      <c r="M6" s="2">
        <v>41281</v>
      </c>
      <c r="N6" s="1" t="s">
        <v>249</v>
      </c>
      <c r="O6" s="2">
        <v>41305</v>
      </c>
      <c r="P6" s="1" t="s">
        <v>195</v>
      </c>
      <c r="Q6" s="1" t="s">
        <v>89</v>
      </c>
      <c r="R6" s="1" t="s">
        <v>113</v>
      </c>
      <c r="S6" s="1" t="s">
        <v>65</v>
      </c>
      <c r="T6" s="1" t="s">
        <v>254</v>
      </c>
      <c r="U6" s="1" t="s">
        <v>274</v>
      </c>
      <c r="V6">
        <v>699.95</v>
      </c>
      <c r="W6" s="1"/>
      <c r="X6" s="1" t="s">
        <v>137</v>
      </c>
      <c r="Y6" s="1" t="s">
        <v>156</v>
      </c>
      <c r="Z6" s="1" t="s">
        <v>176</v>
      </c>
      <c r="AC6">
        <v>24</v>
      </c>
      <c r="AD6" s="1" t="s">
        <v>281</v>
      </c>
    </row>
    <row r="7" spans="1:30">
      <c r="A7">
        <v>110894</v>
      </c>
      <c r="B7">
        <v>144360</v>
      </c>
      <c r="C7" s="1" t="s">
        <v>196</v>
      </c>
      <c r="D7" s="1" t="s">
        <v>202</v>
      </c>
      <c r="E7" s="1" t="s">
        <v>225</v>
      </c>
      <c r="F7" s="1" t="s">
        <v>241</v>
      </c>
      <c r="G7" s="1" t="s">
        <v>194</v>
      </c>
      <c r="H7" s="1" t="s">
        <v>192</v>
      </c>
      <c r="I7" s="1" t="s">
        <v>193</v>
      </c>
      <c r="J7" s="1" t="s">
        <v>246</v>
      </c>
      <c r="K7" s="1" t="s">
        <v>247</v>
      </c>
      <c r="L7" s="1" t="s">
        <v>248</v>
      </c>
      <c r="M7" s="2">
        <v>41281</v>
      </c>
      <c r="N7" s="1" t="s">
        <v>249</v>
      </c>
      <c r="O7" s="2">
        <v>41305</v>
      </c>
      <c r="P7" s="1" t="s">
        <v>195</v>
      </c>
      <c r="Q7" s="1" t="s">
        <v>90</v>
      </c>
      <c r="R7" s="1" t="s">
        <v>114</v>
      </c>
      <c r="S7" s="1" t="s">
        <v>66</v>
      </c>
      <c r="T7" s="1" t="s">
        <v>255</v>
      </c>
      <c r="U7" s="1" t="s">
        <v>275</v>
      </c>
      <c r="V7">
        <v>479.95</v>
      </c>
      <c r="W7" s="1"/>
      <c r="X7" s="1" t="s">
        <v>138</v>
      </c>
      <c r="Y7" s="1" t="s">
        <v>157</v>
      </c>
      <c r="Z7" s="1" t="s">
        <v>177</v>
      </c>
      <c r="AC7">
        <v>33</v>
      </c>
      <c r="AD7" s="1" t="s">
        <v>281</v>
      </c>
    </row>
    <row r="8" spans="1:30">
      <c r="A8">
        <v>110894</v>
      </c>
      <c r="B8">
        <v>144361</v>
      </c>
      <c r="C8" s="1" t="s">
        <v>196</v>
      </c>
      <c r="D8" s="1" t="s">
        <v>203</v>
      </c>
      <c r="E8" s="1"/>
      <c r="F8" s="1" t="s">
        <v>238</v>
      </c>
      <c r="G8" s="1" t="s">
        <v>194</v>
      </c>
      <c r="H8" s="1" t="s">
        <v>192</v>
      </c>
      <c r="I8" s="1" t="s">
        <v>193</v>
      </c>
      <c r="J8" s="1" t="s">
        <v>246</v>
      </c>
      <c r="K8" s="1" t="s">
        <v>247</v>
      </c>
      <c r="L8" s="1" t="s">
        <v>248</v>
      </c>
      <c r="M8" s="2">
        <v>41281</v>
      </c>
      <c r="N8" s="1" t="s">
        <v>249</v>
      </c>
      <c r="O8" s="2">
        <v>41305</v>
      </c>
      <c r="P8" s="1" t="s">
        <v>195</v>
      </c>
      <c r="Q8" s="1" t="s">
        <v>91</v>
      </c>
      <c r="R8" s="1" t="s">
        <v>115</v>
      </c>
      <c r="S8" s="1" t="s">
        <v>67</v>
      </c>
      <c r="T8" s="1" t="s">
        <v>254</v>
      </c>
      <c r="U8" s="1" t="s">
        <v>276</v>
      </c>
      <c r="V8">
        <v>129.94999999999999</v>
      </c>
      <c r="W8" s="1"/>
      <c r="X8" s="1" t="s">
        <v>139</v>
      </c>
      <c r="Y8" s="1" t="s">
        <v>158</v>
      </c>
      <c r="Z8" s="1" t="s">
        <v>178</v>
      </c>
      <c r="AA8">
        <v>63</v>
      </c>
      <c r="AB8">
        <v>131</v>
      </c>
      <c r="AC8">
        <v>156</v>
      </c>
      <c r="AD8" s="1" t="s">
        <v>281</v>
      </c>
    </row>
    <row r="9" spans="1:30">
      <c r="A9">
        <v>110894</v>
      </c>
      <c r="B9">
        <v>144362</v>
      </c>
      <c r="C9" s="1" t="s">
        <v>196</v>
      </c>
      <c r="D9" s="1" t="s">
        <v>204</v>
      </c>
      <c r="E9" s="1" t="s">
        <v>222</v>
      </c>
      <c r="F9" s="1"/>
      <c r="G9" s="1" t="s">
        <v>194</v>
      </c>
      <c r="H9" s="1" t="s">
        <v>192</v>
      </c>
      <c r="I9" s="1" t="s">
        <v>193</v>
      </c>
      <c r="J9" s="1" t="s">
        <v>246</v>
      </c>
      <c r="K9" s="1" t="s">
        <v>247</v>
      </c>
      <c r="L9" s="1" t="s">
        <v>248</v>
      </c>
      <c r="M9" s="2">
        <v>41281</v>
      </c>
      <c r="N9" s="1" t="s">
        <v>249</v>
      </c>
      <c r="O9" s="2">
        <v>41305</v>
      </c>
      <c r="P9" s="1" t="s">
        <v>195</v>
      </c>
      <c r="Q9" s="1" t="s">
        <v>92</v>
      </c>
      <c r="R9" s="1" t="s">
        <v>116</v>
      </c>
      <c r="S9" s="1" t="s">
        <v>68</v>
      </c>
      <c r="T9" s="1" t="s">
        <v>256</v>
      </c>
      <c r="U9" s="1" t="s">
        <v>254</v>
      </c>
      <c r="V9">
        <v>74.95</v>
      </c>
      <c r="W9" s="1"/>
      <c r="X9" s="1" t="s">
        <v>140</v>
      </c>
      <c r="Y9" s="1" t="s">
        <v>159</v>
      </c>
      <c r="Z9" s="1" t="s">
        <v>179</v>
      </c>
      <c r="AB9">
        <v>256</v>
      </c>
      <c r="AC9">
        <v>256</v>
      </c>
      <c r="AD9" s="1" t="s">
        <v>281</v>
      </c>
    </row>
    <row r="10" spans="1:30">
      <c r="A10">
        <v>110894</v>
      </c>
      <c r="B10">
        <v>144363</v>
      </c>
      <c r="C10" s="1" t="s">
        <v>196</v>
      </c>
      <c r="D10" s="1" t="s">
        <v>205</v>
      </c>
      <c r="E10" s="1" t="s">
        <v>226</v>
      </c>
      <c r="F10" s="1" t="s">
        <v>241</v>
      </c>
      <c r="G10" s="1" t="s">
        <v>194</v>
      </c>
      <c r="H10" s="1" t="s">
        <v>192</v>
      </c>
      <c r="I10" s="1" t="s">
        <v>193</v>
      </c>
      <c r="J10" s="1" t="s">
        <v>246</v>
      </c>
      <c r="K10" s="1" t="s">
        <v>247</v>
      </c>
      <c r="L10" s="1" t="s">
        <v>248</v>
      </c>
      <c r="M10" s="2">
        <v>41281</v>
      </c>
      <c r="N10" s="1" t="s">
        <v>249</v>
      </c>
      <c r="O10" s="2">
        <v>41305</v>
      </c>
      <c r="P10" s="1" t="s">
        <v>195</v>
      </c>
      <c r="Q10" s="1" t="s">
        <v>93</v>
      </c>
      <c r="R10" s="1" t="s">
        <v>117</v>
      </c>
      <c r="S10" s="1" t="s">
        <v>69</v>
      </c>
      <c r="T10" s="1" t="s">
        <v>257</v>
      </c>
      <c r="U10" s="1" t="s">
        <v>277</v>
      </c>
      <c r="V10">
        <v>49.95</v>
      </c>
      <c r="W10" s="1"/>
      <c r="X10" s="1" t="s">
        <v>141</v>
      </c>
      <c r="Y10" s="1" t="s">
        <v>160</v>
      </c>
      <c r="Z10" s="1" t="s">
        <v>180</v>
      </c>
      <c r="AC10">
        <v>272</v>
      </c>
      <c r="AD10" s="1" t="s">
        <v>281</v>
      </c>
    </row>
    <row r="11" spans="1:30">
      <c r="A11">
        <v>110894</v>
      </c>
      <c r="B11">
        <v>144364</v>
      </c>
      <c r="C11" s="1" t="s">
        <v>196</v>
      </c>
      <c r="D11" s="1" t="s">
        <v>206</v>
      </c>
      <c r="E11" s="1" t="s">
        <v>227</v>
      </c>
      <c r="F11" s="1"/>
      <c r="G11" s="1" t="s">
        <v>194</v>
      </c>
      <c r="H11" s="1" t="s">
        <v>192</v>
      </c>
      <c r="I11" s="1" t="s">
        <v>193</v>
      </c>
      <c r="J11" s="1" t="s">
        <v>246</v>
      </c>
      <c r="K11" s="1" t="s">
        <v>247</v>
      </c>
      <c r="L11" s="1" t="s">
        <v>248</v>
      </c>
      <c r="M11" s="2">
        <v>41281</v>
      </c>
      <c r="N11" s="1" t="s">
        <v>249</v>
      </c>
      <c r="O11" s="2">
        <v>41305</v>
      </c>
      <c r="P11" s="1" t="s">
        <v>195</v>
      </c>
      <c r="Q11" s="1" t="s">
        <v>94</v>
      </c>
      <c r="R11" s="1" t="s">
        <v>118</v>
      </c>
      <c r="S11" s="1" t="s">
        <v>70</v>
      </c>
      <c r="T11" s="1" t="s">
        <v>258</v>
      </c>
      <c r="U11" s="1" t="s">
        <v>254</v>
      </c>
      <c r="V11">
        <v>399.95</v>
      </c>
      <c r="W11" s="1"/>
      <c r="X11" s="1" t="s">
        <v>142</v>
      </c>
      <c r="Y11" s="1" t="s">
        <v>161</v>
      </c>
      <c r="Z11" s="1" t="s">
        <v>181</v>
      </c>
      <c r="AA11">
        <v>13</v>
      </c>
      <c r="AB11">
        <v>29</v>
      </c>
      <c r="AC11">
        <v>34</v>
      </c>
      <c r="AD11" s="1" t="s">
        <v>281</v>
      </c>
    </row>
    <row r="12" spans="1:30">
      <c r="A12">
        <v>110894</v>
      </c>
      <c r="B12">
        <v>144365</v>
      </c>
      <c r="C12" s="1" t="s">
        <v>196</v>
      </c>
      <c r="D12" s="1" t="s">
        <v>207</v>
      </c>
      <c r="E12" s="1" t="s">
        <v>227</v>
      </c>
      <c r="F12" s="1" t="s">
        <v>243</v>
      </c>
      <c r="G12" s="1" t="s">
        <v>194</v>
      </c>
      <c r="H12" s="1" t="s">
        <v>192</v>
      </c>
      <c r="I12" s="1" t="s">
        <v>193</v>
      </c>
      <c r="J12" s="1" t="s">
        <v>246</v>
      </c>
      <c r="K12" s="1" t="s">
        <v>247</v>
      </c>
      <c r="L12" s="1" t="s">
        <v>248</v>
      </c>
      <c r="M12" s="2">
        <v>41281</v>
      </c>
      <c r="N12" s="1" t="s">
        <v>249</v>
      </c>
      <c r="O12" s="2">
        <v>41305</v>
      </c>
      <c r="P12" s="1" t="s">
        <v>195</v>
      </c>
      <c r="Q12" s="1" t="s">
        <v>95</v>
      </c>
      <c r="R12" s="1" t="s">
        <v>119</v>
      </c>
      <c r="S12" s="1" t="s">
        <v>71</v>
      </c>
      <c r="T12" s="1" t="s">
        <v>259</v>
      </c>
      <c r="U12" s="1" t="s">
        <v>278</v>
      </c>
      <c r="V12">
        <v>59.95</v>
      </c>
      <c r="W12" s="1"/>
      <c r="X12" s="1" t="s">
        <v>143</v>
      </c>
      <c r="Y12" s="1" t="s">
        <v>162</v>
      </c>
      <c r="Z12" s="1" t="s">
        <v>182</v>
      </c>
      <c r="AC12">
        <v>256</v>
      </c>
      <c r="AD12" s="1" t="s">
        <v>281</v>
      </c>
    </row>
    <row r="13" spans="1:30">
      <c r="A13">
        <v>110894</v>
      </c>
      <c r="B13">
        <v>144366</v>
      </c>
      <c r="C13" s="1" t="s">
        <v>196</v>
      </c>
      <c r="D13" s="1" t="s">
        <v>208</v>
      </c>
      <c r="E13" s="1" t="s">
        <v>228</v>
      </c>
      <c r="F13" s="1"/>
      <c r="G13" s="1" t="s">
        <v>194</v>
      </c>
      <c r="H13" s="1" t="s">
        <v>192</v>
      </c>
      <c r="I13" s="1" t="s">
        <v>193</v>
      </c>
      <c r="J13" s="1" t="s">
        <v>246</v>
      </c>
      <c r="K13" s="1" t="s">
        <v>247</v>
      </c>
      <c r="L13" s="1" t="s">
        <v>248</v>
      </c>
      <c r="M13" s="2">
        <v>41281</v>
      </c>
      <c r="N13" s="1" t="s">
        <v>249</v>
      </c>
      <c r="O13" s="2">
        <v>41305</v>
      </c>
      <c r="P13" s="1" t="s">
        <v>195</v>
      </c>
      <c r="Q13" s="1" t="s">
        <v>96</v>
      </c>
      <c r="R13" s="1" t="s">
        <v>120</v>
      </c>
      <c r="S13" s="1" t="s">
        <v>72</v>
      </c>
      <c r="T13" s="1" t="s">
        <v>260</v>
      </c>
      <c r="U13" s="1" t="s">
        <v>254</v>
      </c>
      <c r="V13">
        <v>129.94999999999999</v>
      </c>
      <c r="W13" s="1"/>
      <c r="X13" s="1" t="s">
        <v>144</v>
      </c>
      <c r="Y13" s="1" t="s">
        <v>163</v>
      </c>
      <c r="Z13" s="1" t="s">
        <v>139</v>
      </c>
      <c r="AA13">
        <v>117</v>
      </c>
      <c r="AB13">
        <v>243</v>
      </c>
      <c r="AC13">
        <v>275</v>
      </c>
      <c r="AD13" s="1" t="s">
        <v>281</v>
      </c>
    </row>
    <row r="14" spans="1:30">
      <c r="A14">
        <v>110894</v>
      </c>
      <c r="B14">
        <v>144378</v>
      </c>
      <c r="C14" s="1" t="s">
        <v>196</v>
      </c>
      <c r="D14" s="1" t="s">
        <v>209</v>
      </c>
      <c r="E14" s="1"/>
      <c r="F14" s="1"/>
      <c r="G14" s="1" t="s">
        <v>194</v>
      </c>
      <c r="H14" s="1" t="s">
        <v>192</v>
      </c>
      <c r="I14" s="1" t="s">
        <v>193</v>
      </c>
      <c r="J14" s="1" t="s">
        <v>246</v>
      </c>
      <c r="K14" s="1" t="s">
        <v>247</v>
      </c>
      <c r="L14" s="1" t="s">
        <v>248</v>
      </c>
      <c r="M14" s="2">
        <v>41281</v>
      </c>
      <c r="N14" s="1" t="s">
        <v>249</v>
      </c>
      <c r="O14" s="2">
        <v>41305</v>
      </c>
      <c r="P14" s="1" t="s">
        <v>195</v>
      </c>
      <c r="Q14" s="1" t="s">
        <v>97</v>
      </c>
      <c r="R14" s="1" t="s">
        <v>121</v>
      </c>
      <c r="S14" s="1" t="s">
        <v>73</v>
      </c>
      <c r="T14" s="1" t="s">
        <v>254</v>
      </c>
      <c r="U14" s="1" t="s">
        <v>254</v>
      </c>
      <c r="V14">
        <v>119.95</v>
      </c>
      <c r="W14" s="1"/>
      <c r="X14" s="1" t="s">
        <v>145</v>
      </c>
      <c r="Y14" s="1" t="s">
        <v>164</v>
      </c>
      <c r="Z14" s="1" t="s">
        <v>183</v>
      </c>
      <c r="AD14" s="1" t="s">
        <v>281</v>
      </c>
    </row>
    <row r="15" spans="1:30">
      <c r="A15">
        <v>110894</v>
      </c>
      <c r="B15">
        <v>144367</v>
      </c>
      <c r="C15" s="1" t="s">
        <v>196</v>
      </c>
      <c r="D15" s="1" t="s">
        <v>210</v>
      </c>
      <c r="E15" s="1" t="s">
        <v>229</v>
      </c>
      <c r="F15" s="1"/>
      <c r="G15" s="1" t="s">
        <v>194</v>
      </c>
      <c r="H15" s="1" t="s">
        <v>192</v>
      </c>
      <c r="I15" s="1" t="s">
        <v>193</v>
      </c>
      <c r="J15" s="1" t="s">
        <v>246</v>
      </c>
      <c r="K15" s="1" t="s">
        <v>247</v>
      </c>
      <c r="L15" s="1" t="s">
        <v>248</v>
      </c>
      <c r="M15" s="2">
        <v>41281</v>
      </c>
      <c r="N15" s="1" t="s">
        <v>249</v>
      </c>
      <c r="O15" s="2">
        <v>41305</v>
      </c>
      <c r="P15" s="1" t="s">
        <v>195</v>
      </c>
      <c r="Q15" s="1" t="s">
        <v>98</v>
      </c>
      <c r="R15" s="1" t="s">
        <v>122</v>
      </c>
      <c r="S15" s="1" t="s">
        <v>74</v>
      </c>
      <c r="T15" s="1" t="s">
        <v>261</v>
      </c>
      <c r="U15" s="1" t="s">
        <v>254</v>
      </c>
      <c r="V15">
        <v>179.95</v>
      </c>
      <c r="W15" s="1"/>
      <c r="X15" s="1" t="s">
        <v>144</v>
      </c>
      <c r="Y15" s="1" t="s">
        <v>163</v>
      </c>
      <c r="Z15" s="1" t="s">
        <v>184</v>
      </c>
      <c r="AA15">
        <v>122</v>
      </c>
      <c r="AB15">
        <v>254</v>
      </c>
      <c r="AC15">
        <v>287</v>
      </c>
      <c r="AD15" s="1" t="s">
        <v>281</v>
      </c>
    </row>
    <row r="16" spans="1:30">
      <c r="A16">
        <v>110894</v>
      </c>
      <c r="B16">
        <v>144368</v>
      </c>
      <c r="C16" s="1" t="s">
        <v>196</v>
      </c>
      <c r="D16" s="1" t="s">
        <v>211</v>
      </c>
      <c r="E16" s="1"/>
      <c r="F16" s="1"/>
      <c r="G16" s="1" t="s">
        <v>194</v>
      </c>
      <c r="H16" s="1" t="s">
        <v>192</v>
      </c>
      <c r="I16" s="1" t="s">
        <v>193</v>
      </c>
      <c r="J16" s="1" t="s">
        <v>246</v>
      </c>
      <c r="K16" s="1" t="s">
        <v>247</v>
      </c>
      <c r="L16" s="1" t="s">
        <v>248</v>
      </c>
      <c r="M16" s="2">
        <v>41281</v>
      </c>
      <c r="N16" s="1" t="s">
        <v>249</v>
      </c>
      <c r="O16" s="2">
        <v>41305</v>
      </c>
      <c r="P16" s="1" t="s">
        <v>195</v>
      </c>
      <c r="Q16" s="1" t="s">
        <v>99</v>
      </c>
      <c r="R16" s="1" t="s">
        <v>123</v>
      </c>
      <c r="S16" s="1" t="s">
        <v>75</v>
      </c>
      <c r="T16" s="1" t="s">
        <v>254</v>
      </c>
      <c r="U16" s="1" t="s">
        <v>254</v>
      </c>
      <c r="V16">
        <v>199.95</v>
      </c>
      <c r="W16" s="1"/>
      <c r="X16" s="1" t="s">
        <v>146</v>
      </c>
      <c r="Y16" s="1" t="s">
        <v>165</v>
      </c>
      <c r="Z16" s="1" t="s">
        <v>185</v>
      </c>
      <c r="AC16">
        <v>149</v>
      </c>
      <c r="AD16" s="1" t="s">
        <v>281</v>
      </c>
    </row>
    <row r="17" spans="1:30">
      <c r="A17">
        <v>110894</v>
      </c>
      <c r="B17">
        <v>144369</v>
      </c>
      <c r="C17" s="1" t="s">
        <v>196</v>
      </c>
      <c r="D17" s="1" t="s">
        <v>212</v>
      </c>
      <c r="E17" s="1" t="s">
        <v>230</v>
      </c>
      <c r="F17" s="1"/>
      <c r="G17" s="1" t="s">
        <v>194</v>
      </c>
      <c r="H17" s="1" t="s">
        <v>192</v>
      </c>
      <c r="I17" s="1" t="s">
        <v>193</v>
      </c>
      <c r="J17" s="1" t="s">
        <v>246</v>
      </c>
      <c r="K17" s="1" t="s">
        <v>247</v>
      </c>
      <c r="L17" s="1" t="s">
        <v>248</v>
      </c>
      <c r="M17" s="2">
        <v>41281</v>
      </c>
      <c r="N17" s="1" t="s">
        <v>249</v>
      </c>
      <c r="O17" s="2">
        <v>41305</v>
      </c>
      <c r="P17" s="1" t="s">
        <v>195</v>
      </c>
      <c r="Q17" s="1" t="s">
        <v>100</v>
      </c>
      <c r="R17" s="1" t="s">
        <v>124</v>
      </c>
      <c r="S17" s="1" t="s">
        <v>76</v>
      </c>
      <c r="T17" s="1" t="s">
        <v>262</v>
      </c>
      <c r="U17" s="1" t="s">
        <v>254</v>
      </c>
      <c r="V17">
        <v>39.950000000000003</v>
      </c>
      <c r="W17" s="1"/>
      <c r="X17" s="1" t="s">
        <v>56</v>
      </c>
      <c r="Y17" s="1" t="s">
        <v>166</v>
      </c>
      <c r="Z17" s="1" t="s">
        <v>186</v>
      </c>
      <c r="AA17">
        <v>220</v>
      </c>
      <c r="AB17">
        <v>470</v>
      </c>
      <c r="AC17">
        <v>531</v>
      </c>
      <c r="AD17" s="1" t="s">
        <v>281</v>
      </c>
    </row>
    <row r="18" spans="1:30">
      <c r="A18">
        <v>110894</v>
      </c>
      <c r="B18">
        <v>144370</v>
      </c>
      <c r="C18" s="1" t="s">
        <v>196</v>
      </c>
      <c r="D18" s="1" t="s">
        <v>213</v>
      </c>
      <c r="E18" s="1" t="s">
        <v>231</v>
      </c>
      <c r="F18" s="1" t="s">
        <v>244</v>
      </c>
      <c r="G18" s="1" t="s">
        <v>194</v>
      </c>
      <c r="H18" s="1" t="s">
        <v>192</v>
      </c>
      <c r="I18" s="1" t="s">
        <v>193</v>
      </c>
      <c r="J18" s="1" t="s">
        <v>246</v>
      </c>
      <c r="K18" s="1" t="s">
        <v>247</v>
      </c>
      <c r="L18" s="1" t="s">
        <v>248</v>
      </c>
      <c r="M18" s="2">
        <v>41281</v>
      </c>
      <c r="N18" s="1" t="s">
        <v>249</v>
      </c>
      <c r="O18" s="2">
        <v>41305</v>
      </c>
      <c r="P18" s="1" t="s">
        <v>195</v>
      </c>
      <c r="Q18" s="1" t="s">
        <v>101</v>
      </c>
      <c r="R18" s="1" t="s">
        <v>125</v>
      </c>
      <c r="S18" s="1" t="s">
        <v>77</v>
      </c>
      <c r="T18" s="1" t="s">
        <v>263</v>
      </c>
      <c r="U18" s="1" t="s">
        <v>279</v>
      </c>
      <c r="V18">
        <v>399.95</v>
      </c>
      <c r="W18" s="1"/>
      <c r="X18" s="1" t="s">
        <v>147</v>
      </c>
      <c r="Y18" s="1" t="s">
        <v>167</v>
      </c>
      <c r="Z18" s="1" t="s">
        <v>187</v>
      </c>
      <c r="AA18">
        <v>15</v>
      </c>
      <c r="AB18">
        <v>30</v>
      </c>
      <c r="AC18">
        <v>33</v>
      </c>
      <c r="AD18" s="1" t="s">
        <v>281</v>
      </c>
    </row>
    <row r="19" spans="1:30">
      <c r="A19">
        <v>110894</v>
      </c>
      <c r="B19">
        <v>144371</v>
      </c>
      <c r="C19" s="1" t="s">
        <v>196</v>
      </c>
      <c r="D19" s="1" t="s">
        <v>214</v>
      </c>
      <c r="E19" s="1" t="s">
        <v>232</v>
      </c>
      <c r="F19" s="1"/>
      <c r="G19" s="1" t="s">
        <v>194</v>
      </c>
      <c r="H19" s="1" t="s">
        <v>192</v>
      </c>
      <c r="I19" s="1" t="s">
        <v>193</v>
      </c>
      <c r="J19" s="1" t="s">
        <v>246</v>
      </c>
      <c r="K19" s="1" t="s">
        <v>247</v>
      </c>
      <c r="L19" s="1" t="s">
        <v>248</v>
      </c>
      <c r="M19" s="2">
        <v>41281</v>
      </c>
      <c r="N19" s="1" t="s">
        <v>249</v>
      </c>
      <c r="O19" s="2">
        <v>41305</v>
      </c>
      <c r="P19" s="1" t="s">
        <v>195</v>
      </c>
      <c r="Q19" s="1" t="s">
        <v>102</v>
      </c>
      <c r="R19" s="1" t="s">
        <v>126</v>
      </c>
      <c r="S19" s="1" t="s">
        <v>78</v>
      </c>
      <c r="T19" s="1" t="s">
        <v>264</v>
      </c>
      <c r="U19" s="1" t="s">
        <v>254</v>
      </c>
      <c r="V19">
        <v>169.95</v>
      </c>
      <c r="W19" s="1"/>
      <c r="X19" s="1" t="s">
        <v>60</v>
      </c>
      <c r="Y19" s="1" t="s">
        <v>168</v>
      </c>
      <c r="Z19" s="1" t="s">
        <v>59</v>
      </c>
      <c r="AC19">
        <v>320</v>
      </c>
      <c r="AD19" s="1" t="s">
        <v>281</v>
      </c>
    </row>
    <row r="20" spans="1:30">
      <c r="A20">
        <v>110894</v>
      </c>
      <c r="B20">
        <v>144372</v>
      </c>
      <c r="C20" s="1" t="s">
        <v>196</v>
      </c>
      <c r="D20" s="1" t="s">
        <v>215</v>
      </c>
      <c r="E20" s="1" t="s">
        <v>233</v>
      </c>
      <c r="F20" s="1"/>
      <c r="G20" s="1" t="s">
        <v>194</v>
      </c>
      <c r="H20" s="1" t="s">
        <v>192</v>
      </c>
      <c r="I20" s="1" t="s">
        <v>193</v>
      </c>
      <c r="J20" s="1" t="s">
        <v>246</v>
      </c>
      <c r="K20" s="1" t="s">
        <v>247</v>
      </c>
      <c r="L20" s="1" t="s">
        <v>248</v>
      </c>
      <c r="M20" s="2">
        <v>41281</v>
      </c>
      <c r="N20" s="1" t="s">
        <v>249</v>
      </c>
      <c r="O20" s="2">
        <v>41305</v>
      </c>
      <c r="P20" s="1" t="s">
        <v>195</v>
      </c>
      <c r="Q20" s="1" t="s">
        <v>103</v>
      </c>
      <c r="R20" s="1" t="s">
        <v>127</v>
      </c>
      <c r="S20" s="1" t="s">
        <v>79</v>
      </c>
      <c r="T20" s="1" t="s">
        <v>265</v>
      </c>
      <c r="U20" s="1" t="s">
        <v>254</v>
      </c>
      <c r="V20">
        <v>29.95</v>
      </c>
      <c r="W20" s="1"/>
      <c r="X20" s="1" t="s">
        <v>58</v>
      </c>
      <c r="Y20" s="1" t="s">
        <v>169</v>
      </c>
      <c r="Z20" s="1" t="s">
        <v>139</v>
      </c>
      <c r="AA20">
        <v>312</v>
      </c>
      <c r="AB20">
        <v>625</v>
      </c>
      <c r="AC20">
        <v>750</v>
      </c>
      <c r="AD20" s="1" t="s">
        <v>281</v>
      </c>
    </row>
    <row r="21" spans="1:30">
      <c r="A21">
        <v>110894</v>
      </c>
      <c r="B21">
        <v>144373</v>
      </c>
      <c r="C21" s="1" t="s">
        <v>196</v>
      </c>
      <c r="D21" s="1" t="s">
        <v>216</v>
      </c>
      <c r="E21" s="1"/>
      <c r="F21" s="1"/>
      <c r="G21" s="1" t="s">
        <v>194</v>
      </c>
      <c r="H21" s="1" t="s">
        <v>192</v>
      </c>
      <c r="I21" s="1" t="s">
        <v>193</v>
      </c>
      <c r="J21" s="1" t="s">
        <v>246</v>
      </c>
      <c r="K21" s="1" t="s">
        <v>247</v>
      </c>
      <c r="L21" s="1" t="s">
        <v>248</v>
      </c>
      <c r="M21" s="2">
        <v>41281</v>
      </c>
      <c r="N21" s="1" t="s">
        <v>249</v>
      </c>
      <c r="O21" s="2">
        <v>41305</v>
      </c>
      <c r="P21" s="1" t="s">
        <v>195</v>
      </c>
      <c r="Q21" s="1" t="s">
        <v>104</v>
      </c>
      <c r="R21" s="1" t="s">
        <v>128</v>
      </c>
      <c r="S21" s="1" t="s">
        <v>80</v>
      </c>
      <c r="T21" s="1" t="s">
        <v>254</v>
      </c>
      <c r="U21" s="1" t="s">
        <v>254</v>
      </c>
      <c r="V21">
        <v>340.95</v>
      </c>
      <c r="W21" s="1"/>
      <c r="X21" s="1" t="s">
        <v>144</v>
      </c>
      <c r="Y21" s="1" t="s">
        <v>163</v>
      </c>
      <c r="Z21" s="1" t="s">
        <v>188</v>
      </c>
      <c r="AA21">
        <v>80</v>
      </c>
      <c r="AB21">
        <v>180</v>
      </c>
      <c r="AC21">
        <v>200</v>
      </c>
      <c r="AD21" s="1" t="s">
        <v>281</v>
      </c>
    </row>
    <row r="22" spans="1:30">
      <c r="A22">
        <v>110894</v>
      </c>
      <c r="B22">
        <v>144374</v>
      </c>
      <c r="C22" s="1" t="s">
        <v>196</v>
      </c>
      <c r="D22" s="1" t="s">
        <v>217</v>
      </c>
      <c r="E22" s="1" t="s">
        <v>234</v>
      </c>
      <c r="F22" s="1"/>
      <c r="G22" s="1" t="s">
        <v>194</v>
      </c>
      <c r="H22" s="1" t="s">
        <v>192</v>
      </c>
      <c r="I22" s="1" t="s">
        <v>193</v>
      </c>
      <c r="J22" s="1" t="s">
        <v>246</v>
      </c>
      <c r="K22" s="1" t="s">
        <v>247</v>
      </c>
      <c r="L22" s="1" t="s">
        <v>248</v>
      </c>
      <c r="M22" s="2">
        <v>41281</v>
      </c>
      <c r="N22" s="1" t="s">
        <v>249</v>
      </c>
      <c r="O22" s="2">
        <v>41305</v>
      </c>
      <c r="P22" s="1" t="s">
        <v>195</v>
      </c>
      <c r="Q22" s="1" t="s">
        <v>105</v>
      </c>
      <c r="R22" s="1" t="s">
        <v>129</v>
      </c>
      <c r="S22" s="1" t="s">
        <v>81</v>
      </c>
      <c r="T22" s="1" t="s">
        <v>266</v>
      </c>
      <c r="U22" s="1" t="s">
        <v>254</v>
      </c>
      <c r="V22">
        <v>229.95</v>
      </c>
      <c r="W22" s="1"/>
      <c r="X22" s="1" t="s">
        <v>148</v>
      </c>
      <c r="Y22" s="1" t="s">
        <v>170</v>
      </c>
      <c r="Z22" s="1" t="s">
        <v>189</v>
      </c>
      <c r="AA22">
        <v>125</v>
      </c>
      <c r="AB22">
        <v>256</v>
      </c>
      <c r="AC22">
        <v>301</v>
      </c>
      <c r="AD22" s="1" t="s">
        <v>281</v>
      </c>
    </row>
    <row r="23" spans="1:30">
      <c r="A23">
        <v>110894</v>
      </c>
      <c r="B23">
        <v>144375</v>
      </c>
      <c r="C23" s="1" t="s">
        <v>196</v>
      </c>
      <c r="D23" s="1" t="s">
        <v>218</v>
      </c>
      <c r="E23" s="1" t="s">
        <v>235</v>
      </c>
      <c r="F23" s="1"/>
      <c r="G23" s="1" t="s">
        <v>194</v>
      </c>
      <c r="H23" s="1" t="s">
        <v>192</v>
      </c>
      <c r="I23" s="1" t="s">
        <v>193</v>
      </c>
      <c r="J23" s="1" t="s">
        <v>246</v>
      </c>
      <c r="K23" s="1" t="s">
        <v>247</v>
      </c>
      <c r="L23" s="1" t="s">
        <v>248</v>
      </c>
      <c r="M23" s="2">
        <v>41281</v>
      </c>
      <c r="N23" s="1" t="s">
        <v>249</v>
      </c>
      <c r="O23" s="2">
        <v>41305</v>
      </c>
      <c r="P23" s="1" t="s">
        <v>195</v>
      </c>
      <c r="Q23" s="1" t="s">
        <v>106</v>
      </c>
      <c r="R23" s="1" t="s">
        <v>130</v>
      </c>
      <c r="S23" s="1" t="s">
        <v>82</v>
      </c>
      <c r="T23" s="1" t="s">
        <v>267</v>
      </c>
      <c r="U23" s="1" t="s">
        <v>254</v>
      </c>
      <c r="V23">
        <v>47.95</v>
      </c>
      <c r="W23" s="1"/>
      <c r="X23" s="1" t="s">
        <v>149</v>
      </c>
      <c r="Y23" s="1" t="s">
        <v>168</v>
      </c>
      <c r="Z23" s="1" t="s">
        <v>190</v>
      </c>
      <c r="AA23">
        <v>605</v>
      </c>
      <c r="AB23">
        <v>1232</v>
      </c>
      <c r="AC23">
        <v>1320</v>
      </c>
      <c r="AD23" s="1" t="s">
        <v>281</v>
      </c>
    </row>
    <row r="24" spans="1:30">
      <c r="A24">
        <v>110894</v>
      </c>
      <c r="B24">
        <v>144376</v>
      </c>
      <c r="C24" s="1" t="s">
        <v>196</v>
      </c>
      <c r="D24" s="1" t="s">
        <v>219</v>
      </c>
      <c r="E24" s="1" t="s">
        <v>236</v>
      </c>
      <c r="F24" s="1" t="s">
        <v>245</v>
      </c>
      <c r="G24" s="1" t="s">
        <v>194</v>
      </c>
      <c r="H24" s="1" t="s">
        <v>192</v>
      </c>
      <c r="I24" s="1" t="s">
        <v>193</v>
      </c>
      <c r="J24" s="1" t="s">
        <v>246</v>
      </c>
      <c r="K24" s="1" t="s">
        <v>247</v>
      </c>
      <c r="L24" s="1" t="s">
        <v>248</v>
      </c>
      <c r="M24" s="2">
        <v>41281</v>
      </c>
      <c r="N24" s="1" t="s">
        <v>249</v>
      </c>
      <c r="O24" s="2">
        <v>41305</v>
      </c>
      <c r="P24" s="1" t="s">
        <v>195</v>
      </c>
      <c r="Q24" s="1" t="s">
        <v>107</v>
      </c>
      <c r="R24" s="1" t="s">
        <v>131</v>
      </c>
      <c r="S24" s="1" t="s">
        <v>83</v>
      </c>
      <c r="T24" s="1" t="s">
        <v>268</v>
      </c>
      <c r="U24" s="1" t="s">
        <v>280</v>
      </c>
      <c r="V24">
        <v>529.95000000000005</v>
      </c>
      <c r="W24" s="1"/>
      <c r="X24" s="1" t="s">
        <v>150</v>
      </c>
      <c r="Y24" s="1" t="s">
        <v>171</v>
      </c>
      <c r="Z24" s="1" t="s">
        <v>191</v>
      </c>
      <c r="AC24">
        <v>39</v>
      </c>
      <c r="AD24" s="1" t="s">
        <v>281</v>
      </c>
    </row>
    <row r="25" spans="1:30">
      <c r="A25">
        <v>110894</v>
      </c>
      <c r="B25">
        <v>144377</v>
      </c>
      <c r="C25" s="1" t="s">
        <v>196</v>
      </c>
      <c r="D25" s="1" t="s">
        <v>220</v>
      </c>
      <c r="E25" s="1" t="s">
        <v>237</v>
      </c>
      <c r="F25" s="1"/>
      <c r="G25" s="1" t="s">
        <v>194</v>
      </c>
      <c r="H25" s="1" t="s">
        <v>192</v>
      </c>
      <c r="I25" s="1" t="s">
        <v>193</v>
      </c>
      <c r="J25" s="1" t="s">
        <v>246</v>
      </c>
      <c r="K25" s="1" t="s">
        <v>247</v>
      </c>
      <c r="L25" s="1" t="s">
        <v>248</v>
      </c>
      <c r="M25" s="2">
        <v>41281</v>
      </c>
      <c r="N25" s="1" t="s">
        <v>249</v>
      </c>
      <c r="O25" s="2">
        <v>41305</v>
      </c>
      <c r="P25" s="1" t="s">
        <v>195</v>
      </c>
      <c r="Q25" s="1" t="s">
        <v>108</v>
      </c>
      <c r="R25" s="1" t="s">
        <v>132</v>
      </c>
      <c r="S25" s="1" t="s">
        <v>84</v>
      </c>
      <c r="T25" s="1" t="s">
        <v>269</v>
      </c>
      <c r="U25" s="1" t="s">
        <v>254</v>
      </c>
      <c r="V25">
        <v>28.95</v>
      </c>
      <c r="W25" s="1"/>
      <c r="X25" s="1" t="s">
        <v>151</v>
      </c>
      <c r="Y25" s="1" t="s">
        <v>57</v>
      </c>
      <c r="Z25" s="1" t="s">
        <v>178</v>
      </c>
      <c r="AA25">
        <v>676</v>
      </c>
      <c r="AB25">
        <v>1312</v>
      </c>
      <c r="AC25">
        <v>1768</v>
      </c>
      <c r="AD25" s="1" t="s">
        <v>281</v>
      </c>
    </row>
    <row r="27" spans="1:30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  <c r="K27">
        <v>10</v>
      </c>
      <c r="L27">
        <v>11</v>
      </c>
      <c r="M27">
        <v>12</v>
      </c>
      <c r="N27">
        <v>13</v>
      </c>
      <c r="O27">
        <v>14</v>
      </c>
      <c r="P27">
        <v>15</v>
      </c>
      <c r="Q27">
        <v>16</v>
      </c>
      <c r="R27">
        <v>17</v>
      </c>
      <c r="S27">
        <v>18</v>
      </c>
      <c r="T27">
        <v>19</v>
      </c>
      <c r="U27">
        <v>20</v>
      </c>
      <c r="V27">
        <v>21</v>
      </c>
      <c r="W27">
        <v>22</v>
      </c>
      <c r="X27">
        <v>23</v>
      </c>
      <c r="Y27">
        <v>24</v>
      </c>
      <c r="Z27">
        <v>25</v>
      </c>
      <c r="AA27">
        <v>26</v>
      </c>
      <c r="AB27">
        <v>27</v>
      </c>
      <c r="AC27">
        <v>28</v>
      </c>
      <c r="AD27">
        <v>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00"/>
  <sheetViews>
    <sheetView showGridLines="0" showZeros="0" view="pageBreakPreview" zoomScale="115" zoomScaleSheetLayoutView="115" workbookViewId="0"/>
  </sheetViews>
  <sheetFormatPr defaultRowHeight="15"/>
  <cols>
    <col min="1" max="2" width="5.7109375" customWidth="1"/>
    <col min="3" max="3" width="7.28515625" customWidth="1"/>
    <col min="4" max="19" width="5.7109375" customWidth="1"/>
    <col min="20" max="21" width="7.7109375" customWidth="1"/>
    <col min="22" max="23" width="4.7109375" customWidth="1"/>
    <col min="24" max="25" width="7.7109375" customWidth="1"/>
    <col min="26" max="37" width="5.7109375" customWidth="1"/>
  </cols>
  <sheetData>
    <row r="1" spans="1:25" ht="9.9499999999999993" customHeight="1">
      <c r="A1" s="3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</row>
    <row r="2" spans="1:25" ht="9.9499999999999993" customHeight="1">
      <c r="A2" s="3"/>
      <c r="B2" s="119" t="str">
        <f>IFERROR(VLOOKUP(A1, REFItems!$B$2:$AD$223, 6, FALSE), "[NONE]")</f>
        <v>[NONE]</v>
      </c>
      <c r="C2" s="147"/>
      <c r="D2" s="147"/>
      <c r="E2" s="147"/>
      <c r="F2" s="147"/>
      <c r="G2" s="120"/>
      <c r="H2" s="140" t="s">
        <v>1</v>
      </c>
      <c r="I2" s="140"/>
      <c r="J2" s="140"/>
      <c r="K2" s="150" t="str">
        <f>IFERROR(VLOOKUP(A1, REFItems!$B$2:$AD$223, 7, FALSE), "")</f>
        <v/>
      </c>
      <c r="L2" s="145"/>
      <c r="M2" s="145"/>
      <c r="N2" s="145"/>
      <c r="O2" s="145"/>
      <c r="P2" s="145"/>
      <c r="Q2" s="145"/>
      <c r="R2" s="146"/>
      <c r="S2" s="143" t="s">
        <v>2</v>
      </c>
      <c r="T2" s="144"/>
      <c r="U2" s="151" t="str">
        <f>IFERROR(VLOOKUP(A1, REFItems!$B$2:$AD$223, 12, FALSE), "")</f>
        <v/>
      </c>
      <c r="V2" s="152"/>
      <c r="W2" s="152"/>
      <c r="X2" s="152"/>
      <c r="Y2" s="153"/>
    </row>
    <row r="3" spans="1:25" ht="9.9499999999999993" customHeight="1">
      <c r="A3" s="3"/>
      <c r="B3" s="121"/>
      <c r="C3" s="148"/>
      <c r="D3" s="148"/>
      <c r="E3" s="148"/>
      <c r="F3" s="148"/>
      <c r="G3" s="122"/>
      <c r="H3" s="140" t="s">
        <v>3</v>
      </c>
      <c r="I3" s="140"/>
      <c r="J3" s="140"/>
      <c r="K3" s="154" t="str">
        <f>IFERROR(VLOOKUP(A1, REFItems!$B$2:$AD$223, 8, FALSE), "")</f>
        <v/>
      </c>
      <c r="L3" s="155"/>
      <c r="M3" s="155"/>
      <c r="N3" s="155"/>
      <c r="O3" s="155"/>
      <c r="P3" s="155"/>
      <c r="Q3" s="155"/>
      <c r="R3" s="156"/>
      <c r="S3" s="143" t="s">
        <v>4</v>
      </c>
      <c r="T3" s="144"/>
      <c r="U3" s="141" t="str">
        <f>IFERROR(VLOOKUP(A1, REFItems!$B$2:$AD$223, 13, FALSE), "")</f>
        <v/>
      </c>
      <c r="V3" s="109"/>
      <c r="W3" s="109"/>
      <c r="X3" s="109"/>
      <c r="Y3" s="142"/>
    </row>
    <row r="4" spans="1:25" ht="9.9499999999999993" customHeight="1">
      <c r="A4" s="3"/>
      <c r="B4" s="121"/>
      <c r="C4" s="148"/>
      <c r="D4" s="148"/>
      <c r="E4" s="148"/>
      <c r="F4" s="148"/>
      <c r="G4" s="122"/>
      <c r="H4" s="140" t="s">
        <v>5</v>
      </c>
      <c r="I4" s="140" t="s">
        <v>6</v>
      </c>
      <c r="J4" s="140"/>
      <c r="K4" s="141" t="str">
        <f>IFERROR(VLOOKUP(A1, REFItems!$B$2:$AD$223, 9, FALSE), "")</f>
        <v/>
      </c>
      <c r="L4" s="109"/>
      <c r="M4" s="109"/>
      <c r="N4" s="109"/>
      <c r="O4" s="109"/>
      <c r="P4" s="109"/>
      <c r="Q4" s="109"/>
      <c r="R4" s="142"/>
      <c r="S4" s="143" t="s">
        <v>7</v>
      </c>
      <c r="T4" s="144"/>
      <c r="U4" s="158" t="str">
        <f>IFERROR(VLOOKUP(A1, REFItems!$B$2:$AD$223, 14, FALSE), "")</f>
        <v/>
      </c>
      <c r="V4" s="159"/>
      <c r="W4" s="159"/>
      <c r="X4" s="159"/>
      <c r="Y4" s="160"/>
    </row>
    <row r="5" spans="1:25" ht="9.9499999999999993" customHeight="1">
      <c r="A5" s="3"/>
      <c r="B5" s="121"/>
      <c r="C5" s="148"/>
      <c r="D5" s="148"/>
      <c r="E5" s="148"/>
      <c r="F5" s="148"/>
      <c r="G5" s="122"/>
      <c r="H5" s="140" t="s">
        <v>8</v>
      </c>
      <c r="I5" s="140"/>
      <c r="J5" s="140"/>
      <c r="K5" s="141" t="str">
        <f>IFERROR(VLOOKUP(A1, REFItems!$B$2:$AD$223, 10, FALSE), "")</f>
        <v/>
      </c>
      <c r="L5" s="109"/>
      <c r="M5" s="109"/>
      <c r="N5" s="109"/>
      <c r="O5" s="109"/>
      <c r="P5" s="109"/>
      <c r="Q5" s="109"/>
      <c r="R5" s="142"/>
      <c r="S5" s="143" t="s">
        <v>9</v>
      </c>
      <c r="T5" s="144"/>
      <c r="U5" s="141" t="str">
        <f>IFERROR(VLOOKUP(A1, REFItems!$B$2:$AD$223, 15, FALSE), "")</f>
        <v/>
      </c>
      <c r="V5" s="109"/>
      <c r="W5" s="109"/>
      <c r="X5" s="109"/>
      <c r="Y5" s="142"/>
    </row>
    <row r="6" spans="1:25" ht="9.9499999999999993" customHeight="1">
      <c r="A6" s="3"/>
      <c r="B6" s="123"/>
      <c r="C6" s="149"/>
      <c r="D6" s="149"/>
      <c r="E6" s="149"/>
      <c r="F6" s="149"/>
      <c r="G6" s="124"/>
      <c r="H6" s="140" t="s">
        <v>10</v>
      </c>
      <c r="I6" s="140"/>
      <c r="J6" s="140"/>
      <c r="K6" s="157" t="str">
        <f>IFERROR(VLOOKUP(A1, REFItems!$B$2:$AD$223, 11, FALSE), "")</f>
        <v/>
      </c>
      <c r="L6" s="138"/>
      <c r="M6" s="138"/>
      <c r="N6" s="138"/>
      <c r="O6" s="138"/>
      <c r="P6" s="138"/>
      <c r="Q6" s="138"/>
      <c r="R6" s="139"/>
      <c r="S6" s="143"/>
      <c r="T6" s="144"/>
      <c r="U6" s="32"/>
      <c r="V6" s="32"/>
      <c r="W6" s="32"/>
      <c r="X6" s="32"/>
      <c r="Y6" s="33"/>
    </row>
    <row r="7" spans="1:25" ht="9.9499999999999993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9.9499999999999993" customHeight="1">
      <c r="A8" s="3"/>
      <c r="B8" s="5" t="s">
        <v>11</v>
      </c>
      <c r="C8" s="6"/>
      <c r="D8" s="145" t="str">
        <f>IFERROR(VLOOKUP(A1, REFItems!$B$2:$AD$223, 16, FALSE), "")</f>
        <v/>
      </c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6"/>
      <c r="S8" s="3"/>
      <c r="T8" s="134" t="s">
        <v>12</v>
      </c>
      <c r="U8" s="135"/>
      <c r="V8" s="3"/>
      <c r="W8" s="7"/>
      <c r="X8" s="134" t="s">
        <v>13</v>
      </c>
      <c r="Y8" s="135"/>
    </row>
    <row r="9" spans="1:25" ht="9.9499999999999993" customHeight="1">
      <c r="A9" s="3"/>
      <c r="B9" s="8" t="s">
        <v>14</v>
      </c>
      <c r="C9" s="9"/>
      <c r="D9" s="138" t="str">
        <f>IFERROR(VLOOKUP(A1, REFItems!$B$2:$AD$223, 17, FALSE), "")</f>
        <v/>
      </c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9"/>
      <c r="S9" s="3"/>
      <c r="T9" s="136"/>
      <c r="U9" s="137"/>
      <c r="V9" s="3"/>
      <c r="W9" s="7"/>
      <c r="X9" s="136"/>
      <c r="Y9" s="137"/>
    </row>
    <row r="10" spans="1:25" ht="9.9499999999999993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7"/>
      <c r="X10" s="3"/>
      <c r="Y10" s="3"/>
    </row>
    <row r="11" spans="1:25" ht="9.9499999999999993" customHeight="1">
      <c r="A11" s="3"/>
      <c r="B11" s="110" t="str">
        <f>IFERROR(VLOOKUP(A1, REFItems!$B$2:$AD$223, 18, FALSE), "[NONE]")</f>
        <v>[NONE]</v>
      </c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2"/>
      <c r="S11" s="3"/>
      <c r="T11" s="119" t="str">
        <f>IFERROR(VLOOKUP(A1, REFItems!$B$2:$AD$223, 19, FALSE), "[NONE]")</f>
        <v>[NONE]</v>
      </c>
      <c r="U11" s="120"/>
      <c r="V11" s="3"/>
      <c r="W11" s="7"/>
      <c r="X11" s="119" t="str">
        <f>IFERROR(VLOOKUP(A1, REFItems!$B$2:$AD$223, 20, FALSE), "[NONE]")</f>
        <v>[NONE]</v>
      </c>
      <c r="Y11" s="120"/>
    </row>
    <row r="12" spans="1:25" ht="9.9499999999999993" customHeight="1">
      <c r="A12" s="3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5"/>
      <c r="S12" s="3"/>
      <c r="T12" s="121"/>
      <c r="U12" s="122"/>
      <c r="V12" s="3"/>
      <c r="W12" s="7"/>
      <c r="X12" s="121"/>
      <c r="Y12" s="122"/>
    </row>
    <row r="13" spans="1:25" ht="9.9499999999999993" customHeight="1">
      <c r="A13" s="3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5"/>
      <c r="S13" s="3"/>
      <c r="T13" s="121"/>
      <c r="U13" s="122"/>
      <c r="V13" s="3"/>
      <c r="W13" s="7"/>
      <c r="X13" s="121"/>
      <c r="Y13" s="122"/>
    </row>
    <row r="14" spans="1:25" ht="9.9499999999999993" customHeight="1">
      <c r="A14" s="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5"/>
      <c r="S14" s="3"/>
      <c r="T14" s="121"/>
      <c r="U14" s="122"/>
      <c r="V14" s="3"/>
      <c r="W14" s="7"/>
      <c r="X14" s="121"/>
      <c r="Y14" s="122"/>
    </row>
    <row r="15" spans="1:25" ht="9.9499999999999993" customHeight="1">
      <c r="A15" s="3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5"/>
      <c r="S15" s="3"/>
      <c r="T15" s="121"/>
      <c r="U15" s="122"/>
      <c r="V15" s="3"/>
      <c r="W15" s="7"/>
      <c r="X15" s="121"/>
      <c r="Y15" s="122"/>
    </row>
    <row r="16" spans="1:25" ht="9.9499999999999993" customHeight="1">
      <c r="A16" s="3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5"/>
      <c r="S16" s="3"/>
      <c r="T16" s="121"/>
      <c r="U16" s="122"/>
      <c r="V16" s="3"/>
      <c r="W16" s="7"/>
      <c r="X16" s="121"/>
      <c r="Y16" s="122"/>
    </row>
    <row r="17" spans="1:25" ht="9.9499999999999993" customHeight="1">
      <c r="A17" s="3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5"/>
      <c r="S17" s="3"/>
      <c r="T17" s="123"/>
      <c r="U17" s="124"/>
      <c r="V17" s="3"/>
      <c r="W17" s="7"/>
      <c r="X17" s="123"/>
      <c r="Y17" s="124"/>
    </row>
    <row r="18" spans="1:25" ht="9.9499999999999993" customHeight="1">
      <c r="A18" s="3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5"/>
      <c r="S18" s="3"/>
      <c r="T18" s="3"/>
      <c r="U18" s="3"/>
      <c r="V18" s="3"/>
      <c r="W18" s="3"/>
      <c r="X18" s="3"/>
      <c r="Y18" s="3"/>
    </row>
    <row r="19" spans="1:25" ht="9.9499999999999993" customHeight="1">
      <c r="A19" s="3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5"/>
      <c r="S19" s="3"/>
      <c r="T19" s="3"/>
      <c r="U19" s="3"/>
      <c r="V19" s="3"/>
      <c r="W19" s="3"/>
      <c r="X19" s="3"/>
      <c r="Y19" s="3"/>
    </row>
    <row r="20" spans="1:25" ht="9.9499999999999993" customHeight="1">
      <c r="A20" s="3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5"/>
      <c r="S20" s="3"/>
      <c r="T20" s="3"/>
      <c r="U20" s="3"/>
      <c r="V20" s="3"/>
      <c r="W20" s="3"/>
      <c r="X20" s="3"/>
      <c r="Y20" s="3"/>
    </row>
    <row r="21" spans="1:25" ht="9.9499999999999993" customHeight="1">
      <c r="A21" s="3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5"/>
      <c r="S21" s="3"/>
      <c r="T21" s="125" t="str">
        <f>IFERROR(VLOOKUP(A1, REFItems!$B$2:$AD$223, 22, FALSE), "")</f>
        <v/>
      </c>
      <c r="U21" s="126"/>
      <c r="V21" s="126"/>
      <c r="W21" s="126"/>
      <c r="X21" s="126"/>
      <c r="Y21" s="127"/>
    </row>
    <row r="22" spans="1:25" ht="9.9499999999999993" customHeight="1">
      <c r="A22" s="3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5"/>
      <c r="S22" s="3"/>
      <c r="T22" s="128"/>
      <c r="U22" s="129"/>
      <c r="V22" s="129"/>
      <c r="W22" s="129"/>
      <c r="X22" s="129"/>
      <c r="Y22" s="130"/>
    </row>
    <row r="23" spans="1:25" ht="9.9499999999999993" customHeight="1">
      <c r="A23" s="3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5"/>
      <c r="S23" s="3"/>
      <c r="T23" s="128"/>
      <c r="U23" s="129"/>
      <c r="V23" s="129"/>
      <c r="W23" s="129"/>
      <c r="X23" s="129"/>
      <c r="Y23" s="130"/>
    </row>
    <row r="24" spans="1:25" ht="9.9499999999999993" customHeight="1">
      <c r="A24" s="3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5"/>
      <c r="S24" s="3"/>
      <c r="T24" s="128"/>
      <c r="U24" s="129"/>
      <c r="V24" s="129"/>
      <c r="W24" s="129"/>
      <c r="X24" s="129"/>
      <c r="Y24" s="130"/>
    </row>
    <row r="25" spans="1:25" ht="9.9499999999999993" customHeight="1">
      <c r="A25" s="3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5"/>
      <c r="S25" s="3"/>
      <c r="T25" s="128"/>
      <c r="U25" s="129"/>
      <c r="V25" s="129"/>
      <c r="W25" s="129"/>
      <c r="X25" s="129"/>
      <c r="Y25" s="130"/>
    </row>
    <row r="26" spans="1:25" ht="9.9499999999999993" customHeight="1">
      <c r="A26" s="3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5"/>
      <c r="S26" s="3"/>
      <c r="T26" s="128"/>
      <c r="U26" s="129"/>
      <c r="V26" s="129"/>
      <c r="W26" s="129"/>
      <c r="X26" s="129"/>
      <c r="Y26" s="130"/>
    </row>
    <row r="27" spans="1:25" ht="9.9499999999999993" customHeight="1">
      <c r="A27" s="3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5"/>
      <c r="S27" s="3"/>
      <c r="T27" s="128"/>
      <c r="U27" s="129"/>
      <c r="V27" s="129"/>
      <c r="W27" s="129"/>
      <c r="X27" s="129"/>
      <c r="Y27" s="130"/>
    </row>
    <row r="28" spans="1:25" ht="9.9499999999999993" customHeight="1">
      <c r="A28" s="3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5"/>
      <c r="S28" s="3"/>
      <c r="T28" s="128"/>
      <c r="U28" s="129"/>
      <c r="V28" s="129"/>
      <c r="W28" s="129"/>
      <c r="X28" s="129"/>
      <c r="Y28" s="130"/>
    </row>
    <row r="29" spans="1:25" ht="9.9499999999999993" customHeight="1">
      <c r="A29" s="3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5"/>
      <c r="S29" s="3"/>
      <c r="T29" s="128"/>
      <c r="U29" s="129"/>
      <c r="V29" s="129"/>
      <c r="W29" s="129"/>
      <c r="X29" s="129"/>
      <c r="Y29" s="130"/>
    </row>
    <row r="30" spans="1:25" ht="9.9499999999999993" customHeight="1">
      <c r="A30" s="3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5"/>
      <c r="S30" s="3"/>
      <c r="T30" s="128"/>
      <c r="U30" s="129"/>
      <c r="V30" s="129"/>
      <c r="W30" s="129"/>
      <c r="X30" s="129"/>
      <c r="Y30" s="130"/>
    </row>
    <row r="31" spans="1:25" ht="9.9499999999999993" customHeight="1">
      <c r="A31" s="3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5"/>
      <c r="S31" s="3"/>
      <c r="T31" s="128"/>
      <c r="U31" s="129"/>
      <c r="V31" s="129"/>
      <c r="W31" s="129"/>
      <c r="X31" s="129"/>
      <c r="Y31" s="130"/>
    </row>
    <row r="32" spans="1:25" ht="9.9499999999999993" customHeight="1">
      <c r="A32" s="3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5"/>
      <c r="S32" s="3"/>
      <c r="T32" s="128"/>
      <c r="U32" s="129"/>
      <c r="V32" s="129"/>
      <c r="W32" s="129"/>
      <c r="X32" s="129"/>
      <c r="Y32" s="130"/>
    </row>
    <row r="33" spans="1:25" ht="9.9499999999999993" customHeight="1">
      <c r="A33" s="3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5"/>
      <c r="S33" s="3"/>
      <c r="T33" s="128"/>
      <c r="U33" s="129"/>
      <c r="V33" s="129"/>
      <c r="W33" s="129"/>
      <c r="X33" s="129"/>
      <c r="Y33" s="130"/>
    </row>
    <row r="34" spans="1:25" ht="9.9499999999999993" customHeight="1">
      <c r="A34" s="3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5"/>
      <c r="S34" s="3"/>
      <c r="T34" s="128"/>
      <c r="U34" s="129"/>
      <c r="V34" s="129"/>
      <c r="W34" s="129"/>
      <c r="X34" s="129"/>
      <c r="Y34" s="130"/>
    </row>
    <row r="35" spans="1:25" ht="9.9499999999999993" customHeight="1">
      <c r="A35" s="3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5"/>
      <c r="S35" s="3"/>
      <c r="T35" s="128"/>
      <c r="U35" s="129"/>
      <c r="V35" s="129"/>
      <c r="W35" s="129"/>
      <c r="X35" s="129"/>
      <c r="Y35" s="130"/>
    </row>
    <row r="36" spans="1:25" ht="9.9499999999999993" customHeight="1">
      <c r="A36" s="3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5"/>
      <c r="S36" s="3"/>
      <c r="T36" s="128"/>
      <c r="U36" s="129"/>
      <c r="V36" s="129"/>
      <c r="W36" s="129"/>
      <c r="X36" s="129"/>
      <c r="Y36" s="130"/>
    </row>
    <row r="37" spans="1:25" ht="9.9499999999999993" customHeight="1">
      <c r="A37" s="3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5"/>
      <c r="S37" s="3"/>
      <c r="T37" s="128"/>
      <c r="U37" s="129"/>
      <c r="V37" s="129"/>
      <c r="W37" s="129"/>
      <c r="X37" s="129"/>
      <c r="Y37" s="130"/>
    </row>
    <row r="38" spans="1:25" ht="9.9499999999999993" customHeight="1">
      <c r="A38" s="3"/>
      <c r="B38" s="113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5"/>
      <c r="S38" s="3"/>
      <c r="T38" s="128"/>
      <c r="U38" s="129"/>
      <c r="V38" s="129"/>
      <c r="W38" s="129"/>
      <c r="X38" s="129"/>
      <c r="Y38" s="130"/>
    </row>
    <row r="39" spans="1:25" ht="9.9499999999999993" customHeight="1">
      <c r="A39" s="3"/>
      <c r="B39" s="113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5"/>
      <c r="S39" s="3"/>
      <c r="T39" s="128"/>
      <c r="U39" s="129"/>
      <c r="V39" s="129"/>
      <c r="W39" s="129"/>
      <c r="X39" s="129"/>
      <c r="Y39" s="130"/>
    </row>
    <row r="40" spans="1:25" ht="9.9499999999999993" customHeight="1">
      <c r="A40" s="3"/>
      <c r="B40" s="113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5"/>
      <c r="S40" s="3"/>
      <c r="T40" s="128"/>
      <c r="U40" s="129"/>
      <c r="V40" s="129"/>
      <c r="W40" s="129"/>
      <c r="X40" s="129"/>
      <c r="Y40" s="130"/>
    </row>
    <row r="41" spans="1:25" ht="9.9499999999999993" customHeight="1">
      <c r="A41" s="3"/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8"/>
      <c r="S41" s="3"/>
      <c r="T41" s="131"/>
      <c r="U41" s="132"/>
      <c r="V41" s="132"/>
      <c r="W41" s="132"/>
      <c r="X41" s="132"/>
      <c r="Y41" s="133"/>
    </row>
    <row r="42" spans="1:25" ht="9.9499999999999993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9.9499999999999993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10"/>
      <c r="S43" s="3"/>
      <c r="T43" s="95" t="e">
        <f>IF(Report!#REF!="USD", "FOB PRICE", "DDP PRICE")</f>
        <v>#REF!</v>
      </c>
      <c r="U43" s="96"/>
      <c r="V43" s="96"/>
      <c r="W43" s="101" t="str">
        <f>IFERROR(VLOOKUP(A1, REFItems!$B$2:$AD$223, 21, FALSE), "")</f>
        <v/>
      </c>
      <c r="X43" s="101"/>
      <c r="Y43" s="102"/>
    </row>
    <row r="44" spans="1:25" ht="9.9499999999999993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10"/>
      <c r="S44" s="3"/>
      <c r="T44" s="97"/>
      <c r="U44" s="98"/>
      <c r="V44" s="98"/>
      <c r="W44" s="103"/>
      <c r="X44" s="103"/>
      <c r="Y44" s="104"/>
    </row>
    <row r="45" spans="1:25" ht="9.9499999999999993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99"/>
      <c r="U45" s="100"/>
      <c r="V45" s="100"/>
      <c r="W45" s="105"/>
      <c r="X45" s="105"/>
      <c r="Y45" s="106"/>
    </row>
    <row r="46" spans="1:25" ht="9.9499999999999993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9.9499999999999993" customHeight="1">
      <c r="A47" s="3"/>
      <c r="B47" s="5" t="s">
        <v>15</v>
      </c>
      <c r="C47" s="6"/>
      <c r="D47" s="6"/>
      <c r="E47" s="11" t="s">
        <v>16</v>
      </c>
      <c r="F47" s="11"/>
      <c r="G47" s="11" t="s">
        <v>17</v>
      </c>
      <c r="H47" s="11"/>
      <c r="I47" s="11" t="s">
        <v>18</v>
      </c>
      <c r="J47" s="6"/>
      <c r="K47" s="6"/>
      <c r="L47" s="6"/>
      <c r="M47" s="6" t="s">
        <v>19</v>
      </c>
      <c r="N47" s="6"/>
      <c r="O47" s="11" t="s">
        <v>20</v>
      </c>
      <c r="P47" s="11" t="s">
        <v>21</v>
      </c>
      <c r="Q47" s="11" t="s">
        <v>0</v>
      </c>
      <c r="R47" s="12"/>
      <c r="S47" s="3"/>
      <c r="T47" s="13"/>
      <c r="U47" s="14"/>
      <c r="V47" s="14"/>
      <c r="W47" s="14"/>
      <c r="X47" s="6" t="s">
        <v>22</v>
      </c>
      <c r="Y47" s="15"/>
    </row>
    <row r="48" spans="1:25" ht="9.9499999999999993" customHeight="1">
      <c r="A48" s="3"/>
      <c r="B48" s="16"/>
      <c r="C48" s="7"/>
      <c r="D48" s="7"/>
      <c r="E48" s="17"/>
      <c r="F48" s="17"/>
      <c r="G48" s="17"/>
      <c r="H48" s="17"/>
      <c r="I48" s="17"/>
      <c r="J48" s="7"/>
      <c r="K48" s="7"/>
      <c r="L48" s="7"/>
      <c r="M48" s="7"/>
      <c r="N48" s="7"/>
      <c r="O48" s="17"/>
      <c r="P48" s="17"/>
      <c r="Q48" s="17"/>
      <c r="R48" s="18"/>
      <c r="S48" s="3"/>
      <c r="T48" s="19"/>
      <c r="U48" s="20"/>
      <c r="V48" s="20"/>
      <c r="W48" s="20"/>
      <c r="X48" s="21" t="s">
        <v>23</v>
      </c>
      <c r="Y48" s="22"/>
    </row>
    <row r="49" spans="1:25" ht="9.9499999999999993" customHeight="1">
      <c r="A49" s="3"/>
      <c r="B49" s="107"/>
      <c r="C49" s="108"/>
      <c r="D49" s="108"/>
      <c r="E49" s="109" t="str">
        <f>IFERROR(VLOOKUP(A1, REFItems!$B$2:$AD$223, 23, FALSE), "")</f>
        <v/>
      </c>
      <c r="F49" s="109"/>
      <c r="G49" s="109" t="str">
        <f>IFERROR(VLOOKUP(A1, REFItems!$B$2:$AD$223, 24, FALSE), "")</f>
        <v/>
      </c>
      <c r="H49" s="109"/>
      <c r="I49" s="109" t="str">
        <f>IFERROR(VLOOKUP(A1, REFItems!$B$2:$AD$223, 25, FALSE), "")</f>
        <v/>
      </c>
      <c r="J49" s="109"/>
      <c r="K49" s="34"/>
      <c r="L49" s="34"/>
      <c r="M49" s="109"/>
      <c r="N49" s="109"/>
      <c r="O49" s="34" t="str">
        <f>IFERROR(VLOOKUP(A1, REFItems!$B$2:$AD$223, 26, FALSE), "")</f>
        <v/>
      </c>
      <c r="P49" s="34" t="str">
        <f>IFERROR(VLOOKUP(A1, REFItems!$B$2:$AD$223, 27, FALSE), "")</f>
        <v/>
      </c>
      <c r="Q49" s="34" t="str">
        <f>IFERROR(VLOOKUP(A1, REFItems!$B$2:$AD$223, 28, FALSE), "")</f>
        <v/>
      </c>
      <c r="R49" s="23"/>
      <c r="S49" s="3"/>
      <c r="T49" s="19"/>
      <c r="U49" s="20"/>
      <c r="V49" s="20"/>
      <c r="W49" s="20"/>
      <c r="X49" s="35" t="str">
        <f>IFERROR(VLOOKUP(A1, REFItems!$B$2:$AD$223, 29, FALSE), "")</f>
        <v/>
      </c>
      <c r="Y49" s="22"/>
    </row>
    <row r="50" spans="1:25" ht="9.9499999999999993" customHeight="1">
      <c r="A50" s="3"/>
      <c r="B50" s="24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6"/>
      <c r="P50" s="26"/>
      <c r="Q50" s="26"/>
      <c r="R50" s="27"/>
      <c r="S50" s="3"/>
      <c r="T50" s="28"/>
      <c r="U50" s="29"/>
      <c r="V50" s="29"/>
      <c r="W50" s="29"/>
      <c r="X50" s="9" t="s">
        <v>24</v>
      </c>
      <c r="Y50" s="30"/>
    </row>
    <row r="51" spans="1:25" ht="9.9499999999999993" customHeight="1">
      <c r="X51" s="31"/>
    </row>
    <row r="52" spans="1:25" ht="9.9499999999999993" customHeight="1"/>
    <row r="53" spans="1:25" ht="9.9499999999999993" customHeight="1"/>
    <row r="54" spans="1:25" ht="9.9499999999999993" customHeight="1"/>
    <row r="55" spans="1:25" ht="9.9499999999999993" customHeight="1"/>
    <row r="56" spans="1:25" ht="9.9499999999999993" customHeight="1"/>
    <row r="57" spans="1:25" ht="9.9499999999999993" customHeight="1"/>
    <row r="58" spans="1:25" ht="9.9499999999999993" customHeight="1"/>
    <row r="59" spans="1:25" ht="9.9499999999999993" customHeight="1"/>
    <row r="60" spans="1:25" ht="9.9499999999999993" customHeight="1"/>
    <row r="61" spans="1:25" ht="9.9499999999999993" customHeight="1"/>
    <row r="62" spans="1:25" ht="9.9499999999999993" customHeight="1"/>
    <row r="63" spans="1:25" ht="9.9499999999999993" customHeight="1"/>
    <row r="64" spans="1:25" ht="9.9499999999999993" customHeight="1"/>
    <row r="65" ht="9.9499999999999993" customHeight="1"/>
    <row r="66" ht="9.9499999999999993" customHeight="1"/>
    <row r="67" ht="9.9499999999999993" customHeight="1"/>
    <row r="68" ht="9.9499999999999993" customHeight="1"/>
    <row r="69" ht="9.9499999999999993" customHeight="1"/>
    <row r="70" ht="9.9499999999999993" customHeight="1"/>
    <row r="71" ht="9.9499999999999993" customHeight="1"/>
    <row r="72" ht="9.9499999999999993" customHeight="1"/>
    <row r="73" ht="9.9499999999999993" customHeight="1"/>
    <row r="74" ht="9.9499999999999993" customHeight="1"/>
    <row r="75" ht="9.9499999999999993" customHeight="1"/>
    <row r="76" ht="9.9499999999999993" customHeight="1"/>
    <row r="77" ht="9.9499999999999993" customHeight="1"/>
    <row r="78" ht="9.9499999999999993" customHeight="1"/>
    <row r="79" ht="9.9499999999999993" customHeight="1"/>
    <row r="80" ht="9.9499999999999993" customHeight="1"/>
    <row r="81" ht="9.9499999999999993" customHeight="1"/>
    <row r="82" ht="9.9499999999999993" customHeight="1"/>
    <row r="83" ht="9.9499999999999993" customHeight="1"/>
    <row r="84" ht="9.9499999999999993" customHeight="1"/>
    <row r="85" ht="9.9499999999999993" customHeight="1"/>
    <row r="86" ht="9.9499999999999993" customHeight="1"/>
    <row r="87" ht="9.9499999999999993" customHeight="1"/>
    <row r="88" ht="9.9499999999999993" customHeight="1"/>
    <row r="89" ht="9.9499999999999993" customHeight="1"/>
    <row r="90" ht="9.9499999999999993" customHeight="1"/>
    <row r="91" ht="9.9499999999999993" customHeight="1"/>
    <row r="92" ht="9.9499999999999993" customHeight="1"/>
    <row r="93" ht="9.9499999999999993" customHeight="1"/>
    <row r="94" ht="9.9499999999999993" customHeight="1"/>
    <row r="95" ht="9.9499999999999993" customHeight="1"/>
    <row r="96" ht="9.9499999999999993" customHeight="1"/>
    <row r="97" ht="9.9499999999999993" customHeight="1"/>
    <row r="98" ht="9.9499999999999993" customHeight="1"/>
    <row r="99" ht="9.9499999999999993" customHeight="1"/>
    <row r="100" ht="9.9499999999999993" customHeight="1"/>
  </sheetData>
  <mergeCells count="35">
    <mergeCell ref="S3:T3"/>
    <mergeCell ref="U3:Y3"/>
    <mergeCell ref="H4:J4"/>
    <mergeCell ref="K4:R4"/>
    <mergeCell ref="S4:T4"/>
    <mergeCell ref="U4:Y4"/>
    <mergeCell ref="H5:J5"/>
    <mergeCell ref="K5:R5"/>
    <mergeCell ref="S5:T5"/>
    <mergeCell ref="U5:Y5"/>
    <mergeCell ref="D8:R8"/>
    <mergeCell ref="T8:U9"/>
    <mergeCell ref="B2:G6"/>
    <mergeCell ref="H2:J2"/>
    <mergeCell ref="K2:R2"/>
    <mergeCell ref="S2:T2"/>
    <mergeCell ref="U2:Y2"/>
    <mergeCell ref="H3:J3"/>
    <mergeCell ref="K3:R3"/>
    <mergeCell ref="H6:J6"/>
    <mergeCell ref="K6:R6"/>
    <mergeCell ref="S6:T6"/>
    <mergeCell ref="B11:R41"/>
    <mergeCell ref="T11:U17"/>
    <mergeCell ref="X11:Y17"/>
    <mergeCell ref="T21:Y41"/>
    <mergeCell ref="X8:Y9"/>
    <mergeCell ref="D9:R9"/>
    <mergeCell ref="T43:V45"/>
    <mergeCell ref="W43:Y45"/>
    <mergeCell ref="B49:D49"/>
    <mergeCell ref="E49:F49"/>
    <mergeCell ref="G49:H49"/>
    <mergeCell ref="I49:J49"/>
    <mergeCell ref="M49:N49"/>
  </mergeCells>
  <pageMargins left="0.25" right="0.25" top="0.75" bottom="0.75" header="0.3" footer="0.3"/>
  <pageSetup paperSize="9" scale="91" orientation="landscape" r:id="rId1"/>
  <headerFooter>
    <oddHeader>&amp;LEUROFAR INTERNATIONAL BV&amp;CPagina &amp;P&amp;R&amp;D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Report</vt:lpstr>
      <vt:lpstr>ParamTable</vt:lpstr>
      <vt:lpstr>REFItems</vt:lpstr>
      <vt:lpstr>TEMPLATE_PS</vt:lpstr>
      <vt:lpstr>Report!Print_Area</vt:lpstr>
      <vt:lpstr>TEMPLATE_PS!Print_Area</vt:lpstr>
      <vt:lpstr>Report!Print_Titles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Quang</cp:lastModifiedBy>
  <cp:lastPrinted>2015-10-23T13:42:11Z</cp:lastPrinted>
  <dcterms:created xsi:type="dcterms:W3CDTF">2011-06-02T03:49:45Z</dcterms:created>
  <dcterms:modified xsi:type="dcterms:W3CDTF">2016-12-12T03:08:19Z</dcterms:modified>
</cp:coreProperties>
</file>