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16725" windowHeight="7755" tabRatio="415"/>
  </bookViews>
  <sheets>
    <sheet name="TOTAL" sheetId="4" r:id="rId1"/>
    <sheet name="EURO_LTD" sheetId="6" r:id="rId2"/>
  </sheets>
  <definedNames>
    <definedName name="_xlnm._FilterDatabase" localSheetId="1" hidden="1">EURO_LTD!$A$5:$T$6</definedName>
    <definedName name="_xlnm._FilterDatabase" localSheetId="0" hidden="1">TOTAL!$A$6:$AR$6</definedName>
    <definedName name="_xlnm.Print_Area" localSheetId="0">TOTAL!#REF!</definedName>
    <definedName name="_xlnm.Print_Titles" localSheetId="0">TOTAL!$1:$6</definedName>
  </definedNames>
  <calcPr calcId="162913"/>
</workbook>
</file>

<file path=xl/calcChain.xml><?xml version="1.0" encoding="utf-8"?>
<calcChain xmlns="http://schemas.openxmlformats.org/spreadsheetml/2006/main">
  <c r="AD4" i="4" l="1"/>
  <c r="AD3" i="4"/>
  <c r="Z4" i="6" l="1"/>
  <c r="Y4" i="6"/>
  <c r="X4" i="6"/>
  <c r="Z3" i="6"/>
  <c r="Y3" i="6"/>
  <c r="X3" i="6"/>
  <c r="K3" i="6" l="1"/>
  <c r="L3" i="6"/>
  <c r="P3" i="6"/>
  <c r="R3" i="6"/>
  <c r="S3" i="6"/>
  <c r="K4" i="6"/>
  <c r="L4" i="6"/>
  <c r="P4" i="6"/>
  <c r="R4" i="6"/>
  <c r="S4" i="6"/>
  <c r="T4" i="6" l="1"/>
  <c r="T3" i="6"/>
  <c r="AA4" i="4"/>
  <c r="AA3" i="4"/>
  <c r="Z4" i="4" l="1"/>
  <c r="AB4" i="4"/>
  <c r="Z3" i="4"/>
  <c r="AB3" i="4"/>
  <c r="N4" i="4" l="1"/>
  <c r="AE4" i="4" s="1"/>
  <c r="N3" i="4"/>
  <c r="AE3" i="4" s="1"/>
  <c r="R4" i="4"/>
  <c r="R3" i="4"/>
  <c r="AP4" i="4"/>
  <c r="AP3" i="4"/>
  <c r="AM4" i="4"/>
  <c r="AM3" i="4"/>
  <c r="AL4" i="4"/>
  <c r="AL3" i="4"/>
  <c r="AK4" i="4"/>
  <c r="AK3" i="4"/>
  <c r="AJ4" i="4"/>
  <c r="AJ3" i="4"/>
  <c r="AI4" i="4"/>
  <c r="AI3" i="4"/>
  <c r="AH4" i="4"/>
  <c r="AH3" i="4"/>
  <c r="AG4" i="4"/>
  <c r="AG3" i="4"/>
  <c r="AF4" i="4"/>
  <c r="AF3" i="4"/>
  <c r="AC4" i="4"/>
  <c r="AC3" i="4"/>
  <c r="Y4" i="4"/>
  <c r="Y3" i="4"/>
  <c r="X4" i="4"/>
  <c r="X3" i="4"/>
  <c r="AQ4" i="4" l="1"/>
  <c r="AQ3" i="4"/>
</calcChain>
</file>

<file path=xl/sharedStrings.xml><?xml version="1.0" encoding="utf-8"?>
<sst xmlns="http://schemas.openxmlformats.org/spreadsheetml/2006/main" count="159" uniqueCount="137">
  <si>
    <t>DELTA</t>
  </si>
  <si>
    <t>COMPANY</t>
  </si>
  <si>
    <t>DATE</t>
  </si>
  <si>
    <t>AMOUNT</t>
  </si>
  <si>
    <t>%</t>
  </si>
  <si>
    <t>NO.:</t>
  </si>
  <si>
    <t>BL NO.:</t>
  </si>
  <si>
    <t>FACTORY</t>
  </si>
  <si>
    <t>GRAND TOTAL TOTAL:</t>
  </si>
  <si>
    <t>TOTAL:</t>
  </si>
  <si>
    <t>C/O</t>
  </si>
  <si>
    <t>SHIPPER</t>
  </si>
  <si>
    <t>PO</t>
  </si>
  <si>
    <t>ns1:BLNo</t>
  </si>
  <si>
    <t>ns1:ProformaInvoiceNo</t>
  </si>
  <si>
    <t>ns1:BuyerUD</t>
  </si>
  <si>
    <t>ns1:FactoryUD</t>
  </si>
  <si>
    <t>ns1:FactoryInvoiceUD</t>
  </si>
  <si>
    <t>ns1:FactoryInvoiceAmount</t>
  </si>
  <si>
    <t>ns1:FactoryInvoiceDate</t>
  </si>
  <si>
    <t>ns1:InvoiceNo</t>
  </si>
  <si>
    <t>ns1:CommercialInvoiceAmount</t>
  </si>
  <si>
    <t>ns1:CommercialInvoiceDate</t>
  </si>
  <si>
    <t>ns1:RowIndex</t>
  </si>
  <si>
    <t>ns1:BLDate</t>
  </si>
  <si>
    <t>ns1:DeltaAmount</t>
  </si>
  <si>
    <t>ns1:DeltaAmountPercent</t>
  </si>
  <si>
    <t>ns1:Country</t>
  </si>
  <si>
    <t>ns1:Company</t>
  </si>
  <si>
    <t>ns1:SupplierUD</t>
  </si>
  <si>
    <t>ns1:OrderDate</t>
  </si>
  <si>
    <t>ns1:ArticleCode</t>
  </si>
  <si>
    <t>ns1:Description</t>
  </si>
  <si>
    <t>ns1:DeliveryQnt</t>
  </si>
  <si>
    <t>ns1:DeliveryInCont</t>
  </si>
  <si>
    <t>ns1:FactoryInvoicePrice</t>
  </si>
  <si>
    <t>ns1:CommercialInvoicePrice</t>
  </si>
  <si>
    <t xml:space="preserve">SUB TOTAL:  </t>
  </si>
  <si>
    <t>ns2:Country</t>
  </si>
  <si>
    <t>ns2:Company</t>
  </si>
  <si>
    <t>EUROFAR's INVOICE</t>
  </si>
  <si>
    <t>DELTA 
(%)</t>
  </si>
  <si>
    <t>Column1</t>
  </si>
  <si>
    <t>EUROFAR</t>
  </si>
  <si>
    <t>Column2</t>
  </si>
  <si>
    <t>FACTORY's INVOICE</t>
  </si>
  <si>
    <t>Column3</t>
  </si>
  <si>
    <t>TOTAL AMOUNT IN USD</t>
  </si>
  <si>
    <t>TOTAL AMOUNT IN EUR</t>
  </si>
  <si>
    <t>TOTAL AMOUNT CONVERT TO EUR</t>
  </si>
  <si>
    <t>SUB -TOTAL:</t>
  </si>
  <si>
    <t>PRICE</t>
  </si>
  <si>
    <t>Column4</t>
  </si>
  <si>
    <t>ISSUED
BY</t>
  </si>
  <si>
    <t>ORIGIN
FACTORY AMOUNT</t>
  </si>
  <si>
    <t>CLIENT NAME</t>
  </si>
  <si>
    <t>Column5</t>
  </si>
  <si>
    <t>TO BE INVOICED 
CONVERT TO EUR</t>
  </si>
  <si>
    <t>Column6</t>
  </si>
  <si>
    <t>Column7</t>
  </si>
  <si>
    <t>Column8</t>
  </si>
  <si>
    <t>Column9</t>
  </si>
  <si>
    <t>Column10</t>
  </si>
  <si>
    <t>Column11</t>
  </si>
  <si>
    <t>Column102</t>
  </si>
  <si>
    <t>Column103</t>
  </si>
  <si>
    <t>Column104</t>
  </si>
  <si>
    <t>NET AMOUNT IN USD</t>
  </si>
  <si>
    <t>NET AMOUNT IN EUR</t>
  </si>
  <si>
    <t>NET AMOUNT CONVERT TO EUR</t>
  </si>
  <si>
    <t>VAT AMOUNT CONVERT TO EUR</t>
  </si>
  <si>
    <t>DISCOUNT AMOUNT CONVERT TO EUR</t>
  </si>
  <si>
    <t>BL DATE</t>
  </si>
  <si>
    <t>CONT NO/SEAL NO</t>
  </si>
  <si>
    <t>TOTAL AMOUNT PER CONT IN USD</t>
  </si>
  <si>
    <t>TOTAL AMOUNT PER CONT IN EUR</t>
  </si>
  <si>
    <t>TOTAL AMOUNT PER CONT CONVERT TO EUR</t>
  </si>
  <si>
    <t>TOTAL AMOUNT
IN USD</t>
  </si>
  <si>
    <t>TOTAL AMOUNT
IN EUR</t>
  </si>
  <si>
    <t>TOTAL AMOUNT
CONVERT TO 
EUR</t>
  </si>
  <si>
    <t>CLIENT 
ID</t>
  </si>
  <si>
    <t>INVOICE NO
OMS</t>
  </si>
  <si>
    <t>FACTORY INVOICE
 NO OMS</t>
  </si>
  <si>
    <t>OMS NO.</t>
  </si>
  <si>
    <t>Column12</t>
  </si>
  <si>
    <t>Column13</t>
  </si>
  <si>
    <t>Column14</t>
  </si>
  <si>
    <t>CHECK AND CONFIRMED BY</t>
  </si>
  <si>
    <t>INVOICE NO
MULTIVERS</t>
  </si>
  <si>
    <t>MV BOOKING 
NO</t>
  </si>
  <si>
    <t>Column112</t>
  </si>
  <si>
    <t>Column113</t>
  </si>
  <si>
    <t>SEA FREIGHT AMOUNT CONVERT TO EUR</t>
  </si>
  <si>
    <t>OTHER AMOUNT CONVERT TO EUR</t>
  </si>
  <si>
    <t>Column114</t>
  </si>
  <si>
    <t>TRUCKING AMOUNT CONVERT TO EUR</t>
  </si>
  <si>
    <t>Column15</t>
  </si>
  <si>
    <t>TYPE OF INVOICE</t>
  </si>
  <si>
    <t>UNIT PRICE</t>
  </si>
  <si>
    <t>EUROFURNINDO LTD</t>
  </si>
  <si>
    <t>DELIVERY CONT</t>
  </si>
  <si>
    <t>DELIVERY QNT</t>
  </si>
  <si>
    <t>DESCRIPTION</t>
  </si>
  <si>
    <t>ARTICLE CODE</t>
  </si>
  <si>
    <t>CLIENT CODE</t>
  </si>
  <si>
    <t>ORDER NO</t>
  </si>
  <si>
    <t>INVOICE NO.</t>
  </si>
  <si>
    <t>FAC. INVOICE</t>
  </si>
  <si>
    <t>SUPPLIER</t>
  </si>
  <si>
    <t>CONT.NO / SEAL NO</t>
  </si>
  <si>
    <t>ns1:EurofarInvoiceNo</t>
  </si>
  <si>
    <t>ns1:EurofarPrice</t>
  </si>
  <si>
    <t>ns1:ECommercialInvoiceAmountInUSD</t>
  </si>
  <si>
    <t>ns1:ECommercialInvoiceAmountInEUR</t>
  </si>
  <si>
    <t>ns1:ECommercialInvoiceAmountEUR</t>
  </si>
  <si>
    <t>INVOICE NO</t>
  </si>
  <si>
    <t>Column22</t>
  </si>
  <si>
    <t>Column23</t>
  </si>
  <si>
    <t>Column24</t>
  </si>
  <si>
    <t>Column25</t>
  </si>
  <si>
    <t>Column232</t>
  </si>
  <si>
    <t>CURRENCY</t>
  </si>
  <si>
    <t>VAT Rate
(%)</t>
  </si>
  <si>
    <t>PAYMENT TERM</t>
  </si>
  <si>
    <t>DELIVERY TERM</t>
  </si>
  <si>
    <t>CLIENT COUNTRY</t>
  </si>
  <si>
    <t>INVOICE TYPE</t>
  </si>
  <si>
    <t>BL No</t>
  </si>
  <si>
    <t>EUROFAR INVOICE INFO</t>
  </si>
  <si>
    <t>Column105</t>
  </si>
  <si>
    <t>Column106</t>
  </si>
  <si>
    <t>DELTA (USD)</t>
  </si>
  <si>
    <t>DELTA (% )</t>
  </si>
  <si>
    <t>FACTORY CONFIRM STATUS</t>
  </si>
  <si>
    <t>AVT CONFIRM STATUS</t>
  </si>
  <si>
    <t>ns2:IsConfirmedPrice</t>
  </si>
  <si>
    <t>ns2:IsConfirmed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</si>
</sst>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* #,##0_-;\-* #,##0_-;_-* &quot;-&quot;_-;_-@_-"/>
    <numFmt numFmtId="167" formatCode="_ * #,##0.00_ ;_ * \-#,##0.00_ ;_ * &quot;-&quot;??_ ;_ @_ "/>
    <numFmt numFmtId="168" formatCode="_-* #,##0\ _B_F_-;\-* #,##0\ _B_F_-;_-* &quot;-&quot;\ _B_F_-;_-@_-"/>
    <numFmt numFmtId="169" formatCode="_(* #,##0_);_(* \(#,##0\);_(* &quot;-&quot;??_);_(@_)"/>
    <numFmt numFmtId="170" formatCode="#,##0\ &quot;DM&quot;;\-#,##0\ &quot;DM&quot;"/>
    <numFmt numFmtId="171" formatCode="0.000%"/>
    <numFmt numFmtId="172" formatCode="&quot;￥&quot;#,##0;&quot;￥&quot;\-#,##0"/>
    <numFmt numFmtId="173" formatCode="00.000"/>
    <numFmt numFmtId="174" formatCode="_-&quot;F&quot;* #,##0_-;\-&quot;F&quot;* #,##0_-;_-&quot;F&quot;* &quot;-&quot;_-;_-@_-"/>
    <numFmt numFmtId="175" formatCode="#,##0\ &quot;F&quot;;[Red]\-#,##0\ &quot;F&quot;"/>
    <numFmt numFmtId="176" formatCode="_-&quot;F&quot;* #,##0.00_-;\-&quot;F&quot;* #,##0.00_-;_-&quot;F&quot;* &quot;-&quot;??_-;_-@_-"/>
    <numFmt numFmtId="177" formatCode="00000000"/>
    <numFmt numFmtId="178" formatCode="000000"/>
    <numFmt numFmtId="179" formatCode="_-[$$-409]* #,##0.00_ ;_-[$$-409]* \-#,##0.00\ ;_-[$$-409]* &quot;-&quot;??_ ;_-@_ "/>
    <numFmt numFmtId="180" formatCode="dd/mm/yy;@"/>
    <numFmt numFmtId="181" formatCode="_ [$€-413]\ * #,##0.00_ ;_ [$€-413]\ * \-#,##0.00_ ;_ [$€-413]\ * &quot;-&quot;??_ ;_ @_ "/>
    <numFmt numFmtId="182" formatCode="_-[$€-2]\ * #,##0.00_-;\-[$€-2]\ * #,##0.00_-;_-[$€-2]\ * &quot;-&quot;??_-;_-@_-"/>
    <numFmt numFmtId="183" formatCode="dd/mm/yy"/>
    <numFmt numFmtId="184" formatCode="0.0%"/>
  </numFmts>
  <fonts count="29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宋体"/>
      <charset val="134"/>
    </font>
    <font>
      <sz val="8"/>
      <name val="VNI-Times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2"/>
      <name val="新細明體"/>
      <charset val="136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Calibri"/>
      <family val="2"/>
      <charset val="163"/>
      <scheme val="minor"/>
    </font>
    <font>
      <sz val="10"/>
      <name val="Calibri"/>
      <family val="2"/>
      <charset val="163"/>
      <scheme val="minor"/>
    </font>
    <font>
      <b/>
      <sz val="10"/>
      <name val="Calibri"/>
      <family val="2"/>
      <charset val="163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AF0F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2">
    <xf numFmtId="168" fontId="0" fillId="0" borderId="0" applyFont="0" applyFill="0" applyBorder="0" applyAlignment="0" applyProtection="0"/>
    <xf numFmtId="168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6" fillId="0" borderId="1" applyNumberFormat="0" applyAlignment="0" applyProtection="0">
      <alignment horizontal="left" vertical="center"/>
    </xf>
    <xf numFmtId="0" fontId="6" fillId="0" borderId="2">
      <alignment horizontal="left" vertical="center"/>
    </xf>
    <xf numFmtId="166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7" fillId="0" borderId="0" applyNumberFormat="0" applyFont="0" applyFill="0" applyAlignment="0"/>
    <xf numFmtId="9" fontId="1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17" fillId="0" borderId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6" fillId="0" borderId="0">
      <alignment vertical="center"/>
    </xf>
    <xf numFmtId="40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" fillId="0" borderId="0"/>
    <xf numFmtId="170" fontId="13" fillId="0" borderId="0" applyFont="0" applyFill="0" applyBorder="0" applyAlignment="0" applyProtection="0"/>
    <xf numFmtId="171" fontId="13" fillId="0" borderId="0" applyFont="0" applyFill="0" applyBorder="0" applyAlignment="0" applyProtection="0"/>
    <xf numFmtId="172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14" fillId="0" borderId="0"/>
    <xf numFmtId="0" fontId="5" fillId="0" borderId="0" applyProtection="0"/>
    <xf numFmtId="166" fontId="11" fillId="0" borderId="0" applyFont="0" applyFill="0" applyBorder="0" applyAlignment="0" applyProtection="0"/>
    <xf numFmtId="40" fontId="12" fillId="0" borderId="0" applyFont="0" applyFill="0" applyBorder="0" applyAlignment="0" applyProtection="0"/>
    <xf numFmtId="174" fontId="11" fillId="0" borderId="0" applyFont="0" applyFill="0" applyBorder="0" applyAlignment="0" applyProtection="0"/>
    <xf numFmtId="175" fontId="12" fillId="0" borderId="0" applyFont="0" applyFill="0" applyBorder="0" applyAlignment="0" applyProtection="0"/>
    <xf numFmtId="176" fontId="11" fillId="0" borderId="0" applyFont="0" applyFill="0" applyBorder="0" applyAlignment="0" applyProtection="0"/>
  </cellStyleXfs>
  <cellXfs count="184">
    <xf numFmtId="0" fontId="0" fillId="0" borderId="0" xfId="0" applyNumberFormat="1"/>
    <xf numFmtId="0" fontId="18" fillId="0" borderId="0" xfId="0" applyNumberFormat="1" applyFont="1" applyFill="1" applyAlignment="1">
      <alignment vertical="center" wrapText="1"/>
    </xf>
    <xf numFmtId="0" fontId="18" fillId="0" borderId="0" xfId="0" applyNumberFormat="1" applyFont="1" applyFill="1" applyAlignment="1">
      <alignment vertical="center"/>
    </xf>
    <xf numFmtId="165" fontId="19" fillId="0" borderId="0" xfId="2" applyFont="1" applyFill="1" applyAlignment="1">
      <alignment vertical="center"/>
    </xf>
    <xf numFmtId="0" fontId="19" fillId="0" borderId="0" xfId="0" applyNumberFormat="1" applyFont="1" applyFill="1" applyAlignment="1">
      <alignment vertical="center"/>
    </xf>
    <xf numFmtId="49" fontId="19" fillId="0" borderId="0" xfId="0" applyNumberFormat="1" applyFont="1" applyFill="1" applyAlignment="1">
      <alignment vertical="center"/>
    </xf>
    <xf numFmtId="14" fontId="19" fillId="0" borderId="0" xfId="0" applyNumberFormat="1" applyFont="1" applyFill="1" applyAlignment="1">
      <alignment vertical="center"/>
    </xf>
    <xf numFmtId="169" fontId="19" fillId="0" borderId="0" xfId="2" applyNumberFormat="1" applyFont="1" applyFill="1" applyAlignment="1">
      <alignment vertical="center"/>
    </xf>
    <xf numFmtId="10" fontId="19" fillId="0" borderId="0" xfId="9" applyNumberFormat="1" applyFont="1" applyFill="1" applyAlignment="1">
      <alignment vertical="center"/>
    </xf>
    <xf numFmtId="169" fontId="19" fillId="0" borderId="0" xfId="2" applyNumberFormat="1" applyFont="1" applyFill="1" applyBorder="1" applyAlignment="1">
      <alignment vertical="center"/>
    </xf>
    <xf numFmtId="0" fontId="20" fillId="0" borderId="0" xfId="0" applyNumberFormat="1" applyFont="1" applyFill="1" applyAlignment="1">
      <alignment horizontal="left" vertical="center"/>
    </xf>
    <xf numFmtId="0" fontId="20" fillId="4" borderId="3" xfId="0" applyNumberFormat="1" applyFont="1" applyFill="1" applyBorder="1" applyAlignment="1">
      <alignment horizontal="left" vertical="center"/>
    </xf>
    <xf numFmtId="180" fontId="20" fillId="4" borderId="3" xfId="0" applyNumberFormat="1" applyFont="1" applyFill="1" applyBorder="1" applyAlignment="1">
      <alignment horizontal="left" vertical="center"/>
    </xf>
    <xf numFmtId="165" fontId="21" fillId="0" borderId="0" xfId="2" applyFont="1" applyFill="1" applyAlignment="1">
      <alignment horizontal="left" vertical="center"/>
    </xf>
    <xf numFmtId="0" fontId="21" fillId="0" borderId="0" xfId="0" applyNumberFormat="1" applyFont="1" applyFill="1" applyAlignment="1">
      <alignment horizontal="left" vertical="center"/>
    </xf>
    <xf numFmtId="180" fontId="21" fillId="0" borderId="0" xfId="0" applyNumberFormat="1" applyFont="1" applyFill="1" applyAlignment="1">
      <alignment horizontal="left" vertical="center"/>
    </xf>
    <xf numFmtId="177" fontId="21" fillId="0" borderId="0" xfId="0" applyNumberFormat="1" applyFont="1" applyFill="1" applyAlignment="1">
      <alignment horizontal="left" vertical="center"/>
    </xf>
    <xf numFmtId="178" fontId="21" fillId="0" borderId="0" xfId="0" applyNumberFormat="1" applyFont="1" applyFill="1" applyAlignment="1">
      <alignment horizontal="left" vertical="center"/>
    </xf>
    <xf numFmtId="179" fontId="21" fillId="0" borderId="0" xfId="0" applyNumberFormat="1" applyFont="1" applyFill="1" applyAlignment="1">
      <alignment horizontal="left" vertical="center"/>
    </xf>
    <xf numFmtId="179" fontId="21" fillId="0" borderId="0" xfId="2" applyNumberFormat="1" applyFont="1" applyFill="1" applyAlignment="1">
      <alignment horizontal="left" vertical="center"/>
    </xf>
    <xf numFmtId="179" fontId="20" fillId="6" borderId="3" xfId="2" applyNumberFormat="1" applyFont="1" applyFill="1" applyBorder="1" applyAlignment="1">
      <alignment horizontal="left" vertical="center"/>
    </xf>
    <xf numFmtId="180" fontId="20" fillId="6" borderId="3" xfId="0" applyNumberFormat="1" applyFont="1" applyFill="1" applyBorder="1" applyAlignment="1">
      <alignment horizontal="left" vertical="center"/>
    </xf>
    <xf numFmtId="0" fontId="23" fillId="0" borderId="5" xfId="0" applyNumberFormat="1" applyFont="1" applyFill="1" applyBorder="1" applyAlignment="1">
      <alignment horizontal="left" vertical="center"/>
    </xf>
    <xf numFmtId="180" fontId="23" fillId="0" borderId="6" xfId="0" applyNumberFormat="1" applyFont="1" applyFill="1" applyBorder="1" applyAlignment="1">
      <alignment horizontal="left" vertical="center"/>
    </xf>
    <xf numFmtId="0" fontId="22" fillId="0" borderId="6" xfId="0" applyNumberFormat="1" applyFont="1" applyFill="1" applyBorder="1" applyAlignment="1">
      <alignment horizontal="left" vertical="center"/>
    </xf>
    <xf numFmtId="177" fontId="22" fillId="0" borderId="6" xfId="0" applyNumberFormat="1" applyFont="1" applyFill="1" applyBorder="1" applyAlignment="1">
      <alignment horizontal="left" vertical="center"/>
    </xf>
    <xf numFmtId="178" fontId="22" fillId="0" borderId="6" xfId="0" applyNumberFormat="1" applyFont="1" applyFill="1" applyBorder="1" applyAlignment="1">
      <alignment horizontal="left" vertical="center"/>
    </xf>
    <xf numFmtId="167" fontId="20" fillId="6" borderId="3" xfId="9" applyNumberFormat="1" applyFont="1" applyFill="1" applyBorder="1" applyAlignment="1">
      <alignment horizontal="left" vertical="center"/>
    </xf>
    <xf numFmtId="169" fontId="18" fillId="2" borderId="3" xfId="2" applyNumberFormat="1" applyFont="1" applyFill="1" applyBorder="1" applyAlignment="1">
      <alignment horizontal="center" vertical="center" wrapText="1"/>
    </xf>
    <xf numFmtId="14" fontId="18" fillId="2" borderId="3" xfId="2" applyNumberFormat="1" applyFont="1" applyFill="1" applyBorder="1" applyAlignment="1">
      <alignment horizontal="center" vertical="center" wrapText="1"/>
    </xf>
    <xf numFmtId="49" fontId="18" fillId="2" borderId="3" xfId="2" applyNumberFormat="1" applyFont="1" applyFill="1" applyBorder="1" applyAlignment="1">
      <alignment horizontal="center" vertical="center" wrapText="1"/>
    </xf>
    <xf numFmtId="168" fontId="18" fillId="2" borderId="3" xfId="0" applyFont="1" applyFill="1" applyBorder="1" applyAlignment="1">
      <alignment horizontal="center" vertical="center" wrapText="1"/>
    </xf>
    <xf numFmtId="165" fontId="20" fillId="4" borderId="2" xfId="2" applyFont="1" applyFill="1" applyBorder="1" applyAlignment="1">
      <alignment horizontal="center" vertical="center"/>
    </xf>
    <xf numFmtId="182" fontId="21" fillId="0" borderId="0" xfId="0" applyNumberFormat="1" applyFont="1" applyFill="1" applyAlignment="1">
      <alignment horizontal="right" vertical="center"/>
    </xf>
    <xf numFmtId="179" fontId="21" fillId="0" borderId="0" xfId="0" applyNumberFormat="1" applyFont="1" applyFill="1" applyAlignment="1">
      <alignment horizontal="right" vertical="center"/>
    </xf>
    <xf numFmtId="165" fontId="18" fillId="2" borderId="3" xfId="2" applyFont="1" applyFill="1" applyBorder="1" applyAlignment="1">
      <alignment horizontal="center" vertical="center" wrapText="1"/>
    </xf>
    <xf numFmtId="182" fontId="20" fillId="6" borderId="3" xfId="2" applyNumberFormat="1" applyFont="1" applyFill="1" applyBorder="1" applyAlignment="1">
      <alignment horizontal="left" vertical="center"/>
    </xf>
    <xf numFmtId="182" fontId="21" fillId="0" borderId="0" xfId="0" applyNumberFormat="1" applyFont="1" applyFill="1" applyAlignment="1">
      <alignment horizontal="left" vertical="center"/>
    </xf>
    <xf numFmtId="180" fontId="20" fillId="7" borderId="3" xfId="0" applyNumberFormat="1" applyFont="1" applyFill="1" applyBorder="1" applyAlignment="1">
      <alignment horizontal="left" vertical="center"/>
    </xf>
    <xf numFmtId="0" fontId="17" fillId="0" borderId="11" xfId="0" applyNumberFormat="1" applyFont="1" applyFill="1" applyBorder="1" applyAlignment="1">
      <alignment horizontal="left" vertical="center"/>
    </xf>
    <xf numFmtId="49" fontId="17" fillId="0" borderId="8" xfId="2" applyNumberFormat="1" applyFont="1" applyFill="1" applyBorder="1" applyAlignment="1">
      <alignment horizontal="left" vertical="center"/>
    </xf>
    <xf numFmtId="49" fontId="17" fillId="0" borderId="8" xfId="0" applyNumberFormat="1" applyFont="1" applyFill="1" applyBorder="1" applyAlignment="1">
      <alignment horizontal="left" vertical="center"/>
    </xf>
    <xf numFmtId="183" fontId="17" fillId="0" borderId="8" xfId="0" applyNumberFormat="1" applyFont="1" applyFill="1" applyBorder="1" applyAlignment="1">
      <alignment horizontal="left" vertical="center"/>
    </xf>
    <xf numFmtId="165" fontId="19" fillId="0" borderId="0" xfId="2" applyFont="1" applyFill="1" applyAlignment="1">
      <alignment horizontal="center" vertical="center"/>
    </xf>
    <xf numFmtId="169" fontId="18" fillId="5" borderId="3" xfId="2" applyNumberFormat="1" applyFont="1" applyFill="1" applyBorder="1" applyAlignment="1">
      <alignment horizontal="center" vertical="center" wrapText="1"/>
    </xf>
    <xf numFmtId="165" fontId="18" fillId="8" borderId="3" xfId="2" applyFont="1" applyFill="1" applyBorder="1" applyAlignment="1">
      <alignment horizontal="center" vertical="center" wrapText="1"/>
    </xf>
    <xf numFmtId="0" fontId="18" fillId="8" borderId="3" xfId="0" applyNumberFormat="1" applyFont="1" applyFill="1" applyBorder="1" applyAlignment="1">
      <alignment horizontal="center" vertical="center" wrapText="1"/>
    </xf>
    <xf numFmtId="179" fontId="18" fillId="0" borderId="3" xfId="2" applyNumberFormat="1" applyFont="1" applyFill="1" applyBorder="1" applyAlignment="1">
      <alignment vertical="center"/>
    </xf>
    <xf numFmtId="10" fontId="18" fillId="9" borderId="3" xfId="9" applyNumberFormat="1" applyFont="1" applyFill="1" applyBorder="1" applyAlignment="1">
      <alignment horizontal="center" vertical="center" wrapText="1"/>
    </xf>
    <xf numFmtId="165" fontId="18" fillId="12" borderId="3" xfId="2" applyFont="1" applyFill="1" applyBorder="1" applyAlignment="1">
      <alignment horizontal="center" vertical="center" wrapText="1"/>
    </xf>
    <xf numFmtId="169" fontId="28" fillId="0" borderId="3" xfId="2" applyNumberFormat="1" applyFont="1" applyFill="1" applyBorder="1" applyAlignment="1">
      <alignment vertical="center"/>
    </xf>
    <xf numFmtId="165" fontId="28" fillId="0" borderId="3" xfId="2" applyFont="1" applyFill="1" applyBorder="1" applyAlignment="1">
      <alignment vertical="center"/>
    </xf>
    <xf numFmtId="49" fontId="28" fillId="0" borderId="3" xfId="2" applyNumberFormat="1" applyFont="1" applyFill="1" applyBorder="1" applyAlignment="1">
      <alignment vertical="center"/>
    </xf>
    <xf numFmtId="14" fontId="28" fillId="0" borderId="3" xfId="2" applyNumberFormat="1" applyFont="1" applyFill="1" applyBorder="1" applyAlignment="1">
      <alignment vertical="center"/>
    </xf>
    <xf numFmtId="179" fontId="28" fillId="11" borderId="3" xfId="2" applyNumberFormat="1" applyFont="1" applyFill="1" applyBorder="1" applyAlignment="1">
      <alignment vertical="center"/>
    </xf>
    <xf numFmtId="179" fontId="28" fillId="12" borderId="3" xfId="2" applyNumberFormat="1" applyFont="1" applyFill="1" applyBorder="1" applyAlignment="1">
      <alignment vertical="center"/>
    </xf>
    <xf numFmtId="179" fontId="28" fillId="9" borderId="3" xfId="2" applyNumberFormat="1" applyFont="1" applyFill="1" applyBorder="1" applyAlignment="1">
      <alignment vertical="center"/>
    </xf>
    <xf numFmtId="10" fontId="28" fillId="9" borderId="3" xfId="9" applyNumberFormat="1" applyFont="1" applyFill="1" applyBorder="1" applyAlignment="1">
      <alignment vertical="center"/>
    </xf>
    <xf numFmtId="165" fontId="28" fillId="10" borderId="3" xfId="2" applyFont="1" applyFill="1" applyBorder="1" applyAlignment="1">
      <alignment vertical="center"/>
    </xf>
    <xf numFmtId="179" fontId="28" fillId="10" borderId="3" xfId="2" applyNumberFormat="1" applyFont="1" applyFill="1" applyBorder="1" applyAlignment="1">
      <alignment vertical="center"/>
    </xf>
    <xf numFmtId="181" fontId="28" fillId="10" borderId="3" xfId="0" applyNumberFormat="1" applyFont="1" applyFill="1" applyBorder="1" applyAlignment="1">
      <alignment vertical="center"/>
    </xf>
    <xf numFmtId="165" fontId="28" fillId="11" borderId="3" xfId="2" applyFont="1" applyFill="1" applyBorder="1" applyAlignment="1">
      <alignment vertical="center"/>
    </xf>
    <xf numFmtId="0" fontId="20" fillId="0" borderId="3" xfId="0" applyNumberFormat="1" applyFont="1" applyFill="1" applyBorder="1" applyAlignment="1">
      <alignment horizontal="left" vertical="center"/>
    </xf>
    <xf numFmtId="180" fontId="20" fillId="0" borderId="3" xfId="0" applyNumberFormat="1" applyFont="1" applyFill="1" applyBorder="1" applyAlignment="1">
      <alignment horizontal="left" vertical="center"/>
    </xf>
    <xf numFmtId="177" fontId="20" fillId="0" borderId="3" xfId="0" applyNumberFormat="1" applyFont="1" applyFill="1" applyBorder="1" applyAlignment="1">
      <alignment horizontal="left" vertical="center"/>
    </xf>
    <xf numFmtId="178" fontId="20" fillId="0" borderId="3" xfId="0" applyNumberFormat="1" applyFont="1" applyFill="1" applyBorder="1" applyAlignment="1">
      <alignment horizontal="left" vertical="center"/>
    </xf>
    <xf numFmtId="0" fontId="20" fillId="0" borderId="3" xfId="0" applyNumberFormat="1" applyFont="1" applyFill="1" applyBorder="1" applyAlignment="1">
      <alignment horizontal="right" vertical="center"/>
    </xf>
    <xf numFmtId="165" fontId="20" fillId="0" borderId="2" xfId="2" applyFont="1" applyFill="1" applyBorder="1" applyAlignment="1">
      <alignment horizontal="right" vertical="center"/>
    </xf>
    <xf numFmtId="179" fontId="20" fillId="11" borderId="3" xfId="0" applyNumberFormat="1" applyFont="1" applyFill="1" applyBorder="1" applyAlignment="1">
      <alignment horizontal="right" vertical="center"/>
    </xf>
    <xf numFmtId="179" fontId="20" fillId="11" borderId="3" xfId="2" applyNumberFormat="1" applyFont="1" applyFill="1" applyBorder="1" applyAlignment="1">
      <alignment horizontal="right" vertical="center"/>
    </xf>
    <xf numFmtId="179" fontId="20" fillId="11" borderId="2" xfId="2" applyNumberFormat="1" applyFont="1" applyFill="1" applyBorder="1" applyAlignment="1">
      <alignment horizontal="right" vertical="center"/>
    </xf>
    <xf numFmtId="0" fontId="20" fillId="13" borderId="3" xfId="0" applyNumberFormat="1" applyFont="1" applyFill="1" applyBorder="1" applyAlignment="1">
      <alignment horizontal="center" vertical="center"/>
    </xf>
    <xf numFmtId="0" fontId="20" fillId="13" borderId="3" xfId="0" applyNumberFormat="1" applyFont="1" applyFill="1" applyBorder="1" applyAlignment="1">
      <alignment horizontal="center" vertical="center" wrapText="1"/>
    </xf>
    <xf numFmtId="165" fontId="20" fillId="13" borderId="3" xfId="2" applyFont="1" applyFill="1" applyBorder="1" applyAlignment="1">
      <alignment horizontal="center" vertical="center" wrapText="1"/>
    </xf>
    <xf numFmtId="180" fontId="20" fillId="13" borderId="3" xfId="0" applyNumberFormat="1" applyFont="1" applyFill="1" applyBorder="1" applyAlignment="1">
      <alignment horizontal="center" vertical="center"/>
    </xf>
    <xf numFmtId="0" fontId="20" fillId="13" borderId="3" xfId="0" applyNumberFormat="1" applyFont="1" applyFill="1" applyBorder="1" applyAlignment="1">
      <alignment horizontal="left" vertical="center"/>
    </xf>
    <xf numFmtId="165" fontId="20" fillId="13" borderId="3" xfId="2" applyFont="1" applyFill="1" applyBorder="1" applyAlignment="1">
      <alignment horizontal="left" vertical="center"/>
    </xf>
    <xf numFmtId="179" fontId="20" fillId="13" borderId="3" xfId="0" applyNumberFormat="1" applyFont="1" applyFill="1" applyBorder="1" applyAlignment="1">
      <alignment horizontal="left" vertical="center"/>
    </xf>
    <xf numFmtId="165" fontId="20" fillId="13" borderId="3" xfId="2" applyFont="1" applyFill="1" applyBorder="1" applyAlignment="1">
      <alignment vertical="center"/>
    </xf>
    <xf numFmtId="165" fontId="0" fillId="13" borderId="3" xfId="2" applyFont="1" applyFill="1" applyBorder="1" applyAlignment="1">
      <alignment horizontal="left" vertical="center"/>
    </xf>
    <xf numFmtId="165" fontId="20" fillId="13" borderId="3" xfId="0" applyNumberFormat="1" applyFont="1" applyFill="1" applyBorder="1" applyAlignment="1">
      <alignment horizontal="left" vertical="center"/>
    </xf>
    <xf numFmtId="180" fontId="20" fillId="13" borderId="3" xfId="2" applyNumberFormat="1" applyFont="1" applyFill="1" applyBorder="1" applyAlignment="1">
      <alignment horizontal="left" vertical="center"/>
    </xf>
    <xf numFmtId="180" fontId="20" fillId="10" borderId="3" xfId="0" applyNumberFormat="1" applyFont="1" applyFill="1" applyBorder="1" applyAlignment="1">
      <alignment horizontal="center" vertical="center" wrapText="1"/>
    </xf>
    <xf numFmtId="182" fontId="20" fillId="10" borderId="3" xfId="0" applyNumberFormat="1" applyFont="1" applyFill="1" applyBorder="1" applyAlignment="1">
      <alignment horizontal="center" vertical="center" wrapText="1"/>
    </xf>
    <xf numFmtId="179" fontId="20" fillId="10" borderId="3" xfId="0" applyNumberFormat="1" applyFont="1" applyFill="1" applyBorder="1" applyAlignment="1">
      <alignment horizontal="left" vertical="center"/>
    </xf>
    <xf numFmtId="181" fontId="20" fillId="10" borderId="3" xfId="0" applyNumberFormat="1" applyFont="1" applyFill="1" applyBorder="1" applyAlignment="1">
      <alignment horizontal="right" vertical="center"/>
    </xf>
    <xf numFmtId="180" fontId="20" fillId="10" borderId="3" xfId="0" applyNumberFormat="1" applyFont="1" applyFill="1" applyBorder="1" applyAlignment="1">
      <alignment horizontal="left" vertical="center"/>
    </xf>
    <xf numFmtId="182" fontId="20" fillId="10" borderId="3" xfId="0" applyNumberFormat="1" applyFont="1" applyFill="1" applyBorder="1" applyAlignment="1">
      <alignment horizontal="right" vertical="center"/>
    </xf>
    <xf numFmtId="182" fontId="20" fillId="10" borderId="3" xfId="2" applyNumberFormat="1" applyFont="1" applyFill="1" applyBorder="1" applyAlignment="1">
      <alignment horizontal="right" vertical="center"/>
    </xf>
    <xf numFmtId="165" fontId="18" fillId="9" borderId="3" xfId="2" applyFont="1" applyFill="1" applyBorder="1" applyAlignment="1">
      <alignment horizontal="center" vertical="center" wrapText="1"/>
    </xf>
    <xf numFmtId="179" fontId="25" fillId="9" borderId="3" xfId="0" applyNumberFormat="1" applyFont="1" applyFill="1" applyBorder="1" applyAlignment="1">
      <alignment horizontal="left" vertical="center"/>
    </xf>
    <xf numFmtId="10" fontId="20" fillId="9" borderId="3" xfId="2" applyNumberFormat="1" applyFont="1" applyFill="1" applyBorder="1" applyAlignment="1">
      <alignment horizontal="left" vertical="center"/>
    </xf>
    <xf numFmtId="165" fontId="20" fillId="9" borderId="3" xfId="2" applyFont="1" applyFill="1" applyBorder="1" applyAlignment="1">
      <alignment horizontal="left" vertical="center"/>
    </xf>
    <xf numFmtId="165" fontId="20" fillId="9" borderId="6" xfId="2" applyFont="1" applyFill="1" applyBorder="1" applyAlignment="1">
      <alignment horizontal="left" vertical="center"/>
    </xf>
    <xf numFmtId="49" fontId="21" fillId="0" borderId="8" xfId="0" applyNumberFormat="1" applyFont="1" applyFill="1" applyBorder="1" applyAlignment="1">
      <alignment horizontal="left" vertical="center"/>
    </xf>
    <xf numFmtId="49" fontId="21" fillId="0" borderId="9" xfId="0" applyNumberFormat="1" applyFont="1" applyFill="1" applyBorder="1" applyAlignment="1">
      <alignment horizontal="left" vertical="center"/>
    </xf>
    <xf numFmtId="179" fontId="17" fillId="0" borderId="8" xfId="2" applyNumberFormat="1" applyFont="1" applyFill="1" applyBorder="1" applyAlignment="1">
      <alignment horizontal="right" vertical="center"/>
    </xf>
    <xf numFmtId="179" fontId="17" fillId="0" borderId="8" xfId="0" applyNumberFormat="1" applyFont="1" applyFill="1" applyBorder="1" applyAlignment="1">
      <alignment horizontal="left" vertical="center"/>
    </xf>
    <xf numFmtId="183" fontId="17" fillId="0" borderId="8" xfId="2" applyNumberFormat="1" applyFont="1" applyFill="1" applyBorder="1" applyAlignment="1">
      <alignment horizontal="left" vertical="center"/>
    </xf>
    <xf numFmtId="181" fontId="17" fillId="0" borderId="8" xfId="0" applyNumberFormat="1" applyFont="1" applyFill="1" applyBorder="1" applyAlignment="1">
      <alignment horizontal="right" vertical="center"/>
    </xf>
    <xf numFmtId="183" fontId="17" fillId="0" borderId="8" xfId="9" applyNumberFormat="1" applyFont="1" applyFill="1" applyBorder="1" applyAlignment="1">
      <alignment horizontal="left" vertical="center"/>
    </xf>
    <xf numFmtId="179" fontId="17" fillId="0" borderId="8" xfId="2" applyNumberFormat="1" applyFont="1" applyFill="1" applyBorder="1" applyAlignment="1">
      <alignment horizontal="left" vertical="center"/>
    </xf>
    <xf numFmtId="0" fontId="17" fillId="0" borderId="8" xfId="2" applyNumberFormat="1" applyFont="1" applyFill="1" applyBorder="1" applyAlignment="1">
      <alignment horizontal="left" vertical="center"/>
    </xf>
    <xf numFmtId="179" fontId="22" fillId="0" borderId="6" xfId="0" applyNumberFormat="1" applyFont="1" applyFill="1" applyBorder="1" applyAlignment="1">
      <alignment horizontal="right" vertical="center"/>
    </xf>
    <xf numFmtId="165" fontId="22" fillId="0" borderId="6" xfId="2" applyNumberFormat="1" applyFont="1" applyFill="1" applyBorder="1" applyAlignment="1">
      <alignment horizontal="left" vertical="center"/>
    </xf>
    <xf numFmtId="180" fontId="22" fillId="0" borderId="6" xfId="0" applyNumberFormat="1" applyFont="1" applyFill="1" applyBorder="1" applyAlignment="1">
      <alignment horizontal="left" vertical="center"/>
    </xf>
    <xf numFmtId="179" fontId="22" fillId="0" borderId="6" xfId="2" applyNumberFormat="1" applyFont="1" applyFill="1" applyBorder="1" applyAlignment="1">
      <alignment horizontal="left" vertical="center"/>
    </xf>
    <xf numFmtId="182" fontId="22" fillId="0" borderId="6" xfId="0" applyNumberFormat="1" applyFont="1" applyFill="1" applyBorder="1" applyAlignment="1">
      <alignment horizontal="right" vertical="center"/>
    </xf>
    <xf numFmtId="182" fontId="23" fillId="0" borderId="6" xfId="0" applyNumberFormat="1" applyFont="1" applyFill="1" applyBorder="1" applyAlignment="1">
      <alignment horizontal="right" vertical="center"/>
    </xf>
    <xf numFmtId="182" fontId="23" fillId="0" borderId="6" xfId="0" applyNumberFormat="1" applyFont="1" applyFill="1" applyBorder="1" applyAlignment="1">
      <alignment horizontal="left" vertical="center"/>
    </xf>
    <xf numFmtId="0" fontId="23" fillId="0" borderId="6" xfId="0" applyNumberFormat="1" applyFont="1" applyFill="1" applyBorder="1" applyAlignment="1">
      <alignment horizontal="left" vertical="center"/>
    </xf>
    <xf numFmtId="165" fontId="23" fillId="0" borderId="6" xfId="2" applyFont="1" applyFill="1" applyBorder="1" applyAlignment="1">
      <alignment horizontal="left" vertical="center"/>
    </xf>
    <xf numFmtId="0" fontId="23" fillId="0" borderId="10" xfId="0" applyNumberFormat="1" applyFont="1" applyFill="1" applyBorder="1" applyAlignment="1">
      <alignment horizontal="left" vertical="center"/>
    </xf>
    <xf numFmtId="180" fontId="20" fillId="14" borderId="3" xfId="0" applyNumberFormat="1" applyFont="1" applyFill="1" applyBorder="1" applyAlignment="1">
      <alignment horizontal="center" vertical="center" wrapText="1"/>
    </xf>
    <xf numFmtId="179" fontId="20" fillId="14" borderId="3" xfId="2" applyNumberFormat="1" applyFont="1" applyFill="1" applyBorder="1" applyAlignment="1">
      <alignment horizontal="center" vertical="center" wrapText="1"/>
    </xf>
    <xf numFmtId="179" fontId="20" fillId="14" borderId="3" xfId="2" applyNumberFormat="1" applyFont="1" applyFill="1" applyBorder="1" applyAlignment="1">
      <alignment horizontal="left" vertical="center"/>
    </xf>
    <xf numFmtId="181" fontId="20" fillId="14" borderId="3" xfId="0" applyNumberFormat="1" applyFont="1" applyFill="1" applyBorder="1" applyAlignment="1">
      <alignment horizontal="right" vertical="center"/>
    </xf>
    <xf numFmtId="179" fontId="20" fillId="14" borderId="3" xfId="0" applyNumberFormat="1" applyFont="1" applyFill="1" applyBorder="1" applyAlignment="1">
      <alignment horizontal="left" vertical="center"/>
    </xf>
    <xf numFmtId="182" fontId="20" fillId="14" borderId="3" xfId="0" applyNumberFormat="1" applyFont="1" applyFill="1" applyBorder="1" applyAlignment="1">
      <alignment horizontal="center" vertical="center" wrapText="1"/>
    </xf>
    <xf numFmtId="0" fontId="20" fillId="14" borderId="3" xfId="0" applyNumberFormat="1" applyFont="1" applyFill="1" applyBorder="1" applyAlignment="1">
      <alignment horizontal="center" vertical="center"/>
    </xf>
    <xf numFmtId="182" fontId="20" fillId="14" borderId="3" xfId="0" applyNumberFormat="1" applyFont="1" applyFill="1" applyBorder="1" applyAlignment="1">
      <alignment horizontal="left" vertical="center"/>
    </xf>
    <xf numFmtId="10" fontId="20" fillId="14" borderId="3" xfId="9" applyNumberFormat="1" applyFont="1" applyFill="1" applyBorder="1" applyAlignment="1">
      <alignment horizontal="left" vertical="center"/>
    </xf>
    <xf numFmtId="181" fontId="20" fillId="5" borderId="3" xfId="0" applyNumberFormat="1" applyFont="1" applyFill="1" applyBorder="1" applyAlignment="1">
      <alignment horizontal="right" vertical="center"/>
    </xf>
    <xf numFmtId="165" fontId="20" fillId="4" borderId="2" xfId="2" applyFont="1" applyFill="1" applyBorder="1" applyAlignment="1">
      <alignment horizontal="center" vertical="center"/>
    </xf>
    <xf numFmtId="165" fontId="20" fillId="0" borderId="2" xfId="2" applyFont="1" applyFill="1" applyBorder="1" applyAlignment="1">
      <alignment horizontal="right" vertical="center"/>
    </xf>
    <xf numFmtId="0" fontId="20" fillId="14" borderId="3" xfId="0" applyNumberFormat="1" applyFont="1" applyFill="1" applyBorder="1" applyAlignment="1">
      <alignment horizontal="center" vertical="center" wrapText="1"/>
    </xf>
    <xf numFmtId="1" fontId="17" fillId="0" borderId="8" xfId="2" applyNumberFormat="1" applyFont="1" applyFill="1" applyBorder="1" applyAlignment="1">
      <alignment horizontal="left" vertical="center"/>
    </xf>
    <xf numFmtId="165" fontId="18" fillId="11" borderId="3" xfId="2" applyFont="1" applyFill="1" applyBorder="1" applyAlignment="1">
      <alignment horizontal="center" vertical="center" wrapText="1"/>
    </xf>
    <xf numFmtId="169" fontId="24" fillId="0" borderId="3" xfId="2" applyNumberFormat="1" applyFont="1" applyFill="1" applyBorder="1" applyAlignment="1">
      <alignment vertical="center"/>
    </xf>
    <xf numFmtId="165" fontId="24" fillId="0" borderId="3" xfId="2" applyFont="1" applyFill="1" applyBorder="1" applyAlignment="1">
      <alignment vertical="center"/>
    </xf>
    <xf numFmtId="49" fontId="24" fillId="0" borderId="3" xfId="2" applyNumberFormat="1" applyFont="1" applyFill="1" applyBorder="1" applyAlignment="1">
      <alignment vertical="center"/>
    </xf>
    <xf numFmtId="14" fontId="24" fillId="0" borderId="3" xfId="2" applyNumberFormat="1" applyFont="1" applyFill="1" applyBorder="1" applyAlignment="1">
      <alignment vertical="center"/>
    </xf>
    <xf numFmtId="10" fontId="24" fillId="0" borderId="3" xfId="9" applyNumberFormat="1" applyFont="1" applyFill="1" applyBorder="1" applyAlignment="1">
      <alignment vertical="center"/>
    </xf>
    <xf numFmtId="165" fontId="26" fillId="0" borderId="3" xfId="2" applyFont="1" applyFill="1" applyBorder="1" applyAlignment="1">
      <alignment vertical="center"/>
    </xf>
    <xf numFmtId="49" fontId="27" fillId="0" borderId="3" xfId="2" applyNumberFormat="1" applyFont="1" applyFill="1" applyBorder="1" applyAlignment="1">
      <alignment vertical="center"/>
    </xf>
    <xf numFmtId="49" fontId="27" fillId="0" borderId="3" xfId="2" applyNumberFormat="1" applyFont="1" applyFill="1" applyBorder="1" applyAlignment="1">
      <alignment horizontal="center" vertical="center"/>
    </xf>
    <xf numFmtId="49" fontId="27" fillId="0" borderId="3" xfId="2" applyNumberFormat="1" applyFont="1" applyFill="1" applyBorder="1" applyAlignment="1">
      <alignment vertical="center" wrapText="1"/>
    </xf>
    <xf numFmtId="169" fontId="27" fillId="0" borderId="3" xfId="2" applyNumberFormat="1" applyFont="1" applyFill="1" applyBorder="1" applyAlignment="1">
      <alignment vertical="center"/>
    </xf>
    <xf numFmtId="165" fontId="27" fillId="0" borderId="3" xfId="2" applyFont="1" applyFill="1" applyBorder="1" applyAlignment="1">
      <alignment vertical="center"/>
    </xf>
    <xf numFmtId="179" fontId="27" fillId="0" borderId="3" xfId="2" applyNumberFormat="1" applyFont="1" applyFill="1" applyBorder="1" applyAlignment="1">
      <alignment vertical="center"/>
    </xf>
    <xf numFmtId="10" fontId="27" fillId="0" borderId="3" xfId="9" applyNumberFormat="1" applyFont="1" applyFill="1" applyBorder="1" applyAlignment="1">
      <alignment vertical="center"/>
    </xf>
    <xf numFmtId="181" fontId="27" fillId="0" borderId="3" xfId="0" applyNumberFormat="1" applyFont="1" applyFill="1" applyBorder="1" applyAlignment="1">
      <alignment vertical="center"/>
    </xf>
    <xf numFmtId="180" fontId="22" fillId="0" borderId="3" xfId="0" applyNumberFormat="1" applyFont="1" applyFill="1" applyBorder="1" applyAlignment="1">
      <alignment horizontal="left" vertical="center"/>
    </xf>
    <xf numFmtId="184" fontId="20" fillId="14" borderId="3" xfId="0" applyNumberFormat="1" applyFont="1" applyFill="1" applyBorder="1" applyAlignment="1">
      <alignment horizontal="right" vertical="center"/>
    </xf>
    <xf numFmtId="0" fontId="21" fillId="0" borderId="12" xfId="0" applyNumberFormat="1" applyFont="1" applyFill="1" applyBorder="1" applyAlignment="1">
      <alignment horizontal="left" vertical="center"/>
    </xf>
    <xf numFmtId="184" fontId="17" fillId="0" borderId="8" xfId="0" applyNumberFormat="1" applyFont="1" applyFill="1" applyBorder="1" applyAlignment="1">
      <alignment horizontal="right" vertical="center"/>
    </xf>
    <xf numFmtId="180" fontId="21" fillId="0" borderId="12" xfId="0" applyNumberFormat="1" applyFont="1" applyFill="1" applyBorder="1" applyAlignment="1">
      <alignment horizontal="left" vertical="center"/>
    </xf>
    <xf numFmtId="177" fontId="21" fillId="0" borderId="12" xfId="0" applyNumberFormat="1" applyFont="1" applyFill="1" applyBorder="1" applyAlignment="1">
      <alignment horizontal="left" vertical="center"/>
    </xf>
    <xf numFmtId="178" fontId="21" fillId="0" borderId="12" xfId="0" applyNumberFormat="1" applyFont="1" applyFill="1" applyBorder="1" applyAlignment="1">
      <alignment horizontal="left" vertical="center"/>
    </xf>
    <xf numFmtId="179" fontId="21" fillId="0" borderId="12" xfId="0" applyNumberFormat="1" applyFont="1" applyFill="1" applyBorder="1" applyAlignment="1">
      <alignment horizontal="right" vertical="center"/>
    </xf>
    <xf numFmtId="165" fontId="21" fillId="0" borderId="12" xfId="2" applyFont="1" applyFill="1" applyBorder="1" applyAlignment="1">
      <alignment horizontal="left" vertical="center"/>
    </xf>
    <xf numFmtId="165" fontId="21" fillId="0" borderId="12" xfId="0" applyNumberFormat="1" applyFont="1" applyFill="1" applyBorder="1" applyAlignment="1">
      <alignment horizontal="left" vertical="center"/>
    </xf>
    <xf numFmtId="179" fontId="21" fillId="0" borderId="12" xfId="2" applyNumberFormat="1" applyFont="1" applyFill="1" applyBorder="1" applyAlignment="1">
      <alignment horizontal="left" vertical="center"/>
    </xf>
    <xf numFmtId="182" fontId="21" fillId="0" borderId="12" xfId="0" applyNumberFormat="1" applyFont="1" applyFill="1" applyBorder="1" applyAlignment="1">
      <alignment horizontal="right" vertical="center"/>
    </xf>
    <xf numFmtId="182" fontId="21" fillId="0" borderId="12" xfId="0" applyNumberFormat="1" applyFont="1" applyFill="1" applyBorder="1" applyAlignment="1">
      <alignment horizontal="left" vertical="center"/>
    </xf>
    <xf numFmtId="0" fontId="20" fillId="5" borderId="3" xfId="0" applyNumberFormat="1" applyFont="1" applyFill="1" applyBorder="1" applyAlignment="1">
      <alignment horizontal="center" vertical="center" wrapText="1"/>
    </xf>
    <xf numFmtId="165" fontId="20" fillId="4" borderId="4" xfId="2" applyFont="1" applyFill="1" applyBorder="1" applyAlignment="1">
      <alignment horizontal="center" vertical="center"/>
    </xf>
    <xf numFmtId="165" fontId="20" fillId="4" borderId="2" xfId="2" applyFont="1" applyFill="1" applyBorder="1" applyAlignment="1">
      <alignment horizontal="center" vertical="center"/>
    </xf>
    <xf numFmtId="165" fontId="20" fillId="9" borderId="3" xfId="2" applyFont="1" applyFill="1" applyBorder="1" applyAlignment="1">
      <alignment horizontal="center" vertical="center" wrapText="1"/>
    </xf>
    <xf numFmtId="0" fontId="20" fillId="2" borderId="3" xfId="0" applyNumberFormat="1" applyFont="1" applyFill="1" applyBorder="1" applyAlignment="1">
      <alignment horizontal="center" vertical="center"/>
    </xf>
    <xf numFmtId="180" fontId="20" fillId="2" borderId="3" xfId="0" applyNumberFormat="1" applyFont="1" applyFill="1" applyBorder="1" applyAlignment="1">
      <alignment horizontal="center" vertical="center"/>
    </xf>
    <xf numFmtId="178" fontId="20" fillId="2" borderId="3" xfId="0" applyNumberFormat="1" applyFont="1" applyFill="1" applyBorder="1" applyAlignment="1">
      <alignment horizontal="center" vertical="center" wrapText="1"/>
    </xf>
    <xf numFmtId="178" fontId="20" fillId="2" borderId="3" xfId="0" applyNumberFormat="1" applyFont="1" applyFill="1" applyBorder="1" applyAlignment="1">
      <alignment horizontal="center" vertical="center"/>
    </xf>
    <xf numFmtId="177" fontId="20" fillId="2" borderId="3" xfId="0" applyNumberFormat="1" applyFont="1" applyFill="1" applyBorder="1" applyAlignment="1">
      <alignment horizontal="center" vertical="center"/>
    </xf>
    <xf numFmtId="0" fontId="20" fillId="5" borderId="8" xfId="0" applyNumberFormat="1" applyFont="1" applyFill="1" applyBorder="1" applyAlignment="1">
      <alignment horizontal="center" vertical="center" wrapText="1"/>
    </xf>
    <xf numFmtId="0" fontId="20" fillId="5" borderId="6" xfId="0" applyNumberFormat="1" applyFont="1" applyFill="1" applyBorder="1" applyAlignment="1">
      <alignment horizontal="center" vertical="center" wrapText="1"/>
    </xf>
    <xf numFmtId="0" fontId="20" fillId="14" borderId="3" xfId="0" applyNumberFormat="1" applyFont="1" applyFill="1" applyBorder="1" applyAlignment="1">
      <alignment horizontal="center" vertical="center" wrapText="1"/>
    </xf>
    <xf numFmtId="0" fontId="20" fillId="5" borderId="3" xfId="0" applyNumberFormat="1" applyFont="1" applyFill="1" applyBorder="1" applyAlignment="1">
      <alignment horizontal="center" vertical="center"/>
    </xf>
    <xf numFmtId="165" fontId="20" fillId="9" borderId="3" xfId="2" applyFont="1" applyFill="1" applyBorder="1" applyAlignment="1">
      <alignment horizontal="center" vertical="center"/>
    </xf>
    <xf numFmtId="165" fontId="20" fillId="0" borderId="4" xfId="2" applyFont="1" applyFill="1" applyBorder="1" applyAlignment="1">
      <alignment horizontal="right" vertical="center"/>
    </xf>
    <xf numFmtId="165" fontId="20" fillId="0" borderId="2" xfId="2" applyFont="1" applyFill="1" applyBorder="1" applyAlignment="1">
      <alignment horizontal="right" vertical="center"/>
    </xf>
    <xf numFmtId="0" fontId="20" fillId="13" borderId="4" xfId="0" applyNumberFormat="1" applyFont="1" applyFill="1" applyBorder="1" applyAlignment="1">
      <alignment horizontal="center" vertical="center"/>
    </xf>
    <xf numFmtId="0" fontId="20" fillId="13" borderId="2" xfId="0" applyNumberFormat="1" applyFont="1" applyFill="1" applyBorder="1" applyAlignment="1">
      <alignment horizontal="center" vertical="center"/>
    </xf>
    <xf numFmtId="0" fontId="20" fillId="10" borderId="2" xfId="0" applyNumberFormat="1" applyFont="1" applyFill="1" applyBorder="1" applyAlignment="1">
      <alignment horizontal="center" vertical="center"/>
    </xf>
    <xf numFmtId="0" fontId="20" fillId="10" borderId="7" xfId="0" applyNumberFormat="1" applyFont="1" applyFill="1" applyBorder="1" applyAlignment="1">
      <alignment horizontal="center" vertical="center"/>
    </xf>
    <xf numFmtId="0" fontId="20" fillId="2" borderId="3" xfId="0" applyNumberFormat="1" applyFont="1" applyFill="1" applyBorder="1" applyAlignment="1">
      <alignment horizontal="center" vertical="center" wrapText="1"/>
    </xf>
    <xf numFmtId="179" fontId="20" fillId="11" borderId="3" xfId="0" applyNumberFormat="1" applyFont="1" applyFill="1" applyBorder="1" applyAlignment="1">
      <alignment horizontal="center" vertical="center" wrapText="1"/>
    </xf>
    <xf numFmtId="179" fontId="20" fillId="11" borderId="3" xfId="0" applyNumberFormat="1" applyFont="1" applyFill="1" applyBorder="1" applyAlignment="1">
      <alignment horizontal="center" vertical="center"/>
    </xf>
    <xf numFmtId="178" fontId="20" fillId="2" borderId="8" xfId="0" applyNumberFormat="1" applyFont="1" applyFill="1" applyBorder="1" applyAlignment="1">
      <alignment horizontal="center" vertical="center"/>
    </xf>
    <xf numFmtId="178" fontId="20" fillId="2" borderId="6" xfId="0" applyNumberFormat="1" applyFont="1" applyFill="1" applyBorder="1" applyAlignment="1">
      <alignment horizontal="center" vertical="center"/>
    </xf>
    <xf numFmtId="165" fontId="18" fillId="11" borderId="3" xfId="2" applyFont="1" applyFill="1" applyBorder="1" applyAlignment="1">
      <alignment horizontal="center" vertical="center" wrapText="1"/>
    </xf>
    <xf numFmtId="165" fontId="18" fillId="13" borderId="3" xfId="2" applyFont="1" applyFill="1" applyBorder="1" applyAlignment="1">
      <alignment horizontal="center" vertical="center" wrapText="1"/>
    </xf>
    <xf numFmtId="0" fontId="18" fillId="3" borderId="3" xfId="0" applyNumberFormat="1" applyFont="1" applyFill="1" applyBorder="1" applyAlignment="1">
      <alignment horizontal="center" vertical="center" wrapText="1"/>
    </xf>
    <xf numFmtId="165" fontId="18" fillId="10" borderId="3" xfId="2" applyFont="1" applyFill="1" applyBorder="1" applyAlignment="1">
      <alignment horizontal="center" vertical="center" wrapText="1"/>
    </xf>
  </cellXfs>
  <cellStyles count="32">
    <cellStyle name="_ET_STYLE_NoName_00_" xfId="1"/>
    <cellStyle name="Comma" xfId="2" builtinId="3"/>
    <cellStyle name="Currency 11" xfId="3"/>
    <cellStyle name="Header1" xfId="4"/>
    <cellStyle name="Header2" xfId="5"/>
    <cellStyle name="Komma 2" xfId="6"/>
    <cellStyle name="Komma 2 2" xfId="7"/>
    <cellStyle name="n" xfId="8"/>
    <cellStyle name="Normal" xfId="0" builtinId="0"/>
    <cellStyle name="Percent" xfId="9" builtinId="5"/>
    <cellStyle name="Standaard 2" xfId="10"/>
    <cellStyle name="Standaard 3" xfId="11"/>
    <cellStyle name=" [0.00]_ Att. 1- Cover" xfId="12"/>
    <cellStyle name="_ Att. 1- Cover" xfId="13"/>
    <cellStyle name="?_ Att. 1- Cover" xfId="14"/>
    <cellStyle name="똿뗦먛귟 [0.00]_PRODUCT DETAIL Q1" xfId="15"/>
    <cellStyle name="똿뗦먛귟_PRODUCT DETAIL Q1" xfId="16"/>
    <cellStyle name="믅됞 [0.00]_PRODUCT DETAIL Q1" xfId="17"/>
    <cellStyle name="믅됞_PRODUCT DETAIL Q1" xfId="18"/>
    <cellStyle name="백분율_95" xfId="19"/>
    <cellStyle name="뷭?_BOOKSHIP" xfId="20"/>
    <cellStyle name="콤마 [0]_1202" xfId="21"/>
    <cellStyle name="콤마_1202" xfId="22"/>
    <cellStyle name="통화 [0]_1202" xfId="23"/>
    <cellStyle name="통화_1202" xfId="24"/>
    <cellStyle name="표준_(정보부문)월별인원계획" xfId="25"/>
    <cellStyle name="一般_99Q3647-ALL-CAS2" xfId="26"/>
    <cellStyle name="千分位[0]_Book1" xfId="27"/>
    <cellStyle name="千分位_99Q3647-ALL-CAS2" xfId="28"/>
    <cellStyle name="貨幣 [0]_Book1" xfId="29"/>
    <cellStyle name="貨幣[0]_BRE" xfId="30"/>
    <cellStyle name="貨幣_Book1" xfId="31"/>
  </cellStyles>
  <dxfs count="1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181" formatCode="_ [$€-413]\ * #,##0.00_ ;_ [$€-413]\ * \-#,##0.00_ ;_ [$€-413]\ * &quot;-&quot;??_ ;_ @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181" formatCode="_ [$€-413]\ * #,##0.00_ ;_ [$€-413]\ * \-#,##0.00_ ;_ [$€-413]\ * &quot;-&quot;??_ ;_ @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169" formatCode="_(* #,##0_);_(* \(#,##0\);_(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169" formatCode="_(* #,##0_);_(* \(#,##0\);_(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183" formatCode="dd/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169" formatCode="_(* #,##0_);_(* \(#,##0\);_(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169" formatCode="_(* #,##0_);_(* \(#,##0\);_(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24FC57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24FC57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righ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1" formatCode="_ [$€-413]\ * #,##0.00_ ;_ [$€-413]\ * \-#,##0.00_ ;_ [$€-413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2" formatCode="_-[$€-2]\ * #,##0.00_-;\-[$€-2]\ * #,##0.00_-;_-[$€-2]\ * &quot;-&quot;??_-;_-@_-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righ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1" formatCode="_ [$€-413]\ * #,##0.00_ ;_ [$€-413]\ * \-#,##0.00_ ;_ [$€-413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righ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1" formatCode="_ [$€-413]\ * #,##0.00_ ;_ [$€-413]\ * \-#,##0.00_ ;_ [$€-413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1" formatCode="_ [$€-413]\ * #,##0.00_ ;_ [$€-413]\ * \-#,##0.00_ ;_ [$€-413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1" formatCode="_ [$€-413]\ * #,##0.00_ ;_ [$€-413]\ * \-#,##0.00_ ;_ [$€-413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1" formatCode="_ [$€-413]\ * #,##0.00_ ;_ [$€-413]\ * \-#,##0.00_ ;_ [$€-413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1" formatCode="_ [$€-413]\ * #,##0.00_ ;_ [$€-413]\ * \-#,##0.00_ ;_ [$€-413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4" formatCode="0.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81" formatCode="_ [$€-413]\ * #,##0.00_ ;_ [$€-413]\ * \-#,##0.00_ ;_ [$€-413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81" formatCode="_ [$€-413]\ * #,##0.00_ ;_ [$€-413]\ * \-#,##0.00_ ;_ [$€-413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81" formatCode="_ [$€-413]\ * #,##0.00_ ;_ [$€-413]\ * \-#,##0.00_ ;_ [$€-413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1" formatCode="_ [$€-413]\ * #,##0.00_ ;_ [$€-413]\ * \-#,##0.00_ ;_ [$€-413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1" formatCode="_ [$€-413]\ * #,##0.00_ ;_ [$€-413]\ * \-#,##0.00_ ;_ [$€-413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0_);_(* \(#,##0.00\);_(* &quot;-&quot;??_);_(@_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BFBFBF"/>
        </patternFill>
      </fill>
      <alignment horizontal="righ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/mm/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9" defaultPivotStyle="PivotStyleLight16">
    <tableStyle name="Table Style 1" pivot="0" count="1">
      <tableStyleElement type="wholeTable" dxfId="123"/>
    </tableStyle>
  </tableStyles>
  <colors>
    <mruColors>
      <color rgb="FFFAF0F0"/>
      <color rgb="FFF2DCDB"/>
      <color rgb="FFFFCC99"/>
      <color rgb="FFDAEEF3"/>
      <color rgb="FFC4D79B"/>
      <color rgb="FFCCFFCC"/>
      <color rgb="FFBFBFBF"/>
      <color rgb="FF24FC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2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_ShipmentAmountNL_View" minOccurs="0" maxOccurs="unbounded">
              <xs:complexType>
                <xs:sequence>
                  <xs:element name="PurchasingInvoiceID" type="xs:int" minOccurs="0"/>
                  <xs:element name="ECommercialInvoiceID" type="xs:int" minOccurs="0"/>
                  <xs:element name="Season" type="xs:string" minOccurs="0"/>
                  <xs:element name="RowIndex" type="xs:long" minOccurs="0"/>
                  <xs:element name="BLDate" msdata:ReadOnly="true" type="xs:date" minOccurs="0"/>
                  <xs:element name="BL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formaInvoiceNos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ClientUDs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ClientNMs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IssuedBy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Currency" type="xs:string" minOccurs="0"/>
                  <xs:element name="VATRate" type="xs:decimal" minOccurs="0"/>
                  <xs:element name="PaymentTermNM" type="xs:string" minOccurs="0"/>
                  <xs:element name="DeliveryTermNM" type="xs:string" minOccurs="0"/>
                  <xs:element name="ClientCountryNM" type="xs:string" minOccurs="0"/>
                  <xs:element name="FactoryInvoiceAmount" type="xs:decimal" minOccurs="0"/>
                  <xs:element name="Purchasing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MVBooking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Invoice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urchasingInvoiceAmount" type="xs:decimal" minOccurs="0"/>
                  <xs:element name="InvoiceDate" msdata:ReadOnly="true" type="xs:date" minOccurs="0"/>
                  <xs:element name="E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ETypeOfInvoic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EInvoiceConfirmedBy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Multivers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VATAmountEUR" type="xs:decimal" minOccurs="0"/>
                  <xs:element name="ECommercialInvoiceDiscountAmountEUR" type="xs:decimal" minOccurs="0"/>
                  <xs:element name="ECommercialInvoiceSeaFreightAmountEUR" type="xs:decimal" minOccurs="0"/>
                  <xs:element name="ECommercialInvoiceTruckingAmountEUR" type="xs:decimal" minOccurs="0"/>
                  <xs:element name="ECommercialInvoiceOtherAmountEUR" type="xs:decimal" minOccurs="0"/>
                  <xs:element name="ECommercialInvoiceNetAmountInUSD" type="xs:decimal" minOccurs="0"/>
                  <xs:element name="DeltaAmountOnBooking" type="xs:decimal" minOccurs="0"/>
                  <xs:element name="DeltaAmountPercentOnBooking" type="xs:decimal" minOccurs="0"/>
                  <xs:element name="ECommercialInvoiceNetAmountInEUR" type="xs:decimal" minOccurs="0"/>
                  <xs:element name="ECommercialInvoiceNetAmountEUR" type="xs:decimal" minOccurs="0"/>
                  <xs:element name="ECommercialInvoiceTotalAmountInUSD" type="xs:decimal" minOccurs="0"/>
                  <xs:element name="ECommercialInvoiceTotalAmountInEUR" type="xs:decimal" minOccurs="0"/>
                  <xs:element name="ECommercialInvoiceTotalAmountEUR" type="xs:decimal" minOccurs="0"/>
                  <xs:element name="ECommercialInvoiceAmountInUSDPerCont" type="xs:decimal" minOccurs="0"/>
                  <xs:element name="ECommercialInvoiceAmountInEURPerCont" type="xs:decimal" minOccurs="0"/>
                  <xs:element name="ECommercialInvoiceAmountEURPerCont" type="xs:decimal" minOccurs="0"/>
                  <xs:element name="ContainerInfo" minOccurs="0">
                    <xs:simpleType>
                      <xs:restriction base="xs:string">
                        <xs:maxLength value="43"/>
                      </xs:restriction>
                    </xs:simpleType>
                  </xs:element>
                  <xs:element name="EurofarInvoiceDate" msdata:ReadOnly="true" type="xs:date" minOccurs="0"/>
                  <xs:element name="ToBeInvoicedAmount" type="xs:decimal" minOccurs="0"/>
                  <xs:element name="DeltaAmount" type="xs:decimal" minOccurs="0"/>
                  <xs:element name="DeltaAmountPercent" type="xs:decimal" minOccurs="0"/>
                  <xs:element name="Countr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Company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sConfirmed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sConfirmedPric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</xs:sequence>
              </xs:complexType>
            </xs:element>
            <xs:element name="Report_ShipmentAmountNL_Detail_View" minOccurs="0" maxOccurs="unbounded">
              <xs:complexType>
                <xs:sequence>
                  <xs:element name="GoodsID" type="xs:int"/>
                  <xs:element name="GoodsType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BL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upplier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FactoryInvoice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roformaInvoiceNos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InvoiceDat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lientUDs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6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uantity" type="xs:int" minOccurs="0"/>
                  <xs:element name="QntIn40HC" type="xs:decimal" minOccurs="0"/>
                  <xs:element name="ContainerInfo" minOccurs="0">
                    <xs:simpleType>
                      <xs:restriction base="xs:string">
                        <xs:maxLength value="43"/>
                      </xs:restriction>
                    </xs:simpleType>
                  </xs:element>
                  <xs:element name="Countr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PurchasingPrice" type="xs:decimal" minOccurs="0"/>
                  <xs:element name="FactoryInvoiceAmount" type="xs:decimal" minOccurs="0"/>
                  <xs:element name="UnitPrice" type="xs:decimal" minOccurs="0"/>
                  <xs:element name="PurchasingInvoiceAmount" type="xs:decimal" minOccurs="0"/>
                  <xs:element name="DeltaAmount" type="xs:decimal" minOccurs="0"/>
                  <xs:element name="DeltaAmountPercent" type="xs:decimal" minOccurs="0"/>
                  <xs:element name="Eurofar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ETypeOfInvoice" type="xs:string" minOccurs="0"/>
                  <xs:element name="EurofarPrice" type="xs:decimal" minOccurs="0"/>
                  <xs:element name="ECommercialInvoiceAmountInUSD" type="xs:decimal" minOccurs="0"/>
                  <xs:element name="ECommercialInvoiceAmountInEUR" type="xs:decimal" minOccurs="0"/>
                  <xs:element name="ECommercialInvoiceAmountEUR" type="xs:decimal" minOccurs="0"/>
                </xs:sequence>
              </xs:complexType>
            </xs:element>
          </xs:sequence>
        </xs:complexType>
      </xs:element>
    </xs:schema>
  </Schema>
  <Map ID="6" Name="ReportDataObject_Map" RootElement="Report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6:AV7" tableType="xml" insertRow="1" headerRowDxfId="122" totalsRowDxfId="119" headerRowBorderDxfId="121" tableBorderDxfId="120" totalsRowBorderDxfId="118">
  <autoFilter ref="A6:AV7"/>
  <tableColumns count="48">
    <tableColumn id="1" uniqueName="ns1:RowIndex" name="ns1:RowIndex" totalsRowLabel="Total" dataDxfId="117" totalsRowDxfId="116">
      <xmlColumnPr mapId="6" xpath="/ns1:ReportDataObject/ns1:Report_ShipmentAmountNL_View/ns1:RowIndex" xmlDataType="long"/>
    </tableColumn>
    <tableColumn id="2" uniqueName="ns1:BLDate" name="ns1:BLDate" dataDxfId="115" totalsRowDxfId="114">
      <xmlColumnPr mapId="6" xpath="/ns1:ReportDataObject/ns1:Report_ShipmentAmountNL_View/ns1:BLDate" xmlDataType="date"/>
    </tableColumn>
    <tableColumn id="3" uniqueName="ns1:BLNo" name="ns1:BLNo" dataDxfId="113" totalsRowDxfId="112" dataCellStyle="Comma">
      <xmlColumnPr mapId="6" xpath="/ns1:ReportDataObject/ns1:Report_ShipmentAmountNL_View/ns1:BLNo" xmlDataType="string"/>
    </tableColumn>
    <tableColumn id="4" uniqueName="ns1:ProformaInvoiceNos" name="ns1:ProformaInvoiceNo" dataDxfId="111" totalsRowDxfId="110">
      <xmlColumnPr mapId="6" xpath="/ns1:ReportDataObject/ns1:Report_ShipmentAmountNL_View/ns1:ProformaInvoiceNos" xmlDataType="string"/>
    </tableColumn>
    <tableColumn id="5" uniqueName="ns1:ClientUDs" name="ns1:BuyerUD" dataDxfId="109" totalsRowDxfId="108" dataCellStyle="Comma">
      <xmlColumnPr mapId="6" xpath="/ns1:ReportDataObject/ns1:Report_ShipmentAmountNL_View/ns1:ClientUDs" xmlDataType="string"/>
    </tableColumn>
    <tableColumn id="22" uniqueName="ns1:ClientNMs" name="Column4" dataDxfId="107" totalsRowDxfId="106" dataCellStyle="Comma">
      <xmlColumnPr mapId="6" xpath="/ns1:ReportDataObject/ns1:Report_ShipmentAmountNL_View/ns1:ClientNMs" xmlDataType="string"/>
    </tableColumn>
    <tableColumn id="6" uniqueName="ns1:FactoryUD" name="ns1:SupplierUD" dataDxfId="105" totalsRowDxfId="104" dataCellStyle="Comma">
      <xmlColumnPr mapId="6" xpath="/ns1:ReportDataObject/ns1:Report_ShipmentAmountNL_View/ns1:FactoryUD" xmlDataType="string"/>
    </tableColumn>
    <tableColumn id="20" uniqueName="ns1:IssuedBy" name="Column2" dataDxfId="103" totalsRowDxfId="102" dataCellStyle="Comma">
      <xmlColumnPr mapId="6" xpath="/ns1:ReportDataObject/ns1:Report_ShipmentAmountNL_View/ns1:IssuedBy" xmlDataType="string"/>
    </tableColumn>
    <tableColumn id="43" uniqueName="ns1:Currency" name="Column25" dataDxfId="101" totalsRowDxfId="100" dataCellStyle="Comma">
      <xmlColumnPr mapId="6" xpath="/ns1:ReportDataObject/ns1:Report_ShipmentAmountNL_View/ns1:Currency" xmlDataType="string"/>
    </tableColumn>
    <tableColumn id="42" uniqueName="ns1:VATRate" name="Column24" dataDxfId="99" totalsRowDxfId="98" dataCellStyle="Comma">
      <xmlColumnPr mapId="6" xpath="/ns1:ReportDataObject/ns1:Report_ShipmentAmountNL_View/ns1:VATRate" xmlDataType="decimal"/>
    </tableColumn>
    <tableColumn id="41" uniqueName="ns1:PaymentTermNM" name="Column23" dataDxfId="97" totalsRowDxfId="96" dataCellStyle="Comma">
      <xmlColumnPr mapId="6" xpath="/ns1:ReportDataObject/ns1:Report_ShipmentAmountNL_View/ns1:PaymentTermNM" xmlDataType="string"/>
    </tableColumn>
    <tableColumn id="44" uniqueName="ns1:DeliveryTermNM" name="Column232" dataDxfId="95" totalsRowDxfId="94" dataCellStyle="Comma">
      <xmlColumnPr mapId="6" xpath="/ns1:ReportDataObject/ns1:Report_ShipmentAmountNL_View/ns1:DeliveryTermNM" xmlDataType="string"/>
    </tableColumn>
    <tableColumn id="40" uniqueName="ns1:ClientCountryNM" name="Column22" dataDxfId="93" totalsRowDxfId="92" dataCellStyle="Comma">
      <xmlColumnPr mapId="6" xpath="/ns1:ReportDataObject/ns1:Report_ShipmentAmountNL_View/ns1:ClientCountryNM" xmlDataType="string"/>
    </tableColumn>
    <tableColumn id="19" uniqueName="ns1:FactoryInvoiceAmount" name="Column1" dataDxfId="91" totalsRowDxfId="90" dataCellStyle="Comma">
      <xmlColumnPr mapId="6" xpath="/ns1:ReportDataObject/ns1:Report_ShipmentAmountNL_View/ns1:FactoryInvoiceAmount" xmlDataType="decimal"/>
    </tableColumn>
    <tableColumn id="7" uniqueName="ns1:PurchasingInvoiceNo" name="ns1:FactoryInvoiceUD" dataDxfId="89" dataCellStyle="Comma">
      <xmlColumnPr mapId="6" xpath="/ns1:ReportDataObject/ns1:Report_ShipmentAmountNL_View/ns1:PurchasingInvoiceNo" xmlDataType="string"/>
    </tableColumn>
    <tableColumn id="25" uniqueName="ns1:MVBookingNo" name="Column12" dataDxfId="88" dataCellStyle="Comma">
      <xmlColumnPr mapId="6" xpath="/ns1:ReportDataObject/ns1:Report_ShipmentAmountNL_View/ns1:MVBookingNo" xmlDataType="string"/>
    </tableColumn>
    <tableColumn id="8" uniqueName="ns1:FactoryInvoiceNo" name="ns1:FactoryInvoiceAmount" dataDxfId="87" dataCellStyle="Comma">
      <xmlColumnPr mapId="6" xpath="/ns1:ReportDataObject/ns1:Report_ShipmentAmountNL_View/ns1:FactoryInvoiceNo" xmlDataType="string"/>
    </tableColumn>
    <tableColumn id="9" uniqueName="ns1:PurchasingInvoiceAmount" name="ns1:FactoryInvoiceDate" dataDxfId="86">
      <xmlColumnPr mapId="6" xpath="/ns1:ReportDataObject/ns1:Report_ShipmentAmountNL_View/ns1:PurchasingInvoiceAmount" xmlDataType="decimal"/>
    </tableColumn>
    <tableColumn id="10" uniqueName="ns1:InvoiceDate" name="ns1:InvoiceNo" dataDxfId="85" dataCellStyle="Comma">
      <xmlColumnPr mapId="6" xpath="/ns1:ReportDataObject/ns1:Report_ShipmentAmountNL_View/ns1:InvoiceDate" xmlDataType="date"/>
    </tableColumn>
    <tableColumn id="11" uniqueName="ns1:EInvoiceNo" name="ns1:CommercialInvoiceAmount" dataDxfId="84" totalsRowDxfId="83" dataCellStyle="Comma">
      <xmlColumnPr mapId="6" xpath="/ns1:ReportDataObject/ns1:Report_ShipmentAmountNL_View/ns1:EInvoiceNo" xmlDataType="string"/>
    </tableColumn>
    <tableColumn id="39" uniqueName="ns1:ETypeOfInvoice" name="Column15" dataDxfId="82" totalsRowDxfId="81" dataCellStyle="Comma">
      <xmlColumnPr mapId="6" xpath="/ns1:ReportDataObject/ns1:Report_ShipmentAmountNL_View/ns1:ETypeOfInvoice" xmlDataType="string"/>
    </tableColumn>
    <tableColumn id="27" uniqueName="ns1:EInvoiceConfirmedBy" name="Column14" dataDxfId="80" totalsRowDxfId="79" dataCellStyle="Comma">
      <xmlColumnPr mapId="6" xpath="/ns1:ReportDataObject/ns1:Report_ShipmentAmountNL_View/ns1:EInvoiceConfirmedBy" xmlDataType="string"/>
    </tableColumn>
    <tableColumn id="26" uniqueName="ns1:MultiversNo" name="Column13" dataDxfId="78" totalsRowDxfId="77" dataCellStyle="Comma">
      <xmlColumnPr mapId="6" xpath="/ns1:ReportDataObject/ns1:Report_ShipmentAmountNL_View/ns1:MultiversNo" xmlDataType="string"/>
    </tableColumn>
    <tableColumn id="12" uniqueName="ns1:EVATAmountEUR" name="ns1:CommercialInvoiceDate" dataDxfId="76" totalsRowDxfId="75">
      <xmlColumnPr mapId="6" xpath="/ns1:ReportDataObject/ns1:Report_ShipmentAmountNL_View/ns1:EVATAmountEUR" xmlDataType="decimal"/>
    </tableColumn>
    <tableColumn id="33" uniqueName="ns1:ECommercialInvoiceDiscountAmountEUR" name="Column11" dataDxfId="74" totalsRowDxfId="73">
      <xmlColumnPr mapId="6" xpath="/ns1:ReportDataObject/ns1:Report_ShipmentAmountNL_View/ns1:ECommercialInvoiceDiscountAmountEUR" xmlDataType="decimal"/>
    </tableColumn>
    <tableColumn id="37" uniqueName="ns1:ECommercialInvoiceSeaFreightAmountEUR" name="Column113" dataDxfId="72" totalsRowDxfId="71">
      <xmlColumnPr mapId="6" xpath="/ns1:ReportDataObject/ns1:Report_ShipmentAmountNL_View/ns1:ECommercialInvoiceSeaFreightAmountEUR" xmlDataType="decimal"/>
    </tableColumn>
    <tableColumn id="38" uniqueName="ns1:ECommercialInvoiceTruckingAmountEUR" name="Column114" dataDxfId="70" totalsRowDxfId="69">
      <xmlColumnPr mapId="6" xpath="/ns1:ReportDataObject/ns1:Report_ShipmentAmountNL_View/ns1:ECommercialInvoiceTruckingAmountEUR" xmlDataType="decimal"/>
    </tableColumn>
    <tableColumn id="28" uniqueName="ns1:ECommercialInvoiceOtherAmountEUR" name="Column112" dataDxfId="68" totalsRowDxfId="67">
      <xmlColumnPr mapId="6" xpath="/ns1:ReportDataObject/ns1:Report_ShipmentAmountNL_View/ns1:ECommercialInvoiceOtherAmountEUR" xmlDataType="decimal"/>
    </tableColumn>
    <tableColumn id="32" uniqueName="ns1:ECommercialInvoiceNetAmountInUSD" name="Column10" dataDxfId="66" totalsRowDxfId="65">
      <xmlColumnPr mapId="6" xpath="/ns1:ReportDataObject/ns1:Report_ShipmentAmountNL_View/ns1:ECommercialInvoiceNetAmountInUSD" xmlDataType="decimal"/>
    </tableColumn>
    <tableColumn id="46" uniqueName="ns1:DeltaAmountOnBooking" name="Column106" dataDxfId="64" totalsRowDxfId="63">
      <xmlColumnPr mapId="6" xpath="/ns1:ReportDataObject/ns1:Report_ShipmentAmountNL_View/ns1:DeltaAmountOnBooking" xmlDataType="decimal"/>
    </tableColumn>
    <tableColumn id="45" uniqueName="ns1:DeltaAmountPercentOnBooking" name="Column105" dataDxfId="62" totalsRowDxfId="61">
      <xmlColumnPr mapId="6" xpath="/ns1:ReportDataObject/ns1:Report_ShipmentAmountNL_View/ns1:DeltaAmountPercentOnBooking" xmlDataType="decimal"/>
    </tableColumn>
    <tableColumn id="36" uniqueName="ns1:ECommercialInvoiceNetAmountInEUR" name="Column104" dataDxfId="60" totalsRowDxfId="59">
      <xmlColumnPr mapId="6" xpath="/ns1:ReportDataObject/ns1:Report_ShipmentAmountNL_View/ns1:ECommercialInvoiceNetAmountInEUR" xmlDataType="decimal"/>
    </tableColumn>
    <tableColumn id="35" uniqueName="ns1:ECommercialInvoiceNetAmountEUR" name="Column103" dataDxfId="58" totalsRowDxfId="57">
      <xmlColumnPr mapId="6" xpath="/ns1:ReportDataObject/ns1:Report_ShipmentAmountNL_View/ns1:ECommercialInvoiceNetAmountEUR" xmlDataType="decimal"/>
    </tableColumn>
    <tableColumn id="34" uniqueName="ns1:ECommercialInvoiceTotalAmountInUSD" name="Column102" dataDxfId="56" totalsRowDxfId="55">
      <xmlColumnPr mapId="6" xpath="/ns1:ReportDataObject/ns1:Report_ShipmentAmountNL_View/ns1:ECommercialInvoiceTotalAmountInUSD" xmlDataType="decimal"/>
    </tableColumn>
    <tableColumn id="31" uniqueName="ns1:ECommercialInvoiceTotalAmountInEUR" name="Column9" dataDxfId="54">
      <xmlColumnPr mapId="6" xpath="/ns1:ReportDataObject/ns1:Report_ShipmentAmountNL_View/ns1:ECommercialInvoiceTotalAmountInEUR" xmlDataType="decimal"/>
    </tableColumn>
    <tableColumn id="30" uniqueName="ns1:ECommercialInvoiceTotalAmountEUR" name="Column8" dataDxfId="53">
      <xmlColumnPr mapId="6" xpath="/ns1:ReportDataObject/ns1:Report_ShipmentAmountNL_View/ns1:ECommercialInvoiceTotalAmountEUR" xmlDataType="decimal"/>
    </tableColumn>
    <tableColumn id="29" uniqueName="ns1:ECommercialInvoiceAmountInUSDPerCont" name="Column7" dataDxfId="52" totalsRowDxfId="51">
      <xmlColumnPr mapId="6" xpath="/ns1:ReportDataObject/ns1:Report_ShipmentAmountNL_View/ns1:ECommercialInvoiceAmountInUSDPerCont" xmlDataType="decimal"/>
    </tableColumn>
    <tableColumn id="21" uniqueName="ns1:ECommercialInvoiceAmountInEURPerCont" name="Column3" dataDxfId="50" totalsRowDxfId="49">
      <xmlColumnPr mapId="6" xpath="/ns1:ReportDataObject/ns1:Report_ShipmentAmountNL_View/ns1:ECommercialInvoiceAmountInEURPerCont" xmlDataType="decimal"/>
    </tableColumn>
    <tableColumn id="13" uniqueName="ns1:ECommercialInvoiceAmountEURPerCont" name="ns1:DeltaAmount" dataDxfId="48" totalsRowDxfId="47">
      <xmlColumnPr mapId="6" xpath="/ns1:ReportDataObject/ns1:Report_ShipmentAmountNL_View/ns1:ECommercialInvoiceAmountEURPerCont" xmlDataType="decimal"/>
    </tableColumn>
    <tableColumn id="24" uniqueName="ns1:ContainerInfo" name="Column6" dataDxfId="46" totalsRowDxfId="45">
      <xmlColumnPr mapId="6" xpath="/ns1:ReportDataObject/ns1:Report_ShipmentAmountNL_View/ns1:ContainerInfo" xmlDataType="string"/>
    </tableColumn>
    <tableColumn id="14" uniqueName="ns1:EurofarInvoiceDate" name="ns1:DeltaAmountPercent" dataDxfId="44" totalsRowDxfId="43" dataCellStyle="Percent">
      <xmlColumnPr mapId="6" xpath="/ns1:ReportDataObject/ns1:Report_ShipmentAmountNL_View/ns1:EurofarInvoiceDate" xmlDataType="date"/>
    </tableColumn>
    <tableColumn id="23" uniqueName="ns1:ToBeInvoicedAmount" name="Column5" dataDxfId="42" totalsRowDxfId="41" dataCellStyle="Percent">
      <xmlColumnPr mapId="6" xpath="/ns1:ReportDataObject/ns1:Report_ShipmentAmountNL_View/ns1:ToBeInvoicedAmount" xmlDataType="decimal"/>
    </tableColumn>
    <tableColumn id="15" uniqueName="ns1:DeltaAmount" name="ns1:Country" dataDxfId="40" totalsRowDxfId="39" dataCellStyle="Comma">
      <xmlColumnPr mapId="6" xpath="/ns1:ReportDataObject/ns1:Report_ShipmentAmountNL_View/ns1:DeltaAmount" xmlDataType="decimal"/>
    </tableColumn>
    <tableColumn id="16" uniqueName="ns1:DeltaAmountPercent" name="ns1:Company" dataDxfId="38" totalsRowDxfId="37" dataCellStyle="Comma">
      <xmlColumnPr mapId="6" xpath="/ns1:ReportDataObject/ns1:Report_ShipmentAmountNL_View/ns1:DeltaAmountPercent" xmlDataType="decimal"/>
    </tableColumn>
    <tableColumn id="17" uniqueName="ns1:Country" name="ns2:Country" dataDxfId="36">
      <xmlColumnPr mapId="6" xpath="/ns1:ReportDataObject/ns1:Report_ShipmentAmountNL_View/ns1:Country" xmlDataType="string"/>
    </tableColumn>
    <tableColumn id="18" uniqueName="ns1:Company" name="ns2:Company" totalsRowFunction="count" dataDxfId="35">
      <xmlColumnPr mapId="6" xpath="/ns1:ReportDataObject/ns1:Report_ShipmentAmountNL_View/ns1:Company" xmlDataType="string"/>
    </tableColumn>
    <tableColumn id="47" uniqueName="ns1:IsConfirmedPrice" name="ns2:IsConfirmedPrice" dataDxfId="34" totalsRowDxfId="33">
      <xmlColumnPr mapId="6" xpath="/ns1:ReportDataObject/ns1:Report_ShipmentAmountNL_View/ns1:IsConfirmedPrice" xmlDataType="string"/>
    </tableColumn>
    <tableColumn id="48" uniqueName="ns1:IsConfirmed" name="ns2:IsConfirmed" dataDxfId="32" totalsRowDxfId="31">
      <xmlColumnPr mapId="6" xpath="/ns1:ReportDataObject/ns1:Report_ShipmentAmountNL_View/ns1:IsConfirmed" xmlDataType="string"/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7" displayName="Table7" ref="A5:Z6" tableType="xml" insertRow="1" insertRowShift="1" totalsRowShown="0" headerRowDxfId="30" dataDxfId="28" headerRowBorderDxfId="29" tableBorderDxfId="27" totalsRowBorderDxfId="26" headerRowCellStyle="Comma" dataCellStyle="Comma">
  <autoFilter ref="A5:Z6"/>
  <tableColumns count="26">
    <tableColumn id="1" uniqueName="ns1:BLNo" name="ns1:BLNo" dataDxfId="25" dataCellStyle="Comma">
      <xmlColumnPr mapId="6" xpath="/ns1:ReportDataObject/ns1:Report_ShipmentAmountNL_Detail_View/ns1:BLNo" xmlDataType="string"/>
    </tableColumn>
    <tableColumn id="26" uniqueName="ns1:SupplierUD" name="ns1:SupplierUD" dataDxfId="24" dataCellStyle="Comma">
      <xmlColumnPr mapId="6" xpath="/ns1:ReportDataObject/ns1:Report_ShipmentAmountNL_Detail_View/ns1:SupplierUD" xmlDataType="string"/>
    </tableColumn>
    <tableColumn id="2" uniqueName="ns1:FactoryUD" name="ns1:FactoryUD" dataDxfId="23" dataCellStyle="Comma">
      <xmlColumnPr mapId="6" xpath="/ns1:ReportDataObject/ns1:Report_ShipmentAmountNL_Detail_View/ns1:FactoryUD" xmlDataType="string"/>
    </tableColumn>
    <tableColumn id="3" uniqueName="ns1:FactoryInvoiceNo" name="ns1:FactoryInvoiceUD" dataDxfId="22" dataCellStyle="Comma">
      <xmlColumnPr mapId="6" xpath="/ns1:ReportDataObject/ns1:Report_ShipmentAmountNL_Detail_View/ns1:FactoryInvoiceNo" xmlDataType="string"/>
    </tableColumn>
    <tableColumn id="4" uniqueName="ns1:InvoiceNo" name="ns1:InvoiceNo" dataDxfId="21" dataCellStyle="Comma">
      <xmlColumnPr mapId="6" xpath="/ns1:ReportDataObject/ns1:Report_ShipmentAmountNL_Detail_View/ns1:InvoiceNo" xmlDataType="string"/>
    </tableColumn>
    <tableColumn id="5" uniqueName="ns1:ProformaInvoiceNos" name="ns1:ProformaInvoiceNo" dataDxfId="20" dataCellStyle="Comma">
      <xmlColumnPr mapId="6" xpath="/ns1:ReportDataObject/ns1:Report_ShipmentAmountNL_Detail_View/ns1:ProformaInvoiceNos" xmlDataType="string"/>
    </tableColumn>
    <tableColumn id="6" uniqueName="ns1:InvoiceDate" name="ns1:OrderDate" dataDxfId="19" dataCellStyle="Comma">
      <xmlColumnPr mapId="6" xpath="/ns1:ReportDataObject/ns1:Report_ShipmentAmountNL_Detail_View/ns1:InvoiceDate" xmlDataType="string"/>
    </tableColumn>
    <tableColumn id="7" uniqueName="ns1:ClientUDs" name="ns1:BuyerUD" dataDxfId="18" dataCellStyle="Comma">
      <xmlColumnPr mapId="6" xpath="/ns1:ReportDataObject/ns1:Report_ShipmentAmountNL_Detail_View/ns1:ClientUDs" xmlDataType="string"/>
    </tableColumn>
    <tableColumn id="8" uniqueName="ns1:ArticleCode" name="ns1:ArticleCode" dataDxfId="17" dataCellStyle="Comma">
      <xmlColumnPr mapId="6" xpath="/ns1:ReportDataObject/ns1:Report_ShipmentAmountNL_Detail_View/ns1:ArticleCode" xmlDataType="string"/>
    </tableColumn>
    <tableColumn id="9" uniqueName="ns1:Description" name="ns1:Description" dataDxfId="16" dataCellStyle="Comma">
      <xmlColumnPr mapId="6" xpath="/ns1:ReportDataObject/ns1:Report_ShipmentAmountNL_Detail_View/ns1:Description" xmlDataType="string"/>
    </tableColumn>
    <tableColumn id="10" uniqueName="ns1:Quantity" name="ns1:DeliveryQnt" dataDxfId="15" dataCellStyle="Comma">
      <xmlColumnPr mapId="6" xpath="/ns1:ReportDataObject/ns1:Report_ShipmentAmountNL_Detail_View/ns1:Quantity" xmlDataType="int"/>
    </tableColumn>
    <tableColumn id="11" uniqueName="ns1:QntIn40HC" name="ns1:DeliveryInCont" dataDxfId="14" dataCellStyle="Comma">
      <xmlColumnPr mapId="6" xpath="/ns1:ReportDataObject/ns1:Report_ShipmentAmountNL_Detail_View/ns1:QntIn40HC" xmlDataType="decimal"/>
    </tableColumn>
    <tableColumn id="19" uniqueName="ns1:ContainerInfo" name="Column1" dataDxfId="13" dataCellStyle="Comma">
      <xmlColumnPr mapId="6" xpath="/ns1:ReportDataObject/ns1:Report_ShipmentAmountNL_Detail_View/ns1:ContainerInfo" xmlDataType="string"/>
    </tableColumn>
    <tableColumn id="12" uniqueName="ns1:Country" name="ns1:Country" dataDxfId="12" dataCellStyle="Comma">
      <xmlColumnPr mapId="6" xpath="/ns1:ReportDataObject/ns1:Report_ShipmentAmountNL_Detail_View/ns1:Country" xmlDataType="string"/>
    </tableColumn>
    <tableColumn id="13" uniqueName="ns1:PurchasingPrice" name="ns1:FactoryInvoicePrice" dataDxfId="11" dataCellStyle="Comma">
      <xmlColumnPr mapId="6" xpath="/ns1:ReportDataObject/ns1:Report_ShipmentAmountNL_Detail_View/ns1:PurchasingPrice" xmlDataType="decimal"/>
    </tableColumn>
    <tableColumn id="14" uniqueName="ns1:FactoryInvoiceAmount" name="ns1:FactoryInvoiceAmount" dataDxfId="10" dataCellStyle="Comma">
      <xmlColumnPr mapId="6" xpath="/ns1:ReportDataObject/ns1:Report_ShipmentAmountNL_Detail_View/ns1:FactoryInvoiceAmount" xmlDataType="decimal"/>
    </tableColumn>
    <tableColumn id="15" uniqueName="ns1:UnitPrice" name="ns1:CommercialInvoicePrice" dataDxfId="9" dataCellStyle="Comma">
      <xmlColumnPr mapId="6" xpath="/ns1:ReportDataObject/ns1:Report_ShipmentAmountNL_Detail_View/ns1:UnitPrice" xmlDataType="decimal"/>
    </tableColumn>
    <tableColumn id="16" uniqueName="ns1:PurchasingInvoiceAmount" name="ns1:CommercialInvoiceAmount" dataDxfId="8" dataCellStyle="Comma">
      <xmlColumnPr mapId="6" xpath="/ns1:ReportDataObject/ns1:Report_ShipmentAmountNL_Detail_View/ns1:PurchasingInvoiceAmount" xmlDataType="decimal"/>
    </tableColumn>
    <tableColumn id="17" uniqueName="ns1:DeltaAmount" name="ns1:DeltaAmount" dataDxfId="7" dataCellStyle="Comma">
      <xmlColumnPr mapId="6" xpath="/ns1:ReportDataObject/ns1:Report_ShipmentAmountNL_Detail_View/ns1:DeltaAmount" xmlDataType="decimal"/>
    </tableColumn>
    <tableColumn id="18" uniqueName="ns1:DeltaAmountPercent" name="ns1:DeltaAmountPercent" dataDxfId="6" dataCellStyle="Percent">
      <xmlColumnPr mapId="6" xpath="/ns1:ReportDataObject/ns1:Report_ShipmentAmountNL_Detail_View/ns1:DeltaAmountPercent" xmlDataType="decimal"/>
    </tableColumn>
    <tableColumn id="20" uniqueName="ns1:EurofarInvoiceNo" name="ns1:EurofarInvoiceNo" dataDxfId="5" dataCellStyle="Comma">
      <xmlColumnPr mapId="6" xpath="/ns1:ReportDataObject/ns1:Report_ShipmentAmountNL_Detail_View/ns1:EurofarInvoiceNo" xmlDataType="string"/>
    </tableColumn>
    <tableColumn id="25" uniqueName="ns1:ETypeOfInvoice" name="Column2" dataDxfId="4" dataCellStyle="Comma">
      <xmlColumnPr mapId="6" xpath="/ns1:ReportDataObject/ns1:Report_ShipmentAmountNL_Detail_View/ns1:ETypeOfInvoice" xmlDataType="string"/>
    </tableColumn>
    <tableColumn id="21" uniqueName="ns1:EurofarPrice" name="ns1:EurofarPrice" dataDxfId="3" dataCellStyle="Comma">
      <xmlColumnPr mapId="6" xpath="/ns1:ReportDataObject/ns1:Report_ShipmentAmountNL_Detail_View/ns1:EurofarPrice" xmlDataType="decimal"/>
    </tableColumn>
    <tableColumn id="22" uniqueName="ns1:ECommercialInvoiceAmountInUSD" name="ns1:ECommercialInvoiceAmountInUSD" dataDxfId="2" dataCellStyle="Comma">
      <xmlColumnPr mapId="6" xpath="/ns1:ReportDataObject/ns1:Report_ShipmentAmountNL_Detail_View/ns1:ECommercialInvoiceAmountInUSD" xmlDataType="decimal"/>
    </tableColumn>
    <tableColumn id="23" uniqueName="ns1:ECommercialInvoiceAmountInEUR" name="ns1:ECommercialInvoiceAmountInEUR" dataDxfId="1" dataCellStyle="Comma">
      <xmlColumnPr mapId="6" xpath="/ns1:ReportDataObject/ns1:Report_ShipmentAmountNL_Detail_View/ns1:ECommercialInvoiceAmountInEUR" xmlDataType="decimal"/>
    </tableColumn>
    <tableColumn id="24" uniqueName="ns1:ECommercialInvoiceAmountEUR" name="ns1:ECommercialInvoiceAmountEUR" dataDxfId="0" dataCellStyle="Comma">
      <xmlColumnPr mapId="6" xpath="/ns1:ReportDataObject/ns1:Report_ShipmentAmountNL_Detail_View/ns1:ECommercialInvoiceAmountEUR" xmlDataType="decimal"/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V21"/>
  <sheetViews>
    <sheetView showZeros="0" tabSelected="1" zoomScale="70" zoomScaleNormal="70" workbookViewId="0">
      <pane xSplit="14" ySplit="6" topLeftCell="O7" activePane="bottomRight" state="frozen"/>
      <selection pane="topRight" activeCell="J1" sqref="J1"/>
      <selection pane="bottomLeft" activeCell="A7" sqref="A7"/>
      <selection pane="bottomRight" sqref="A1:A2"/>
    </sheetView>
  </sheetViews>
  <sheetFormatPr defaultRowHeight="15"/>
  <cols>
    <col min="1" max="1" width="6" style="14" customWidth="1"/>
    <col min="2" max="2" width="11.42578125" style="15" customWidth="1"/>
    <col min="3" max="3" width="24.85546875" style="14" customWidth="1"/>
    <col min="4" max="4" width="10.140625" style="16" customWidth="1"/>
    <col min="5" max="5" width="8.5703125" style="17" customWidth="1"/>
    <col min="6" max="6" width="24" style="17" customWidth="1"/>
    <col min="7" max="7" width="13.85546875" style="14" customWidth="1"/>
    <col min="8" max="8" width="13.28515625" style="14" customWidth="1"/>
    <col min="9" max="9" width="7.140625" style="14" customWidth="1"/>
    <col min="10" max="10" width="5.42578125" style="14" customWidth="1"/>
    <col min="11" max="13" width="13.28515625" style="14" customWidth="1"/>
    <col min="14" max="14" width="16.7109375" style="34" customWidth="1"/>
    <col min="15" max="16" width="16" style="14" customWidth="1"/>
    <col min="17" max="17" width="21.85546875" style="13" customWidth="1"/>
    <col min="18" max="18" width="16.7109375" style="15" customWidth="1"/>
    <col min="19" max="19" width="11.42578125" style="14" customWidth="1"/>
    <col min="20" max="20" width="14.140625" style="19" customWidth="1"/>
    <col min="21" max="21" width="8.7109375" style="19" customWidth="1"/>
    <col min="22" max="22" width="14.140625" style="19" customWidth="1"/>
    <col min="23" max="23" width="13.140625" style="19" customWidth="1"/>
    <col min="24" max="30" width="18.7109375" style="15" customWidth="1"/>
    <col min="31" max="31" width="11" style="15" customWidth="1"/>
    <col min="32" max="37" width="18.7109375" style="15" customWidth="1"/>
    <col min="38" max="39" width="18.7109375" style="33" customWidth="1"/>
    <col min="40" max="40" width="35.28515625" style="37" customWidth="1"/>
    <col min="41" max="41" width="11.42578125" style="14" customWidth="1"/>
    <col min="42" max="42" width="18.7109375" style="14" customWidth="1"/>
    <col min="43" max="43" width="18.7109375" style="13" customWidth="1"/>
    <col min="44" max="44" width="9.7109375" style="13" customWidth="1"/>
    <col min="45" max="45" width="5.7109375" style="14" customWidth="1"/>
    <col min="46" max="46" width="11.5703125" style="14" customWidth="1"/>
    <col min="47" max="47" width="17.7109375" style="14" customWidth="1"/>
    <col min="48" max="48" width="17.85546875" style="14" customWidth="1"/>
    <col min="49" max="16384" width="9.140625" style="14"/>
  </cols>
  <sheetData>
    <row r="1" spans="1:48" s="10" customFormat="1">
      <c r="A1" s="159" t="s">
        <v>5</v>
      </c>
      <c r="B1" s="160" t="s">
        <v>72</v>
      </c>
      <c r="C1" s="159" t="s">
        <v>6</v>
      </c>
      <c r="D1" s="163" t="s">
        <v>12</v>
      </c>
      <c r="E1" s="161" t="s">
        <v>80</v>
      </c>
      <c r="F1" s="178" t="s">
        <v>55</v>
      </c>
      <c r="G1" s="159" t="s">
        <v>11</v>
      </c>
      <c r="H1" s="175" t="s">
        <v>53</v>
      </c>
      <c r="I1" s="166" t="s">
        <v>128</v>
      </c>
      <c r="J1" s="166"/>
      <c r="K1" s="166"/>
      <c r="L1" s="166"/>
      <c r="M1" s="166"/>
      <c r="N1" s="176" t="s">
        <v>54</v>
      </c>
      <c r="O1" s="171" t="s">
        <v>45</v>
      </c>
      <c r="P1" s="172"/>
      <c r="Q1" s="172"/>
      <c r="R1" s="172"/>
      <c r="S1" s="172"/>
      <c r="T1" s="173" t="s">
        <v>40</v>
      </c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4"/>
      <c r="AP1" s="164" t="s">
        <v>57</v>
      </c>
      <c r="AQ1" s="158" t="s">
        <v>0</v>
      </c>
      <c r="AR1" s="158" t="s">
        <v>41</v>
      </c>
      <c r="AS1" s="167" t="s">
        <v>10</v>
      </c>
      <c r="AT1" s="167" t="s">
        <v>1</v>
      </c>
      <c r="AU1" s="155" t="s">
        <v>133</v>
      </c>
      <c r="AV1" s="155" t="s">
        <v>134</v>
      </c>
    </row>
    <row r="2" spans="1:48" s="10" customFormat="1" ht="69.75" customHeight="1">
      <c r="A2" s="159"/>
      <c r="B2" s="160"/>
      <c r="C2" s="159"/>
      <c r="D2" s="163"/>
      <c r="E2" s="162"/>
      <c r="F2" s="179"/>
      <c r="G2" s="159"/>
      <c r="H2" s="159"/>
      <c r="I2" s="125" t="s">
        <v>121</v>
      </c>
      <c r="J2" s="125" t="s">
        <v>122</v>
      </c>
      <c r="K2" s="125" t="s">
        <v>123</v>
      </c>
      <c r="L2" s="125" t="s">
        <v>124</v>
      </c>
      <c r="M2" s="125" t="s">
        <v>125</v>
      </c>
      <c r="N2" s="177"/>
      <c r="O2" s="71" t="s">
        <v>83</v>
      </c>
      <c r="P2" s="72" t="s">
        <v>89</v>
      </c>
      <c r="Q2" s="73" t="s">
        <v>82</v>
      </c>
      <c r="R2" s="74" t="s">
        <v>3</v>
      </c>
      <c r="S2" s="71" t="s">
        <v>2</v>
      </c>
      <c r="T2" s="114" t="s">
        <v>81</v>
      </c>
      <c r="U2" s="114" t="s">
        <v>97</v>
      </c>
      <c r="V2" s="114" t="s">
        <v>87</v>
      </c>
      <c r="W2" s="114" t="s">
        <v>88</v>
      </c>
      <c r="X2" s="113" t="s">
        <v>70</v>
      </c>
      <c r="Y2" s="113" t="s">
        <v>71</v>
      </c>
      <c r="Z2" s="113" t="s">
        <v>92</v>
      </c>
      <c r="AA2" s="113" t="s">
        <v>95</v>
      </c>
      <c r="AB2" s="113" t="s">
        <v>93</v>
      </c>
      <c r="AC2" s="113" t="s">
        <v>67</v>
      </c>
      <c r="AD2" s="113" t="s">
        <v>131</v>
      </c>
      <c r="AE2" s="113" t="s">
        <v>132</v>
      </c>
      <c r="AF2" s="113" t="s">
        <v>68</v>
      </c>
      <c r="AG2" s="113" t="s">
        <v>69</v>
      </c>
      <c r="AH2" s="113" t="s">
        <v>47</v>
      </c>
      <c r="AI2" s="113" t="s">
        <v>48</v>
      </c>
      <c r="AJ2" s="113" t="s">
        <v>49</v>
      </c>
      <c r="AK2" s="82" t="s">
        <v>74</v>
      </c>
      <c r="AL2" s="83" t="s">
        <v>75</v>
      </c>
      <c r="AM2" s="83" t="s">
        <v>76</v>
      </c>
      <c r="AN2" s="118" t="s">
        <v>73</v>
      </c>
      <c r="AO2" s="119" t="s">
        <v>2</v>
      </c>
      <c r="AP2" s="165"/>
      <c r="AQ2" s="158"/>
      <c r="AR2" s="168"/>
      <c r="AS2" s="167"/>
      <c r="AT2" s="167"/>
      <c r="AU2" s="155"/>
      <c r="AV2" s="155"/>
    </row>
    <row r="3" spans="1:48" s="10" customFormat="1">
      <c r="A3" s="62"/>
      <c r="B3" s="63"/>
      <c r="C3" s="62"/>
      <c r="D3" s="64"/>
      <c r="E3" s="65"/>
      <c r="F3" s="65"/>
      <c r="G3" s="66" t="s">
        <v>9</v>
      </c>
      <c r="H3" s="66"/>
      <c r="I3" s="66"/>
      <c r="J3" s="66"/>
      <c r="K3" s="66"/>
      <c r="L3" s="66"/>
      <c r="M3" s="66"/>
      <c r="N3" s="68">
        <f>SUM(N7:N6999)</f>
        <v>0</v>
      </c>
      <c r="O3" s="75"/>
      <c r="P3" s="75"/>
      <c r="Q3" s="76"/>
      <c r="R3" s="77">
        <f>SUM(R7:R6999)</f>
        <v>0</v>
      </c>
      <c r="S3" s="75"/>
      <c r="T3" s="115"/>
      <c r="U3" s="115"/>
      <c r="V3" s="115"/>
      <c r="W3" s="115"/>
      <c r="X3" s="116">
        <f t="shared" ref="X3:AD3" si="0">SUM(X7:X6999)</f>
        <v>0</v>
      </c>
      <c r="Y3" s="116">
        <f t="shared" si="0"/>
        <v>0</v>
      </c>
      <c r="Z3" s="116">
        <f t="shared" si="0"/>
        <v>0</v>
      </c>
      <c r="AA3" s="116">
        <f t="shared" si="0"/>
        <v>0</v>
      </c>
      <c r="AB3" s="116">
        <f t="shared" si="0"/>
        <v>0</v>
      </c>
      <c r="AC3" s="117">
        <f t="shared" si="0"/>
        <v>0</v>
      </c>
      <c r="AD3" s="117">
        <f t="shared" si="0"/>
        <v>0</v>
      </c>
      <c r="AE3" s="143" t="e">
        <f>AD3/N3</f>
        <v>#DIV/0!</v>
      </c>
      <c r="AF3" s="116">
        <f t="shared" ref="AF3:AM3" si="1">SUM(AF7:AF6999)</f>
        <v>0</v>
      </c>
      <c r="AG3" s="116">
        <f t="shared" si="1"/>
        <v>0</v>
      </c>
      <c r="AH3" s="117">
        <f t="shared" si="1"/>
        <v>0</v>
      </c>
      <c r="AI3" s="116">
        <f t="shared" si="1"/>
        <v>0</v>
      </c>
      <c r="AJ3" s="116">
        <f t="shared" si="1"/>
        <v>0</v>
      </c>
      <c r="AK3" s="84">
        <f t="shared" si="1"/>
        <v>0</v>
      </c>
      <c r="AL3" s="85">
        <f t="shared" si="1"/>
        <v>0</v>
      </c>
      <c r="AM3" s="85">
        <f t="shared" si="1"/>
        <v>0</v>
      </c>
      <c r="AN3" s="120"/>
      <c r="AO3" s="121"/>
      <c r="AP3" s="122">
        <f>SUM(AP7:AP6999)</f>
        <v>0</v>
      </c>
      <c r="AQ3" s="90">
        <f>R3-N3</f>
        <v>0</v>
      </c>
      <c r="AR3" s="91"/>
      <c r="AS3" s="62"/>
      <c r="AT3" s="62"/>
      <c r="AU3" s="62"/>
      <c r="AV3" s="62"/>
    </row>
    <row r="4" spans="1:48" s="10" customFormat="1">
      <c r="A4" s="62"/>
      <c r="B4" s="63"/>
      <c r="C4" s="62"/>
      <c r="D4" s="169" t="s">
        <v>50</v>
      </c>
      <c r="E4" s="170"/>
      <c r="F4" s="170"/>
      <c r="G4" s="170"/>
      <c r="H4" s="67"/>
      <c r="I4" s="124"/>
      <c r="J4" s="124"/>
      <c r="K4" s="124"/>
      <c r="L4" s="124"/>
      <c r="M4" s="124"/>
      <c r="N4" s="69">
        <f>SUBTOTAL(9,N7:N6999)</f>
        <v>0</v>
      </c>
      <c r="O4" s="78"/>
      <c r="P4" s="78"/>
      <c r="Q4" s="79"/>
      <c r="R4" s="77">
        <f>SUBTOTAL(9,R7:R6999)</f>
        <v>0</v>
      </c>
      <c r="S4" s="80"/>
      <c r="T4" s="115"/>
      <c r="U4" s="115"/>
      <c r="V4" s="115"/>
      <c r="W4" s="115"/>
      <c r="X4" s="116">
        <f t="shared" ref="X4:AM4" si="2">SUBTOTAL(9,X7:X6999)</f>
        <v>0</v>
      </c>
      <c r="Y4" s="116">
        <f t="shared" si="2"/>
        <v>0</v>
      </c>
      <c r="Z4" s="116">
        <f t="shared" si="2"/>
        <v>0</v>
      </c>
      <c r="AA4" s="116">
        <f t="shared" si="2"/>
        <v>0</v>
      </c>
      <c r="AB4" s="116">
        <f t="shared" si="2"/>
        <v>0</v>
      </c>
      <c r="AC4" s="117">
        <f t="shared" si="2"/>
        <v>0</v>
      </c>
      <c r="AD4" s="117">
        <f>SUBTOTAL(9,AD7:AD6999)</f>
        <v>0</v>
      </c>
      <c r="AE4" s="143" t="e">
        <f>AD4/N4</f>
        <v>#DIV/0!</v>
      </c>
      <c r="AF4" s="116">
        <f t="shared" si="2"/>
        <v>0</v>
      </c>
      <c r="AG4" s="116">
        <f t="shared" si="2"/>
        <v>0</v>
      </c>
      <c r="AH4" s="117">
        <f t="shared" si="2"/>
        <v>0</v>
      </c>
      <c r="AI4" s="116">
        <f t="shared" si="2"/>
        <v>0</v>
      </c>
      <c r="AJ4" s="116">
        <f t="shared" si="2"/>
        <v>0</v>
      </c>
      <c r="AK4" s="84">
        <f t="shared" si="2"/>
        <v>0</v>
      </c>
      <c r="AL4" s="85">
        <f t="shared" si="2"/>
        <v>0</v>
      </c>
      <c r="AM4" s="85">
        <f t="shared" si="2"/>
        <v>0</v>
      </c>
      <c r="AN4" s="120"/>
      <c r="AO4" s="121"/>
      <c r="AP4" s="122">
        <f>SUBTOTAL(9,AP7:AP6999)</f>
        <v>0</v>
      </c>
      <c r="AQ4" s="90">
        <f>R4-N4</f>
        <v>0</v>
      </c>
      <c r="AR4" s="91"/>
      <c r="AS4" s="62"/>
      <c r="AT4" s="62"/>
      <c r="AU4" s="62"/>
      <c r="AV4" s="62"/>
    </row>
    <row r="5" spans="1:48" s="10" customFormat="1" hidden="1">
      <c r="A5" s="11"/>
      <c r="B5" s="12"/>
      <c r="C5" s="11"/>
      <c r="D5" s="156"/>
      <c r="E5" s="157"/>
      <c r="F5" s="157"/>
      <c r="G5" s="157"/>
      <c r="H5" s="32"/>
      <c r="I5" s="123"/>
      <c r="J5" s="123"/>
      <c r="K5" s="123"/>
      <c r="L5" s="123"/>
      <c r="M5" s="123"/>
      <c r="N5" s="70"/>
      <c r="O5" s="78"/>
      <c r="P5" s="78"/>
      <c r="Q5" s="76"/>
      <c r="R5" s="81"/>
      <c r="S5" s="75"/>
      <c r="T5" s="20"/>
      <c r="U5" s="20"/>
      <c r="V5" s="20"/>
      <c r="W5" s="20"/>
      <c r="X5" s="21"/>
      <c r="Y5" s="21"/>
      <c r="Z5" s="21"/>
      <c r="AA5" s="21"/>
      <c r="AB5" s="21"/>
      <c r="AC5" s="38"/>
      <c r="AD5" s="38"/>
      <c r="AE5" s="38"/>
      <c r="AF5" s="38"/>
      <c r="AG5" s="38"/>
      <c r="AH5" s="21"/>
      <c r="AI5" s="21"/>
      <c r="AJ5" s="21"/>
      <c r="AK5" s="86"/>
      <c r="AL5" s="87"/>
      <c r="AM5" s="88"/>
      <c r="AN5" s="36"/>
      <c r="AO5" s="27"/>
      <c r="AP5" s="27"/>
      <c r="AQ5" s="92"/>
      <c r="AR5" s="93"/>
    </row>
    <row r="6" spans="1:48">
      <c r="A6" s="22" t="s">
        <v>23</v>
      </c>
      <c r="B6" s="23" t="s">
        <v>24</v>
      </c>
      <c r="C6" s="24" t="s">
        <v>13</v>
      </c>
      <c r="D6" s="25" t="s">
        <v>14</v>
      </c>
      <c r="E6" s="26" t="s">
        <v>15</v>
      </c>
      <c r="F6" s="26" t="s">
        <v>52</v>
      </c>
      <c r="G6" s="24" t="s">
        <v>29</v>
      </c>
      <c r="H6" s="24" t="s">
        <v>44</v>
      </c>
      <c r="I6" s="24" t="s">
        <v>119</v>
      </c>
      <c r="J6" s="24" t="s">
        <v>118</v>
      </c>
      <c r="K6" s="24" t="s">
        <v>117</v>
      </c>
      <c r="L6" s="24" t="s">
        <v>120</v>
      </c>
      <c r="M6" s="24" t="s">
        <v>116</v>
      </c>
      <c r="N6" s="103" t="s">
        <v>42</v>
      </c>
      <c r="O6" s="24" t="s">
        <v>17</v>
      </c>
      <c r="P6" s="24" t="s">
        <v>84</v>
      </c>
      <c r="Q6" s="104" t="s">
        <v>18</v>
      </c>
      <c r="R6" s="105" t="s">
        <v>19</v>
      </c>
      <c r="S6" s="24" t="s">
        <v>20</v>
      </c>
      <c r="T6" s="106" t="s">
        <v>21</v>
      </c>
      <c r="U6" s="106" t="s">
        <v>96</v>
      </c>
      <c r="V6" s="106" t="s">
        <v>86</v>
      </c>
      <c r="W6" s="106" t="s">
        <v>85</v>
      </c>
      <c r="X6" s="105" t="s">
        <v>22</v>
      </c>
      <c r="Y6" s="105" t="s">
        <v>63</v>
      </c>
      <c r="Z6" s="105" t="s">
        <v>91</v>
      </c>
      <c r="AA6" s="105" t="s">
        <v>94</v>
      </c>
      <c r="AB6" s="105" t="s">
        <v>90</v>
      </c>
      <c r="AC6" s="142" t="s">
        <v>62</v>
      </c>
      <c r="AD6" s="142" t="s">
        <v>130</v>
      </c>
      <c r="AE6" s="142" t="s">
        <v>129</v>
      </c>
      <c r="AF6" s="142" t="s">
        <v>66</v>
      </c>
      <c r="AG6" s="105" t="s">
        <v>65</v>
      </c>
      <c r="AH6" s="105" t="s">
        <v>64</v>
      </c>
      <c r="AI6" s="105" t="s">
        <v>61</v>
      </c>
      <c r="AJ6" s="105" t="s">
        <v>60</v>
      </c>
      <c r="AK6" s="105" t="s">
        <v>59</v>
      </c>
      <c r="AL6" s="107" t="s">
        <v>46</v>
      </c>
      <c r="AM6" s="108" t="s">
        <v>25</v>
      </c>
      <c r="AN6" s="109" t="s">
        <v>58</v>
      </c>
      <c r="AO6" s="110" t="s">
        <v>26</v>
      </c>
      <c r="AP6" s="110" t="s">
        <v>56</v>
      </c>
      <c r="AQ6" s="111" t="s">
        <v>27</v>
      </c>
      <c r="AR6" s="111" t="s">
        <v>28</v>
      </c>
      <c r="AS6" s="110" t="s">
        <v>38</v>
      </c>
      <c r="AT6" s="112" t="s">
        <v>39</v>
      </c>
      <c r="AU6" s="112" t="s">
        <v>135</v>
      </c>
      <c r="AV6" s="112" t="s">
        <v>136</v>
      </c>
    </row>
    <row r="7" spans="1:48">
      <c r="A7" s="39"/>
      <c r="B7" s="42"/>
      <c r="C7" s="40"/>
      <c r="D7" s="41"/>
      <c r="E7" s="40"/>
      <c r="F7" s="40"/>
      <c r="G7" s="40"/>
      <c r="H7" s="40"/>
      <c r="I7" s="40"/>
      <c r="J7" s="126"/>
      <c r="K7" s="40"/>
      <c r="L7" s="40"/>
      <c r="M7" s="40"/>
      <c r="N7" s="96"/>
      <c r="O7" s="40"/>
      <c r="P7" s="40"/>
      <c r="Q7" s="40"/>
      <c r="R7" s="97"/>
      <c r="S7" s="98"/>
      <c r="T7" s="40"/>
      <c r="U7" s="40"/>
      <c r="V7" s="40"/>
      <c r="W7" s="40"/>
      <c r="X7" s="99"/>
      <c r="Y7" s="99"/>
      <c r="Z7" s="99"/>
      <c r="AA7" s="99"/>
      <c r="AB7" s="99"/>
      <c r="AC7" s="97"/>
      <c r="AD7" s="97"/>
      <c r="AE7" s="145"/>
      <c r="AF7" s="99"/>
      <c r="AG7" s="99"/>
      <c r="AH7" s="97"/>
      <c r="AI7" s="99"/>
      <c r="AJ7" s="99"/>
      <c r="AK7" s="97"/>
      <c r="AL7" s="99"/>
      <c r="AM7" s="99"/>
      <c r="AN7" s="41"/>
      <c r="AO7" s="100"/>
      <c r="AP7" s="99"/>
      <c r="AQ7" s="101"/>
      <c r="AR7" s="102"/>
      <c r="AS7" s="94"/>
      <c r="AT7" s="95"/>
      <c r="AU7" s="95"/>
      <c r="AV7" s="95"/>
    </row>
    <row r="8" spans="1:48">
      <c r="A8" s="144"/>
      <c r="B8" s="146"/>
      <c r="C8" s="144"/>
      <c r="D8" s="147"/>
      <c r="E8" s="148"/>
      <c r="F8" s="148"/>
      <c r="G8" s="144"/>
      <c r="H8" s="144"/>
      <c r="I8" s="144"/>
      <c r="J8" s="144"/>
      <c r="K8" s="144"/>
      <c r="L8" s="144"/>
      <c r="M8" s="144"/>
      <c r="N8" s="149"/>
      <c r="O8" s="144"/>
      <c r="P8" s="144"/>
      <c r="Q8" s="150"/>
      <c r="R8" s="146"/>
      <c r="S8" s="151"/>
      <c r="T8" s="152"/>
      <c r="U8" s="152"/>
      <c r="V8" s="152"/>
      <c r="W8" s="152"/>
      <c r="X8" s="146"/>
      <c r="Y8" s="146"/>
      <c r="Z8" s="146"/>
      <c r="AA8" s="146"/>
      <c r="AB8" s="146"/>
      <c r="AC8" s="146"/>
      <c r="AD8" s="146"/>
      <c r="AE8" s="146"/>
      <c r="AF8" s="146"/>
      <c r="AG8" s="146"/>
      <c r="AH8" s="146"/>
      <c r="AI8" s="146"/>
      <c r="AJ8" s="146"/>
      <c r="AK8" s="146"/>
      <c r="AL8" s="153"/>
      <c r="AM8" s="153"/>
      <c r="AN8" s="154"/>
      <c r="AO8" s="144"/>
      <c r="AP8" s="144"/>
      <c r="AQ8" s="144"/>
      <c r="AR8" s="150"/>
      <c r="AS8" s="144"/>
      <c r="AT8" s="144"/>
      <c r="AU8" s="144"/>
      <c r="AV8" s="144"/>
    </row>
    <row r="9" spans="1:48">
      <c r="E9" s="19"/>
      <c r="F9" s="19"/>
      <c r="G9" s="15"/>
      <c r="H9" s="15"/>
      <c r="I9" s="15"/>
      <c r="J9" s="15"/>
      <c r="K9" s="15"/>
      <c r="L9" s="15"/>
      <c r="M9" s="15"/>
      <c r="O9" s="18"/>
      <c r="P9" s="18"/>
      <c r="Q9" s="14"/>
      <c r="R9" s="14"/>
      <c r="S9" s="13"/>
      <c r="T9" s="13"/>
      <c r="U9" s="13"/>
      <c r="V9" s="13"/>
      <c r="W9" s="13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Q9" s="14"/>
      <c r="AR9" s="14"/>
    </row>
    <row r="10" spans="1:48">
      <c r="E10" s="19"/>
      <c r="F10" s="19"/>
      <c r="G10" s="15"/>
      <c r="H10" s="15"/>
      <c r="I10" s="15"/>
      <c r="J10" s="15"/>
      <c r="K10" s="15"/>
      <c r="L10" s="15"/>
      <c r="M10" s="15"/>
      <c r="O10" s="18"/>
      <c r="P10" s="18"/>
      <c r="Q10" s="14"/>
      <c r="R10" s="14"/>
      <c r="S10" s="13"/>
      <c r="T10" s="13"/>
      <c r="U10" s="13"/>
      <c r="V10" s="13"/>
      <c r="W10" s="13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Q10" s="14"/>
      <c r="AR10" s="14"/>
    </row>
    <row r="11" spans="1:48">
      <c r="E11" s="19"/>
      <c r="F11" s="19"/>
      <c r="G11" s="15"/>
      <c r="H11" s="15"/>
      <c r="I11" s="15"/>
      <c r="J11" s="15"/>
      <c r="K11" s="15"/>
      <c r="L11" s="15"/>
      <c r="M11" s="15"/>
      <c r="O11" s="18"/>
      <c r="P11" s="18"/>
      <c r="Q11" s="14"/>
      <c r="R11" s="14"/>
      <c r="S11" s="13"/>
      <c r="T11" s="13"/>
      <c r="U11" s="13"/>
      <c r="V11" s="13"/>
      <c r="W11" s="13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Q11" s="14"/>
      <c r="AR11" s="14"/>
    </row>
    <row r="12" spans="1:48">
      <c r="E12" s="19"/>
      <c r="F12" s="19"/>
      <c r="G12" s="15"/>
      <c r="H12" s="15"/>
      <c r="I12" s="15"/>
      <c r="J12" s="15"/>
      <c r="K12" s="15"/>
      <c r="L12" s="15"/>
      <c r="M12" s="15"/>
      <c r="O12" s="18"/>
      <c r="P12" s="18"/>
      <c r="Q12" s="14"/>
      <c r="R12" s="14"/>
      <c r="S12" s="13"/>
      <c r="T12" s="13"/>
      <c r="U12" s="13"/>
      <c r="V12" s="13"/>
      <c r="W12" s="13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Q12" s="14"/>
      <c r="AR12" s="14"/>
    </row>
    <row r="13" spans="1:48">
      <c r="E13" s="19"/>
      <c r="F13" s="19"/>
      <c r="G13" s="15"/>
      <c r="H13" s="15"/>
      <c r="I13" s="15"/>
      <c r="J13" s="15"/>
      <c r="K13" s="15"/>
      <c r="L13" s="15"/>
      <c r="M13" s="15"/>
      <c r="O13" s="18"/>
      <c r="P13" s="18"/>
      <c r="Q13" s="14"/>
      <c r="R13" s="14"/>
      <c r="S13" s="13"/>
      <c r="T13" s="13"/>
      <c r="U13" s="13"/>
      <c r="V13" s="13"/>
      <c r="W13" s="13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Q13" s="14"/>
      <c r="AR13" s="14"/>
    </row>
    <row r="14" spans="1:48">
      <c r="E14" s="19"/>
      <c r="F14" s="19"/>
      <c r="G14" s="15"/>
      <c r="H14" s="15"/>
      <c r="I14" s="15"/>
      <c r="J14" s="15"/>
      <c r="K14" s="15"/>
      <c r="L14" s="15"/>
      <c r="M14" s="15"/>
      <c r="O14" s="18"/>
      <c r="P14" s="18"/>
      <c r="Q14" s="14"/>
      <c r="R14" s="14"/>
      <c r="S14" s="13"/>
      <c r="T14" s="13"/>
      <c r="U14" s="13"/>
      <c r="V14" s="13"/>
      <c r="W14" s="13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Q14" s="14"/>
      <c r="AR14" s="14"/>
    </row>
    <row r="15" spans="1:48">
      <c r="E15" s="19"/>
      <c r="F15" s="19"/>
      <c r="G15" s="15"/>
      <c r="H15" s="15"/>
      <c r="I15" s="15"/>
      <c r="J15" s="15"/>
      <c r="K15" s="15"/>
      <c r="L15" s="15"/>
      <c r="M15" s="15"/>
      <c r="O15" s="18"/>
      <c r="P15" s="18"/>
      <c r="Q15" s="14"/>
      <c r="R15" s="14"/>
      <c r="S15" s="13"/>
      <c r="T15" s="13"/>
      <c r="U15" s="13"/>
      <c r="V15" s="13"/>
      <c r="W15" s="13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Q15" s="14"/>
      <c r="AR15" s="14"/>
    </row>
    <row r="16" spans="1:48">
      <c r="E16" s="19"/>
      <c r="F16" s="19"/>
      <c r="G16" s="15"/>
      <c r="H16" s="15"/>
      <c r="I16" s="15"/>
      <c r="J16" s="15"/>
      <c r="K16" s="15"/>
      <c r="L16" s="15"/>
      <c r="M16" s="15"/>
      <c r="O16" s="18"/>
      <c r="P16" s="18"/>
      <c r="Q16" s="14"/>
      <c r="R16" s="14"/>
      <c r="S16" s="13"/>
      <c r="T16" s="13"/>
      <c r="U16" s="13"/>
      <c r="V16" s="13"/>
      <c r="W16" s="13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Q16" s="14"/>
      <c r="AR16" s="14"/>
    </row>
    <row r="17" spans="5:44">
      <c r="E17" s="19"/>
      <c r="F17" s="19"/>
      <c r="G17" s="15"/>
      <c r="H17" s="15"/>
      <c r="I17" s="15"/>
      <c r="J17" s="15"/>
      <c r="K17" s="15"/>
      <c r="L17" s="15"/>
      <c r="M17" s="15"/>
      <c r="O17" s="18"/>
      <c r="P17" s="18"/>
      <c r="Q17" s="14"/>
      <c r="R17" s="14"/>
      <c r="S17" s="13"/>
      <c r="T17" s="13"/>
      <c r="U17" s="13"/>
      <c r="V17" s="13"/>
      <c r="W17" s="13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Q17" s="14"/>
      <c r="AR17" s="14"/>
    </row>
    <row r="18" spans="5:44">
      <c r="E18" s="19"/>
      <c r="F18" s="19"/>
      <c r="G18" s="15"/>
      <c r="H18" s="15"/>
      <c r="I18" s="15"/>
      <c r="J18" s="15"/>
      <c r="K18" s="15"/>
      <c r="L18" s="15"/>
      <c r="M18" s="15"/>
      <c r="O18" s="18"/>
      <c r="P18" s="18"/>
      <c r="Q18" s="14"/>
      <c r="R18" s="14"/>
      <c r="S18" s="13"/>
      <c r="T18" s="13"/>
      <c r="U18" s="13"/>
      <c r="V18" s="13"/>
      <c r="W18" s="13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Q18" s="14"/>
      <c r="AR18" s="14"/>
    </row>
    <row r="19" spans="5:44">
      <c r="E19" s="19"/>
      <c r="F19" s="19"/>
      <c r="G19" s="15"/>
      <c r="H19" s="15"/>
      <c r="I19" s="15"/>
      <c r="J19" s="15"/>
      <c r="K19" s="15"/>
      <c r="L19" s="15"/>
      <c r="M19" s="15"/>
      <c r="O19" s="18"/>
      <c r="P19" s="18"/>
      <c r="Q19" s="14"/>
      <c r="R19" s="13"/>
      <c r="S19" s="13"/>
      <c r="T19" s="13"/>
      <c r="U19" s="13"/>
      <c r="V19" s="13"/>
      <c r="W19" s="13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Q19" s="14"/>
      <c r="AR19" s="14"/>
    </row>
    <row r="20" spans="5:44">
      <c r="E20" s="19"/>
      <c r="F20" s="19"/>
      <c r="G20" s="15"/>
      <c r="H20" s="15"/>
      <c r="I20" s="15"/>
      <c r="J20" s="15"/>
      <c r="K20" s="15"/>
      <c r="L20" s="15"/>
      <c r="M20" s="15"/>
      <c r="O20" s="18"/>
      <c r="P20" s="18"/>
      <c r="Q20" s="14"/>
      <c r="R20" s="13"/>
      <c r="S20" s="13"/>
      <c r="T20" s="13"/>
      <c r="U20" s="13"/>
      <c r="V20" s="13"/>
      <c r="W20" s="13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Q20" s="14"/>
      <c r="AR20" s="14"/>
    </row>
    <row r="21" spans="5:44">
      <c r="E21" s="19"/>
      <c r="F21" s="19"/>
      <c r="G21" s="15"/>
      <c r="H21" s="15"/>
      <c r="I21" s="15"/>
      <c r="J21" s="15"/>
      <c r="K21" s="15"/>
      <c r="L21" s="15"/>
      <c r="M21" s="15"/>
      <c r="O21" s="18"/>
      <c r="P21" s="18"/>
      <c r="Q21" s="14"/>
      <c r="R21" s="13"/>
      <c r="S21" s="13"/>
      <c r="T21" s="13"/>
      <c r="U21" s="13"/>
      <c r="V21" s="13"/>
      <c r="W21" s="13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Q21" s="14"/>
      <c r="AR21" s="14"/>
    </row>
  </sheetData>
  <mergeCells count="21">
    <mergeCell ref="O1:S1"/>
    <mergeCell ref="T1:AO1"/>
    <mergeCell ref="H1:H2"/>
    <mergeCell ref="N1:N2"/>
    <mergeCell ref="F1:F2"/>
    <mergeCell ref="AU1:AU2"/>
    <mergeCell ref="AV1:AV2"/>
    <mergeCell ref="D5:G5"/>
    <mergeCell ref="AQ1:AQ2"/>
    <mergeCell ref="A1:A2"/>
    <mergeCell ref="C1:C2"/>
    <mergeCell ref="B1:B2"/>
    <mergeCell ref="E1:E2"/>
    <mergeCell ref="G1:G2"/>
    <mergeCell ref="D1:D2"/>
    <mergeCell ref="AP1:AP2"/>
    <mergeCell ref="I1:M1"/>
    <mergeCell ref="AS1:AS2"/>
    <mergeCell ref="AT1:AT2"/>
    <mergeCell ref="AR1:AR2"/>
    <mergeCell ref="D4:G4"/>
  </mergeCells>
  <phoneticPr fontId="4" type="noConversion"/>
  <printOptions horizontalCentered="1"/>
  <pageMargins left="0.25" right="0.25" top="1" bottom="1" header="0.5" footer="0.5"/>
  <pageSetup scale="11" fitToHeight="3" orientation="portrait" verticalDpi="300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4"/>
  <sheetViews>
    <sheetView showZeros="0" zoomScale="85" zoomScaleNormal="85" workbookViewId="0">
      <pane xSplit="10" ySplit="5" topLeftCell="K6" activePane="bottomRight" state="frozen"/>
      <selection pane="topRight" activeCell="J1" sqref="J1"/>
      <selection pane="bottomLeft" activeCell="A6" sqref="A6"/>
      <selection pane="bottomRight" activeCell="C13" sqref="C13"/>
    </sheetView>
  </sheetViews>
  <sheetFormatPr defaultRowHeight="12.75"/>
  <cols>
    <col min="1" max="1" width="20.7109375" style="7" customWidth="1"/>
    <col min="2" max="2" width="7.7109375" style="7" customWidth="1"/>
    <col min="3" max="3" width="12.28515625" style="7" customWidth="1"/>
    <col min="4" max="4" width="22.7109375" style="4" customWidth="1"/>
    <col min="5" max="5" width="14.140625" style="4" customWidth="1"/>
    <col min="6" max="6" width="10.7109375" style="5" customWidth="1"/>
    <col min="7" max="7" width="10.42578125" style="6" customWidth="1"/>
    <col min="8" max="8" width="8.7109375" style="5" customWidth="1"/>
    <col min="9" max="9" width="17.5703125" style="3" customWidth="1"/>
    <col min="10" max="10" width="47.140625" style="4" customWidth="1"/>
    <col min="11" max="11" width="10.140625" style="7" customWidth="1"/>
    <col min="12" max="12" width="10.42578125" style="3" customWidth="1"/>
    <col min="13" max="13" width="32.42578125" style="3" customWidth="1"/>
    <col min="14" max="14" width="7.42578125" style="7" customWidth="1"/>
    <col min="15" max="15" width="12.5703125" style="3" customWidth="1"/>
    <col min="16" max="16" width="15.85546875" style="3" customWidth="1"/>
    <col min="17" max="17" width="12.5703125" style="3" customWidth="1"/>
    <col min="18" max="18" width="15.140625" style="3" bestFit="1" customWidth="1"/>
    <col min="19" max="19" width="13.85546875" style="3" customWidth="1"/>
    <col min="20" max="20" width="9.85546875" style="8" customWidth="1"/>
    <col min="21" max="22" width="12" style="3" customWidth="1"/>
    <col min="23" max="23" width="11.28515625" style="3" customWidth="1"/>
    <col min="24" max="24" width="15.85546875" style="3" customWidth="1"/>
    <col min="25" max="26" width="15.85546875" style="4" customWidth="1"/>
    <col min="27" max="16384" width="9.140625" style="4"/>
  </cols>
  <sheetData>
    <row r="1" spans="1:26" s="1" customFormat="1" ht="39.75" customHeight="1">
      <c r="A1" s="28" t="s">
        <v>127</v>
      </c>
      <c r="B1" s="28" t="s">
        <v>11</v>
      </c>
      <c r="C1" s="28" t="s">
        <v>108</v>
      </c>
      <c r="D1" s="35" t="s">
        <v>107</v>
      </c>
      <c r="E1" s="35" t="s">
        <v>106</v>
      </c>
      <c r="F1" s="30" t="s">
        <v>105</v>
      </c>
      <c r="G1" s="29" t="s">
        <v>2</v>
      </c>
      <c r="H1" s="30" t="s">
        <v>104</v>
      </c>
      <c r="I1" s="35" t="s">
        <v>103</v>
      </c>
      <c r="J1" s="31" t="s">
        <v>102</v>
      </c>
      <c r="K1" s="28" t="s">
        <v>101</v>
      </c>
      <c r="L1" s="35" t="s">
        <v>100</v>
      </c>
      <c r="M1" s="35" t="s">
        <v>109</v>
      </c>
      <c r="N1" s="35" t="s">
        <v>10</v>
      </c>
      <c r="O1" s="180" t="s">
        <v>7</v>
      </c>
      <c r="P1" s="180"/>
      <c r="Q1" s="181" t="s">
        <v>99</v>
      </c>
      <c r="R1" s="181"/>
      <c r="S1" s="182" t="s">
        <v>0</v>
      </c>
      <c r="T1" s="182"/>
      <c r="U1" s="183" t="s">
        <v>43</v>
      </c>
      <c r="V1" s="183"/>
      <c r="W1" s="183"/>
      <c r="X1" s="183"/>
      <c r="Y1" s="183"/>
      <c r="Z1" s="183"/>
    </row>
    <row r="2" spans="1:26" s="1" customFormat="1" ht="38.25">
      <c r="A2" s="28"/>
      <c r="B2" s="28"/>
      <c r="C2" s="44"/>
      <c r="D2" s="35"/>
      <c r="E2" s="35"/>
      <c r="F2" s="30"/>
      <c r="G2" s="29"/>
      <c r="H2" s="30"/>
      <c r="I2" s="31"/>
      <c r="J2" s="35"/>
      <c r="K2" s="28"/>
      <c r="L2" s="35"/>
      <c r="M2" s="35"/>
      <c r="N2" s="28"/>
      <c r="O2" s="127" t="s">
        <v>98</v>
      </c>
      <c r="P2" s="127" t="s">
        <v>3</v>
      </c>
      <c r="Q2" s="49" t="s">
        <v>98</v>
      </c>
      <c r="R2" s="49" t="s">
        <v>3</v>
      </c>
      <c r="S2" s="89" t="s">
        <v>3</v>
      </c>
      <c r="T2" s="48" t="s">
        <v>4</v>
      </c>
      <c r="U2" s="45" t="s">
        <v>115</v>
      </c>
      <c r="V2" s="45" t="s">
        <v>126</v>
      </c>
      <c r="W2" s="45" t="s">
        <v>51</v>
      </c>
      <c r="X2" s="45" t="s">
        <v>77</v>
      </c>
      <c r="Y2" s="46" t="s">
        <v>78</v>
      </c>
      <c r="Z2" s="46" t="s">
        <v>79</v>
      </c>
    </row>
    <row r="3" spans="1:26" s="2" customFormat="1">
      <c r="A3" s="50"/>
      <c r="B3" s="50"/>
      <c r="C3" s="50"/>
      <c r="D3" s="51"/>
      <c r="E3" s="51"/>
      <c r="F3" s="52"/>
      <c r="G3" s="53"/>
      <c r="H3" s="52"/>
      <c r="I3" s="51"/>
      <c r="J3" s="51" t="s">
        <v>8</v>
      </c>
      <c r="K3" s="50">
        <f>SUM(K6:K6)</f>
        <v>0</v>
      </c>
      <c r="L3" s="51">
        <f>SUM(L6:L6)</f>
        <v>0</v>
      </c>
      <c r="M3" s="51"/>
      <c r="N3" s="50"/>
      <c r="O3" s="54"/>
      <c r="P3" s="54">
        <f>SUM(P6:P6)</f>
        <v>0</v>
      </c>
      <c r="Q3" s="55"/>
      <c r="R3" s="55">
        <f>SUM(R6:R6)</f>
        <v>0</v>
      </c>
      <c r="S3" s="56">
        <f>SUM(S6:S6)</f>
        <v>0</v>
      </c>
      <c r="T3" s="57" t="e">
        <f>S3/P3</f>
        <v>#DIV/0!</v>
      </c>
      <c r="U3" s="58"/>
      <c r="V3" s="58"/>
      <c r="W3" s="58"/>
      <c r="X3" s="59">
        <f>SUM(Table7[ns1:ECommercialInvoiceAmountInUSD])</f>
        <v>0</v>
      </c>
      <c r="Y3" s="60">
        <f>SUM(Table7[ns1:ECommercialInvoiceAmountInEUR])</f>
        <v>0</v>
      </c>
      <c r="Z3" s="60">
        <f>SUM(Table7[ns1:ECommercialInvoiceAmountEUR])</f>
        <v>0</v>
      </c>
    </row>
    <row r="4" spans="1:26" s="2" customFormat="1">
      <c r="A4" s="50"/>
      <c r="B4" s="50"/>
      <c r="C4" s="50"/>
      <c r="D4" s="51"/>
      <c r="E4" s="51"/>
      <c r="F4" s="52"/>
      <c r="G4" s="53"/>
      <c r="H4" s="52"/>
      <c r="I4" s="51"/>
      <c r="J4" s="51" t="s">
        <v>37</v>
      </c>
      <c r="K4" s="50">
        <f>SUBTOTAL(9,K6:K6)</f>
        <v>0</v>
      </c>
      <c r="L4" s="51">
        <f>SUBTOTAL(9,L6:L6)</f>
        <v>0</v>
      </c>
      <c r="M4" s="51"/>
      <c r="N4" s="50"/>
      <c r="O4" s="61"/>
      <c r="P4" s="54">
        <f>SUBTOTAL(9,P6:P6)</f>
        <v>0</v>
      </c>
      <c r="Q4" s="55"/>
      <c r="R4" s="55">
        <f>SUBTOTAL(9,R6:R6)</f>
        <v>0</v>
      </c>
      <c r="S4" s="56">
        <f>SUBTOTAL(9,S6:S6)</f>
        <v>0</v>
      </c>
      <c r="T4" s="57" t="e">
        <f>S4/P4</f>
        <v>#DIV/0!</v>
      </c>
      <c r="U4" s="58"/>
      <c r="V4" s="58"/>
      <c r="W4" s="58"/>
      <c r="X4" s="59">
        <f>SUBTOTAL(9,Table7[ns1:ECommercialInvoiceAmountInUSD])</f>
        <v>0</v>
      </c>
      <c r="Y4" s="60">
        <f>SUBTOTAL(9,Table7[ns1:ECommercialInvoiceAmountInEUR])</f>
        <v>0</v>
      </c>
      <c r="Z4" s="60">
        <f>SUBTOTAL(9,Table7[ns1:ECommercialInvoiceAmountEUR])</f>
        <v>0</v>
      </c>
    </row>
    <row r="5" spans="1:26">
      <c r="A5" s="128" t="s">
        <v>13</v>
      </c>
      <c r="B5" s="128" t="s">
        <v>29</v>
      </c>
      <c r="C5" s="128" t="s">
        <v>16</v>
      </c>
      <c r="D5" s="129" t="s">
        <v>17</v>
      </c>
      <c r="E5" s="129" t="s">
        <v>20</v>
      </c>
      <c r="F5" s="130" t="s">
        <v>14</v>
      </c>
      <c r="G5" s="131" t="s">
        <v>30</v>
      </c>
      <c r="H5" s="130" t="s">
        <v>15</v>
      </c>
      <c r="I5" s="129" t="s">
        <v>31</v>
      </c>
      <c r="J5" s="129" t="s">
        <v>32</v>
      </c>
      <c r="K5" s="128" t="s">
        <v>33</v>
      </c>
      <c r="L5" s="129" t="s">
        <v>34</v>
      </c>
      <c r="M5" s="129" t="s">
        <v>42</v>
      </c>
      <c r="N5" s="128" t="s">
        <v>27</v>
      </c>
      <c r="O5" s="129" t="s">
        <v>35</v>
      </c>
      <c r="P5" s="129" t="s">
        <v>18</v>
      </c>
      <c r="Q5" s="129" t="s">
        <v>36</v>
      </c>
      <c r="R5" s="129" t="s">
        <v>21</v>
      </c>
      <c r="S5" s="129" t="s">
        <v>25</v>
      </c>
      <c r="T5" s="132" t="s">
        <v>26</v>
      </c>
      <c r="U5" s="133" t="s">
        <v>110</v>
      </c>
      <c r="V5" s="133" t="s">
        <v>44</v>
      </c>
      <c r="W5" s="133" t="s">
        <v>111</v>
      </c>
      <c r="X5" s="133" t="s">
        <v>112</v>
      </c>
      <c r="Y5" s="133" t="s">
        <v>113</v>
      </c>
      <c r="Z5" s="133" t="s">
        <v>114</v>
      </c>
    </row>
    <row r="6" spans="1:26" ht="13.5" customHeight="1">
      <c r="A6" s="134"/>
      <c r="B6" s="134"/>
      <c r="C6" s="134"/>
      <c r="D6" s="134"/>
      <c r="E6" s="134"/>
      <c r="F6" s="134"/>
      <c r="G6" s="135"/>
      <c r="H6" s="134"/>
      <c r="I6" s="134"/>
      <c r="J6" s="136"/>
      <c r="K6" s="137"/>
      <c r="L6" s="138"/>
      <c r="M6" s="134"/>
      <c r="N6" s="134"/>
      <c r="O6" s="139"/>
      <c r="P6" s="139"/>
      <c r="Q6" s="139"/>
      <c r="R6" s="139"/>
      <c r="S6" s="139"/>
      <c r="T6" s="140"/>
      <c r="U6" s="134"/>
      <c r="V6" s="134"/>
      <c r="W6" s="138"/>
      <c r="X6" s="139"/>
      <c r="Y6" s="141"/>
      <c r="Z6" s="141"/>
    </row>
    <row r="7" spans="1:26">
      <c r="J7" s="3"/>
    </row>
    <row r="10" spans="1:26">
      <c r="A10" s="3"/>
      <c r="B10" s="3"/>
      <c r="K10" s="9"/>
      <c r="R10" s="47"/>
    </row>
    <row r="11" spans="1:26">
      <c r="G11" s="43"/>
      <c r="K11" s="9"/>
    </row>
    <row r="12" spans="1:26">
      <c r="K12" s="9"/>
    </row>
    <row r="13" spans="1:26">
      <c r="K13" s="9"/>
    </row>
    <row r="14" spans="1:26">
      <c r="K14" s="9"/>
    </row>
  </sheetData>
  <mergeCells count="4">
    <mergeCell ref="O1:P1"/>
    <mergeCell ref="Q1:R1"/>
    <mergeCell ref="S1:T1"/>
    <mergeCell ref="U1:Z1"/>
  </mergeCells>
  <pageMargins left="0.39" right="0.33" top="0.38541666666666702" bottom="0.75" header="0.3" footer="0.3"/>
  <pageSetup paperSize="9" orientation="landscape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TOTAL</vt:lpstr>
      <vt:lpstr>EURO_LTD</vt:lpstr>
      <vt:lpstr>TOTAL!Print_Titles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ltran</dc:creator>
  <cp:lastModifiedBy>AuvietSoft</cp:lastModifiedBy>
  <cp:lastPrinted>2014-05-15T20:08:34Z</cp:lastPrinted>
  <dcterms:created xsi:type="dcterms:W3CDTF">2008-09-10T13:55:08Z</dcterms:created>
  <dcterms:modified xsi:type="dcterms:W3CDTF">2019-09-09T07:49:08Z</dcterms:modified>
</cp:coreProperties>
</file>